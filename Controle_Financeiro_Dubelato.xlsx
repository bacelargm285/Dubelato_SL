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iop\Downloads\"/>
    </mc:Choice>
  </mc:AlternateContent>
  <xr:revisionPtr revIDLastSave="0" documentId="8_{90414231-BB84-4E31-A289-A39414863188}" xr6:coauthVersionLast="47" xr6:coauthVersionMax="47" xr10:uidLastSave="{00000000-0000-0000-0000-000000000000}"/>
  <bookViews>
    <workbookView xWindow="1365" yWindow="2265" windowWidth="26085" windowHeight="12720" xr2:uid="{00000000-000D-0000-FFFF-FFFF00000000}"/>
  </bookViews>
  <sheets>
    <sheet name="Lançamentos" sheetId="29" r:id="rId1"/>
    <sheet name="Detalhado" sheetId="30" r:id="rId2"/>
    <sheet name="Estoque" sheetId="31" r:id="rId3"/>
    <sheet name="Cartão Crédito" sheetId="32" r:id="rId4"/>
    <sheet name="Boletos Futuros" sheetId="33" r:id="rId5"/>
    <sheet name="NOV_25" sheetId="6" r:id="rId6"/>
    <sheet name="DEZ_25" sheetId="7" r:id="rId7"/>
    <sheet name="JAN_26" sheetId="8" r:id="rId8"/>
    <sheet name="FEV_25" sheetId="9" r:id="rId9"/>
    <sheet name="MAR_26" sheetId="10" r:id="rId10"/>
    <sheet name="ABR_26" sheetId="11" r:id="rId11"/>
    <sheet name="MAIO_26" sheetId="13" r:id="rId12"/>
    <sheet name="JUN_26" sheetId="12" r:id="rId13"/>
    <sheet name="Sabores_Receitas" sheetId="18" r:id="rId14"/>
    <sheet name="Valor_Cuba" sheetId="14" r:id="rId15"/>
    <sheet name="Producao_Cubas" sheetId="15" r:id="rId16"/>
    <sheet name="Nutricional" sheetId="16" r:id="rId17"/>
    <sheet name="Metas" sheetId="17" r:id="rId18"/>
  </sheets>
  <definedNames>
    <definedName name="_xlnm._FilterDatabase" localSheetId="10" hidden="1">ABR_26!$A$1:$K$182</definedName>
    <definedName name="_xlnm._FilterDatabase" localSheetId="4" hidden="1">'Boletos Futuros'!$N$2:$P$27</definedName>
    <definedName name="_xlnm._FilterDatabase" localSheetId="6" hidden="1">DEZ_25!$A$1:$K$195</definedName>
    <definedName name="_xlnm._FilterDatabase" localSheetId="8" hidden="1">FEV_25!$A$1:$K$193</definedName>
    <definedName name="_xlnm._FilterDatabase" localSheetId="7" hidden="1">JAN_26!$A$2:$K$216</definedName>
    <definedName name="_xlnm._FilterDatabase" localSheetId="12" hidden="1">JUN_26!$A$1:$K$176</definedName>
    <definedName name="_xlnm._FilterDatabase" localSheetId="0" hidden="1">Lançamentos!$A$2:$K$995</definedName>
    <definedName name="_xlnm._FilterDatabase" localSheetId="11" hidden="1">MAIO_26!$A$1:$K$187</definedName>
    <definedName name="_xlnm._FilterDatabase" localSheetId="9" hidden="1">MAR_26!$A$1:$K$188</definedName>
    <definedName name="_xlnm._FilterDatabase" localSheetId="5" hidden="1">NOV_25!$A$1:$K$183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50" i="33" l="1"/>
  <c r="AN50" i="33"/>
  <c r="AJ50" i="33"/>
  <c r="AF50" i="33"/>
  <c r="AB50" i="33"/>
  <c r="X50" i="33"/>
  <c r="T50" i="33"/>
  <c r="P50" i="33"/>
  <c r="L50" i="33"/>
  <c r="H50" i="33"/>
  <c r="D50" i="33"/>
  <c r="E4" i="32"/>
  <c r="C205" i="30"/>
  <c r="C204" i="30"/>
  <c r="C203" i="30"/>
  <c r="C202" i="30"/>
  <c r="C201" i="30"/>
  <c r="C200" i="30"/>
  <c r="C199" i="30"/>
  <c r="C198" i="30"/>
  <c r="C197" i="30"/>
  <c r="C196" i="30"/>
  <c r="C195" i="30"/>
  <c r="C194" i="30"/>
  <c r="C193" i="30"/>
  <c r="C192" i="30"/>
  <c r="C191" i="30"/>
  <c r="C190" i="30"/>
  <c r="C189" i="30"/>
  <c r="C206" i="30" s="1"/>
  <c r="B188" i="30"/>
  <c r="B187" i="30"/>
  <c r="B206" i="30" s="1"/>
  <c r="C183" i="30"/>
  <c r="B183" i="30"/>
  <c r="C160" i="30"/>
  <c r="B160" i="30"/>
  <c r="C137" i="30"/>
  <c r="B137" i="30"/>
  <c r="C114" i="30"/>
  <c r="B114" i="30"/>
  <c r="C65" i="30"/>
  <c r="C59" i="30"/>
  <c r="C68" i="30" s="1"/>
  <c r="B51" i="30"/>
  <c r="B50" i="30"/>
  <c r="B68" i="30" s="1"/>
  <c r="C46" i="30"/>
  <c r="B46" i="30"/>
  <c r="B4" i="30"/>
  <c r="B3" i="30"/>
  <c r="B5" i="30" s="1"/>
  <c r="J995" i="29"/>
  <c r="J994" i="29"/>
  <c r="J993" i="29"/>
  <c r="J992" i="29"/>
  <c r="J991" i="29"/>
  <c r="J990" i="29"/>
  <c r="J989" i="29"/>
  <c r="J988" i="29"/>
  <c r="J987" i="29"/>
  <c r="J986" i="29"/>
  <c r="J985" i="29"/>
  <c r="J984" i="29"/>
  <c r="J983" i="29"/>
  <c r="J982" i="29"/>
  <c r="J981" i="29"/>
  <c r="J980" i="29"/>
  <c r="J979" i="29"/>
  <c r="J978" i="29"/>
  <c r="J977" i="29"/>
  <c r="J976" i="29"/>
  <c r="J975" i="29"/>
  <c r="J974" i="29"/>
  <c r="J973" i="29"/>
  <c r="J972" i="29"/>
  <c r="J971" i="29"/>
  <c r="J970" i="29"/>
  <c r="J969" i="29"/>
  <c r="J968" i="29"/>
  <c r="J967" i="29"/>
  <c r="J966" i="29"/>
  <c r="J965" i="29"/>
  <c r="J964" i="29"/>
  <c r="J963" i="29"/>
  <c r="J962" i="29"/>
  <c r="J961" i="29"/>
  <c r="J960" i="29"/>
  <c r="J959" i="29"/>
  <c r="J958" i="29"/>
  <c r="J957" i="29"/>
  <c r="J956" i="29"/>
  <c r="J955" i="29"/>
  <c r="J954" i="29"/>
  <c r="J953" i="29"/>
  <c r="J952" i="29"/>
  <c r="J951" i="29"/>
  <c r="J950" i="29"/>
  <c r="J949" i="29"/>
  <c r="J948" i="29"/>
  <c r="J947" i="29"/>
  <c r="J946" i="29"/>
  <c r="J945" i="29"/>
  <c r="J944" i="29"/>
  <c r="J943" i="29"/>
  <c r="J942" i="29"/>
  <c r="J941" i="29"/>
  <c r="J940" i="29"/>
  <c r="J939" i="29"/>
  <c r="J938" i="29"/>
  <c r="J937" i="29"/>
  <c r="J936" i="29"/>
  <c r="J935" i="29"/>
  <c r="J934" i="29"/>
  <c r="J933" i="29"/>
  <c r="J932" i="29"/>
  <c r="J931" i="29"/>
  <c r="J930" i="29"/>
  <c r="J929" i="29"/>
  <c r="J928" i="29"/>
  <c r="J927" i="29"/>
  <c r="J926" i="29"/>
  <c r="J925" i="29"/>
  <c r="J924" i="29"/>
  <c r="J923" i="29"/>
  <c r="J922" i="29"/>
  <c r="J921" i="29"/>
  <c r="J920" i="29"/>
  <c r="J919" i="29"/>
  <c r="J918" i="29"/>
  <c r="J917" i="29"/>
  <c r="J916" i="29"/>
  <c r="J915" i="29"/>
  <c r="J914" i="29"/>
  <c r="J913" i="29"/>
  <c r="J912" i="29"/>
  <c r="J911" i="29"/>
  <c r="J910" i="29"/>
  <c r="J909" i="29"/>
  <c r="J908" i="29"/>
  <c r="J907" i="29"/>
  <c r="J906" i="29"/>
  <c r="J905" i="29"/>
  <c r="J904" i="29"/>
  <c r="J903" i="29"/>
  <c r="J902" i="29"/>
  <c r="J901" i="29"/>
  <c r="J900" i="29"/>
  <c r="J899" i="29"/>
  <c r="J898" i="29"/>
  <c r="J897" i="29"/>
  <c r="J896" i="29"/>
  <c r="J895" i="29"/>
  <c r="J894" i="29"/>
  <c r="J893" i="29"/>
  <c r="J892" i="29"/>
  <c r="J891" i="29"/>
  <c r="J890" i="29"/>
  <c r="J889" i="29"/>
  <c r="J888" i="29"/>
  <c r="J887" i="29"/>
  <c r="J886" i="29"/>
  <c r="J885" i="29"/>
  <c r="J884" i="29"/>
  <c r="J883" i="29"/>
  <c r="J882" i="29"/>
  <c r="J881" i="29"/>
  <c r="J880" i="29"/>
  <c r="J879" i="29"/>
  <c r="J878" i="29"/>
  <c r="J877" i="29"/>
  <c r="J876" i="29"/>
  <c r="J875" i="29"/>
  <c r="J874" i="29"/>
  <c r="J873" i="29"/>
  <c r="J872" i="29"/>
  <c r="J871" i="29"/>
  <c r="J870" i="29"/>
  <c r="J869" i="29"/>
  <c r="J868" i="29"/>
  <c r="J867" i="29"/>
  <c r="J866" i="29"/>
  <c r="J865" i="29"/>
  <c r="J864" i="29"/>
  <c r="J863" i="29"/>
  <c r="J862" i="29"/>
  <c r="J861" i="29"/>
  <c r="J860" i="29"/>
  <c r="J859" i="29"/>
  <c r="J858" i="29"/>
  <c r="J857" i="29"/>
  <c r="J856" i="29"/>
  <c r="J855" i="29"/>
  <c r="J854" i="29"/>
  <c r="J853" i="29"/>
  <c r="J852" i="29"/>
  <c r="J851" i="29"/>
  <c r="J850" i="29"/>
  <c r="J849" i="29"/>
  <c r="J848" i="29"/>
  <c r="J847" i="29"/>
  <c r="J846" i="29"/>
  <c r="J845" i="29"/>
  <c r="J844" i="29"/>
  <c r="J843" i="29"/>
  <c r="J842" i="29"/>
  <c r="J841" i="29"/>
  <c r="J840" i="29"/>
  <c r="J839" i="29"/>
  <c r="J838" i="29"/>
  <c r="J837" i="29"/>
  <c r="J836" i="29"/>
  <c r="J835" i="29"/>
  <c r="J834" i="29"/>
  <c r="J833" i="29"/>
  <c r="J832" i="29"/>
  <c r="J831" i="29"/>
  <c r="J830" i="29"/>
  <c r="J829" i="29"/>
  <c r="J828" i="29"/>
  <c r="J827" i="29"/>
  <c r="J826" i="29"/>
  <c r="J825" i="29"/>
  <c r="J824" i="29"/>
  <c r="J823" i="29"/>
  <c r="J822" i="29"/>
  <c r="J821" i="29"/>
  <c r="J820" i="29"/>
  <c r="J819" i="29"/>
  <c r="J818" i="29"/>
  <c r="J817" i="29"/>
  <c r="J816" i="29"/>
  <c r="J815" i="29"/>
  <c r="J814" i="29"/>
  <c r="J813" i="29"/>
  <c r="J812" i="29"/>
  <c r="J811" i="29"/>
  <c r="J810" i="29"/>
  <c r="J809" i="29"/>
  <c r="J808" i="29"/>
  <c r="J807" i="29"/>
  <c r="J806" i="29"/>
  <c r="J805" i="29"/>
  <c r="J804" i="29"/>
  <c r="J803" i="29"/>
  <c r="J802" i="29"/>
  <c r="J801" i="29"/>
  <c r="J800" i="29"/>
  <c r="J799" i="29"/>
  <c r="J798" i="29"/>
  <c r="J797" i="29"/>
  <c r="J796" i="29"/>
  <c r="J795" i="29"/>
  <c r="J794" i="29"/>
  <c r="J793" i="29"/>
  <c r="J792" i="29"/>
  <c r="J791" i="29"/>
  <c r="J790" i="29"/>
  <c r="J789" i="29"/>
  <c r="J788" i="29"/>
  <c r="J787" i="29"/>
  <c r="J786" i="29"/>
  <c r="J785" i="29"/>
  <c r="J784" i="29"/>
  <c r="J783" i="29"/>
  <c r="J782" i="29"/>
  <c r="J781" i="29"/>
  <c r="J780" i="29"/>
  <c r="J779" i="29"/>
  <c r="J778" i="29"/>
  <c r="J777" i="29"/>
  <c r="J776" i="29"/>
  <c r="J775" i="29"/>
  <c r="J774" i="29"/>
  <c r="J773" i="29"/>
  <c r="J772" i="29"/>
  <c r="J771" i="29"/>
  <c r="J770" i="29"/>
  <c r="J769" i="29"/>
  <c r="J768" i="29"/>
  <c r="J767" i="29"/>
  <c r="J766" i="29"/>
  <c r="J765" i="29"/>
  <c r="J764" i="29"/>
  <c r="J763" i="29"/>
  <c r="J762" i="29"/>
  <c r="J761" i="29"/>
  <c r="J760" i="29"/>
  <c r="J759" i="29"/>
  <c r="J758" i="29"/>
  <c r="J757" i="29"/>
  <c r="J756" i="29"/>
  <c r="J755" i="29"/>
  <c r="J754" i="29"/>
  <c r="J753" i="29"/>
  <c r="J752" i="29"/>
  <c r="J751" i="29"/>
  <c r="J750" i="29"/>
  <c r="J749" i="29"/>
  <c r="J748" i="29"/>
  <c r="J747" i="29"/>
  <c r="J746" i="29"/>
  <c r="J745" i="29"/>
  <c r="J744" i="29"/>
  <c r="J743" i="29"/>
  <c r="J742" i="29"/>
  <c r="J741" i="29"/>
  <c r="J740" i="29"/>
  <c r="J739" i="29"/>
  <c r="J738" i="29"/>
  <c r="J737" i="29"/>
  <c r="J736" i="29"/>
  <c r="J735" i="29"/>
  <c r="J734" i="29"/>
  <c r="J733" i="29"/>
  <c r="J732" i="29"/>
  <c r="J731" i="29"/>
  <c r="J730" i="29"/>
  <c r="J729" i="29"/>
  <c r="J728" i="29"/>
  <c r="J727" i="29"/>
  <c r="J726" i="29"/>
  <c r="J725" i="29"/>
  <c r="J724" i="29"/>
  <c r="J723" i="29"/>
  <c r="J722" i="29"/>
  <c r="J721" i="29"/>
  <c r="J720" i="29"/>
  <c r="J719" i="29"/>
  <c r="J718" i="29"/>
  <c r="J717" i="29"/>
  <c r="J716" i="29"/>
  <c r="J715" i="29"/>
  <c r="J714" i="29"/>
  <c r="J713" i="29"/>
  <c r="J712" i="29"/>
  <c r="J711" i="29"/>
  <c r="J710" i="29"/>
  <c r="J709" i="29"/>
  <c r="J708" i="29"/>
  <c r="J707" i="29"/>
  <c r="J706" i="29"/>
  <c r="J705" i="29"/>
  <c r="J704" i="29"/>
  <c r="J703" i="29"/>
  <c r="J702" i="29"/>
  <c r="J701" i="29"/>
  <c r="J700" i="29"/>
  <c r="J699" i="29"/>
  <c r="J698" i="29"/>
  <c r="J697" i="29"/>
  <c r="J696" i="29"/>
  <c r="J695" i="29"/>
  <c r="J694" i="29"/>
  <c r="J693" i="29"/>
  <c r="J692" i="29"/>
  <c r="J691" i="29"/>
  <c r="J690" i="29"/>
  <c r="J689" i="29"/>
  <c r="J688" i="29"/>
  <c r="J687" i="29"/>
  <c r="J686" i="29"/>
  <c r="J685" i="29"/>
  <c r="J684" i="29"/>
  <c r="J683" i="29"/>
  <c r="J682" i="29"/>
  <c r="J681" i="29"/>
  <c r="J680" i="29"/>
  <c r="J679" i="29"/>
  <c r="J678" i="29"/>
  <c r="J677" i="29"/>
  <c r="J676" i="29"/>
  <c r="J675" i="29"/>
  <c r="J674" i="29"/>
  <c r="J673" i="29"/>
  <c r="J672" i="29"/>
  <c r="J671" i="29"/>
  <c r="J670" i="29"/>
  <c r="J669" i="29"/>
  <c r="J668" i="29"/>
  <c r="J667" i="29"/>
  <c r="J666" i="29"/>
  <c r="J665" i="29"/>
  <c r="J664" i="29"/>
  <c r="J663" i="29"/>
  <c r="J662" i="29"/>
  <c r="J661" i="29"/>
  <c r="J660" i="29"/>
  <c r="J659" i="29"/>
  <c r="J658" i="29"/>
  <c r="J657" i="29"/>
  <c r="J656" i="29"/>
  <c r="J655" i="29"/>
  <c r="J654" i="29"/>
  <c r="J653" i="29"/>
  <c r="J652" i="29"/>
  <c r="J651" i="29"/>
  <c r="J650" i="29"/>
  <c r="J649" i="29"/>
  <c r="J648" i="29"/>
  <c r="J647" i="29"/>
  <c r="J646" i="29"/>
  <c r="J645" i="29"/>
  <c r="J644" i="29"/>
  <c r="J643" i="29"/>
  <c r="J642" i="29"/>
  <c r="J641" i="29"/>
  <c r="J640" i="29"/>
  <c r="J639" i="29"/>
  <c r="J638" i="29"/>
  <c r="J637" i="29"/>
  <c r="J636" i="29"/>
  <c r="J635" i="29"/>
  <c r="J634" i="29"/>
  <c r="J633" i="29"/>
  <c r="J632" i="29"/>
  <c r="J631" i="29"/>
  <c r="J630" i="29"/>
  <c r="J629" i="29"/>
  <c r="J628" i="29"/>
  <c r="J627" i="29"/>
  <c r="J626" i="29"/>
  <c r="J625" i="29"/>
  <c r="J624" i="29"/>
  <c r="J623" i="29"/>
  <c r="J622" i="29"/>
  <c r="J621" i="29"/>
  <c r="J620" i="29"/>
  <c r="J619" i="29"/>
  <c r="J618" i="29"/>
  <c r="J617" i="29"/>
  <c r="J616" i="29"/>
  <c r="J615" i="29"/>
  <c r="J614" i="29"/>
  <c r="J613" i="29"/>
  <c r="J612" i="29"/>
  <c r="J611" i="29"/>
  <c r="J610" i="29"/>
  <c r="J609" i="29"/>
  <c r="J608" i="29"/>
  <c r="J607" i="29"/>
  <c r="J606" i="29"/>
  <c r="J605" i="29"/>
  <c r="J604" i="29"/>
  <c r="J603" i="29"/>
  <c r="J602" i="29"/>
  <c r="J601" i="29"/>
  <c r="J600" i="29"/>
  <c r="J599" i="29"/>
  <c r="J598" i="29"/>
  <c r="J597" i="29"/>
  <c r="J596" i="29"/>
  <c r="J595" i="29"/>
  <c r="J594" i="29"/>
  <c r="J593" i="29"/>
  <c r="J592" i="29"/>
  <c r="J591" i="29"/>
  <c r="J590" i="29"/>
  <c r="J589" i="29"/>
  <c r="J588" i="29"/>
  <c r="J587" i="29"/>
  <c r="J586" i="29"/>
  <c r="J585" i="29"/>
  <c r="J584" i="29"/>
  <c r="J583" i="29"/>
  <c r="J582" i="29"/>
  <c r="J581" i="29"/>
  <c r="J580" i="29"/>
  <c r="J579" i="29"/>
  <c r="J578" i="29"/>
  <c r="J577" i="29"/>
  <c r="J576" i="29"/>
  <c r="J575" i="29"/>
  <c r="J574" i="29"/>
  <c r="J573" i="29"/>
  <c r="J572" i="29"/>
  <c r="J571" i="29"/>
  <c r="J570" i="29"/>
  <c r="J569" i="29"/>
  <c r="J568" i="29"/>
  <c r="J567" i="29"/>
  <c r="J566" i="29"/>
  <c r="J565" i="29"/>
  <c r="J564" i="29"/>
  <c r="J563" i="29"/>
  <c r="J562" i="29"/>
  <c r="J561" i="29"/>
  <c r="J560" i="29"/>
  <c r="J559" i="29"/>
  <c r="J558" i="29"/>
  <c r="J557" i="29"/>
  <c r="J556" i="29"/>
  <c r="J555" i="29"/>
  <c r="J554" i="29"/>
  <c r="J553" i="29"/>
  <c r="J552" i="29"/>
  <c r="J551" i="29"/>
  <c r="J550" i="29"/>
  <c r="J549" i="29"/>
  <c r="J548" i="29"/>
  <c r="J547" i="29"/>
  <c r="J546" i="29"/>
  <c r="J545" i="29"/>
  <c r="J544" i="29"/>
  <c r="J543" i="29"/>
  <c r="J542" i="29"/>
  <c r="J541" i="29"/>
  <c r="J540" i="29"/>
  <c r="J539" i="29"/>
  <c r="J538" i="29"/>
  <c r="J537" i="29"/>
  <c r="J536" i="29"/>
  <c r="J535" i="29"/>
  <c r="J534" i="29"/>
  <c r="J533" i="29"/>
  <c r="J532" i="29"/>
  <c r="J531" i="29"/>
  <c r="J530" i="29"/>
  <c r="J529" i="29"/>
  <c r="J528" i="29"/>
  <c r="J527" i="29"/>
  <c r="J526" i="29"/>
  <c r="J525" i="29"/>
  <c r="J524" i="29"/>
  <c r="J523" i="29"/>
  <c r="J522" i="29"/>
  <c r="J521" i="29"/>
  <c r="J520" i="29"/>
  <c r="J519" i="29"/>
  <c r="J518" i="29"/>
  <c r="J517" i="29"/>
  <c r="J516" i="29"/>
  <c r="J515" i="29"/>
  <c r="J514" i="29"/>
  <c r="J513" i="29"/>
  <c r="J512" i="29"/>
  <c r="J511" i="29"/>
  <c r="J510" i="29"/>
  <c r="J509" i="29"/>
  <c r="J508" i="29"/>
  <c r="J507" i="29"/>
  <c r="J506" i="29"/>
  <c r="J505" i="29"/>
  <c r="J504" i="29"/>
  <c r="J503" i="29"/>
  <c r="J502" i="29"/>
  <c r="J501" i="29"/>
  <c r="J500" i="29"/>
  <c r="J499" i="29"/>
  <c r="J498" i="29"/>
  <c r="J497" i="29"/>
  <c r="J496" i="29"/>
  <c r="J495" i="29"/>
  <c r="J494" i="29"/>
  <c r="J493" i="29"/>
  <c r="J492" i="29"/>
  <c r="J491" i="29"/>
  <c r="J490" i="29"/>
  <c r="J489" i="29"/>
  <c r="J488" i="29"/>
  <c r="J487" i="29"/>
  <c r="J486" i="29"/>
  <c r="J485" i="29"/>
  <c r="J484" i="29"/>
  <c r="J483" i="29"/>
  <c r="J482" i="29"/>
  <c r="J481" i="29"/>
  <c r="J480" i="29"/>
  <c r="J479" i="29"/>
  <c r="J478" i="29"/>
  <c r="J477" i="29"/>
  <c r="J476" i="29"/>
  <c r="J475" i="29"/>
  <c r="J474" i="29"/>
  <c r="J473" i="29"/>
  <c r="J472" i="29"/>
  <c r="J471" i="29"/>
  <c r="J470" i="29"/>
  <c r="J469" i="29"/>
  <c r="J468" i="29"/>
  <c r="J467" i="29"/>
  <c r="J466" i="29"/>
  <c r="J465" i="29"/>
  <c r="J464" i="29"/>
  <c r="J463" i="29"/>
  <c r="J462" i="29"/>
  <c r="J461" i="29"/>
  <c r="J460" i="29"/>
  <c r="J459" i="29"/>
  <c r="J458" i="29"/>
  <c r="J457" i="29"/>
  <c r="J456" i="29"/>
  <c r="J455" i="29"/>
  <c r="J454" i="29"/>
  <c r="J453" i="29"/>
  <c r="J452" i="29"/>
  <c r="J451" i="29"/>
  <c r="J450" i="29"/>
  <c r="J449" i="29"/>
  <c r="J448" i="29"/>
  <c r="J447" i="29"/>
  <c r="J446" i="29"/>
  <c r="J445" i="29"/>
  <c r="J444" i="29"/>
  <c r="J443" i="29"/>
  <c r="J442" i="29"/>
  <c r="J441" i="29"/>
  <c r="J440" i="29"/>
  <c r="J439" i="29"/>
  <c r="J438" i="29"/>
  <c r="J437" i="29"/>
  <c r="J436" i="29"/>
  <c r="J435" i="29"/>
  <c r="J434" i="29"/>
  <c r="J433" i="29"/>
  <c r="J432" i="29"/>
  <c r="J431" i="29"/>
  <c r="J430" i="29"/>
  <c r="J429" i="29"/>
  <c r="J428" i="29"/>
  <c r="J427" i="29"/>
  <c r="J426" i="29"/>
  <c r="J425" i="29"/>
  <c r="J424" i="29"/>
  <c r="J423" i="29"/>
  <c r="J422" i="29"/>
  <c r="J421" i="29"/>
  <c r="J420" i="29"/>
  <c r="J419" i="29"/>
  <c r="J418" i="29"/>
  <c r="J417" i="29"/>
  <c r="J416" i="29"/>
  <c r="J415" i="29"/>
  <c r="J414" i="29"/>
  <c r="J413" i="29"/>
  <c r="J412" i="29"/>
  <c r="J411" i="29"/>
  <c r="J410" i="29"/>
  <c r="J409" i="29"/>
  <c r="J408" i="29"/>
  <c r="J407" i="29"/>
  <c r="J406" i="29"/>
  <c r="J405" i="29"/>
  <c r="J404" i="29"/>
  <c r="J403" i="29"/>
  <c r="J402" i="29"/>
  <c r="J401" i="29"/>
  <c r="J400" i="29"/>
  <c r="J399" i="29"/>
  <c r="J398" i="29"/>
  <c r="J397" i="29"/>
  <c r="J396" i="29"/>
  <c r="J395" i="29"/>
  <c r="J394" i="29"/>
  <c r="J393" i="29"/>
  <c r="J392" i="29"/>
  <c r="J391" i="29"/>
  <c r="J390" i="29"/>
  <c r="J389" i="29"/>
  <c r="J388" i="29"/>
  <c r="J387" i="29"/>
  <c r="J386" i="29"/>
  <c r="J385" i="29"/>
  <c r="J384" i="29"/>
  <c r="J383" i="29"/>
  <c r="J382" i="29"/>
  <c r="J381" i="29"/>
  <c r="J380" i="29"/>
  <c r="J379" i="29"/>
  <c r="J378" i="29"/>
  <c r="J377" i="29"/>
  <c r="J376" i="29"/>
  <c r="J375" i="29"/>
  <c r="J374" i="29"/>
  <c r="J373" i="29"/>
  <c r="J372" i="29"/>
  <c r="J371" i="29"/>
  <c r="J370" i="29"/>
  <c r="J369" i="29"/>
  <c r="J368" i="29"/>
  <c r="J367" i="29"/>
  <c r="J366" i="29"/>
  <c r="J365" i="29"/>
  <c r="J364" i="29"/>
  <c r="J363" i="29"/>
  <c r="J362" i="29"/>
  <c r="J361" i="29"/>
  <c r="J360" i="29"/>
  <c r="J359" i="29"/>
  <c r="J358" i="29"/>
  <c r="J357" i="29"/>
  <c r="J356" i="29"/>
  <c r="J355" i="29"/>
  <c r="J354" i="29"/>
  <c r="J353" i="29"/>
  <c r="J352" i="29"/>
  <c r="J351" i="29"/>
  <c r="J350" i="29"/>
  <c r="J349" i="29"/>
  <c r="J348" i="29"/>
  <c r="J347" i="29"/>
  <c r="J346" i="29"/>
  <c r="J345" i="29"/>
  <c r="J344" i="29"/>
  <c r="J343" i="29"/>
  <c r="J342" i="29"/>
  <c r="J341" i="29"/>
  <c r="J340" i="29"/>
  <c r="J339" i="29"/>
  <c r="J338" i="29"/>
  <c r="J337" i="29"/>
  <c r="J336" i="29"/>
  <c r="J335" i="29"/>
  <c r="J334" i="29"/>
  <c r="J333" i="29"/>
  <c r="J332" i="29"/>
  <c r="J331" i="29"/>
  <c r="J330" i="29"/>
  <c r="J329" i="29"/>
  <c r="J328" i="29"/>
  <c r="J327" i="29"/>
  <c r="J326" i="29"/>
  <c r="J325" i="29"/>
  <c r="J324" i="29"/>
  <c r="J323" i="29"/>
  <c r="J322" i="29"/>
  <c r="J321" i="29"/>
  <c r="J320" i="29"/>
  <c r="J319" i="29"/>
  <c r="J318" i="29"/>
  <c r="J317" i="29"/>
  <c r="J316" i="29"/>
  <c r="J315" i="29"/>
  <c r="J314" i="29"/>
  <c r="J313" i="29"/>
  <c r="J312" i="29"/>
  <c r="J311" i="29"/>
  <c r="J310" i="29"/>
  <c r="J309" i="29"/>
  <c r="J308" i="29"/>
  <c r="J307" i="29"/>
  <c r="J306" i="29"/>
  <c r="J305" i="29"/>
  <c r="J304" i="29"/>
  <c r="J303" i="29"/>
  <c r="J302" i="29"/>
  <c r="J301" i="29"/>
  <c r="J300" i="29"/>
  <c r="J299" i="29"/>
  <c r="J298" i="29"/>
  <c r="J297" i="29"/>
  <c r="J296" i="29"/>
  <c r="J295" i="29"/>
  <c r="J294" i="29"/>
  <c r="J293" i="29"/>
  <c r="J292" i="29"/>
  <c r="J291" i="29"/>
  <c r="J290" i="29"/>
  <c r="J289" i="29"/>
  <c r="J288" i="29"/>
  <c r="J287" i="29"/>
  <c r="J286" i="29"/>
  <c r="J285" i="29"/>
  <c r="J284" i="29"/>
  <c r="J283" i="29"/>
  <c r="J282" i="29"/>
  <c r="J281" i="29"/>
  <c r="J280" i="29"/>
  <c r="J279" i="29"/>
  <c r="J278" i="29"/>
  <c r="J277" i="29"/>
  <c r="J276" i="29"/>
  <c r="J275" i="29"/>
  <c r="J274" i="29"/>
  <c r="J273" i="29"/>
  <c r="J272" i="29"/>
  <c r="J271" i="29"/>
  <c r="J270" i="29"/>
  <c r="J269" i="29"/>
  <c r="J268" i="29"/>
  <c r="J267" i="29"/>
  <c r="J266" i="29"/>
  <c r="J265" i="29"/>
  <c r="J264" i="29"/>
  <c r="J263" i="29"/>
  <c r="J262" i="29"/>
  <c r="J261" i="29"/>
  <c r="J260" i="29"/>
  <c r="J259" i="29"/>
  <c r="J258" i="29"/>
  <c r="J257" i="29"/>
  <c r="J256" i="29"/>
  <c r="J255" i="29"/>
  <c r="J254" i="29"/>
  <c r="J253" i="29"/>
  <c r="J252" i="29"/>
  <c r="J251" i="29"/>
  <c r="J250" i="29"/>
  <c r="J249" i="29"/>
  <c r="J248" i="29"/>
  <c r="J247" i="29"/>
  <c r="J246" i="29"/>
  <c r="J245" i="29"/>
  <c r="J244" i="29"/>
  <c r="J243" i="29"/>
  <c r="J242" i="29"/>
  <c r="J241" i="29"/>
  <c r="J240" i="29"/>
  <c r="J239" i="29"/>
  <c r="J238" i="29"/>
  <c r="J237" i="29"/>
  <c r="J236" i="29"/>
  <c r="J235" i="29"/>
  <c r="J234" i="29"/>
  <c r="J233" i="29"/>
  <c r="J232" i="29"/>
  <c r="J231" i="29"/>
  <c r="J230" i="29"/>
  <c r="J229" i="29"/>
  <c r="J228" i="29"/>
  <c r="J227" i="29"/>
  <c r="J226" i="29"/>
  <c r="J225" i="29"/>
  <c r="J224" i="29"/>
  <c r="J223" i="29"/>
  <c r="J222" i="29"/>
  <c r="J221" i="29"/>
  <c r="J220" i="29"/>
  <c r="J219" i="29"/>
  <c r="J218" i="29"/>
  <c r="J217" i="29"/>
  <c r="J216" i="29"/>
  <c r="J215" i="29"/>
  <c r="J214" i="29"/>
  <c r="J213" i="29"/>
  <c r="J212" i="29"/>
  <c r="J211" i="29"/>
  <c r="J210" i="29"/>
  <c r="J209" i="29"/>
  <c r="J208" i="29"/>
  <c r="J207" i="29"/>
  <c r="J206" i="29"/>
  <c r="J205" i="29"/>
  <c r="J204" i="29"/>
  <c r="J203" i="29"/>
  <c r="J202" i="29"/>
  <c r="J201" i="29"/>
  <c r="J200" i="29"/>
  <c r="J199" i="29"/>
  <c r="J198" i="29"/>
  <c r="J197" i="29"/>
  <c r="J196" i="29"/>
  <c r="J195" i="29"/>
  <c r="J194" i="29"/>
  <c r="J193" i="29"/>
  <c r="J192" i="29"/>
  <c r="J191" i="29"/>
  <c r="J190" i="29"/>
  <c r="J189" i="29"/>
  <c r="J188" i="29"/>
  <c r="J187" i="29"/>
  <c r="J186" i="29"/>
  <c r="J185" i="29"/>
  <c r="J184" i="29"/>
  <c r="J183" i="29"/>
  <c r="J182" i="29"/>
  <c r="J181" i="29"/>
  <c r="J180" i="29"/>
  <c r="J179" i="29"/>
  <c r="J178" i="29"/>
  <c r="J177" i="29"/>
  <c r="J176" i="29"/>
  <c r="J175" i="29"/>
  <c r="J174" i="29"/>
  <c r="J173" i="29"/>
  <c r="J172" i="29"/>
  <c r="J171" i="29"/>
  <c r="J170" i="29"/>
  <c r="J169" i="29"/>
  <c r="J168" i="29"/>
  <c r="J167" i="29"/>
  <c r="J166" i="29"/>
  <c r="J165" i="29"/>
  <c r="J164" i="29"/>
  <c r="J163" i="29"/>
  <c r="J162" i="29"/>
  <c r="J161" i="29"/>
  <c r="J160" i="29"/>
  <c r="J159" i="29"/>
  <c r="J158" i="29"/>
  <c r="J157" i="29"/>
  <c r="J156" i="29"/>
  <c r="J155" i="29"/>
  <c r="J154" i="29"/>
  <c r="J153" i="29"/>
  <c r="J152" i="29"/>
  <c r="J151" i="29"/>
  <c r="J150" i="29"/>
  <c r="J149" i="29"/>
  <c r="J148" i="29"/>
  <c r="J147" i="29"/>
  <c r="J146" i="29"/>
  <c r="J145" i="29"/>
  <c r="J144" i="29"/>
  <c r="J143" i="29"/>
  <c r="J142" i="29"/>
  <c r="J141" i="29"/>
  <c r="J140" i="29"/>
  <c r="J139" i="29"/>
  <c r="J138" i="29"/>
  <c r="J137" i="29"/>
  <c r="J136" i="29"/>
  <c r="J135" i="29"/>
  <c r="J134" i="29"/>
  <c r="J133" i="29"/>
  <c r="J132" i="29"/>
  <c r="J131" i="29"/>
  <c r="J130" i="29"/>
  <c r="J129" i="29"/>
  <c r="J128" i="29"/>
  <c r="J127" i="29"/>
  <c r="J126" i="29"/>
  <c r="J125" i="29"/>
  <c r="J124" i="29"/>
  <c r="J123" i="29"/>
  <c r="J122" i="29"/>
  <c r="J121" i="29"/>
  <c r="J120" i="29"/>
  <c r="J119" i="29"/>
  <c r="J118" i="29"/>
  <c r="J117" i="29"/>
  <c r="J116" i="29"/>
  <c r="J115" i="29"/>
  <c r="J114" i="29"/>
  <c r="J113" i="29"/>
  <c r="J112" i="29"/>
  <c r="J111" i="29"/>
  <c r="J110" i="29"/>
  <c r="J109" i="29"/>
  <c r="J108" i="29"/>
  <c r="J107" i="29"/>
  <c r="J106" i="29"/>
  <c r="J105" i="29"/>
  <c r="J104" i="29"/>
  <c r="J103" i="29"/>
  <c r="J102" i="29"/>
  <c r="J101" i="29"/>
  <c r="J100" i="29"/>
  <c r="J99" i="29"/>
  <c r="J98" i="29"/>
  <c r="J97" i="29"/>
  <c r="J96" i="29"/>
  <c r="J95" i="29"/>
  <c r="J94" i="29"/>
  <c r="J93" i="29"/>
  <c r="J92" i="29"/>
  <c r="J91" i="29"/>
  <c r="J90" i="29"/>
  <c r="J89" i="29"/>
  <c r="J88" i="29"/>
  <c r="J87" i="29"/>
  <c r="J86" i="29"/>
  <c r="J85" i="29"/>
  <c r="J84" i="29"/>
  <c r="J83" i="29"/>
  <c r="J82" i="29"/>
  <c r="J81" i="29"/>
  <c r="J80" i="29"/>
  <c r="J79" i="29"/>
  <c r="J78" i="29"/>
  <c r="J77" i="29"/>
  <c r="J76" i="29"/>
  <c r="J75" i="29"/>
  <c r="J74" i="29"/>
  <c r="J73" i="29"/>
  <c r="J72" i="29"/>
  <c r="J71" i="29"/>
  <c r="J70" i="29"/>
  <c r="J69" i="29"/>
  <c r="J68" i="29"/>
  <c r="J67" i="29"/>
  <c r="J66" i="29"/>
  <c r="J65" i="29"/>
  <c r="J64" i="29"/>
  <c r="J63" i="29"/>
  <c r="J62" i="29"/>
  <c r="J61" i="29"/>
  <c r="J60" i="29"/>
  <c r="J59" i="29"/>
  <c r="J58" i="29"/>
  <c r="J57" i="29"/>
  <c r="J56" i="29"/>
  <c r="J55" i="29"/>
  <c r="J54" i="29"/>
  <c r="J53" i="29"/>
  <c r="J52" i="29"/>
  <c r="J51" i="29"/>
  <c r="J50" i="29"/>
  <c r="J49" i="29"/>
  <c r="J48" i="29"/>
  <c r="J47" i="29"/>
  <c r="J46" i="29"/>
  <c r="J45" i="29"/>
  <c r="J44" i="29"/>
  <c r="J43" i="29"/>
  <c r="J42" i="29"/>
  <c r="J41" i="29"/>
  <c r="J40" i="29"/>
  <c r="J39" i="29"/>
  <c r="J38" i="29"/>
  <c r="J37" i="29"/>
  <c r="J36" i="29"/>
  <c r="J35" i="29"/>
  <c r="J34" i="29"/>
  <c r="J33" i="29"/>
  <c r="J32" i="29"/>
  <c r="J31" i="29"/>
  <c r="J30" i="29"/>
  <c r="J29" i="29"/>
  <c r="J28" i="29"/>
  <c r="J27" i="29"/>
  <c r="J26" i="29"/>
  <c r="J25" i="29"/>
  <c r="J24" i="29"/>
  <c r="J23" i="29"/>
  <c r="J22" i="29"/>
  <c r="J21" i="29"/>
  <c r="J20" i="29"/>
  <c r="J19" i="29"/>
  <c r="J18" i="29"/>
  <c r="J17" i="29"/>
  <c r="J16" i="29"/>
  <c r="J15" i="29"/>
  <c r="J14" i="29"/>
  <c r="J13" i="29"/>
  <c r="J12" i="29"/>
  <c r="J11" i="29"/>
  <c r="J10" i="29"/>
  <c r="J9" i="29"/>
  <c r="J8" i="29"/>
  <c r="J7" i="29"/>
  <c r="J6" i="29"/>
  <c r="J5" i="29"/>
  <c r="J4" i="29"/>
  <c r="K3" i="29"/>
  <c r="K4" i="29" s="1"/>
  <c r="K5" i="29" s="1"/>
  <c r="K6" i="29" s="1"/>
  <c r="K7" i="29" s="1"/>
  <c r="K8" i="29" s="1"/>
  <c r="K9" i="29" s="1"/>
  <c r="K10" i="29" s="1"/>
  <c r="K11" i="29" s="1"/>
  <c r="K12" i="29" s="1"/>
  <c r="K13" i="29" s="1"/>
  <c r="K14" i="29" s="1"/>
  <c r="K15" i="29" s="1"/>
  <c r="K16" i="29" s="1"/>
  <c r="K17" i="29" s="1"/>
  <c r="K18" i="29" s="1"/>
  <c r="K19" i="29" s="1"/>
  <c r="K20" i="29" s="1"/>
  <c r="K21" i="29" s="1"/>
  <c r="K22" i="29" s="1"/>
  <c r="K23" i="29" s="1"/>
  <c r="K24" i="29" s="1"/>
  <c r="K25" i="29" s="1"/>
  <c r="K26" i="29" s="1"/>
  <c r="K27" i="29" s="1"/>
  <c r="K28" i="29" s="1"/>
  <c r="K29" i="29" s="1"/>
  <c r="K30" i="29" s="1"/>
  <c r="K31" i="29" s="1"/>
  <c r="K32" i="29" s="1"/>
  <c r="K33" i="29" s="1"/>
  <c r="K34" i="29" s="1"/>
  <c r="K35" i="29" s="1"/>
  <c r="K36" i="29" s="1"/>
  <c r="K37" i="29" s="1"/>
  <c r="K38" i="29" s="1"/>
  <c r="K39" i="29" s="1"/>
  <c r="K40" i="29" s="1"/>
  <c r="K41" i="29" s="1"/>
  <c r="K42" i="29" s="1"/>
  <c r="K43" i="29" s="1"/>
  <c r="K44" i="29" s="1"/>
  <c r="K45" i="29" s="1"/>
  <c r="K46" i="29" s="1"/>
  <c r="K47" i="29" s="1"/>
  <c r="K48" i="29" s="1"/>
  <c r="K49" i="29" s="1"/>
  <c r="K50" i="29" s="1"/>
  <c r="K51" i="29" s="1"/>
  <c r="K52" i="29" s="1"/>
  <c r="K53" i="29" s="1"/>
  <c r="K54" i="29" s="1"/>
  <c r="K55" i="29" s="1"/>
  <c r="K56" i="29" s="1"/>
  <c r="K57" i="29" s="1"/>
  <c r="K58" i="29" s="1"/>
  <c r="K59" i="29" s="1"/>
  <c r="K60" i="29" s="1"/>
  <c r="K61" i="29" s="1"/>
  <c r="K62" i="29" s="1"/>
  <c r="K63" i="29" s="1"/>
  <c r="K64" i="29" s="1"/>
  <c r="K65" i="29" s="1"/>
  <c r="K66" i="29" s="1"/>
  <c r="K67" i="29" s="1"/>
  <c r="K68" i="29" s="1"/>
  <c r="K69" i="29" s="1"/>
  <c r="K70" i="29" s="1"/>
  <c r="K71" i="29" s="1"/>
  <c r="K72" i="29" s="1"/>
  <c r="K73" i="29" s="1"/>
  <c r="K74" i="29" s="1"/>
  <c r="K75" i="29" s="1"/>
  <c r="K76" i="29" s="1"/>
  <c r="K77" i="29" s="1"/>
  <c r="K78" i="29" s="1"/>
  <c r="K79" i="29" s="1"/>
  <c r="K80" i="29" s="1"/>
  <c r="K81" i="29" s="1"/>
  <c r="K82" i="29" s="1"/>
  <c r="K83" i="29" s="1"/>
  <c r="K84" i="29" s="1"/>
  <c r="K85" i="29" s="1"/>
  <c r="K86" i="29" s="1"/>
  <c r="K87" i="29" s="1"/>
  <c r="K88" i="29" s="1"/>
  <c r="K89" i="29" s="1"/>
  <c r="K90" i="29" s="1"/>
  <c r="K91" i="29" s="1"/>
  <c r="K92" i="29" s="1"/>
  <c r="K93" i="29" s="1"/>
  <c r="K94" i="29" s="1"/>
  <c r="K95" i="29" s="1"/>
  <c r="K96" i="29" s="1"/>
  <c r="K97" i="29" s="1"/>
  <c r="K98" i="29" s="1"/>
  <c r="K99" i="29" s="1"/>
  <c r="K100" i="29" s="1"/>
  <c r="K101" i="29" s="1"/>
  <c r="K102" i="29" s="1"/>
  <c r="K103" i="29" s="1"/>
  <c r="K104" i="29" s="1"/>
  <c r="K105" i="29" s="1"/>
  <c r="K106" i="29" s="1"/>
  <c r="K107" i="29" s="1"/>
  <c r="K108" i="29" s="1"/>
  <c r="K109" i="29" s="1"/>
  <c r="K110" i="29" s="1"/>
  <c r="K111" i="29" s="1"/>
  <c r="K112" i="29" s="1"/>
  <c r="K113" i="29" s="1"/>
  <c r="K114" i="29" s="1"/>
  <c r="K115" i="29" s="1"/>
  <c r="K116" i="29" s="1"/>
  <c r="K117" i="29" s="1"/>
  <c r="K118" i="29" s="1"/>
  <c r="K119" i="29" s="1"/>
  <c r="K120" i="29" s="1"/>
  <c r="K121" i="29" s="1"/>
  <c r="K122" i="29" s="1"/>
  <c r="K123" i="29" s="1"/>
  <c r="K124" i="29" s="1"/>
  <c r="K125" i="29" s="1"/>
  <c r="K126" i="29" s="1"/>
  <c r="K127" i="29" s="1"/>
  <c r="K128" i="29" s="1"/>
  <c r="K129" i="29" s="1"/>
  <c r="K130" i="29" s="1"/>
  <c r="K131" i="29" s="1"/>
  <c r="K132" i="29" s="1"/>
  <c r="K133" i="29" s="1"/>
  <c r="K134" i="29" s="1"/>
  <c r="K135" i="29" s="1"/>
  <c r="K136" i="29" s="1"/>
  <c r="K137" i="29" s="1"/>
  <c r="K138" i="29" s="1"/>
  <c r="K139" i="29" s="1"/>
  <c r="K140" i="29" s="1"/>
  <c r="K141" i="29" s="1"/>
  <c r="K142" i="29" s="1"/>
  <c r="K143" i="29" s="1"/>
  <c r="K144" i="29" s="1"/>
  <c r="K145" i="29" s="1"/>
  <c r="K146" i="29" s="1"/>
  <c r="K147" i="29" s="1"/>
  <c r="K148" i="29" s="1"/>
  <c r="K149" i="29" s="1"/>
  <c r="K150" i="29" s="1"/>
  <c r="K151" i="29" s="1"/>
  <c r="K152" i="29" s="1"/>
  <c r="K153" i="29" s="1"/>
  <c r="K154" i="29" s="1"/>
  <c r="K155" i="29" s="1"/>
  <c r="K156" i="29" s="1"/>
  <c r="K157" i="29" s="1"/>
  <c r="K158" i="29" s="1"/>
  <c r="K159" i="29" s="1"/>
  <c r="K160" i="29" s="1"/>
  <c r="K161" i="29" s="1"/>
  <c r="K162" i="29" s="1"/>
  <c r="K163" i="29" s="1"/>
  <c r="K164" i="29" s="1"/>
  <c r="K165" i="29" s="1"/>
  <c r="K166" i="29" s="1"/>
  <c r="K167" i="29" s="1"/>
  <c r="K168" i="29" s="1"/>
  <c r="K169" i="29" s="1"/>
  <c r="K170" i="29" s="1"/>
  <c r="K171" i="29" s="1"/>
  <c r="K172" i="29" s="1"/>
  <c r="K173" i="29" s="1"/>
  <c r="K174" i="29" s="1"/>
  <c r="K175" i="29" s="1"/>
  <c r="K176" i="29" s="1"/>
  <c r="K177" i="29" s="1"/>
  <c r="K178" i="29" s="1"/>
  <c r="K179" i="29" s="1"/>
  <c r="K180" i="29" s="1"/>
  <c r="K181" i="29" s="1"/>
  <c r="K182" i="29" s="1"/>
  <c r="K183" i="29" s="1"/>
  <c r="K184" i="29" s="1"/>
  <c r="K185" i="29" s="1"/>
  <c r="K186" i="29" s="1"/>
  <c r="K187" i="29" s="1"/>
  <c r="K188" i="29" s="1"/>
  <c r="K189" i="29" s="1"/>
  <c r="K190" i="29" s="1"/>
  <c r="K191" i="29" s="1"/>
  <c r="K192" i="29" s="1"/>
  <c r="K193" i="29" s="1"/>
  <c r="K194" i="29" s="1"/>
  <c r="K195" i="29" s="1"/>
  <c r="K196" i="29" s="1"/>
  <c r="K197" i="29" s="1"/>
  <c r="K198" i="29" s="1"/>
  <c r="K199" i="29" s="1"/>
  <c r="K200" i="29" s="1"/>
  <c r="K201" i="29" s="1"/>
  <c r="K202" i="29" s="1"/>
  <c r="K203" i="29" s="1"/>
  <c r="K204" i="29" s="1"/>
  <c r="K205" i="29" s="1"/>
  <c r="K206" i="29" s="1"/>
  <c r="K207" i="29" s="1"/>
  <c r="K208" i="29" s="1"/>
  <c r="K209" i="29" s="1"/>
  <c r="K210" i="29" s="1"/>
  <c r="K211" i="29" s="1"/>
  <c r="K212" i="29" s="1"/>
  <c r="K213" i="29" s="1"/>
  <c r="K214" i="29" s="1"/>
  <c r="K215" i="29" s="1"/>
  <c r="K216" i="29" s="1"/>
  <c r="K217" i="29" s="1"/>
  <c r="K218" i="29" s="1"/>
  <c r="K219" i="29" s="1"/>
  <c r="K220" i="29" s="1"/>
  <c r="K221" i="29" s="1"/>
  <c r="K222" i="29" s="1"/>
  <c r="K223" i="29" s="1"/>
  <c r="K224" i="29" s="1"/>
  <c r="K225" i="29" s="1"/>
  <c r="K226" i="29" s="1"/>
  <c r="K227" i="29" s="1"/>
  <c r="K228" i="29" s="1"/>
  <c r="K229" i="29" s="1"/>
  <c r="K230" i="29" s="1"/>
  <c r="K231" i="29" s="1"/>
  <c r="K232" i="29" s="1"/>
  <c r="K233" i="29" s="1"/>
  <c r="K234" i="29" s="1"/>
  <c r="K235" i="29" s="1"/>
  <c r="K236" i="29" s="1"/>
  <c r="K237" i="29" s="1"/>
  <c r="K238" i="29" s="1"/>
  <c r="K239" i="29" s="1"/>
  <c r="K240" i="29" s="1"/>
  <c r="K241" i="29" s="1"/>
  <c r="K242" i="29" s="1"/>
  <c r="K243" i="29" s="1"/>
  <c r="K244" i="29" s="1"/>
  <c r="K245" i="29" s="1"/>
  <c r="K246" i="29" s="1"/>
  <c r="K247" i="29" s="1"/>
  <c r="K248" i="29" s="1"/>
  <c r="K249" i="29" s="1"/>
  <c r="K250" i="29" s="1"/>
  <c r="K251" i="29" s="1"/>
  <c r="K252" i="29" s="1"/>
  <c r="K253" i="29" s="1"/>
  <c r="K254" i="29" s="1"/>
  <c r="K255" i="29" s="1"/>
  <c r="K256" i="29" s="1"/>
  <c r="K257" i="29" s="1"/>
  <c r="K258" i="29" s="1"/>
  <c r="K259" i="29" s="1"/>
  <c r="K260" i="29" s="1"/>
  <c r="K261" i="29" s="1"/>
  <c r="K262" i="29" s="1"/>
  <c r="K263" i="29" s="1"/>
  <c r="K264" i="29" s="1"/>
  <c r="K265" i="29" s="1"/>
  <c r="K266" i="29" s="1"/>
  <c r="K267" i="29" s="1"/>
  <c r="K268" i="29" s="1"/>
  <c r="K269" i="29" s="1"/>
  <c r="K270" i="29" s="1"/>
  <c r="K271" i="29" s="1"/>
  <c r="K272" i="29" s="1"/>
  <c r="K273" i="29" s="1"/>
  <c r="K274" i="29" s="1"/>
  <c r="K275" i="29" s="1"/>
  <c r="K276" i="29" s="1"/>
  <c r="K277" i="29" s="1"/>
  <c r="K278" i="29" s="1"/>
  <c r="K279" i="29" s="1"/>
  <c r="K280" i="29" s="1"/>
  <c r="K281" i="29" s="1"/>
  <c r="K282" i="29" s="1"/>
  <c r="K283" i="29" s="1"/>
  <c r="K284" i="29" s="1"/>
  <c r="K285" i="29" s="1"/>
  <c r="K286" i="29" s="1"/>
  <c r="K287" i="29" s="1"/>
  <c r="K288" i="29" s="1"/>
  <c r="K289" i="29" s="1"/>
  <c r="K290" i="29" s="1"/>
  <c r="K291" i="29" s="1"/>
  <c r="K292" i="29" s="1"/>
  <c r="K293" i="29" s="1"/>
  <c r="K294" i="29" s="1"/>
  <c r="K295" i="29" s="1"/>
  <c r="K296" i="29" s="1"/>
  <c r="K297" i="29" s="1"/>
  <c r="K298" i="29" s="1"/>
  <c r="K299" i="29" s="1"/>
  <c r="K300" i="29" s="1"/>
  <c r="K301" i="29" s="1"/>
  <c r="K302" i="29" s="1"/>
  <c r="K303" i="29" s="1"/>
  <c r="K304" i="29" s="1"/>
  <c r="K305" i="29" s="1"/>
  <c r="K306" i="29" s="1"/>
  <c r="K307" i="29" s="1"/>
  <c r="K308" i="29" s="1"/>
  <c r="K309" i="29" s="1"/>
  <c r="K310" i="29" s="1"/>
  <c r="K311" i="29" s="1"/>
  <c r="K312" i="29" s="1"/>
  <c r="K313" i="29" s="1"/>
  <c r="K314" i="29" s="1"/>
  <c r="K315" i="29" s="1"/>
  <c r="K316" i="29" s="1"/>
  <c r="K317" i="29" s="1"/>
  <c r="K318" i="29" s="1"/>
  <c r="K319" i="29" s="1"/>
  <c r="K320" i="29" s="1"/>
  <c r="K321" i="29" s="1"/>
  <c r="K322" i="29" s="1"/>
  <c r="K323" i="29" s="1"/>
  <c r="K324" i="29" s="1"/>
  <c r="K325" i="29" s="1"/>
  <c r="K326" i="29" s="1"/>
  <c r="K327" i="29" s="1"/>
  <c r="K328" i="29" s="1"/>
  <c r="K329" i="29" s="1"/>
  <c r="K330" i="29" s="1"/>
  <c r="K331" i="29" s="1"/>
  <c r="K332" i="29" s="1"/>
  <c r="K333" i="29" s="1"/>
  <c r="K334" i="29" s="1"/>
  <c r="K335" i="29" s="1"/>
  <c r="K336" i="29" s="1"/>
  <c r="K337" i="29" s="1"/>
  <c r="K338" i="29" s="1"/>
  <c r="K339" i="29" s="1"/>
  <c r="K340" i="29" s="1"/>
  <c r="K341" i="29" s="1"/>
  <c r="K342" i="29" s="1"/>
  <c r="K343" i="29" s="1"/>
  <c r="K344" i="29" s="1"/>
  <c r="K345" i="29" s="1"/>
  <c r="K346" i="29" s="1"/>
  <c r="K347" i="29" s="1"/>
  <c r="K348" i="29" s="1"/>
  <c r="K349" i="29" s="1"/>
  <c r="K350" i="29" s="1"/>
  <c r="K351" i="29" s="1"/>
  <c r="K352" i="29" s="1"/>
  <c r="K353" i="29" s="1"/>
  <c r="K354" i="29" s="1"/>
  <c r="K355" i="29" s="1"/>
  <c r="K356" i="29" s="1"/>
  <c r="K357" i="29" s="1"/>
  <c r="K358" i="29" s="1"/>
  <c r="K359" i="29" s="1"/>
  <c r="K360" i="29" s="1"/>
  <c r="K361" i="29" s="1"/>
  <c r="K362" i="29" s="1"/>
  <c r="K363" i="29" s="1"/>
  <c r="K364" i="29" s="1"/>
  <c r="K365" i="29" s="1"/>
  <c r="K366" i="29" s="1"/>
  <c r="K367" i="29" s="1"/>
  <c r="K368" i="29" s="1"/>
  <c r="K369" i="29" s="1"/>
  <c r="K370" i="29" s="1"/>
  <c r="K371" i="29" s="1"/>
  <c r="K372" i="29" s="1"/>
  <c r="K373" i="29" s="1"/>
  <c r="K374" i="29" s="1"/>
  <c r="K375" i="29" s="1"/>
  <c r="K376" i="29" s="1"/>
  <c r="K377" i="29" s="1"/>
  <c r="K378" i="29" s="1"/>
  <c r="K379" i="29" s="1"/>
  <c r="K380" i="29" s="1"/>
  <c r="K381" i="29" s="1"/>
  <c r="K382" i="29" s="1"/>
  <c r="K383" i="29" s="1"/>
  <c r="K384" i="29" s="1"/>
  <c r="K385" i="29" s="1"/>
  <c r="K386" i="29" s="1"/>
  <c r="K387" i="29" s="1"/>
  <c r="K388" i="29" s="1"/>
  <c r="K389" i="29" s="1"/>
  <c r="K390" i="29" s="1"/>
  <c r="K391" i="29" s="1"/>
  <c r="K392" i="29" s="1"/>
  <c r="K393" i="29" s="1"/>
  <c r="K394" i="29" s="1"/>
  <c r="K395" i="29" s="1"/>
  <c r="K396" i="29" s="1"/>
  <c r="K397" i="29" s="1"/>
  <c r="K398" i="29" s="1"/>
  <c r="K399" i="29" s="1"/>
  <c r="K400" i="29" s="1"/>
  <c r="K401" i="29" s="1"/>
  <c r="K402" i="29" s="1"/>
  <c r="K403" i="29" s="1"/>
  <c r="K404" i="29" s="1"/>
  <c r="K405" i="29" s="1"/>
  <c r="K406" i="29" s="1"/>
  <c r="K407" i="29" s="1"/>
  <c r="K408" i="29" s="1"/>
  <c r="K409" i="29" s="1"/>
  <c r="K410" i="29" s="1"/>
  <c r="K411" i="29" s="1"/>
  <c r="K412" i="29" s="1"/>
  <c r="K413" i="29" s="1"/>
  <c r="K414" i="29" s="1"/>
  <c r="K415" i="29" s="1"/>
  <c r="K416" i="29" s="1"/>
  <c r="K417" i="29" s="1"/>
  <c r="K418" i="29" s="1"/>
  <c r="K419" i="29" s="1"/>
  <c r="K420" i="29" s="1"/>
  <c r="K421" i="29" s="1"/>
  <c r="K422" i="29" s="1"/>
  <c r="K423" i="29" s="1"/>
  <c r="K424" i="29" s="1"/>
  <c r="K425" i="29" s="1"/>
  <c r="K426" i="29" s="1"/>
  <c r="K427" i="29" s="1"/>
  <c r="K428" i="29" s="1"/>
  <c r="K429" i="29" s="1"/>
  <c r="K430" i="29" s="1"/>
  <c r="K431" i="29" s="1"/>
  <c r="K432" i="29" s="1"/>
  <c r="K433" i="29" s="1"/>
  <c r="K434" i="29" s="1"/>
  <c r="K435" i="29" s="1"/>
  <c r="K436" i="29" s="1"/>
  <c r="K437" i="29" s="1"/>
  <c r="K438" i="29" s="1"/>
  <c r="K439" i="29" s="1"/>
  <c r="K440" i="29" s="1"/>
  <c r="K441" i="29" s="1"/>
  <c r="K442" i="29" s="1"/>
  <c r="K443" i="29" s="1"/>
  <c r="K444" i="29" s="1"/>
  <c r="K445" i="29" s="1"/>
  <c r="K446" i="29" s="1"/>
  <c r="K447" i="29" s="1"/>
  <c r="K448" i="29" s="1"/>
  <c r="K449" i="29" s="1"/>
  <c r="K450" i="29" s="1"/>
  <c r="K451" i="29" s="1"/>
  <c r="K452" i="29" s="1"/>
  <c r="K453" i="29" s="1"/>
  <c r="K454" i="29" s="1"/>
  <c r="K455" i="29" s="1"/>
  <c r="K456" i="29" s="1"/>
  <c r="K457" i="29" s="1"/>
  <c r="K458" i="29" s="1"/>
  <c r="K459" i="29" s="1"/>
  <c r="K460" i="29" s="1"/>
  <c r="K461" i="29" s="1"/>
  <c r="K462" i="29" s="1"/>
  <c r="K463" i="29" s="1"/>
  <c r="K464" i="29" s="1"/>
  <c r="K465" i="29" s="1"/>
  <c r="K466" i="29" s="1"/>
  <c r="K467" i="29" s="1"/>
  <c r="K468" i="29" s="1"/>
  <c r="K469" i="29" s="1"/>
  <c r="K470" i="29" s="1"/>
  <c r="K471" i="29" s="1"/>
  <c r="K472" i="29" s="1"/>
  <c r="K473" i="29" s="1"/>
  <c r="K474" i="29" s="1"/>
  <c r="K475" i="29" s="1"/>
  <c r="K476" i="29" s="1"/>
  <c r="K477" i="29" s="1"/>
  <c r="K478" i="29" s="1"/>
  <c r="K479" i="29" s="1"/>
  <c r="K480" i="29" s="1"/>
  <c r="K481" i="29" s="1"/>
  <c r="K482" i="29" s="1"/>
  <c r="K483" i="29" s="1"/>
  <c r="K484" i="29" s="1"/>
  <c r="K485" i="29" s="1"/>
  <c r="K486" i="29" s="1"/>
  <c r="K487" i="29" s="1"/>
  <c r="K488" i="29" s="1"/>
  <c r="K489" i="29" s="1"/>
  <c r="K490" i="29" s="1"/>
  <c r="K491" i="29" s="1"/>
  <c r="K492" i="29" s="1"/>
  <c r="K493" i="29" s="1"/>
  <c r="K494" i="29" s="1"/>
  <c r="K495" i="29" s="1"/>
  <c r="K496" i="29" s="1"/>
  <c r="K497" i="29" s="1"/>
  <c r="K498" i="29" s="1"/>
  <c r="K499" i="29" s="1"/>
  <c r="K500" i="29" s="1"/>
  <c r="K501" i="29" s="1"/>
  <c r="K502" i="29" s="1"/>
  <c r="K503" i="29" s="1"/>
  <c r="K504" i="29" s="1"/>
  <c r="K505" i="29" s="1"/>
  <c r="K506" i="29" s="1"/>
  <c r="K507" i="29" s="1"/>
  <c r="K508" i="29" s="1"/>
  <c r="K509" i="29" s="1"/>
  <c r="K510" i="29" s="1"/>
  <c r="K511" i="29" s="1"/>
  <c r="K512" i="29" s="1"/>
  <c r="K513" i="29" s="1"/>
  <c r="K514" i="29" s="1"/>
  <c r="K515" i="29" s="1"/>
  <c r="K516" i="29" s="1"/>
  <c r="K517" i="29" s="1"/>
  <c r="K518" i="29" s="1"/>
  <c r="K519" i="29" s="1"/>
  <c r="K520" i="29" s="1"/>
  <c r="K521" i="29" s="1"/>
  <c r="K522" i="29" s="1"/>
  <c r="K523" i="29" s="1"/>
  <c r="K524" i="29" s="1"/>
  <c r="K525" i="29" s="1"/>
  <c r="K526" i="29" s="1"/>
  <c r="K527" i="29" s="1"/>
  <c r="K528" i="29" s="1"/>
  <c r="K529" i="29" s="1"/>
  <c r="K530" i="29" s="1"/>
  <c r="K531" i="29" s="1"/>
  <c r="K532" i="29" s="1"/>
  <c r="K533" i="29" s="1"/>
  <c r="K534" i="29" s="1"/>
  <c r="K535" i="29" s="1"/>
  <c r="K536" i="29" s="1"/>
  <c r="K537" i="29" s="1"/>
  <c r="K538" i="29" s="1"/>
  <c r="K539" i="29" s="1"/>
  <c r="K540" i="29" s="1"/>
  <c r="K541" i="29" s="1"/>
  <c r="K542" i="29" s="1"/>
  <c r="K543" i="29" s="1"/>
  <c r="K544" i="29" s="1"/>
  <c r="K545" i="29" s="1"/>
  <c r="K546" i="29" s="1"/>
  <c r="K547" i="29" s="1"/>
  <c r="K548" i="29" s="1"/>
  <c r="K549" i="29" s="1"/>
  <c r="K550" i="29" s="1"/>
  <c r="K551" i="29" s="1"/>
  <c r="K552" i="29" s="1"/>
  <c r="K553" i="29" s="1"/>
  <c r="K554" i="29" s="1"/>
  <c r="K555" i="29" s="1"/>
  <c r="K556" i="29" s="1"/>
  <c r="K557" i="29" s="1"/>
  <c r="K558" i="29" s="1"/>
  <c r="K559" i="29" s="1"/>
  <c r="K560" i="29" s="1"/>
  <c r="K561" i="29" s="1"/>
  <c r="K562" i="29" s="1"/>
  <c r="K563" i="29" s="1"/>
  <c r="K564" i="29" s="1"/>
  <c r="K565" i="29" s="1"/>
  <c r="K566" i="29" s="1"/>
  <c r="K567" i="29" s="1"/>
  <c r="K568" i="29" s="1"/>
  <c r="K569" i="29" s="1"/>
  <c r="K570" i="29" s="1"/>
  <c r="K571" i="29" s="1"/>
  <c r="K572" i="29" s="1"/>
  <c r="K573" i="29" s="1"/>
  <c r="K574" i="29" s="1"/>
  <c r="K575" i="29" s="1"/>
  <c r="K576" i="29" s="1"/>
  <c r="K577" i="29" s="1"/>
  <c r="K578" i="29" s="1"/>
  <c r="K579" i="29" s="1"/>
  <c r="K580" i="29" s="1"/>
  <c r="K581" i="29" s="1"/>
  <c r="K582" i="29" s="1"/>
  <c r="K583" i="29" s="1"/>
  <c r="K584" i="29" s="1"/>
  <c r="K585" i="29" s="1"/>
  <c r="K586" i="29" s="1"/>
  <c r="K587" i="29" s="1"/>
  <c r="K588" i="29" s="1"/>
  <c r="K589" i="29" s="1"/>
  <c r="K590" i="29" s="1"/>
  <c r="K591" i="29" s="1"/>
  <c r="K592" i="29" s="1"/>
  <c r="K593" i="29" s="1"/>
  <c r="K594" i="29" s="1"/>
  <c r="K595" i="29" s="1"/>
  <c r="K596" i="29" s="1"/>
  <c r="K597" i="29" s="1"/>
  <c r="K598" i="29" s="1"/>
  <c r="K599" i="29" s="1"/>
  <c r="K600" i="29" s="1"/>
  <c r="K601" i="29" s="1"/>
  <c r="K602" i="29" s="1"/>
  <c r="K603" i="29" s="1"/>
  <c r="K604" i="29" s="1"/>
  <c r="K605" i="29" s="1"/>
  <c r="K606" i="29" s="1"/>
  <c r="K607" i="29" s="1"/>
  <c r="K608" i="29" s="1"/>
  <c r="K609" i="29" s="1"/>
  <c r="K610" i="29" s="1"/>
  <c r="K611" i="29" s="1"/>
  <c r="K612" i="29" s="1"/>
  <c r="K613" i="29" s="1"/>
  <c r="K614" i="29" s="1"/>
  <c r="K615" i="29" s="1"/>
  <c r="K616" i="29" s="1"/>
  <c r="K617" i="29" s="1"/>
  <c r="K618" i="29" s="1"/>
  <c r="K619" i="29" s="1"/>
  <c r="K620" i="29" s="1"/>
  <c r="K621" i="29" s="1"/>
  <c r="K622" i="29" s="1"/>
  <c r="K623" i="29" s="1"/>
  <c r="K624" i="29" s="1"/>
  <c r="K625" i="29" s="1"/>
  <c r="K626" i="29" s="1"/>
  <c r="K627" i="29" s="1"/>
  <c r="K628" i="29" s="1"/>
  <c r="K629" i="29" s="1"/>
  <c r="K630" i="29" s="1"/>
  <c r="K631" i="29" s="1"/>
  <c r="K632" i="29" s="1"/>
  <c r="K633" i="29" s="1"/>
  <c r="K634" i="29" s="1"/>
  <c r="K635" i="29" s="1"/>
  <c r="K636" i="29" s="1"/>
  <c r="K637" i="29" s="1"/>
  <c r="K638" i="29" s="1"/>
  <c r="K639" i="29" s="1"/>
  <c r="K640" i="29" s="1"/>
  <c r="K641" i="29" s="1"/>
  <c r="K642" i="29" s="1"/>
  <c r="K643" i="29" s="1"/>
  <c r="K644" i="29" s="1"/>
  <c r="K645" i="29" s="1"/>
  <c r="K646" i="29" s="1"/>
  <c r="K647" i="29" s="1"/>
  <c r="K648" i="29" s="1"/>
  <c r="K649" i="29" s="1"/>
  <c r="K650" i="29" s="1"/>
  <c r="K651" i="29" s="1"/>
  <c r="K652" i="29" s="1"/>
  <c r="K653" i="29" s="1"/>
  <c r="K654" i="29" s="1"/>
  <c r="K655" i="29" s="1"/>
  <c r="K656" i="29" s="1"/>
  <c r="K657" i="29" s="1"/>
  <c r="K658" i="29" s="1"/>
  <c r="K659" i="29" s="1"/>
  <c r="K660" i="29" s="1"/>
  <c r="K661" i="29" s="1"/>
  <c r="K662" i="29" s="1"/>
  <c r="K663" i="29" s="1"/>
  <c r="K664" i="29" s="1"/>
  <c r="K665" i="29" s="1"/>
  <c r="K666" i="29" s="1"/>
  <c r="K667" i="29" s="1"/>
  <c r="K668" i="29" s="1"/>
  <c r="K669" i="29" s="1"/>
  <c r="K670" i="29" s="1"/>
  <c r="K671" i="29" s="1"/>
  <c r="K672" i="29" s="1"/>
  <c r="K673" i="29" s="1"/>
  <c r="K674" i="29" s="1"/>
  <c r="K675" i="29" s="1"/>
  <c r="K676" i="29" s="1"/>
  <c r="K677" i="29" s="1"/>
  <c r="K678" i="29" s="1"/>
  <c r="K679" i="29" s="1"/>
  <c r="K680" i="29" s="1"/>
  <c r="K681" i="29" s="1"/>
  <c r="K682" i="29" s="1"/>
  <c r="K683" i="29" s="1"/>
  <c r="K684" i="29" s="1"/>
  <c r="K685" i="29" s="1"/>
  <c r="K686" i="29" s="1"/>
  <c r="K687" i="29" s="1"/>
  <c r="K688" i="29" s="1"/>
  <c r="K689" i="29" s="1"/>
  <c r="K690" i="29" s="1"/>
  <c r="K691" i="29" s="1"/>
  <c r="K692" i="29" s="1"/>
  <c r="K693" i="29" s="1"/>
  <c r="K694" i="29" s="1"/>
  <c r="K695" i="29" s="1"/>
  <c r="K696" i="29" s="1"/>
  <c r="K697" i="29" s="1"/>
  <c r="K698" i="29" s="1"/>
  <c r="K699" i="29" s="1"/>
  <c r="K700" i="29" s="1"/>
  <c r="K701" i="29" s="1"/>
  <c r="K702" i="29" s="1"/>
  <c r="K703" i="29" s="1"/>
  <c r="K704" i="29" s="1"/>
  <c r="K705" i="29" s="1"/>
  <c r="K706" i="29" s="1"/>
  <c r="K707" i="29" s="1"/>
  <c r="K708" i="29" s="1"/>
  <c r="K709" i="29" s="1"/>
  <c r="K710" i="29" s="1"/>
  <c r="K711" i="29" s="1"/>
  <c r="K712" i="29" s="1"/>
  <c r="K713" i="29" s="1"/>
  <c r="K714" i="29" s="1"/>
  <c r="K715" i="29" s="1"/>
  <c r="K716" i="29" s="1"/>
  <c r="K717" i="29" s="1"/>
  <c r="K718" i="29" s="1"/>
  <c r="K719" i="29" s="1"/>
  <c r="K720" i="29" s="1"/>
  <c r="K721" i="29" s="1"/>
  <c r="K722" i="29" s="1"/>
  <c r="K723" i="29" s="1"/>
  <c r="K724" i="29" s="1"/>
  <c r="K725" i="29" s="1"/>
  <c r="K726" i="29" s="1"/>
  <c r="K727" i="29" s="1"/>
  <c r="K728" i="29" s="1"/>
  <c r="K729" i="29" s="1"/>
  <c r="K730" i="29" s="1"/>
  <c r="K731" i="29" s="1"/>
  <c r="K732" i="29" s="1"/>
  <c r="K733" i="29" s="1"/>
  <c r="K734" i="29" s="1"/>
  <c r="K735" i="29" s="1"/>
  <c r="K736" i="29" s="1"/>
  <c r="K737" i="29" s="1"/>
  <c r="K738" i="29" s="1"/>
  <c r="K739" i="29" s="1"/>
  <c r="K740" i="29" s="1"/>
  <c r="K741" i="29" s="1"/>
  <c r="K742" i="29" s="1"/>
  <c r="K743" i="29" s="1"/>
  <c r="K744" i="29" s="1"/>
  <c r="K745" i="29" s="1"/>
  <c r="K746" i="29" s="1"/>
  <c r="K747" i="29" s="1"/>
  <c r="K748" i="29" s="1"/>
  <c r="K749" i="29" s="1"/>
  <c r="K750" i="29" s="1"/>
  <c r="K751" i="29" s="1"/>
  <c r="K752" i="29" s="1"/>
  <c r="K753" i="29" s="1"/>
  <c r="K754" i="29" s="1"/>
  <c r="K755" i="29" s="1"/>
  <c r="K756" i="29" s="1"/>
  <c r="K757" i="29" s="1"/>
  <c r="K758" i="29" s="1"/>
  <c r="K759" i="29" s="1"/>
  <c r="K760" i="29" s="1"/>
  <c r="K761" i="29" s="1"/>
  <c r="K762" i="29" s="1"/>
  <c r="K763" i="29" s="1"/>
  <c r="K764" i="29" s="1"/>
  <c r="K765" i="29" s="1"/>
  <c r="K766" i="29" s="1"/>
  <c r="K767" i="29" s="1"/>
  <c r="K768" i="29" s="1"/>
  <c r="K769" i="29" s="1"/>
  <c r="K770" i="29" s="1"/>
  <c r="K771" i="29" s="1"/>
  <c r="K772" i="29" s="1"/>
  <c r="K773" i="29" s="1"/>
  <c r="K774" i="29" s="1"/>
  <c r="K775" i="29" s="1"/>
  <c r="K776" i="29" s="1"/>
  <c r="K777" i="29" s="1"/>
  <c r="K778" i="29" s="1"/>
  <c r="K779" i="29" s="1"/>
  <c r="K780" i="29" s="1"/>
  <c r="K781" i="29" s="1"/>
  <c r="K782" i="29" s="1"/>
  <c r="K783" i="29" s="1"/>
  <c r="K784" i="29" s="1"/>
  <c r="K785" i="29" s="1"/>
  <c r="K786" i="29" s="1"/>
  <c r="K787" i="29" s="1"/>
  <c r="K788" i="29" s="1"/>
  <c r="K789" i="29" s="1"/>
  <c r="K790" i="29" s="1"/>
  <c r="K791" i="29" s="1"/>
  <c r="K792" i="29" s="1"/>
  <c r="K793" i="29" s="1"/>
  <c r="K794" i="29" s="1"/>
  <c r="K795" i="29" s="1"/>
  <c r="K796" i="29" s="1"/>
  <c r="K797" i="29" s="1"/>
  <c r="K798" i="29" s="1"/>
  <c r="K799" i="29" s="1"/>
  <c r="K800" i="29" s="1"/>
  <c r="K801" i="29" s="1"/>
  <c r="K802" i="29" s="1"/>
  <c r="K803" i="29" s="1"/>
  <c r="K804" i="29" s="1"/>
  <c r="K805" i="29" s="1"/>
  <c r="K806" i="29" s="1"/>
  <c r="K807" i="29" s="1"/>
  <c r="K808" i="29" s="1"/>
  <c r="K809" i="29" s="1"/>
  <c r="K810" i="29" s="1"/>
  <c r="K811" i="29" s="1"/>
  <c r="K812" i="29" s="1"/>
  <c r="K813" i="29" s="1"/>
  <c r="K814" i="29" s="1"/>
  <c r="K815" i="29" s="1"/>
  <c r="K816" i="29" s="1"/>
  <c r="K817" i="29" s="1"/>
  <c r="K818" i="29" s="1"/>
  <c r="K819" i="29" s="1"/>
  <c r="K820" i="29" s="1"/>
  <c r="K821" i="29" s="1"/>
  <c r="K822" i="29" s="1"/>
  <c r="K823" i="29" s="1"/>
  <c r="K824" i="29" s="1"/>
  <c r="K825" i="29" s="1"/>
  <c r="K826" i="29" s="1"/>
  <c r="K827" i="29" s="1"/>
  <c r="K828" i="29" s="1"/>
  <c r="K829" i="29" s="1"/>
  <c r="K830" i="29" s="1"/>
  <c r="K831" i="29" s="1"/>
  <c r="K832" i="29" s="1"/>
  <c r="K833" i="29" s="1"/>
  <c r="K834" i="29" s="1"/>
  <c r="K835" i="29" s="1"/>
  <c r="K836" i="29" s="1"/>
  <c r="K837" i="29" s="1"/>
  <c r="K838" i="29" s="1"/>
  <c r="K839" i="29" s="1"/>
  <c r="K840" i="29" s="1"/>
  <c r="K841" i="29" s="1"/>
  <c r="K842" i="29" s="1"/>
  <c r="K843" i="29" s="1"/>
  <c r="K844" i="29" s="1"/>
  <c r="K845" i="29" s="1"/>
  <c r="K846" i="29" s="1"/>
  <c r="K847" i="29" s="1"/>
  <c r="K848" i="29" s="1"/>
  <c r="K849" i="29" s="1"/>
  <c r="K850" i="29" s="1"/>
  <c r="K851" i="29" s="1"/>
  <c r="K852" i="29" s="1"/>
  <c r="K853" i="29" s="1"/>
  <c r="K854" i="29" s="1"/>
  <c r="K855" i="29" s="1"/>
  <c r="K856" i="29" s="1"/>
  <c r="K857" i="29" s="1"/>
  <c r="K858" i="29" s="1"/>
  <c r="K859" i="29" s="1"/>
  <c r="K860" i="29" s="1"/>
  <c r="K861" i="29" s="1"/>
  <c r="K862" i="29" s="1"/>
  <c r="K863" i="29" s="1"/>
  <c r="K864" i="29" s="1"/>
  <c r="K865" i="29" s="1"/>
  <c r="K866" i="29" s="1"/>
  <c r="K867" i="29" s="1"/>
  <c r="K868" i="29" s="1"/>
  <c r="K869" i="29" s="1"/>
  <c r="K870" i="29" s="1"/>
  <c r="K871" i="29" s="1"/>
  <c r="K872" i="29" s="1"/>
  <c r="K873" i="29" s="1"/>
  <c r="K874" i="29" s="1"/>
  <c r="K875" i="29" s="1"/>
  <c r="K876" i="29" s="1"/>
  <c r="K877" i="29" s="1"/>
  <c r="K878" i="29" s="1"/>
  <c r="K879" i="29" s="1"/>
  <c r="K880" i="29" s="1"/>
  <c r="K881" i="29" s="1"/>
  <c r="K882" i="29" s="1"/>
  <c r="K883" i="29" s="1"/>
  <c r="K884" i="29" s="1"/>
  <c r="K885" i="29" s="1"/>
  <c r="K886" i="29" s="1"/>
  <c r="K887" i="29" s="1"/>
  <c r="K888" i="29" s="1"/>
  <c r="K889" i="29" s="1"/>
  <c r="K890" i="29" s="1"/>
  <c r="K891" i="29" s="1"/>
  <c r="K892" i="29" s="1"/>
  <c r="K893" i="29" s="1"/>
  <c r="K894" i="29" s="1"/>
  <c r="K895" i="29" s="1"/>
  <c r="K896" i="29" s="1"/>
  <c r="K897" i="29" s="1"/>
  <c r="K898" i="29" s="1"/>
  <c r="K899" i="29" s="1"/>
  <c r="K900" i="29" s="1"/>
  <c r="K901" i="29" s="1"/>
  <c r="K902" i="29" s="1"/>
  <c r="K903" i="29" s="1"/>
  <c r="K904" i="29" s="1"/>
  <c r="K905" i="29" s="1"/>
  <c r="K906" i="29" s="1"/>
  <c r="K907" i="29" s="1"/>
  <c r="K908" i="29" s="1"/>
  <c r="K909" i="29" s="1"/>
  <c r="K910" i="29" s="1"/>
  <c r="K911" i="29" s="1"/>
  <c r="K912" i="29" s="1"/>
  <c r="K913" i="29" s="1"/>
  <c r="K914" i="29" s="1"/>
  <c r="K915" i="29" s="1"/>
  <c r="K916" i="29" s="1"/>
  <c r="K917" i="29" s="1"/>
  <c r="K918" i="29" s="1"/>
  <c r="K919" i="29" s="1"/>
  <c r="K920" i="29" s="1"/>
  <c r="K921" i="29" s="1"/>
  <c r="K922" i="29" s="1"/>
  <c r="K923" i="29" s="1"/>
  <c r="K924" i="29" s="1"/>
  <c r="K925" i="29" s="1"/>
  <c r="K926" i="29" s="1"/>
  <c r="K927" i="29" s="1"/>
  <c r="K928" i="29" s="1"/>
  <c r="K929" i="29" s="1"/>
  <c r="K930" i="29" s="1"/>
  <c r="K931" i="29" s="1"/>
  <c r="K932" i="29" s="1"/>
  <c r="K933" i="29" s="1"/>
  <c r="K934" i="29" s="1"/>
  <c r="K935" i="29" s="1"/>
  <c r="K936" i="29" s="1"/>
  <c r="K937" i="29" s="1"/>
  <c r="K938" i="29" s="1"/>
  <c r="K939" i="29" s="1"/>
  <c r="K940" i="29" s="1"/>
  <c r="K941" i="29" s="1"/>
  <c r="K942" i="29" s="1"/>
  <c r="K943" i="29" s="1"/>
  <c r="K944" i="29" s="1"/>
  <c r="K945" i="29" s="1"/>
  <c r="K946" i="29" s="1"/>
  <c r="K947" i="29" s="1"/>
  <c r="K948" i="29" s="1"/>
  <c r="K949" i="29" s="1"/>
  <c r="K950" i="29" s="1"/>
  <c r="K951" i="29" s="1"/>
  <c r="K952" i="29" s="1"/>
  <c r="K953" i="29" s="1"/>
  <c r="K954" i="29" s="1"/>
  <c r="K955" i="29" s="1"/>
  <c r="K956" i="29" s="1"/>
  <c r="K957" i="29" s="1"/>
  <c r="K958" i="29" s="1"/>
  <c r="K959" i="29" s="1"/>
  <c r="K960" i="29" s="1"/>
  <c r="K961" i="29" s="1"/>
  <c r="K962" i="29" s="1"/>
  <c r="K963" i="29" s="1"/>
  <c r="K964" i="29" s="1"/>
  <c r="K965" i="29" s="1"/>
  <c r="K966" i="29" s="1"/>
  <c r="K967" i="29" s="1"/>
  <c r="K968" i="29" s="1"/>
  <c r="K969" i="29" s="1"/>
  <c r="K970" i="29" s="1"/>
  <c r="K971" i="29" s="1"/>
  <c r="K972" i="29" s="1"/>
  <c r="K973" i="29" s="1"/>
  <c r="K974" i="29" s="1"/>
  <c r="K975" i="29" s="1"/>
  <c r="K976" i="29" s="1"/>
  <c r="K977" i="29" s="1"/>
  <c r="K978" i="29" s="1"/>
  <c r="K979" i="29" s="1"/>
  <c r="K980" i="29" s="1"/>
  <c r="K981" i="29" s="1"/>
  <c r="K982" i="29" s="1"/>
  <c r="K983" i="29" s="1"/>
  <c r="K984" i="29" s="1"/>
  <c r="K985" i="29" s="1"/>
  <c r="K986" i="29" s="1"/>
  <c r="K987" i="29" s="1"/>
  <c r="K988" i="29" s="1"/>
  <c r="K989" i="29" s="1"/>
  <c r="K990" i="29" s="1"/>
  <c r="K991" i="29" s="1"/>
  <c r="K992" i="29" s="1"/>
  <c r="K993" i="29" s="1"/>
  <c r="K994" i="29" s="1"/>
  <c r="K995" i="29" s="1"/>
  <c r="J3" i="29"/>
  <c r="K2" i="12"/>
  <c r="K3" i="12" s="1"/>
  <c r="K4" i="12" s="1"/>
  <c r="K5" i="12" s="1"/>
  <c r="K6" i="12" s="1"/>
  <c r="K7" i="12" s="1"/>
  <c r="K8" i="12" s="1"/>
  <c r="K9" i="12" s="1"/>
  <c r="K10" i="12" s="1"/>
  <c r="K11" i="12" s="1"/>
  <c r="K12" i="12" s="1"/>
  <c r="K13" i="12" s="1"/>
  <c r="K14" i="12" s="1"/>
  <c r="K15" i="12" s="1"/>
  <c r="K16" i="12" s="1"/>
  <c r="K17" i="12" s="1"/>
  <c r="K18" i="12" s="1"/>
  <c r="K19" i="12" s="1"/>
  <c r="K20" i="12" s="1"/>
  <c r="K21" i="12" s="1"/>
  <c r="K22" i="12" s="1"/>
  <c r="K23" i="12" s="1"/>
  <c r="K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35" i="12" s="1"/>
  <c r="K36" i="12" s="1"/>
  <c r="K37" i="12" s="1"/>
  <c r="K38" i="12" s="1"/>
  <c r="K39" i="12" s="1"/>
  <c r="K40" i="12" s="1"/>
  <c r="K41" i="12" s="1"/>
  <c r="K42" i="12" s="1"/>
  <c r="K43" i="12" s="1"/>
  <c r="K44" i="12" s="1"/>
  <c r="K45" i="12" s="1"/>
  <c r="K46" i="12" s="1"/>
  <c r="K47" i="12" s="1"/>
  <c r="K48" i="12" s="1"/>
  <c r="K49" i="12" s="1"/>
  <c r="K50" i="12" s="1"/>
  <c r="K51" i="12" s="1"/>
  <c r="K52" i="12" s="1"/>
  <c r="K53" i="12" s="1"/>
  <c r="K54" i="12" s="1"/>
  <c r="K55" i="12" s="1"/>
  <c r="K56" i="12" s="1"/>
  <c r="K57" i="12" s="1"/>
  <c r="K58" i="12" s="1"/>
  <c r="K59" i="12" s="1"/>
  <c r="K60" i="12" s="1"/>
  <c r="K61" i="12" s="1"/>
  <c r="K62" i="12" s="1"/>
  <c r="K63" i="12" s="1"/>
  <c r="K64" i="12" s="1"/>
  <c r="K65" i="12" s="1"/>
  <c r="K66" i="12" s="1"/>
  <c r="K67" i="12" s="1"/>
  <c r="K68" i="12" s="1"/>
  <c r="K69" i="12" s="1"/>
  <c r="K70" i="12" s="1"/>
  <c r="K71" i="12" s="1"/>
  <c r="K72" i="12" s="1"/>
  <c r="K73" i="12" s="1"/>
  <c r="K74" i="12" s="1"/>
  <c r="K75" i="12" s="1"/>
  <c r="K76" i="12" s="1"/>
  <c r="K77" i="12" s="1"/>
  <c r="K78" i="12" s="1"/>
  <c r="K79" i="12" s="1"/>
  <c r="K80" i="12" s="1"/>
  <c r="K81" i="12" s="1"/>
  <c r="K82" i="12" s="1"/>
  <c r="B186" i="30" l="1"/>
  <c r="B49" i="30"/>
  <c r="B94" i="30"/>
  <c r="C94" i="30"/>
  <c r="C186" i="30"/>
  <c r="C49" i="30"/>
  <c r="K84" i="12"/>
  <c r="K85" i="12" s="1"/>
  <c r="K86" i="12" s="1"/>
  <c r="K87" i="12" s="1"/>
  <c r="K88" i="12" s="1"/>
  <c r="K89" i="12" s="1"/>
  <c r="K90" i="12" s="1"/>
  <c r="K91" i="12" s="1"/>
  <c r="K92" i="12" s="1"/>
  <c r="K93" i="12" s="1"/>
  <c r="K94" i="12" s="1"/>
  <c r="K95" i="12" s="1"/>
  <c r="K96" i="12" s="1"/>
  <c r="K97" i="12" s="1"/>
  <c r="K98" i="12" s="1"/>
  <c r="K99" i="12" s="1"/>
  <c r="K100" i="12" s="1"/>
  <c r="K101" i="12" s="1"/>
  <c r="K102" i="12" s="1"/>
  <c r="K103" i="12" s="1"/>
  <c r="K104" i="12" s="1"/>
  <c r="K105" i="12" s="1"/>
  <c r="K106" i="12" s="1"/>
  <c r="K107" i="12" s="1"/>
  <c r="K108" i="12" s="1"/>
  <c r="K109" i="12" s="1"/>
  <c r="K110" i="12" s="1"/>
  <c r="K111" i="12" s="1"/>
  <c r="K112" i="12" s="1"/>
  <c r="K113" i="12" s="1"/>
  <c r="K114" i="12" s="1"/>
  <c r="K115" i="12" s="1"/>
  <c r="K116" i="12" s="1"/>
  <c r="K117" i="12" s="1"/>
  <c r="K118" i="12" s="1"/>
  <c r="K119" i="12" s="1"/>
  <c r="K120" i="12" s="1"/>
  <c r="K121" i="12" s="1"/>
  <c r="K122" i="12" s="1"/>
  <c r="K123" i="12" s="1"/>
  <c r="K124" i="12" s="1"/>
  <c r="K125" i="12" s="1"/>
  <c r="K126" i="12" s="1"/>
  <c r="K127" i="12" s="1"/>
  <c r="K128" i="12" s="1"/>
  <c r="K129" i="12" s="1"/>
  <c r="K130" i="12" s="1"/>
  <c r="K131" i="12" s="1"/>
  <c r="K132" i="12" s="1"/>
  <c r="K133" i="12" s="1"/>
  <c r="K134" i="12" s="1"/>
  <c r="K135" i="12" s="1"/>
  <c r="K136" i="12" s="1"/>
  <c r="K137" i="12" s="1"/>
  <c r="K138" i="12" s="1"/>
  <c r="K139" i="12" s="1"/>
  <c r="K140" i="12" s="1"/>
  <c r="K141" i="12" s="1"/>
  <c r="K142" i="12" s="1"/>
  <c r="K143" i="12" s="1"/>
  <c r="K144" i="12" s="1"/>
  <c r="K145" i="12" s="1"/>
  <c r="K146" i="12" s="1"/>
  <c r="K147" i="12" s="1"/>
  <c r="K148" i="12" s="1"/>
  <c r="K149" i="12" s="1"/>
  <c r="K150" i="12" s="1"/>
  <c r="K151" i="12" s="1"/>
  <c r="K152" i="12" s="1"/>
  <c r="K153" i="12" s="1"/>
  <c r="K154" i="12" s="1"/>
  <c r="K155" i="12" s="1"/>
  <c r="K156" i="12" s="1"/>
  <c r="K157" i="12" s="1"/>
  <c r="K158" i="12" s="1"/>
  <c r="K159" i="12" s="1"/>
  <c r="K160" i="12" s="1"/>
  <c r="K161" i="12" s="1"/>
  <c r="K162" i="12" s="1"/>
  <c r="K163" i="12" s="1"/>
  <c r="K164" i="12" s="1"/>
  <c r="K165" i="12" s="1"/>
  <c r="K166" i="12" s="1"/>
  <c r="K167" i="12" s="1"/>
  <c r="K168" i="12" s="1"/>
  <c r="K169" i="12" s="1"/>
  <c r="K170" i="12" s="1"/>
  <c r="K171" i="12" s="1"/>
  <c r="K172" i="12" s="1"/>
  <c r="K173" i="12" s="1"/>
  <c r="K174" i="12" s="1"/>
  <c r="K175" i="12" s="1"/>
  <c r="K176" i="12" s="1"/>
  <c r="K83" i="12"/>
  <c r="D186" i="30" l="1"/>
  <c r="D94" i="30"/>
  <c r="D49" i="30"/>
</calcChain>
</file>

<file path=xl/sharedStrings.xml><?xml version="1.0" encoding="utf-8"?>
<sst xmlns="http://schemas.openxmlformats.org/spreadsheetml/2006/main" count="17298" uniqueCount="1241">
  <si>
    <t>,</t>
  </si>
  <si>
    <t>Data</t>
  </si>
  <si>
    <t>Descrição</t>
  </si>
  <si>
    <t>Tipo</t>
  </si>
  <si>
    <t>Categoria</t>
  </si>
  <si>
    <t>Conta</t>
  </si>
  <si>
    <t>Forma de pagamento</t>
  </si>
  <si>
    <t>Valor</t>
  </si>
  <si>
    <t>Obs</t>
  </si>
  <si>
    <t>Mês</t>
  </si>
  <si>
    <t>Saldo acumulado</t>
  </si>
  <si>
    <t>Leite</t>
  </si>
  <si>
    <t>Saída</t>
  </si>
  <si>
    <t>Vendas</t>
  </si>
  <si>
    <t>Caixa</t>
  </si>
  <si>
    <t>Dinheiro</t>
  </si>
  <si>
    <t>Tortelli</t>
  </si>
  <si>
    <t>Banco Principal</t>
  </si>
  <si>
    <t xml:space="preserve">Ecila </t>
  </si>
  <si>
    <t>Matéria Prima</t>
  </si>
  <si>
    <t>Entrada</t>
  </si>
  <si>
    <t>Vendas Ifood</t>
  </si>
  <si>
    <t>Vendas iFood</t>
  </si>
  <si>
    <t>Motoboy</t>
  </si>
  <si>
    <t>iFood</t>
  </si>
  <si>
    <t>Pix</t>
  </si>
  <si>
    <t>Faxina</t>
  </si>
  <si>
    <t>Salário</t>
  </si>
  <si>
    <t xml:space="preserve">Canteiros ( reembolsar) </t>
  </si>
  <si>
    <t>Manutenção</t>
  </si>
  <si>
    <t xml:space="preserve">Vendas </t>
  </si>
  <si>
    <t>Frutas</t>
  </si>
  <si>
    <t>Folga Luany</t>
  </si>
  <si>
    <t>Freelancer</t>
  </si>
  <si>
    <t>Vebdas Ifood</t>
  </si>
  <si>
    <t>Motoby</t>
  </si>
  <si>
    <t xml:space="preserve">Extra Nathalia (já tinha pago, mandei pra conta Tais) </t>
  </si>
  <si>
    <t xml:space="preserve">Croissant </t>
  </si>
  <si>
    <t xml:space="preserve">Aluguel </t>
  </si>
  <si>
    <t>CustoFixo</t>
  </si>
  <si>
    <t xml:space="preserve">IPTU </t>
  </si>
  <si>
    <t xml:space="preserve">Alarme </t>
  </si>
  <si>
    <t xml:space="preserve">Polar </t>
  </si>
  <si>
    <t xml:space="preserve">Riber </t>
  </si>
  <si>
    <t xml:space="preserve">Vendas iFood </t>
  </si>
  <si>
    <t xml:space="preserve">Motoboy </t>
  </si>
  <si>
    <t>Visão geral</t>
  </si>
  <si>
    <t>Entradas</t>
  </si>
  <si>
    <t>Saídas</t>
  </si>
  <si>
    <t>Saldo</t>
  </si>
  <si>
    <t>Entradas no mês</t>
  </si>
  <si>
    <t>Saídas no mês</t>
  </si>
  <si>
    <t>Saldo no mês</t>
  </si>
  <si>
    <t>NOVEMBRO</t>
  </si>
  <si>
    <t>2025-11</t>
  </si>
  <si>
    <t>Vendas - IFood</t>
  </si>
  <si>
    <t>Salario</t>
  </si>
  <si>
    <t>Custo FIxo</t>
  </si>
  <si>
    <t>Impostos</t>
  </si>
  <si>
    <t>Materia Prima</t>
  </si>
  <si>
    <t>Frete</t>
  </si>
  <si>
    <t>Cartão de Crédito</t>
  </si>
  <si>
    <t>Mat Consumo</t>
  </si>
  <si>
    <t>iFood - Moto</t>
  </si>
  <si>
    <t>Contabilidade</t>
  </si>
  <si>
    <t>Demissão</t>
  </si>
  <si>
    <t>Royalt</t>
  </si>
  <si>
    <t>Papelaria</t>
  </si>
  <si>
    <t>Marketing</t>
  </si>
  <si>
    <t>TOTAL</t>
  </si>
  <si>
    <t>DEZEMBRO</t>
  </si>
  <si>
    <t>2025-12</t>
  </si>
  <si>
    <t>JANEIRO</t>
  </si>
  <si>
    <t>Celso</t>
  </si>
  <si>
    <t>FEVEREIRO</t>
  </si>
  <si>
    <t>MARÇO</t>
  </si>
  <si>
    <t>ABRIL</t>
  </si>
  <si>
    <t>MAIO</t>
  </si>
  <si>
    <t>JUNHO</t>
  </si>
  <si>
    <t>JULHO</t>
  </si>
  <si>
    <t>Item</t>
  </si>
  <si>
    <t>Qt</t>
  </si>
  <si>
    <t>Produção</t>
  </si>
  <si>
    <t xml:space="preserve">Acucar mascavo </t>
  </si>
  <si>
    <t>Açúcar invertido</t>
  </si>
  <si>
    <t>Prod Atendimento</t>
  </si>
  <si>
    <t>Agua c/ gás</t>
  </si>
  <si>
    <t>Supermercado</t>
  </si>
  <si>
    <t>Açúcar confeiteiro</t>
  </si>
  <si>
    <t>Embalagens</t>
  </si>
  <si>
    <t>Copo G</t>
  </si>
  <si>
    <t>fechados</t>
  </si>
  <si>
    <t>Amarena</t>
  </si>
  <si>
    <t>Água sem gás</t>
  </si>
  <si>
    <t>Açúcar cristal</t>
  </si>
  <si>
    <t>em uso</t>
  </si>
  <si>
    <t>Amêndoa</t>
  </si>
  <si>
    <t>Café</t>
  </si>
  <si>
    <t>Açúcar refinado</t>
  </si>
  <si>
    <t>Copo M</t>
  </si>
  <si>
    <t>Avelã grao</t>
  </si>
  <si>
    <t>Canudo</t>
  </si>
  <si>
    <t>1 pacote</t>
  </si>
  <si>
    <t>Creme de leite caixinha</t>
  </si>
  <si>
    <t>Base 6</t>
  </si>
  <si>
    <t>Desmoldante</t>
  </si>
  <si>
    <t>Leite de coco</t>
  </si>
  <si>
    <t>Copo P</t>
  </si>
  <si>
    <t>Base fruta Milk free</t>
  </si>
  <si>
    <t>Gás sifão</t>
  </si>
  <si>
    <t>Óleo</t>
  </si>
  <si>
    <t>Base G creme</t>
  </si>
  <si>
    <t>Guardanapo</t>
  </si>
  <si>
    <t>Sal</t>
  </si>
  <si>
    <t>Delivery 0,5 litro</t>
  </si>
  <si>
    <t>caixa em uso</t>
  </si>
  <si>
    <t>Base G fruta</t>
  </si>
  <si>
    <t>1 em uso</t>
  </si>
  <si>
    <t>Farinha de trigo</t>
  </si>
  <si>
    <t>fechada</t>
  </si>
  <si>
    <t>Bombom Mescla</t>
  </si>
  <si>
    <t>Bombom Pasta</t>
  </si>
  <si>
    <t>Baunilha Franch</t>
  </si>
  <si>
    <t>Nutella</t>
  </si>
  <si>
    <t>Delivery 0,80 ml</t>
  </si>
  <si>
    <t>Brunela Caramelo</t>
  </si>
  <si>
    <t>Cacau Vermelho</t>
  </si>
  <si>
    <t>Blend</t>
  </si>
  <si>
    <t>Paçoquita</t>
  </si>
  <si>
    <t>Delivery 1 litro</t>
  </si>
  <si>
    <t>Canela</t>
  </si>
  <si>
    <t>Pazinha degustação</t>
  </si>
  <si>
    <t>Caramelo Salgado pó</t>
  </si>
  <si>
    <t>Delivery 180 ml</t>
  </si>
  <si>
    <t>Caramelo salgado crispy</t>
  </si>
  <si>
    <t>Pazinha gelato</t>
  </si>
  <si>
    <t>Delivery 300 ml</t>
  </si>
  <si>
    <t>Castanha de caju</t>
  </si>
  <si>
    <t>Sacola maior</t>
  </si>
  <si>
    <t>Choc branco</t>
  </si>
  <si>
    <t>Creme Chantilly</t>
  </si>
  <si>
    <t>Sacola menor</t>
  </si>
  <si>
    <t>Choc meio amargo</t>
  </si>
  <si>
    <t>Creme cheesecake</t>
  </si>
  <si>
    <t>Crock Dubai</t>
  </si>
  <si>
    <t>Creme Noce</t>
  </si>
  <si>
    <t>Coco</t>
  </si>
  <si>
    <t>Creme pistache diamante</t>
  </si>
  <si>
    <t>Doce de leite</t>
  </si>
  <si>
    <t>Fecula</t>
  </si>
  <si>
    <t>Fibra Plus</t>
  </si>
  <si>
    <t>Fikissimo</t>
  </si>
  <si>
    <t>Fior di Arancia</t>
  </si>
  <si>
    <t>Fio di bosco</t>
  </si>
  <si>
    <t>Fio di maracujá</t>
  </si>
  <si>
    <t>Gianduia</t>
  </si>
  <si>
    <t>Glucose</t>
  </si>
  <si>
    <t>La Cubaneira</t>
  </si>
  <si>
    <t>Iogumix</t>
  </si>
  <si>
    <t>Leite condensado</t>
  </si>
  <si>
    <t>Leite em pó</t>
  </si>
  <si>
    <t>Limone Fabri</t>
  </si>
  <si>
    <t>Mandorla</t>
  </si>
  <si>
    <t>Mescla Pipoca</t>
  </si>
  <si>
    <t>Mesclado latissimo</t>
  </si>
  <si>
    <t>Nozes</t>
  </si>
  <si>
    <t>Ouro Branco</t>
  </si>
  <si>
    <t>Ovomaline</t>
  </si>
  <si>
    <t>Pasta Café</t>
  </si>
  <si>
    <t>Pasta amendoim</t>
  </si>
  <si>
    <t>Pasta Pipoca</t>
  </si>
  <si>
    <t>Pasta avelã</t>
  </si>
  <si>
    <t>Pasta Kitkat</t>
  </si>
  <si>
    <t>Pasta fragola</t>
  </si>
  <si>
    <t>Pasta pistache verde</t>
  </si>
  <si>
    <t>Pistache grão</t>
  </si>
  <si>
    <t>Quarquimix</t>
  </si>
  <si>
    <t>Quella/Brunella</t>
  </si>
  <si>
    <t>Stracciatella branca</t>
  </si>
  <si>
    <t>Stracciatella latissimo</t>
  </si>
  <si>
    <t>Sonho de Valsa</t>
  </si>
  <si>
    <t>Stracciatella Meio amargo</t>
  </si>
  <si>
    <t>Trufa branca</t>
  </si>
  <si>
    <t>Cartão Crédito</t>
  </si>
  <si>
    <t>Total Nov</t>
  </si>
  <si>
    <t>Gancho para corda</t>
  </si>
  <si>
    <t>Abc (acucar fino + oleo)</t>
  </si>
  <si>
    <t>Abc (saco de lixo)</t>
  </si>
  <si>
    <t>Pilha</t>
  </si>
  <si>
    <t>Papelaria- Clipe</t>
  </si>
  <si>
    <t>Bodevan</t>
  </si>
  <si>
    <t xml:space="preserve">Abc </t>
  </si>
  <si>
    <t xml:space="preserve">Shop ( delivery e tapetinho) </t>
  </si>
  <si>
    <t>Abc</t>
  </si>
  <si>
    <t xml:space="preserve">Bodevan, papel toalha, saquinhos e pote brownie </t>
  </si>
  <si>
    <t xml:space="preserve">Goiabada cremosa </t>
  </si>
  <si>
    <t xml:space="preserve">Bobina fiscal </t>
  </si>
  <si>
    <t xml:space="preserve">Carrossel </t>
  </si>
  <si>
    <t>Pote pazinhas</t>
  </si>
  <si>
    <t xml:space="preserve">Queijo </t>
  </si>
  <si>
    <t xml:space="preserve">Abc cappuccino </t>
  </si>
  <si>
    <t>cupom ifood</t>
  </si>
  <si>
    <t xml:space="preserve">Crédito </t>
  </si>
  <si>
    <t xml:space="preserve">Carrossel, manteiga e ovo </t>
  </si>
  <si>
    <t xml:space="preserve">Defletor para ar + novo código consumidor </t>
  </si>
  <si>
    <t xml:space="preserve">Copinhos na shop </t>
  </si>
  <si>
    <t xml:space="preserve">Cartão novo nubank. </t>
  </si>
  <si>
    <t xml:space="preserve">Tiarinhas carnaval </t>
  </si>
  <si>
    <t xml:space="preserve">Copinhos shop </t>
  </si>
  <si>
    <t xml:space="preserve">Bandaid </t>
  </si>
  <si>
    <t xml:space="preserve">Caixas p bolachinhas e cascões </t>
  </si>
  <si>
    <t xml:space="preserve">Lâmpadas varal deck </t>
  </si>
  <si>
    <t>Pinga Doces Da Vovo</t>
  </si>
  <si>
    <t>Amendoim</t>
  </si>
  <si>
    <t xml:space="preserve">Trem pro carnaval </t>
  </si>
  <si>
    <t xml:space="preserve">Ferramenta p cascata </t>
  </si>
  <si>
    <t xml:space="preserve">Enfeite carnaval </t>
  </si>
  <si>
    <t>Bodevan (papel toalha e higienico)</t>
  </si>
  <si>
    <t xml:space="preserve">Caixinha funcionários </t>
  </si>
  <si>
    <t>Pote delivery shop</t>
  </si>
  <si>
    <t xml:space="preserve">Abc, desintupidor </t>
  </si>
  <si>
    <t>abc, compras</t>
  </si>
  <si>
    <t xml:space="preserve">Fonte led </t>
  </si>
  <si>
    <t xml:space="preserve">Papelaria </t>
  </si>
  <si>
    <t xml:space="preserve">Tapete pra Cuba </t>
  </si>
  <si>
    <t>Shop, copinho 2 sabores delivery</t>
  </si>
  <si>
    <t xml:space="preserve">Shop copinhos delivery 3 sabores </t>
  </si>
  <si>
    <t>paplearia fita cola tudo</t>
  </si>
  <si>
    <t>papelaria, quadrinho, canetas, papel rascunho, grampeador</t>
  </si>
  <si>
    <t>farmacia, bandaid e luva</t>
  </si>
  <si>
    <t>bodeva, papel higienico, colherzinha, guardanapo, forminha pascoa</t>
  </si>
  <si>
    <t xml:space="preserve">Tela cascata </t>
  </si>
  <si>
    <t>abc</t>
  </si>
  <si>
    <t>coelhinhos decor</t>
  </si>
  <si>
    <t>2x</t>
  </si>
  <si>
    <t xml:space="preserve">carrosel cafe </t>
  </si>
  <si>
    <t xml:space="preserve">Pão de queijo café reunião </t>
  </si>
  <si>
    <t xml:space="preserve">Papelaria quadrinhos </t>
  </si>
  <si>
    <t xml:space="preserve">Máquina de lavar shop </t>
  </si>
  <si>
    <t>papelaria</t>
  </si>
  <si>
    <t>mel</t>
  </si>
  <si>
    <t>bolacha</t>
  </si>
  <si>
    <t xml:space="preserve">Copinhos 80 ml shop </t>
  </si>
  <si>
    <t xml:space="preserve">granulado </t>
  </si>
  <si>
    <t xml:space="preserve">Manteiga abc </t>
  </si>
  <si>
    <t xml:space="preserve">Luva Cascao </t>
  </si>
  <si>
    <t>lavadora</t>
  </si>
  <si>
    <t xml:space="preserve">Pote para Pacoquita </t>
  </si>
  <si>
    <t xml:space="preserve">Paçoca carrossel </t>
  </si>
  <si>
    <t xml:space="preserve">Paçoca e suspiro </t>
  </si>
  <si>
    <t>Bobina Fiscal Mercado Livre</t>
  </si>
  <si>
    <t>Abc - IFOOD</t>
  </si>
  <si>
    <t xml:space="preserve">Bodevan </t>
  </si>
  <si>
    <t>farmacia (luva + bandaid)</t>
  </si>
  <si>
    <t>copia chave</t>
  </si>
  <si>
    <t>padaria san remo</t>
  </si>
  <si>
    <t>ABC - IFOOD</t>
  </si>
  <si>
    <t>biscoito para tiramisu</t>
  </si>
  <si>
    <t>balanca, garrafa de cafe e leiteira</t>
  </si>
  <si>
    <t xml:space="preserve">Fita dupla face </t>
  </si>
  <si>
    <t xml:space="preserve">Porta detergente </t>
  </si>
  <si>
    <t xml:space="preserve">Geleia Me Lambuzei </t>
  </si>
  <si>
    <t>Pé de moleque</t>
  </si>
  <si>
    <t>doce de abobora</t>
  </si>
  <si>
    <t>Detergente</t>
  </si>
  <si>
    <t xml:space="preserve">Bodevan coleirinhas </t>
  </si>
  <si>
    <t>abc detergente</t>
  </si>
  <si>
    <t>cola no chines</t>
  </si>
  <si>
    <t>carrossel</t>
  </si>
  <si>
    <t xml:space="preserve">abc </t>
  </si>
  <si>
    <t>mercado livre, nibs de cacau</t>
  </si>
  <si>
    <t>Pote 80ml shopp</t>
  </si>
  <si>
    <t>Padaria, cafe reunião</t>
  </si>
  <si>
    <t xml:space="preserve">Copinhos 2 sabores shop </t>
  </si>
  <si>
    <t>Março</t>
  </si>
  <si>
    <t>Abril</t>
  </si>
  <si>
    <t>Maio</t>
  </si>
  <si>
    <t xml:space="preserve">Junho </t>
  </si>
  <si>
    <t>Julho</t>
  </si>
  <si>
    <t>Agosto</t>
  </si>
  <si>
    <t>Diniz</t>
  </si>
  <si>
    <t>Riber</t>
  </si>
  <si>
    <t>Polar</t>
  </si>
  <si>
    <t>Mec 3</t>
  </si>
  <si>
    <t xml:space="preserve">Mec 3 </t>
  </si>
  <si>
    <t>Guardanapos</t>
  </si>
  <si>
    <t>Ecila</t>
  </si>
  <si>
    <t xml:space="preserve">Diniz </t>
  </si>
  <si>
    <t xml:space="preserve">Frete mec 3 </t>
  </si>
  <si>
    <t xml:space="preserve">Unigra </t>
  </si>
  <si>
    <t>MEC 3</t>
  </si>
  <si>
    <t xml:space="preserve">Boleto odontológico </t>
  </si>
  <si>
    <t>Unigra</t>
  </si>
  <si>
    <t>Castanha</t>
  </si>
  <si>
    <t>Morango</t>
  </si>
  <si>
    <t>ICMS</t>
  </si>
  <si>
    <t>1/3 unigra</t>
  </si>
  <si>
    <t>Pregel</t>
  </si>
  <si>
    <t>Andaluz</t>
  </si>
  <si>
    <t xml:space="preserve">DARF </t>
  </si>
  <si>
    <t>Diniz(Thales)</t>
  </si>
  <si>
    <t>Ecila (+ Thales)</t>
  </si>
  <si>
    <t>Sistema</t>
  </si>
  <si>
    <t xml:space="preserve">Tráfego pago </t>
  </si>
  <si>
    <t xml:space="preserve">FGTS </t>
  </si>
  <si>
    <t xml:space="preserve">Simples </t>
  </si>
  <si>
    <t>Venda de produto</t>
  </si>
  <si>
    <t>IFood</t>
  </si>
  <si>
    <t>Boleto Unigra</t>
  </si>
  <si>
    <t>Luz e água mês 10</t>
  </si>
  <si>
    <t>Inteirar luz e água mês 10</t>
  </si>
  <si>
    <t>Venda de produtos</t>
  </si>
  <si>
    <t>Boleto</t>
  </si>
  <si>
    <t xml:space="preserve">Boleto </t>
  </si>
  <si>
    <t xml:space="preserve">Vale alimentação </t>
  </si>
  <si>
    <t>Impressão  PAPELARIA</t>
  </si>
  <si>
    <t>Impressão Holerite</t>
  </si>
  <si>
    <t xml:space="preserve">IFood </t>
  </si>
  <si>
    <t xml:space="preserve">Boleto alarme </t>
  </si>
  <si>
    <t>Aluguel</t>
  </si>
  <si>
    <t>IPTU</t>
  </si>
  <si>
    <t xml:space="preserve">Boleto fruta congelada </t>
  </si>
  <si>
    <t xml:space="preserve">Exame demissional </t>
  </si>
  <si>
    <t xml:space="preserve">Exame demissional Adriana </t>
  </si>
  <si>
    <t xml:space="preserve">Carrão de crédito </t>
  </si>
  <si>
    <t>Cartao de Credito</t>
  </si>
  <si>
    <t xml:space="preserve">Tudo que compro no crédito </t>
  </si>
  <si>
    <t xml:space="preserve">Estava no cartão de crédito </t>
  </si>
  <si>
    <t xml:space="preserve">Vendas do dia </t>
  </si>
  <si>
    <t>IFood vendas</t>
  </si>
  <si>
    <t>Cubas</t>
  </si>
  <si>
    <t>Paguei a Cubas</t>
  </si>
  <si>
    <t xml:space="preserve">IFood vendas </t>
  </si>
  <si>
    <t xml:space="preserve">Salários </t>
  </si>
  <si>
    <t>freelancer</t>
  </si>
  <si>
    <t xml:space="preserve">Freelance </t>
  </si>
  <si>
    <t xml:space="preserve">Royalt + marketing </t>
  </si>
  <si>
    <t>Moça Faxina</t>
  </si>
  <si>
    <t>Salário Tais</t>
  </si>
  <si>
    <t>Ainda falta 1.5000</t>
  </si>
  <si>
    <t>Boleto Polar</t>
  </si>
  <si>
    <t xml:space="preserve">Plano saúde boleto </t>
  </si>
  <si>
    <t>leite</t>
  </si>
  <si>
    <t xml:space="preserve">Boleto Unigra </t>
  </si>
  <si>
    <t xml:space="preserve">Boleto Ecila </t>
  </si>
  <si>
    <t>Boleto Mec 3</t>
  </si>
  <si>
    <t>Boleto Riber</t>
  </si>
  <si>
    <t xml:space="preserve">Boleto Andaluz </t>
  </si>
  <si>
    <t xml:space="preserve">Boleto Diniz </t>
  </si>
  <si>
    <t xml:space="preserve">Vendas IFood </t>
  </si>
  <si>
    <t>FGTS</t>
  </si>
  <si>
    <t xml:space="preserve">Venda iFood </t>
  </si>
  <si>
    <t xml:space="preserve">Maracujá </t>
  </si>
  <si>
    <t xml:space="preserve">Canequinha para pazinhas </t>
  </si>
  <si>
    <t>motoboy</t>
  </si>
  <si>
    <t>vendas</t>
  </si>
  <si>
    <t>vendasifood</t>
  </si>
  <si>
    <t>Praline</t>
  </si>
  <si>
    <t xml:space="preserve">Restante salário Tais </t>
  </si>
  <si>
    <t>Copinhos</t>
  </si>
  <si>
    <t xml:space="preserve">Água </t>
  </si>
  <si>
    <t xml:space="preserve">Internet </t>
  </si>
  <si>
    <t xml:space="preserve">Boleto Plano odontológico </t>
  </si>
  <si>
    <t xml:space="preserve">Boleto Riber </t>
  </si>
  <si>
    <t xml:space="preserve">Creme de leite </t>
  </si>
  <si>
    <t>Boleto Guardanapo</t>
  </si>
  <si>
    <t>Vendas do dia</t>
  </si>
  <si>
    <t xml:space="preserve">Copinhos natal </t>
  </si>
  <si>
    <t>Boleto DARF</t>
  </si>
  <si>
    <t xml:space="preserve">Extra cascão Luany </t>
  </si>
  <si>
    <t xml:space="preserve">Adiantamento Luany </t>
  </si>
  <si>
    <t xml:space="preserve">Adiantamento Bruna </t>
  </si>
  <si>
    <t>Adiantamento Nathalia</t>
  </si>
  <si>
    <t>Boleto Andaluz</t>
  </si>
  <si>
    <t>Acerto Adriana</t>
  </si>
  <si>
    <t>FGTS recisao Adriana</t>
  </si>
  <si>
    <t xml:space="preserve">Vendad do dia </t>
  </si>
  <si>
    <t>Pano de Prato</t>
  </si>
  <si>
    <t>Freelancer (110+120+35)</t>
  </si>
  <si>
    <t>Paguei na verdade dia 24/11</t>
  </si>
  <si>
    <t xml:space="preserve">Simples Nacional </t>
  </si>
  <si>
    <t xml:space="preserve">Frete copinhos </t>
  </si>
  <si>
    <t xml:space="preserve">Boleto Pregel </t>
  </si>
  <si>
    <t xml:space="preserve">Boleto Polar </t>
  </si>
  <si>
    <t>Frete copinhos Natal</t>
  </si>
  <si>
    <t>Boleto Brastec(papeltoalha)</t>
  </si>
  <si>
    <t>Boleto riber</t>
  </si>
  <si>
    <t xml:space="preserve">Boleto riber </t>
  </si>
  <si>
    <t xml:space="preserve">Boleto frutas </t>
  </si>
  <si>
    <t>13 pessoal</t>
  </si>
  <si>
    <t>Caixa_Novembro_25</t>
  </si>
  <si>
    <t>Caixa_mes_anterior</t>
  </si>
  <si>
    <t xml:space="preserve">Boleto sistema </t>
  </si>
  <si>
    <t xml:space="preserve">Leite </t>
  </si>
  <si>
    <t xml:space="preserve">Peça da máquina produtora </t>
  </si>
  <si>
    <t xml:space="preserve">Tráfego Pago </t>
  </si>
  <si>
    <t xml:space="preserve">Tortelli </t>
  </si>
  <si>
    <t>Boleto Ecila</t>
  </si>
  <si>
    <t xml:space="preserve">Boleto Mec 3 </t>
  </si>
  <si>
    <t xml:space="preserve">Creme de Leite </t>
  </si>
  <si>
    <t xml:space="preserve">Supermercado </t>
  </si>
  <si>
    <t xml:space="preserve">Impressão holerite </t>
  </si>
  <si>
    <t xml:space="preserve">Boleto Alarme </t>
  </si>
  <si>
    <t>Venda Ifood</t>
  </si>
  <si>
    <t>Salario Pessoal</t>
  </si>
  <si>
    <t>Cartão de credito</t>
  </si>
  <si>
    <t xml:space="preserve">Restante cubas </t>
  </si>
  <si>
    <t xml:space="preserve">Frutas </t>
  </si>
  <si>
    <t xml:space="preserve">Tráfego pago cartão de crédito </t>
  </si>
  <si>
    <t xml:space="preserve">Luz e água </t>
  </si>
  <si>
    <t xml:space="preserve">Boleto pregel </t>
  </si>
  <si>
    <t xml:space="preserve">Boleto andaluz </t>
  </si>
  <si>
    <t xml:space="preserve">Salário Tais </t>
  </si>
  <si>
    <t xml:space="preserve">Águas </t>
  </si>
  <si>
    <t xml:space="preserve">Royalty </t>
  </si>
  <si>
    <t xml:space="preserve">Marketing </t>
  </si>
  <si>
    <t>Conserto liquidificador</t>
  </si>
  <si>
    <t>COnserto liquidificador</t>
  </si>
  <si>
    <t>Vendas do Ifood</t>
  </si>
  <si>
    <t>Vale Luany</t>
  </si>
  <si>
    <t>Restante salario Tais</t>
  </si>
  <si>
    <t xml:space="preserve">Seguro de Vida </t>
  </si>
  <si>
    <t xml:space="preserve">Contabilidade </t>
  </si>
  <si>
    <t>Internet</t>
  </si>
  <si>
    <t xml:space="preserve">Plano odontológico </t>
  </si>
  <si>
    <t xml:space="preserve">Boleto morango </t>
  </si>
  <si>
    <t xml:space="preserve">Vendas ifood </t>
  </si>
  <si>
    <t>Vale</t>
  </si>
  <si>
    <t>13 salário</t>
  </si>
  <si>
    <t>13 Tais</t>
  </si>
  <si>
    <t xml:space="preserve">Extra Luany Cascao </t>
  </si>
  <si>
    <t>DARF 13</t>
  </si>
  <si>
    <t xml:space="preserve">Boleto Unigra  </t>
  </si>
  <si>
    <t xml:space="preserve">ICMS </t>
  </si>
  <si>
    <t xml:space="preserve">DAS </t>
  </si>
  <si>
    <t xml:space="preserve">Boleto riber  </t>
  </si>
  <si>
    <t xml:space="preserve">Agua </t>
  </si>
  <si>
    <t xml:space="preserve">Freelancer Produção de quarta </t>
  </si>
  <si>
    <t xml:space="preserve">Extra cascão e bolachinha </t>
  </si>
  <si>
    <t>Carrossel (leite e ouro branco)</t>
  </si>
  <si>
    <t>(200 dinheiro e 48.76 pix)</t>
  </si>
  <si>
    <t xml:space="preserve">Papel toalha </t>
  </si>
  <si>
    <t xml:space="preserve">Extra cascão </t>
  </si>
  <si>
    <t>Henrique - Trafego Pago</t>
  </si>
  <si>
    <t>Boleto Riberdoce</t>
  </si>
  <si>
    <t>Vale Transporte Natalia</t>
  </si>
  <si>
    <t>2026-01</t>
  </si>
  <si>
    <t>Celso Boleto</t>
  </si>
  <si>
    <t>Celso Pix</t>
  </si>
  <si>
    <t>2026-02</t>
  </si>
  <si>
    <t>Boleto Potes Delivery</t>
  </si>
  <si>
    <t>Frutas Congeladas</t>
  </si>
  <si>
    <t>Creme de Leite</t>
  </si>
  <si>
    <t>Trafego Pago</t>
  </si>
  <si>
    <t>Boleto Mec3</t>
  </si>
  <si>
    <t>Boleto Alarme</t>
  </si>
  <si>
    <t>Boleto Pregel</t>
  </si>
  <si>
    <t xml:space="preserve">Frete guardanapos </t>
  </si>
  <si>
    <t>Salarios</t>
  </si>
  <si>
    <t>Salario Tais</t>
  </si>
  <si>
    <t>Vendas ifood</t>
  </si>
  <si>
    <t xml:space="preserve">Boleto Pazotti </t>
  </si>
  <si>
    <t xml:space="preserve">Fabi faxina </t>
  </si>
  <si>
    <t xml:space="preserve">Patrícia Faxina </t>
  </si>
  <si>
    <t>Seguro de vida</t>
  </si>
  <si>
    <t xml:space="preserve">Liquidificador </t>
  </si>
  <si>
    <t xml:space="preserve">Creme de leite e lâmpada </t>
  </si>
  <si>
    <t>Boleto potes delivery</t>
  </si>
  <si>
    <t>Freelancer Luany</t>
  </si>
  <si>
    <t>Vendas Ifoood</t>
  </si>
  <si>
    <t xml:space="preserve">Papel Higienico </t>
  </si>
  <si>
    <t>Creme de leite</t>
  </si>
  <si>
    <t>Dedetização</t>
  </si>
  <si>
    <t>Leite mercado</t>
  </si>
  <si>
    <t>Freelancer Mau fds</t>
  </si>
  <si>
    <t>Impressao</t>
  </si>
  <si>
    <t>Acerto Iris</t>
  </si>
  <si>
    <t xml:space="preserve">Freelancer </t>
  </si>
  <si>
    <t>Rafaela Teste</t>
  </si>
  <si>
    <t>Adiantamento</t>
  </si>
  <si>
    <t xml:space="preserve">Limpeza dos ares </t>
  </si>
  <si>
    <t>Icms</t>
  </si>
  <si>
    <t>Fgts</t>
  </si>
  <si>
    <t>Darf</t>
  </si>
  <si>
    <t>Das</t>
  </si>
  <si>
    <t>Vendas  ifood</t>
  </si>
  <si>
    <t>Vale Tais</t>
  </si>
  <si>
    <t>Frete Copinhos</t>
  </si>
  <si>
    <t>Boleto Morango</t>
  </si>
  <si>
    <t>Exame Admissonal Rafaela</t>
  </si>
  <si>
    <t>Conserto peca produtora</t>
  </si>
  <si>
    <t>foi no dia 21, lancei dia 22</t>
  </si>
  <si>
    <t>Motooboy</t>
  </si>
  <si>
    <t xml:space="preserve">Conserto liquidificador </t>
  </si>
  <si>
    <t>Dias Rafaela teste</t>
  </si>
  <si>
    <t>Mooboy</t>
  </si>
  <si>
    <t>Freelancer (Ju 105 + 55 Rafala teste)</t>
  </si>
  <si>
    <t xml:space="preserve">Leite b </t>
  </si>
  <si>
    <t xml:space="preserve">Luz e agua </t>
  </si>
  <si>
    <t xml:space="preserve">boleto Ecila </t>
  </si>
  <si>
    <t xml:space="preserve">Sistema </t>
  </si>
  <si>
    <t xml:space="preserve">Vale transporte Nathalia </t>
  </si>
  <si>
    <t>Art Geovana</t>
  </si>
  <si>
    <t xml:space="preserve">Henrique </t>
  </si>
  <si>
    <t>Dias Amanda teste</t>
  </si>
  <si>
    <t xml:space="preserve">Exame adimissional </t>
  </si>
  <si>
    <t xml:space="preserve">Plaquinha e adesivo </t>
  </si>
  <si>
    <t>Agua</t>
  </si>
  <si>
    <t>Boleto mec 3</t>
  </si>
  <si>
    <t xml:space="preserve">Paçoca </t>
  </si>
  <si>
    <t xml:space="preserve">Salarios </t>
  </si>
  <si>
    <t>Salrio Tais</t>
  </si>
  <si>
    <t xml:space="preserve">Cartão </t>
  </si>
  <si>
    <t>Amanda teste</t>
  </si>
  <si>
    <t xml:space="preserve">Conserto ar condicionado </t>
  </si>
  <si>
    <t xml:space="preserve">Baldes 50 litros </t>
  </si>
  <si>
    <t>Boleto Seguro de vida</t>
  </si>
  <si>
    <t>Banner</t>
  </si>
  <si>
    <t>Pazinhas Thales</t>
  </si>
  <si>
    <t xml:space="preserve">Boleto. Andaluz </t>
  </si>
  <si>
    <t xml:space="preserve">Uniformes </t>
  </si>
  <si>
    <t>Luanny</t>
  </si>
  <si>
    <t>Cachaça</t>
  </si>
  <si>
    <t>Farmacia bandaid e curativo</t>
  </si>
  <si>
    <t xml:space="preserve">Cascão </t>
  </si>
  <si>
    <t>Boleto Internet</t>
  </si>
  <si>
    <t>Boleto Licença Funcionamento</t>
  </si>
  <si>
    <t xml:space="preserve">Adiantamento </t>
  </si>
  <si>
    <t>DARF</t>
  </si>
  <si>
    <t xml:space="preserve">Carlinhos arrumou estante e portas </t>
  </si>
  <si>
    <t xml:space="preserve">Bolo e refri meninas </t>
  </si>
  <si>
    <t xml:space="preserve">Limpeza máquinas </t>
  </si>
  <si>
    <t xml:space="preserve">Conserto ar </t>
  </si>
  <si>
    <t xml:space="preserve">Boleto mec 3 </t>
  </si>
  <si>
    <t>Boleto Mec 3plaqui</t>
  </si>
  <si>
    <t>Bolo aniversario</t>
  </si>
  <si>
    <t xml:space="preserve">Plaquinha gelato </t>
  </si>
  <si>
    <t xml:space="preserve">Ibérica </t>
  </si>
  <si>
    <t>Cairé ( fonte e luzinhas)</t>
  </si>
  <si>
    <t xml:space="preserve">Cartão de crédito </t>
  </si>
  <si>
    <t xml:space="preserve">Vale transporte </t>
  </si>
  <si>
    <t xml:space="preserve">Cafés </t>
  </si>
  <si>
    <t>Vidro Vitrine</t>
  </si>
  <si>
    <t xml:space="preserve">Entrada flores para dia das mulheres </t>
  </si>
  <si>
    <t xml:space="preserve">Refil carimbo fidelidade </t>
  </si>
  <si>
    <t>Vale Alimentação</t>
  </si>
  <si>
    <t>2026-03</t>
  </si>
  <si>
    <t xml:space="preserve">Faxina </t>
  </si>
  <si>
    <t>Boleto polar (Thales)</t>
  </si>
  <si>
    <t xml:space="preserve">Luz + água </t>
  </si>
  <si>
    <t xml:space="preserve">Adesivo </t>
  </si>
  <si>
    <t xml:space="preserve">Adesivos </t>
  </si>
  <si>
    <t xml:space="preserve">Cartão de crédito restante </t>
  </si>
  <si>
    <t xml:space="preserve">Restante dias Amanda </t>
  </si>
  <si>
    <t>Frete Mec 3</t>
  </si>
  <si>
    <t xml:space="preserve">Simples do mês de fevereiro </t>
  </si>
  <si>
    <t>Aguas</t>
  </si>
  <si>
    <t>Plaquinhas</t>
  </si>
  <si>
    <t xml:space="preserve">Boleto Odontológico </t>
  </si>
  <si>
    <t>Arfrye</t>
  </si>
  <si>
    <t xml:space="preserve">Filtro água </t>
  </si>
  <si>
    <t>Boleto Morangos</t>
  </si>
  <si>
    <t>Vendas IFood</t>
  </si>
  <si>
    <t>Frete Castanhas</t>
  </si>
  <si>
    <t>Adiantamentos</t>
  </si>
  <si>
    <t>Coisas Thales vai trazer ( potes, sacos de lixo…)</t>
  </si>
  <si>
    <t>Limpeza Filtro AR</t>
  </si>
  <si>
    <t>Castanha do Brasil</t>
  </si>
  <si>
    <t xml:space="preserve">Chocolate Blend </t>
  </si>
  <si>
    <t xml:space="preserve">Vale Luany </t>
  </si>
  <si>
    <t xml:space="preserve">Certificado digital </t>
  </si>
  <si>
    <t>Enforca gato</t>
  </si>
  <si>
    <t xml:space="preserve">Conserto máquina cascão </t>
  </si>
  <si>
    <t xml:space="preserve">Frutas cenoura </t>
  </si>
  <si>
    <t>2026-04</t>
  </si>
  <si>
    <t>Hora extra Luany</t>
  </si>
  <si>
    <t>Ovinhos meninas</t>
  </si>
  <si>
    <t xml:space="preserve">Pagamento Tais </t>
  </si>
  <si>
    <t xml:space="preserve">Boleto guardanapos </t>
  </si>
  <si>
    <t xml:space="preserve">Pagamentos funcionários </t>
  </si>
  <si>
    <t xml:space="preserve">Castanhas promo </t>
  </si>
  <si>
    <t>Exame Demissional</t>
  </si>
  <si>
    <t>Mel</t>
  </si>
  <si>
    <t xml:space="preserve">Café </t>
  </si>
  <si>
    <t xml:space="preserve">Boleto Seguro de vida </t>
  </si>
  <si>
    <t>Creme de leite de caixinha</t>
  </si>
  <si>
    <t xml:space="preserve">Boleto castanhas </t>
  </si>
  <si>
    <t xml:space="preserve">Boleto Odonto </t>
  </si>
  <si>
    <t xml:space="preserve">Paçoca zero açúcar </t>
  </si>
  <si>
    <t xml:space="preserve">Demissão Rafaela </t>
  </si>
  <si>
    <t>FOLGA LUANY</t>
  </si>
  <si>
    <t xml:space="preserve">SIMPLES </t>
  </si>
  <si>
    <t>FRutas</t>
  </si>
  <si>
    <t xml:space="preserve">Folga Luany </t>
  </si>
  <si>
    <t>Vale transporte Nathalia</t>
  </si>
  <si>
    <t>Ovo</t>
  </si>
  <si>
    <t>Torteli</t>
  </si>
  <si>
    <t xml:space="preserve">Suspiro </t>
  </si>
  <si>
    <t>Boleto Diniz</t>
  </si>
  <si>
    <t xml:space="preserve">Limão </t>
  </si>
  <si>
    <t>Paflo, lampada e cola</t>
  </si>
  <si>
    <t xml:space="preserve">Luany domingo adiantado </t>
  </si>
  <si>
    <t>Alarme</t>
  </si>
  <si>
    <t>Trafego pago</t>
  </si>
  <si>
    <t xml:space="preserve">Boleto vigilância sanitária </t>
  </si>
  <si>
    <t xml:space="preserve">Dedetizacao </t>
  </si>
  <si>
    <t>Royalty</t>
  </si>
  <si>
    <t>Plano de Saude</t>
  </si>
  <si>
    <t>Adiantamento Tais</t>
  </si>
  <si>
    <t>Moyoboy</t>
  </si>
  <si>
    <t xml:space="preserve">Vendas Ifood </t>
  </si>
  <si>
    <t xml:space="preserve">Boleto odonto </t>
  </si>
  <si>
    <t>Croiassant</t>
  </si>
  <si>
    <t>DAE</t>
  </si>
  <si>
    <t>Adesivo + plaquinha</t>
  </si>
  <si>
    <t>Maracujá</t>
  </si>
  <si>
    <t>Cafés</t>
  </si>
  <si>
    <t>Papelaria (impressoes + fita crepe)</t>
  </si>
  <si>
    <t>VEndas</t>
  </si>
  <si>
    <t>Simples</t>
  </si>
  <si>
    <t xml:space="preserve">Acerto Nathalia </t>
  </si>
  <si>
    <t>35 de Cuba</t>
  </si>
  <si>
    <t xml:space="preserve">Creme de leite Thales doq estou devendo ele </t>
  </si>
  <si>
    <t>Thales produtos q peguei</t>
  </si>
  <si>
    <t>Boleto Ecad</t>
  </si>
  <si>
    <t xml:space="preserve">Creme de Leite  </t>
  </si>
  <si>
    <t>Nathalia extra produção</t>
  </si>
  <si>
    <t xml:space="preserve">Boletos Diniz </t>
  </si>
  <si>
    <t>2026-05</t>
  </si>
  <si>
    <t>Diferenca caixa</t>
  </si>
  <si>
    <t xml:space="preserve">Luz e água mês março </t>
  </si>
  <si>
    <t xml:space="preserve">Morango </t>
  </si>
  <si>
    <t>Impressos</t>
  </si>
  <si>
    <t xml:space="preserve">1/3 férias Tais </t>
  </si>
  <si>
    <t xml:space="preserve">Cubas </t>
  </si>
  <si>
    <t>VEndas Ifood</t>
  </si>
  <si>
    <t xml:space="preserve">Plano odontológico mês 02 </t>
  </si>
  <si>
    <t xml:space="preserve">Royalt </t>
  </si>
  <si>
    <t xml:space="preserve">Seguro de vida </t>
  </si>
  <si>
    <t xml:space="preserve">Boleto polar </t>
  </si>
  <si>
    <t xml:space="preserve">Recisao Rafaela </t>
  </si>
  <si>
    <t>Plaquinha sabor</t>
  </si>
  <si>
    <t>Frete Guardanapos</t>
  </si>
  <si>
    <t>Boleto Amoras</t>
  </si>
  <si>
    <t xml:space="preserve">Odonto </t>
  </si>
  <si>
    <t>Maracuja</t>
  </si>
  <si>
    <t>Boleto Ecila (parte thales)</t>
  </si>
  <si>
    <t>SIMPLES</t>
  </si>
  <si>
    <t>Ecad musica</t>
  </si>
  <si>
    <t>Boleto Ecila ( 195,59 Thales)</t>
  </si>
  <si>
    <t xml:space="preserve">Adesivos plaquinhas </t>
  </si>
  <si>
    <t xml:space="preserve">Boleto Diniz 195,69 Thales </t>
  </si>
  <si>
    <t xml:space="preserve">Impressões </t>
  </si>
  <si>
    <t>Sabor</t>
  </si>
  <si>
    <t>Mdd</t>
  </si>
  <si>
    <t>Qtd</t>
  </si>
  <si>
    <t>Proporção em %</t>
  </si>
  <si>
    <t xml:space="preserve">Valor </t>
  </si>
  <si>
    <t xml:space="preserve">Valores da Materia Prima </t>
  </si>
  <si>
    <t>Pistache</t>
  </si>
  <si>
    <t>Gelato</t>
  </si>
  <si>
    <t>Leite Integral Fresco</t>
  </si>
  <si>
    <t>Gramas</t>
  </si>
  <si>
    <t>Peso Prod</t>
  </si>
  <si>
    <t>1 kg</t>
  </si>
  <si>
    <t>Creme de Leite 70%</t>
  </si>
  <si>
    <t xml:space="preserve">1kg </t>
  </si>
  <si>
    <t>Copinho Pequeno</t>
  </si>
  <si>
    <t>Sacarose</t>
  </si>
  <si>
    <t>Copinho Médio</t>
  </si>
  <si>
    <t>5kg</t>
  </si>
  <si>
    <t>Grandissimo</t>
  </si>
  <si>
    <t>Base 6 MEC 3</t>
  </si>
  <si>
    <t>Açúcar fino</t>
  </si>
  <si>
    <t>Pequeno Viagem</t>
  </si>
  <si>
    <t>Glucose em pó 38DE</t>
  </si>
  <si>
    <t>Grande Viagem</t>
  </si>
  <si>
    <t>Leite em pó desnatado</t>
  </si>
  <si>
    <t>30kg</t>
  </si>
  <si>
    <t>Cascao 1 Bola</t>
  </si>
  <si>
    <t>Pistache Califórnia</t>
  </si>
  <si>
    <t>25kg</t>
  </si>
  <si>
    <t>Cascao 2 Bola</t>
  </si>
  <si>
    <t>Pistache Diamante</t>
  </si>
  <si>
    <t>Pistache granel</t>
  </si>
  <si>
    <t>Mescla</t>
  </si>
  <si>
    <t>Cacau em pó Holandês</t>
  </si>
  <si>
    <t>Avelã</t>
  </si>
  <si>
    <t>2,5kg</t>
  </si>
  <si>
    <t>Kinder Bueno</t>
  </si>
  <si>
    <t>3,5kg</t>
  </si>
  <si>
    <t>Nocciola Pasta</t>
  </si>
  <si>
    <t>Quella</t>
  </si>
  <si>
    <t>3kg</t>
  </si>
  <si>
    <t>Creme Cheese Cake Aromitalia</t>
  </si>
  <si>
    <t>Fior di Bosco</t>
  </si>
  <si>
    <t>Doce de Leite</t>
  </si>
  <si>
    <t>9.8kg</t>
  </si>
  <si>
    <t>Chocolate Blend</t>
  </si>
  <si>
    <t>2,1kg</t>
  </si>
  <si>
    <t>Yogomix</t>
  </si>
  <si>
    <t>2kg</t>
  </si>
  <si>
    <t xml:space="preserve">AROMITALIA MESCLA STRAC BR STAND </t>
  </si>
  <si>
    <t>3,25KG</t>
  </si>
  <si>
    <t>LEITE COND AUREA BAG 5KG</t>
  </si>
  <si>
    <t>Cheese Cake com Fior di Bosco</t>
  </si>
  <si>
    <t>RECHEIO KIT KAT NESTLE 1,01KG</t>
  </si>
  <si>
    <t>1kg</t>
  </si>
  <si>
    <t>AROMITALIA MESCLA TRUFA BRANCA 3,5KG</t>
  </si>
  <si>
    <t>CHOC BRANCO KIBBLES CARGILL 25KG</t>
  </si>
  <si>
    <t>PASTA DE AMENDOIM INT BALSAMO 5KG</t>
  </si>
  <si>
    <t>5 kg</t>
  </si>
  <si>
    <t>Leite em Pó Desnatado</t>
  </si>
  <si>
    <t>Água</t>
  </si>
  <si>
    <t>Chocolate Belga</t>
  </si>
  <si>
    <t>Fior di Latte</t>
  </si>
  <si>
    <t>Iogurte com Amarena</t>
  </si>
  <si>
    <t>Nutellina</t>
  </si>
  <si>
    <t>Produtor</t>
  </si>
  <si>
    <t>Quantidade</t>
  </si>
  <si>
    <t>cheese cake</t>
  </si>
  <si>
    <t>Natalia+Alisson</t>
  </si>
  <si>
    <t>chocolate Nero</t>
  </si>
  <si>
    <t>Iogurte com amarena</t>
  </si>
  <si>
    <t>nutellina</t>
  </si>
  <si>
    <t>fior de latte</t>
  </si>
  <si>
    <t>leite ninho c/ Nutella</t>
  </si>
  <si>
    <t>doce de leite</t>
  </si>
  <si>
    <t>abacaxi</t>
  </si>
  <si>
    <t>limão</t>
  </si>
  <si>
    <t>sonho de valsa</t>
  </si>
  <si>
    <t>mascarpone c/maracujá e pista</t>
  </si>
  <si>
    <t>coco zero</t>
  </si>
  <si>
    <t>paçoca zero</t>
  </si>
  <si>
    <t>Kinder Bueno branco</t>
  </si>
  <si>
    <t>Red Velvet</t>
  </si>
  <si>
    <t>dolce stracciatela</t>
  </si>
  <si>
    <t>chocolate belga</t>
  </si>
  <si>
    <t>morango</t>
  </si>
  <si>
    <t>manga</t>
  </si>
  <si>
    <t>Iogurte c/Amarena</t>
  </si>
  <si>
    <t>Natalia</t>
  </si>
  <si>
    <t>mascarpone c/maracujá</t>
  </si>
  <si>
    <t>Alisson</t>
  </si>
  <si>
    <t>Troppo Latte</t>
  </si>
  <si>
    <t>cheese cake com fragola</t>
  </si>
  <si>
    <t>mascarpone c/goiabada</t>
  </si>
  <si>
    <t>White Dubai</t>
  </si>
  <si>
    <t>Charge</t>
  </si>
  <si>
    <t>Caramelo Salgado</t>
  </si>
  <si>
    <t>maracujá</t>
  </si>
  <si>
    <t>kit Kat</t>
  </si>
  <si>
    <t>pistache</t>
  </si>
  <si>
    <t>Kinder ovo</t>
  </si>
  <si>
    <t>franui de pistache</t>
  </si>
  <si>
    <t>Crunch cacau</t>
  </si>
  <si>
    <t>Floresta Branca</t>
  </si>
  <si>
    <t>mousse de maracujá c/ nutella</t>
  </si>
  <si>
    <t>café com doce de leite</t>
  </si>
  <si>
    <t>nero</t>
  </si>
  <si>
    <t>manga zero</t>
  </si>
  <si>
    <t>belga</t>
  </si>
  <si>
    <t>Crunch Cacao</t>
  </si>
  <si>
    <t>yogurt com amarena</t>
  </si>
  <si>
    <t>Torta de limao</t>
  </si>
  <si>
    <t>Kinder bueno</t>
  </si>
  <si>
    <t>Chocolate 50%</t>
  </si>
  <si>
    <t>leite ninho com palha italiana</t>
  </si>
  <si>
    <t>laka oreo</t>
  </si>
  <si>
    <t>pé de moleque</t>
  </si>
  <si>
    <t>stela di natale</t>
  </si>
  <si>
    <t>coco branco</t>
  </si>
  <si>
    <t>leite ninho com morango</t>
  </si>
  <si>
    <t>fior di Latte</t>
  </si>
  <si>
    <t>ninho c/palha italiana</t>
  </si>
  <si>
    <t>Laka Oreo</t>
  </si>
  <si>
    <t>Stella de Natale</t>
  </si>
  <si>
    <t>iorgurt com amarena</t>
  </si>
  <si>
    <t>Coco branco</t>
  </si>
  <si>
    <t>Leite ninho com morango</t>
  </si>
  <si>
    <t>Chocolate belga</t>
  </si>
  <si>
    <t>Leite ninho com palha italiana</t>
  </si>
  <si>
    <t>Laka oreo</t>
  </si>
  <si>
    <t>Cheese cake</t>
  </si>
  <si>
    <t>Stela di natale</t>
  </si>
  <si>
    <t>kinder bueno</t>
  </si>
  <si>
    <t>Cheese Cake</t>
  </si>
  <si>
    <t>Franui</t>
  </si>
  <si>
    <t>cheese cake fior di bosco</t>
  </si>
  <si>
    <t>cheese cake com maracuja</t>
  </si>
  <si>
    <t>stella di natale</t>
  </si>
  <si>
    <t>iogurt com amarena</t>
  </si>
  <si>
    <t>mascarpone com laranja e pistache</t>
  </si>
  <si>
    <t>kinder ovo</t>
  </si>
  <si>
    <t>nozes com figo</t>
  </si>
  <si>
    <t>paçoca</t>
  </si>
  <si>
    <t>Nero</t>
  </si>
  <si>
    <t>fior di latte</t>
  </si>
  <si>
    <t>kitkat</t>
  </si>
  <si>
    <t>crunch Itália</t>
  </si>
  <si>
    <t>cheese Cake</t>
  </si>
  <si>
    <t>ninho com Nutella</t>
  </si>
  <si>
    <t>Chocotone</t>
  </si>
  <si>
    <t>chocolate zero</t>
  </si>
  <si>
    <t>maracuja</t>
  </si>
  <si>
    <t>coco</t>
  </si>
  <si>
    <t>ninho com nutella</t>
  </si>
  <si>
    <t>crunch italia</t>
  </si>
  <si>
    <t>leite ninho com nutella</t>
  </si>
  <si>
    <t>chocotone</t>
  </si>
  <si>
    <t>crunch brasil</t>
  </si>
  <si>
    <t>bombom de nozes</t>
  </si>
  <si>
    <t>panetone</t>
  </si>
  <si>
    <t>gianduia</t>
  </si>
  <si>
    <t>iogurt  com amarena</t>
  </si>
  <si>
    <t>pezzo</t>
  </si>
  <si>
    <t>ouro branco</t>
  </si>
  <si>
    <t>zabaione</t>
  </si>
  <si>
    <t>manga com maracujá</t>
  </si>
  <si>
    <t>iogurte com Amarena</t>
  </si>
  <si>
    <t>Fior de latte</t>
  </si>
  <si>
    <t>Ouro branco</t>
  </si>
  <si>
    <t>Avelã  zero</t>
  </si>
  <si>
    <t>Mascarpone com goiabada</t>
  </si>
  <si>
    <t>Pezzo del nord</t>
  </si>
  <si>
    <t>tiramissu</t>
  </si>
  <si>
    <t>avelã</t>
  </si>
  <si>
    <t>marcarpone com laranja e pistache</t>
  </si>
  <si>
    <t>torta de limao</t>
  </si>
  <si>
    <t>leite ninho com maracuja</t>
  </si>
  <si>
    <t>limao</t>
  </si>
  <si>
    <t>iogurt com laranja</t>
  </si>
  <si>
    <t>troppo late</t>
  </si>
  <si>
    <t>ovomaltine</t>
  </si>
  <si>
    <t>kinde bueno</t>
  </si>
  <si>
    <t>troppo latte</t>
  </si>
  <si>
    <t>diamante negro</t>
  </si>
  <si>
    <t>cappuccino</t>
  </si>
  <si>
    <t>cheese cake caramelo salgado</t>
  </si>
  <si>
    <t>dubai nocciola</t>
  </si>
  <si>
    <t>romeu e julieta</t>
  </si>
  <si>
    <t>morango com abacaxi</t>
  </si>
  <si>
    <t>Cheese cake caramelo salgado</t>
  </si>
  <si>
    <t>Romeu e Julieta</t>
  </si>
  <si>
    <t>chocolate 50%</t>
  </si>
  <si>
    <t>Leite ninho c/ Nutella</t>
  </si>
  <si>
    <t>Franui de pistache</t>
  </si>
  <si>
    <t>cremino de pistache</t>
  </si>
  <si>
    <t>white dubai</t>
  </si>
  <si>
    <t>laka com diamante</t>
  </si>
  <si>
    <t>rafaello</t>
  </si>
  <si>
    <t>la cubaneira</t>
  </si>
  <si>
    <t>laka diamante</t>
  </si>
  <si>
    <t>la cubanera</t>
  </si>
  <si>
    <t>cheesecake</t>
  </si>
  <si>
    <t>diamante Laka</t>
  </si>
  <si>
    <t>morango com Nutella</t>
  </si>
  <si>
    <t>maracujá com nutella</t>
  </si>
  <si>
    <t>Paçoca com nutella</t>
  </si>
  <si>
    <t>Pezzo Bianco</t>
  </si>
  <si>
    <t>paçoca com Nutella</t>
  </si>
  <si>
    <t>coco zero (antes do Alisson chegar)</t>
  </si>
  <si>
    <t>maracuja com nutella</t>
  </si>
  <si>
    <t>caipirinha de maracujá</t>
  </si>
  <si>
    <t>folia de carnaval</t>
  </si>
  <si>
    <t>charge</t>
  </si>
  <si>
    <t>Iogurte com Amarena (antes do Alisson chegar )</t>
  </si>
  <si>
    <t>cheese cake (antes do Alisson chegar )</t>
  </si>
  <si>
    <t>fior de latte (antes do Alisson chegar )</t>
  </si>
  <si>
    <t>nutellina (antes do Alisson chegar)</t>
  </si>
  <si>
    <t>caipirinha</t>
  </si>
  <si>
    <t>mascarpone com goiabada</t>
  </si>
  <si>
    <t>chocolate com laranja</t>
  </si>
  <si>
    <t>chiclete da Barbie</t>
  </si>
  <si>
    <t>pitaya com maracujá</t>
  </si>
  <si>
    <t>pitaya</t>
  </si>
  <si>
    <t>mousse de pistache</t>
  </si>
  <si>
    <t>troppo Latte</t>
  </si>
  <si>
    <t>nozes com doce de leite</t>
  </si>
  <si>
    <t>pistache .</t>
  </si>
  <si>
    <t>iogurte com maracujá</t>
  </si>
  <si>
    <t>floresta branca</t>
  </si>
  <si>
    <t>bolo de cenoura 🥕</t>
  </si>
  <si>
    <t>bolo de cenoura</t>
  </si>
  <si>
    <t>chocobiscoito branco</t>
  </si>
  <si>
    <t>pão de mel</t>
  </si>
  <si>
    <t>50% com maracujá</t>
  </si>
  <si>
    <t>nocciola</t>
  </si>
  <si>
    <t>iogurte</t>
  </si>
  <si>
    <t>chocobiscoito</t>
  </si>
  <si>
    <t>50% com maracuja</t>
  </si>
  <si>
    <t>caramel macchiato</t>
  </si>
  <si>
    <t>Danoninho</t>
  </si>
  <si>
    <t>coco batido</t>
  </si>
  <si>
    <t>maracujá com brigadeiro</t>
  </si>
  <si>
    <t>danoninho</t>
  </si>
  <si>
    <t>caramel machiatto</t>
  </si>
  <si>
    <t>maracuja com brigadeiro</t>
  </si>
  <si>
    <t>mascarpone</t>
  </si>
  <si>
    <t>iogurt</t>
  </si>
  <si>
    <t>0.5</t>
  </si>
  <si>
    <t>Mascarpone com l e p</t>
  </si>
  <si>
    <t>white Dubai</t>
  </si>
  <si>
    <t>menta com chocolate</t>
  </si>
  <si>
    <t>Tentação</t>
  </si>
  <si>
    <t>banoffe</t>
  </si>
  <si>
    <t>Ferrero Rocher</t>
  </si>
  <si>
    <t>chocolate com Amarena</t>
  </si>
  <si>
    <t>ninho com morango</t>
  </si>
  <si>
    <t>kinder Bueno</t>
  </si>
  <si>
    <t>leite ninho zero</t>
  </si>
  <si>
    <t>caramelo salgado</t>
  </si>
  <si>
    <t>coco com doce de leite</t>
  </si>
  <si>
    <t>merengue</t>
  </si>
  <si>
    <t>amora</t>
  </si>
  <si>
    <t>ninho zero</t>
  </si>
  <si>
    <t>Amora</t>
  </si>
  <si>
    <t>marcarpone com o l e p</t>
  </si>
  <si>
    <t>Tiramisu</t>
  </si>
  <si>
    <t>macadâmia</t>
  </si>
  <si>
    <t>mascarpone L e P</t>
  </si>
  <si>
    <t>iogurte  com Amarena</t>
  </si>
  <si>
    <t>torta de limão</t>
  </si>
  <si>
    <t>café com chocolate</t>
  </si>
  <si>
    <t>Matilda cake</t>
  </si>
  <si>
    <t>lá cubanera</t>
  </si>
  <si>
    <t>café c/ chocolate</t>
  </si>
  <si>
    <t>Iogurte</t>
  </si>
  <si>
    <t>dolce stracciatella</t>
  </si>
  <si>
    <t>Iogurte com mexerica</t>
  </si>
  <si>
    <t>coco com abóbora</t>
  </si>
  <si>
    <t>franui pistache</t>
  </si>
  <si>
    <t>parmesão com doce de leite</t>
  </si>
  <si>
    <t>brigadeiro belga</t>
  </si>
  <si>
    <t>pipoca</t>
  </si>
  <si>
    <t>passione e pistache</t>
  </si>
  <si>
    <t>chocolate branco</t>
  </si>
  <si>
    <t>churros</t>
  </si>
  <si>
    <t>paçoca com nutella</t>
  </si>
  <si>
    <t>ferrero rocher</t>
  </si>
  <si>
    <t>matilda</t>
  </si>
  <si>
    <t>Kcal</t>
  </si>
  <si>
    <t>VD Kcal %</t>
  </si>
  <si>
    <t>Carboidratos g</t>
  </si>
  <si>
    <t>VD Carb %</t>
  </si>
  <si>
    <t>Açúcares Totais g</t>
  </si>
  <si>
    <t>Açúcares Adicionados g</t>
  </si>
  <si>
    <t>Gorduras Totais g</t>
  </si>
  <si>
    <t>VD Gord %</t>
  </si>
  <si>
    <t>Gorduras Saturadas g</t>
  </si>
  <si>
    <t>VD Sat %</t>
  </si>
  <si>
    <t>Proteína g</t>
  </si>
  <si>
    <t>VD Prot %</t>
  </si>
  <si>
    <t>Fibra g</t>
  </si>
  <si>
    <t>VD Fibra %</t>
  </si>
  <si>
    <t>Sódio mg</t>
  </si>
  <si>
    <t>VD Sódio %</t>
  </si>
  <si>
    <t>Contém Leite</t>
  </si>
  <si>
    <t>Contém Açúcar</t>
  </si>
  <si>
    <t>Sim</t>
  </si>
  <si>
    <t>Cheesecake de Frutas Vermelhas</t>
  </si>
  <si>
    <t>Pezzo del Nord</t>
  </si>
  <si>
    <t>Não</t>
  </si>
  <si>
    <t>Limão Siciliano</t>
  </si>
  <si>
    <t>Indicador</t>
  </si>
  <si>
    <t>Meta</t>
  </si>
  <si>
    <t>Faturamento mensal</t>
  </si>
  <si>
    <t>R$ — ajuste conforme a estação</t>
  </si>
  <si>
    <t>CMV %</t>
  </si>
  <si>
    <t>percentual máximo sobre o faturamento</t>
  </si>
  <si>
    <t>Folha %</t>
  </si>
  <si>
    <t>Marketing %</t>
  </si>
  <si>
    <t>Resultado mensal</t>
  </si>
  <si>
    <t>R$ — lucro operacional desejado</t>
  </si>
  <si>
    <t>Ingrediente</t>
  </si>
  <si>
    <t>Unidade</t>
  </si>
  <si>
    <t>Abacaxi</t>
  </si>
  <si>
    <t>Sorbet</t>
  </si>
  <si>
    <t>Base Fruta</t>
  </si>
  <si>
    <t>Fibra</t>
  </si>
  <si>
    <t>Abacaxi com hortelã</t>
  </si>
  <si>
    <t>Hortelã</t>
  </si>
  <si>
    <t>Framboesa</t>
  </si>
  <si>
    <t>Goiaba</t>
  </si>
  <si>
    <t>Goiabada</t>
  </si>
  <si>
    <t>Laranja</t>
  </si>
  <si>
    <t>Limão</t>
  </si>
  <si>
    <t>Manga</t>
  </si>
  <si>
    <t>Manga e Maracujá</t>
  </si>
  <si>
    <t>fibra</t>
  </si>
  <si>
    <t>Maracujá alcoolico</t>
  </si>
  <si>
    <t>cachaça</t>
  </si>
  <si>
    <t>Morango com Laranja</t>
  </si>
  <si>
    <t>Cacau em Pó Cargil Vermelho</t>
  </si>
  <si>
    <t>Chocolate Barry Calebaut 70%</t>
  </si>
  <si>
    <t>Tomate</t>
  </si>
  <si>
    <t>sal</t>
  </si>
  <si>
    <t>Abacate</t>
  </si>
  <si>
    <t>abacate</t>
  </si>
  <si>
    <t>Abacaxi ao vinho</t>
  </si>
  <si>
    <t>Amarena Crocante</t>
  </si>
  <si>
    <t>sacarose</t>
  </si>
  <si>
    <t>Amêndoas</t>
  </si>
  <si>
    <t>Mandorla doce pasta</t>
  </si>
  <si>
    <t>Stracciatella amarga</t>
  </si>
  <si>
    <t>Amendoim salgado</t>
  </si>
  <si>
    <t>Amendoim Pasta</t>
  </si>
  <si>
    <t>Banana</t>
  </si>
  <si>
    <t>Banana com Nutella</t>
  </si>
  <si>
    <t>Bannoffe</t>
  </si>
  <si>
    <t>Brunella caramelo</t>
  </si>
  <si>
    <t>Baunilha Francesa</t>
  </si>
  <si>
    <t>Baunilha french Pasta</t>
  </si>
  <si>
    <t>Baunilha com Doce de Leite e Macadamia</t>
  </si>
  <si>
    <t>Macadâmia</t>
  </si>
  <si>
    <t>Baunilha Com Frutas vermelhas</t>
  </si>
  <si>
    <t>Baunilha French Pasta</t>
  </si>
  <si>
    <t>Stracciatela Branca</t>
  </si>
  <si>
    <t>Baunilha Com Nozes caramelada</t>
  </si>
  <si>
    <t>Baunilha Com Ovomaltine</t>
  </si>
  <si>
    <t>Ovomaltine</t>
  </si>
  <si>
    <t>Beijinho de coco Queimado</t>
  </si>
  <si>
    <t>Coco Ralado Queimado</t>
  </si>
  <si>
    <t>Coco ralado</t>
  </si>
  <si>
    <t>Bolo de Cenoura</t>
  </si>
  <si>
    <t>Cenoura</t>
  </si>
  <si>
    <t>Manteiga</t>
  </si>
  <si>
    <t>Cacau em pó cargil vermelho</t>
  </si>
  <si>
    <t>Brigadeiro</t>
  </si>
  <si>
    <t>Café com Chocolate</t>
  </si>
  <si>
    <t>Café pasta</t>
  </si>
  <si>
    <t>Stracciatella Amarga</t>
  </si>
  <si>
    <t>Café com Doce de Leite e Crumble</t>
  </si>
  <si>
    <t>Canela em Pó</t>
  </si>
  <si>
    <t>Canela com Frutas Vermelhas</t>
  </si>
  <si>
    <t>canela em pó</t>
  </si>
  <si>
    <t>Caribe</t>
  </si>
  <si>
    <t>Rum Montila</t>
  </si>
  <si>
    <t>água</t>
  </si>
  <si>
    <t>Castanha de Caju</t>
  </si>
  <si>
    <t>Champanhe</t>
  </si>
  <si>
    <t>Champanhe 11°</t>
  </si>
  <si>
    <t>Cheese Cake com Arancia</t>
  </si>
  <si>
    <t>Cheese Cake com Limone</t>
  </si>
  <si>
    <t>Fior di Limone</t>
  </si>
  <si>
    <t>Cheese Cake com Maracujá</t>
  </si>
  <si>
    <t>Fior di Maracujá</t>
  </si>
  <si>
    <t>Chocobiscoito</t>
  </si>
  <si>
    <t>Biscoito</t>
  </si>
  <si>
    <t>Chocolate Meio Amargo Harald</t>
  </si>
  <si>
    <t>Chocolate Amargo com Nibs de Cacau e Avelã</t>
  </si>
  <si>
    <t>Nibs de cacau</t>
  </si>
  <si>
    <t>Chocolate Branco</t>
  </si>
  <si>
    <t>Chocolate Branco com Framboesa</t>
  </si>
  <si>
    <t>Stracciatella Branca</t>
  </si>
  <si>
    <t>Chocolate com Amarula</t>
  </si>
  <si>
    <t>Amarula</t>
  </si>
  <si>
    <t>Chocolate com Bombom de Amarena</t>
  </si>
  <si>
    <t>Chocolate blend</t>
  </si>
  <si>
    <t>Chocolate meio amargo com castanha do Brasil</t>
  </si>
  <si>
    <t>Ganache</t>
  </si>
  <si>
    <t>Chocolate com Frutas Vermelhas Zero</t>
  </si>
  <si>
    <t>Base G Creme</t>
  </si>
  <si>
    <t>Frutas Vermelhas Zero J&amp;B</t>
  </si>
  <si>
    <t>Chocolate com Licor de Menta</t>
  </si>
  <si>
    <t>Licor de Menta</t>
  </si>
  <si>
    <t>Chocolate com Pimenta</t>
  </si>
  <si>
    <t>Cacau em pó holandês</t>
  </si>
  <si>
    <t>Pimenta</t>
  </si>
  <si>
    <t>Zabaione</t>
  </si>
  <si>
    <t>Churros</t>
  </si>
  <si>
    <t>Coco Branco</t>
  </si>
  <si>
    <t>Coco Branco com Abacaxi e Doce de Leite</t>
  </si>
  <si>
    <t>Doce de Abacaxi</t>
  </si>
  <si>
    <t>Coco Diet</t>
  </si>
  <si>
    <t>Leite integral Fresco</t>
  </si>
  <si>
    <t>Base g creme</t>
  </si>
  <si>
    <t>Cremino</t>
  </si>
  <si>
    <t>Cremino de Pistache</t>
  </si>
  <si>
    <t>Trufa de Pistache</t>
  </si>
  <si>
    <t>Pasta de morango</t>
  </si>
  <si>
    <t>Diamante Negro</t>
  </si>
  <si>
    <t>Crocante de Amendoim</t>
  </si>
  <si>
    <t>Ferrero Rocher Dubelato</t>
  </si>
  <si>
    <t>Nocciola pasta</t>
  </si>
  <si>
    <t>Bombom R Pasta</t>
  </si>
  <si>
    <t>Bombom R Mescla</t>
  </si>
  <si>
    <t>Creme de Leite 35%</t>
  </si>
  <si>
    <t>Stracciatela branca</t>
  </si>
  <si>
    <t>Floresta Negra</t>
  </si>
  <si>
    <t>Framboesa Sorbet</t>
  </si>
  <si>
    <t>Framboesa com Chocolate Branco</t>
  </si>
  <si>
    <t>Franuí</t>
  </si>
  <si>
    <t>Gianduia Diet</t>
  </si>
  <si>
    <t>Goiaba Sorbet</t>
  </si>
  <si>
    <t>Goiaba Sorbet Diet</t>
  </si>
  <si>
    <t>Base G Frutte</t>
  </si>
  <si>
    <t>Gorgonzola</t>
  </si>
  <si>
    <t>Iogurte com Laranja</t>
  </si>
  <si>
    <t>Fior di arancia</t>
  </si>
  <si>
    <t>Kinder Ovo</t>
  </si>
  <si>
    <t>Kit Kat</t>
  </si>
  <si>
    <t>Kit Kat mescla</t>
  </si>
  <si>
    <t>Kokadinha</t>
  </si>
  <si>
    <t>Kokadinha Pesto</t>
  </si>
  <si>
    <t>Kokadinha mescla</t>
  </si>
  <si>
    <t>La Cubanera</t>
  </si>
  <si>
    <t>Quella Branca</t>
  </si>
  <si>
    <t>Crumble de cacau</t>
  </si>
  <si>
    <t>Laranja Sorbet</t>
  </si>
  <si>
    <t>Leite Moça</t>
  </si>
  <si>
    <t>Leite Ninho Zero</t>
  </si>
  <si>
    <t>Leite Ninho com Banana Zero</t>
  </si>
  <si>
    <t>Leite Ninho com Manga Zero</t>
  </si>
  <si>
    <t>Leite Ninho com Maracujá Zero</t>
  </si>
  <si>
    <t>Leite Ninho com Morango Zero</t>
  </si>
  <si>
    <t>Leite Ninho Trufado Zero</t>
  </si>
  <si>
    <t>Trufa de Chocolate Zero</t>
  </si>
  <si>
    <t>Leite Ninho Trufado</t>
  </si>
  <si>
    <t>Leite Ninho com Nutella</t>
  </si>
  <si>
    <t>Banana Trufada zero</t>
  </si>
  <si>
    <t>Trufa de chocolate Zero</t>
  </si>
  <si>
    <t>Creme de leite 70%</t>
  </si>
  <si>
    <t>Macadâmia Pesto</t>
  </si>
  <si>
    <t>Macadâmia mescla</t>
  </si>
  <si>
    <t>Mamão com cassis</t>
  </si>
  <si>
    <t>Mamão</t>
  </si>
  <si>
    <t>Cassis licor</t>
  </si>
  <si>
    <t>Manga Sorbet Diet</t>
  </si>
  <si>
    <t>Maracujá com Nutella</t>
  </si>
  <si>
    <t>Marolo</t>
  </si>
  <si>
    <t>Mascarpone com Figo</t>
  </si>
  <si>
    <t>Quarkmix</t>
  </si>
  <si>
    <t>Mascarpone com Goiabada</t>
  </si>
  <si>
    <t>Mascarpone com Laranja e Pistache</t>
  </si>
  <si>
    <t>Mel com Gengibre</t>
  </si>
  <si>
    <t>Gengibre</t>
  </si>
  <si>
    <t>Menta com Chocolate</t>
  </si>
  <si>
    <t>Menta Pasta</t>
  </si>
  <si>
    <t>Morango com Maracujá Sorbet Diet</t>
  </si>
  <si>
    <t>Milho Verde</t>
  </si>
  <si>
    <t>Curau de milho</t>
  </si>
  <si>
    <t>Morango com Ninho</t>
  </si>
  <si>
    <t>Pasta de Morango</t>
  </si>
  <si>
    <t>Creme Ninho</t>
  </si>
  <si>
    <t>Morango com Nutella</t>
  </si>
  <si>
    <t>Morango Sorbet</t>
  </si>
  <si>
    <t>Morango Sorbet Diet</t>
  </si>
  <si>
    <t>Mousse de limão com Chocolate branco</t>
  </si>
  <si>
    <t>Limão fabbri pó</t>
  </si>
  <si>
    <t>Mousse de Maracujá</t>
  </si>
  <si>
    <t>Mousse de Maracujá com Nutella</t>
  </si>
  <si>
    <t>Mousse de maracujá com Trufa de chocolate ZERO</t>
  </si>
  <si>
    <t>trufa de chocolate Zero</t>
  </si>
  <si>
    <t>Mousse de Morango com Leite Ninho</t>
  </si>
  <si>
    <t>trufa de ninho Zero</t>
  </si>
  <si>
    <t>Nozes com Doce de Leite</t>
  </si>
  <si>
    <t>Nozes pasta</t>
  </si>
  <si>
    <t>Nozes com Figo</t>
  </si>
  <si>
    <t>Oreo</t>
  </si>
  <si>
    <t>Oreonero</t>
  </si>
  <si>
    <t>Maltovo</t>
  </si>
  <si>
    <t>Paçoca Zero</t>
  </si>
  <si>
    <t>Paçoquita Zero</t>
  </si>
  <si>
    <t>Pasta de amendoim</t>
  </si>
  <si>
    <t>Paçoca</t>
  </si>
  <si>
    <t>Pão de mel</t>
  </si>
  <si>
    <t>Canela em pó</t>
  </si>
  <si>
    <t>Cravo</t>
  </si>
  <si>
    <t>Panetone</t>
  </si>
  <si>
    <t>Frutas Cristalizadas</t>
  </si>
  <si>
    <t>Parmesão</t>
  </si>
  <si>
    <t>Passione e Pistacchio</t>
  </si>
  <si>
    <t>Trufa de pistache</t>
  </si>
  <si>
    <t>Pistache Granel</t>
  </si>
  <si>
    <t>Pavê</t>
  </si>
  <si>
    <t>ganache</t>
  </si>
  <si>
    <t>Pistache Zero</t>
  </si>
  <si>
    <t>Prestígio</t>
  </si>
  <si>
    <t>Raffaello</t>
  </si>
  <si>
    <t>amêndoas</t>
  </si>
  <si>
    <t>Red velvet mescla</t>
  </si>
  <si>
    <t>Snickers</t>
  </si>
  <si>
    <t>Stella di Natale</t>
  </si>
  <si>
    <t>Cookies Spicy</t>
  </si>
  <si>
    <t>Talento</t>
  </si>
  <si>
    <t>Cacau em pó Cargil vermelho</t>
  </si>
  <si>
    <t>Tiramisu creme</t>
  </si>
  <si>
    <t>Torta de Limão</t>
  </si>
  <si>
    <t>Torta de limão Mescla</t>
  </si>
  <si>
    <t>Whisky</t>
  </si>
  <si>
    <t>Whisky Aromitalia</t>
  </si>
  <si>
    <t>Chocolate com Whisky</t>
  </si>
  <si>
    <t>Whisky Red Label</t>
  </si>
  <si>
    <t>Abacaxi Sorbet Diet</t>
  </si>
  <si>
    <t>Diet</t>
  </si>
  <si>
    <t>Abacaxi com Morango Sorbet Diet</t>
  </si>
  <si>
    <t>Ameixa Diet</t>
  </si>
  <si>
    <t>Ameixa</t>
  </si>
  <si>
    <t>Amendoim Salgado Diet</t>
  </si>
  <si>
    <t>Avelã Diet</t>
  </si>
  <si>
    <t>Tais salário ja pago mes passado de adiantamento</t>
  </si>
  <si>
    <t>Folga Luany 50+100</t>
  </si>
  <si>
    <t>Iptu</t>
  </si>
  <si>
    <t>Salarios + cubas</t>
  </si>
  <si>
    <t xml:space="preserve">Pacoquita e goiabada </t>
  </si>
  <si>
    <t xml:space="preserve">Adiantamento Tais </t>
  </si>
  <si>
    <t xml:space="preserve">Kitanda maracujá </t>
  </si>
  <si>
    <t xml:space="preserve">Kitanda abacaxi </t>
  </si>
  <si>
    <t xml:space="preserve">Plano de saúde </t>
  </si>
  <si>
    <t>Bolo Aniversariante</t>
  </si>
  <si>
    <t xml:space="preserve">Extras Nathalia </t>
  </si>
  <si>
    <t xml:space="preserve">Castanha de caju a vista </t>
  </si>
  <si>
    <t xml:space="preserve">Thales restante coisas q comprei de jf </t>
  </si>
  <si>
    <t xml:space="preserve">Potinho pra calda </t>
  </si>
  <si>
    <t>Choc 70%</t>
  </si>
  <si>
    <t>Choc 70% Nero</t>
  </si>
  <si>
    <t>*</t>
  </si>
  <si>
    <t>As coisas do croiassant, 53,50</t>
  </si>
  <si>
    <t xml:space="preserve">Comprei na farmácia tb p Bruna </t>
  </si>
  <si>
    <t xml:space="preserve">Bodevan potinho e guardanapo </t>
  </si>
  <si>
    <t xml:space="preserve">Bobina 3x mercado livre </t>
  </si>
  <si>
    <t xml:space="preserve">Abc iFood </t>
  </si>
  <si>
    <t>Setembro</t>
  </si>
  <si>
    <t>Outubro</t>
  </si>
  <si>
    <t>Novembro</t>
  </si>
  <si>
    <t>Dezembro</t>
  </si>
  <si>
    <t>Janeiro_2027</t>
  </si>
  <si>
    <t>Ecad</t>
  </si>
  <si>
    <t>2026-06</t>
  </si>
  <si>
    <t>Plano de odontologico</t>
  </si>
  <si>
    <t xml:space="preserve">Limpeza vitrine </t>
  </si>
  <si>
    <t xml:space="preserve">Copinhos </t>
  </si>
  <si>
    <t xml:space="preserve">Banner </t>
  </si>
  <si>
    <t>Frte copinhos</t>
  </si>
  <si>
    <t>Carrossel</t>
  </si>
  <si>
    <t xml:space="preserve">Bodevan colherzinha </t>
  </si>
  <si>
    <t>07/26</t>
  </si>
  <si>
    <t>Canva app</t>
  </si>
  <si>
    <t>ABC</t>
  </si>
  <si>
    <t>Teta de nega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</si>
</sst>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&quot;R$&quot;\ #,##0.00"/>
    <numFmt numFmtId="166" formatCode="dd/mm/yy"/>
    <numFmt numFmtId="167" formatCode="yyyy\-mm"/>
    <numFmt numFmtId="168" formatCode="[$R$ -416]#,##0.00"/>
    <numFmt numFmtId="169" formatCode="d/m/yy"/>
    <numFmt numFmtId="170" formatCode="d\-m\-yy"/>
    <numFmt numFmtId="171" formatCode="d/m/yyyy"/>
  </numFmts>
  <fonts count="16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4"/>
      <color theme="1"/>
      <name val="Calibri"/>
      <scheme val="minor"/>
    </font>
    <font>
      <b/>
      <sz val="18"/>
      <color theme="1"/>
      <name val="Calibri"/>
      <scheme val="minor"/>
    </font>
    <font>
      <sz val="11"/>
      <color rgb="FFFFFFFF"/>
      <name val="Calibri"/>
      <scheme val="minor"/>
    </font>
    <font>
      <sz val="12"/>
      <color rgb="FF000000"/>
      <name val="Calibri"/>
    </font>
    <font>
      <b/>
      <i/>
      <sz val="11"/>
      <color theme="1"/>
      <name val="Calibri"/>
      <scheme val="minor"/>
    </font>
    <font>
      <b/>
      <sz val="15"/>
      <color theme="1"/>
      <name val="Calibri"/>
      <scheme val="minor"/>
    </font>
    <font>
      <sz val="11"/>
      <color rgb="FFCC0000"/>
      <name val="Calibri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</font>
    <font>
      <sz val="8"/>
      <name val="Calibri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B6D7A8"/>
        <bgColor rgb="FFB6D7A8"/>
      </patternFill>
    </fill>
    <fill>
      <patternFill patternType="solid">
        <fgColor rgb="FFFCE4D6"/>
        <bgColor rgb="FFFCE4D6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E2EFDA"/>
        <bgColor rgb="FFE2EFDA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2" fillId="0" borderId="0"/>
  </cellStyleXfs>
  <cellXfs count="1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64" fontId="3" fillId="0" borderId="2" xfId="0" applyNumberFormat="1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right"/>
    </xf>
    <xf numFmtId="0" fontId="3" fillId="0" borderId="2" xfId="0" applyFont="1" applyBorder="1"/>
    <xf numFmtId="165" fontId="3" fillId="0" borderId="2" xfId="0" applyNumberFormat="1" applyFont="1" applyBorder="1"/>
    <xf numFmtId="164" fontId="3" fillId="0" borderId="0" xfId="0" applyNumberFormat="1" applyFont="1" applyAlignment="1">
      <alignment horizontal="right"/>
    </xf>
    <xf numFmtId="166" fontId="3" fillId="0" borderId="2" xfId="0" applyNumberFormat="1" applyFont="1" applyBorder="1"/>
    <xf numFmtId="164" fontId="4" fillId="0" borderId="2" xfId="0" applyNumberFormat="1" applyFont="1" applyBorder="1"/>
    <xf numFmtId="164" fontId="3" fillId="0" borderId="0" xfId="0" applyNumberFormat="1" applyFont="1"/>
    <xf numFmtId="0" fontId="2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3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1" fillId="4" borderId="2" xfId="0" applyFont="1" applyFill="1" applyBorder="1"/>
    <xf numFmtId="0" fontId="1" fillId="5" borderId="2" xfId="0" applyFont="1" applyFill="1" applyBorder="1" applyAlignment="1">
      <alignment horizontal="center"/>
    </xf>
    <xf numFmtId="0" fontId="2" fillId="0" borderId="0" xfId="0" applyFont="1"/>
    <xf numFmtId="0" fontId="1" fillId="6" borderId="2" xfId="0" applyFont="1" applyFill="1" applyBorder="1" applyAlignment="1">
      <alignment horizontal="center"/>
    </xf>
    <xf numFmtId="165" fontId="2" fillId="6" borderId="2" xfId="0" applyNumberFormat="1" applyFont="1" applyFill="1" applyBorder="1" applyAlignment="1">
      <alignment horizontal="center"/>
    </xf>
    <xf numFmtId="165" fontId="2" fillId="0" borderId="0" xfId="0" applyNumberFormat="1" applyFont="1"/>
    <xf numFmtId="0" fontId="1" fillId="0" borderId="2" xfId="0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65" fontId="3" fillId="0" borderId="0" xfId="0" applyNumberFormat="1" applyFont="1"/>
    <xf numFmtId="0" fontId="1" fillId="3" borderId="2" xfId="0" applyFont="1" applyFill="1" applyBorder="1" applyAlignment="1">
      <alignment horizontal="center"/>
    </xf>
    <xf numFmtId="165" fontId="2" fillId="3" borderId="2" xfId="0" applyNumberFormat="1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165" fontId="4" fillId="8" borderId="2" xfId="0" applyNumberFormat="1" applyFont="1" applyFill="1" applyBorder="1" applyAlignment="1">
      <alignment horizontal="center"/>
    </xf>
    <xf numFmtId="167" fontId="2" fillId="0" borderId="2" xfId="0" applyNumberFormat="1" applyFont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165" fontId="2" fillId="9" borderId="2" xfId="0" applyNumberFormat="1" applyFont="1" applyFill="1" applyBorder="1" applyAlignment="1">
      <alignment horizontal="center"/>
    </xf>
    <xf numFmtId="165" fontId="3" fillId="6" borderId="2" xfId="0" applyNumberFormat="1" applyFont="1" applyFill="1" applyBorder="1" applyAlignment="1">
      <alignment horizontal="center"/>
    </xf>
    <xf numFmtId="165" fontId="3" fillId="7" borderId="2" xfId="0" applyNumberFormat="1" applyFont="1" applyFill="1" applyBorder="1" applyAlignment="1">
      <alignment horizontal="center"/>
    </xf>
    <xf numFmtId="165" fontId="3" fillId="9" borderId="2" xfId="0" applyNumberFormat="1" applyFont="1" applyFill="1" applyBorder="1" applyAlignment="1">
      <alignment horizontal="center"/>
    </xf>
    <xf numFmtId="165" fontId="2" fillId="7" borderId="2" xfId="0" applyNumberFormat="1" applyFont="1" applyFill="1" applyBorder="1" applyAlignment="1">
      <alignment horizontal="center"/>
    </xf>
    <xf numFmtId="165" fontId="4" fillId="7" borderId="2" xfId="0" applyNumberFormat="1" applyFont="1" applyFill="1" applyBorder="1" applyAlignment="1">
      <alignment horizontal="center"/>
    </xf>
    <xf numFmtId="167" fontId="2" fillId="0" borderId="0" xfId="0" applyNumberFormat="1" applyFont="1"/>
    <xf numFmtId="165" fontId="1" fillId="5" borderId="2" xfId="0" applyNumberFormat="1" applyFont="1" applyFill="1" applyBorder="1" applyAlignment="1">
      <alignment horizontal="center"/>
    </xf>
    <xf numFmtId="165" fontId="4" fillId="6" borderId="2" xfId="0" applyNumberFormat="1" applyFont="1" applyFill="1" applyBorder="1" applyAlignment="1">
      <alignment horizontal="center"/>
    </xf>
    <xf numFmtId="0" fontId="2" fillId="6" borderId="0" xfId="0" applyFont="1" applyFill="1"/>
    <xf numFmtId="0" fontId="7" fillId="10" borderId="2" xfId="0" applyFont="1" applyFill="1" applyBorder="1" applyAlignment="1">
      <alignment horizontal="center"/>
    </xf>
    <xf numFmtId="0" fontId="8" fillId="11" borderId="2" xfId="0" applyFont="1" applyFill="1" applyBorder="1"/>
    <xf numFmtId="0" fontId="8" fillId="11" borderId="2" xfId="0" applyFont="1" applyFill="1" applyBorder="1" applyAlignment="1">
      <alignment horizontal="center"/>
    </xf>
    <xf numFmtId="0" fontId="8" fillId="8" borderId="2" xfId="0" applyFont="1" applyFill="1" applyBorder="1"/>
    <xf numFmtId="0" fontId="8" fillId="8" borderId="2" xfId="0" applyFont="1" applyFill="1" applyBorder="1" applyAlignment="1">
      <alignment horizontal="center"/>
    </xf>
    <xf numFmtId="0" fontId="8" fillId="0" borderId="0" xfId="0" applyFont="1"/>
    <xf numFmtId="0" fontId="8" fillId="6" borderId="2" xfId="0" applyFont="1" applyFill="1" applyBorder="1"/>
    <xf numFmtId="0" fontId="8" fillId="6" borderId="2" xfId="0" applyFont="1" applyFill="1" applyBorder="1" applyAlignment="1">
      <alignment horizontal="center"/>
    </xf>
    <xf numFmtId="0" fontId="8" fillId="12" borderId="2" xfId="0" applyFont="1" applyFill="1" applyBorder="1"/>
    <xf numFmtId="0" fontId="8" fillId="12" borderId="2" xfId="0" applyFont="1" applyFill="1" applyBorder="1" applyAlignment="1">
      <alignment horizontal="center"/>
    </xf>
    <xf numFmtId="0" fontId="8" fillId="0" borderId="9" xfId="0" applyFont="1" applyBorder="1"/>
    <xf numFmtId="0" fontId="8" fillId="7" borderId="0" xfId="0" applyFont="1" applyFill="1" applyAlignment="1">
      <alignment horizontal="center"/>
    </xf>
    <xf numFmtId="0" fontId="8" fillId="12" borderId="6" xfId="0" applyFont="1" applyFill="1" applyBorder="1"/>
    <xf numFmtId="0" fontId="8" fillId="12" borderId="6" xfId="0" applyFont="1" applyFill="1" applyBorder="1" applyAlignment="1">
      <alignment horizontal="center"/>
    </xf>
    <xf numFmtId="0" fontId="8" fillId="7" borderId="0" xfId="0" applyFont="1" applyFill="1"/>
    <xf numFmtId="0" fontId="9" fillId="0" borderId="2" xfId="0" applyFont="1" applyBorder="1" applyAlignment="1">
      <alignment horizontal="center"/>
    </xf>
    <xf numFmtId="168" fontId="9" fillId="0" borderId="2" xfId="0" applyNumberFormat="1" applyFont="1" applyBorder="1" applyAlignment="1">
      <alignment horizontal="center"/>
    </xf>
    <xf numFmtId="169" fontId="2" fillId="0" borderId="2" xfId="0" applyNumberFormat="1" applyFont="1" applyBorder="1" applyAlignment="1">
      <alignment horizontal="center"/>
    </xf>
    <xf numFmtId="168" fontId="2" fillId="0" borderId="2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170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14" fontId="2" fillId="0" borderId="2" xfId="0" applyNumberFormat="1" applyFont="1" applyBorder="1" applyAlignment="1">
      <alignment horizontal="center"/>
    </xf>
    <xf numFmtId="0" fontId="2" fillId="15" borderId="2" xfId="0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/>
    </xf>
    <xf numFmtId="168" fontId="2" fillId="13" borderId="2" xfId="0" applyNumberFormat="1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168" fontId="2" fillId="16" borderId="2" xfId="0" applyNumberFormat="1" applyFont="1" applyFill="1" applyBorder="1" applyAlignment="1">
      <alignment horizontal="center"/>
    </xf>
    <xf numFmtId="171" fontId="2" fillId="0" borderId="0" xfId="0" applyNumberFormat="1" applyFont="1"/>
    <xf numFmtId="164" fontId="2" fillId="0" borderId="2" xfId="0" applyNumberFormat="1" applyFont="1" applyBorder="1"/>
    <xf numFmtId="165" fontId="2" fillId="0" borderId="2" xfId="0" applyNumberFormat="1" applyFont="1" applyBorder="1"/>
    <xf numFmtId="164" fontId="2" fillId="0" borderId="0" xfId="0" applyNumberFormat="1" applyFont="1"/>
    <xf numFmtId="164" fontId="2" fillId="0" borderId="2" xfId="0" applyNumberFormat="1" applyFont="1" applyBorder="1" applyAlignment="1">
      <alignment horizontal="center"/>
    </xf>
    <xf numFmtId="0" fontId="2" fillId="13" borderId="0" xfId="0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4" fontId="0" fillId="0" borderId="0" xfId="0" applyNumberFormat="1"/>
    <xf numFmtId="0" fontId="13" fillId="17" borderId="13" xfId="1" applyFont="1" applyFill="1" applyBorder="1" applyAlignment="1">
      <alignment horizontal="center"/>
    </xf>
    <xf numFmtId="0" fontId="12" fillId="0" borderId="0" xfId="1"/>
    <xf numFmtId="0" fontId="12" fillId="18" borderId="13" xfId="1" applyFill="1" applyBorder="1" applyAlignment="1">
      <alignment horizontal="center"/>
    </xf>
    <xf numFmtId="1" fontId="12" fillId="18" borderId="13" xfId="1" applyNumberFormat="1" applyFill="1" applyBorder="1" applyAlignment="1">
      <alignment horizontal="center"/>
    </xf>
    <xf numFmtId="0" fontId="12" fillId="0" borderId="13" xfId="1" applyBorder="1" applyAlignment="1">
      <alignment horizontal="center"/>
    </xf>
    <xf numFmtId="1" fontId="12" fillId="0" borderId="13" xfId="1" applyNumberFormat="1" applyBorder="1" applyAlignment="1">
      <alignment horizontal="center"/>
    </xf>
    <xf numFmtId="0" fontId="12" fillId="19" borderId="13" xfId="1" applyFill="1" applyBorder="1" applyAlignment="1">
      <alignment horizontal="center"/>
    </xf>
    <xf numFmtId="0" fontId="12" fillId="19" borderId="13" xfId="1" applyFill="1" applyBorder="1" applyAlignment="1">
      <alignment horizontal="center" vertical="center"/>
    </xf>
    <xf numFmtId="1" fontId="12" fillId="0" borderId="13" xfId="1" applyNumberFormat="1" applyBorder="1" applyAlignment="1">
      <alignment horizontal="center" vertical="center"/>
    </xf>
    <xf numFmtId="0" fontId="12" fillId="18" borderId="13" xfId="1" applyFill="1" applyBorder="1" applyAlignment="1">
      <alignment horizontal="center" vertical="center"/>
    </xf>
    <xf numFmtId="1" fontId="12" fillId="18" borderId="13" xfId="1" applyNumberFormat="1" applyFill="1" applyBorder="1" applyAlignment="1">
      <alignment horizontal="center" vertical="center"/>
    </xf>
    <xf numFmtId="0" fontId="12" fillId="0" borderId="13" xfId="1" applyBorder="1" applyAlignment="1">
      <alignment horizontal="center" vertical="center"/>
    </xf>
    <xf numFmtId="0" fontId="5" fillId="14" borderId="0" xfId="0" applyFont="1" applyFill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5" fillId="7" borderId="16" xfId="0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2" fillId="15" borderId="0" xfId="0" applyFont="1" applyFill="1" applyAlignment="1">
      <alignment horizontal="center"/>
    </xf>
    <xf numFmtId="0" fontId="5" fillId="7" borderId="9" xfId="0" applyFont="1" applyFill="1" applyBorder="1" applyAlignment="1">
      <alignment horizontal="center"/>
    </xf>
    <xf numFmtId="0" fontId="5" fillId="7" borderId="0" xfId="0" applyFont="1" applyFill="1" applyAlignment="1">
      <alignment horizontal="center"/>
    </xf>
    <xf numFmtId="0" fontId="5" fillId="7" borderId="17" xfId="0" applyFont="1" applyFill="1" applyBorder="1" applyAlignment="1">
      <alignment horizontal="center"/>
    </xf>
    <xf numFmtId="168" fontId="2" fillId="0" borderId="0" xfId="0" applyNumberFormat="1" applyFont="1" applyAlignment="1">
      <alignment horizontal="center"/>
    </xf>
    <xf numFmtId="0" fontId="5" fillId="7" borderId="11" xfId="0" applyFont="1" applyFill="1" applyBorder="1" applyAlignment="1">
      <alignment horizontal="center"/>
    </xf>
    <xf numFmtId="0" fontId="5" fillId="7" borderId="18" xfId="0" applyFont="1" applyFill="1" applyBorder="1" applyAlignment="1">
      <alignment horizontal="center"/>
    </xf>
    <xf numFmtId="0" fontId="5" fillId="7" borderId="12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 vertical="center" textRotation="255"/>
    </xf>
    <xf numFmtId="0" fontId="14" fillId="0" borderId="7" xfId="0" applyFont="1" applyBorder="1"/>
    <xf numFmtId="0" fontId="14" fillId="0" borderId="8" xfId="0" applyFont="1" applyBorder="1"/>
    <xf numFmtId="0" fontId="5" fillId="0" borderId="14" xfId="0" applyFont="1" applyBorder="1" applyAlignment="1">
      <alignment horizontal="center"/>
    </xf>
    <xf numFmtId="0" fontId="14" fillId="0" borderId="4" xfId="0" applyFont="1" applyBorder="1"/>
    <xf numFmtId="0" fontId="14" fillId="0" borderId="5" xfId="0" applyFont="1" applyBorder="1"/>
    <xf numFmtId="0" fontId="5" fillId="13" borderId="0" xfId="0" applyFont="1" applyFill="1" applyAlignment="1">
      <alignment horizontal="center"/>
    </xf>
    <xf numFmtId="0" fontId="0" fillId="0" borderId="0" xfId="0"/>
    <xf numFmtId="0" fontId="1" fillId="13" borderId="14" xfId="0" applyFont="1" applyFill="1" applyBorder="1" applyAlignment="1">
      <alignment horizontal="center"/>
    </xf>
    <xf numFmtId="168" fontId="10" fillId="14" borderId="15" xfId="0" applyNumberFormat="1" applyFont="1" applyFill="1" applyBorder="1" applyAlignment="1">
      <alignment horizontal="center" vertical="center"/>
    </xf>
    <xf numFmtId="0" fontId="14" fillId="0" borderId="10" xfId="0" applyFont="1" applyBorder="1"/>
    <xf numFmtId="0" fontId="14" fillId="0" borderId="11" xfId="0" applyFont="1" applyBorder="1"/>
    <xf numFmtId="0" fontId="14" fillId="0" borderId="12" xfId="0" applyFont="1" applyBorder="1"/>
    <xf numFmtId="0" fontId="2" fillId="13" borderId="14" xfId="0" applyFont="1" applyFill="1" applyBorder="1" applyAlignment="1">
      <alignment horizontal="center"/>
    </xf>
    <xf numFmtId="0" fontId="5" fillId="14" borderId="14" xfId="0" applyFont="1" applyFill="1" applyBorder="1" applyAlignment="1">
      <alignment horizontal="center"/>
    </xf>
  </cellXfs>
  <cellStyles count="2">
    <cellStyle name="Normal" xfId="0" builtinId="0"/>
    <cellStyle name="Normal 2" xfId="1" xr:uid="{76B83339-281E-424F-8701-FDC425B290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93E5E-F2A9-47AD-A99D-4F9097D80480}">
  <dimension ref="A1:K995"/>
  <sheetViews>
    <sheetView tabSelected="1" workbookViewId="0">
      <pane ySplit="1" topLeftCell="A134" activePane="bottomLeft" state="frozen"/>
      <selection activeCell="B3" sqref="B3"/>
      <selection pane="bottomLeft" activeCell="B3" sqref="B3"/>
    </sheetView>
  </sheetViews>
  <sheetFormatPr defaultColWidth="14.42578125" defaultRowHeight="15" customHeight="1" x14ac:dyDescent="0.25"/>
  <cols>
    <col min="1" max="1" width="12" customWidth="1"/>
    <col min="2" max="2" width="32" customWidth="1"/>
    <col min="3" max="3" width="14" customWidth="1"/>
    <col min="4" max="4" width="19" customWidth="1"/>
    <col min="5" max="5" width="16" customWidth="1"/>
    <col min="6" max="6" width="20" customWidth="1"/>
    <col min="7" max="7" width="14.140625" customWidth="1"/>
    <col min="8" max="8" width="12" customWidth="1"/>
    <col min="9" max="9" width="18.140625" customWidth="1"/>
    <col min="10" max="10" width="10" customWidth="1"/>
    <col min="11" max="11" width="16" customWidth="1"/>
    <col min="12" max="27" width="8.7109375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/>
      <c r="I2" s="2" t="s">
        <v>8</v>
      </c>
      <c r="J2" s="2" t="s">
        <v>9</v>
      </c>
      <c r="K2" s="2" t="s">
        <v>10</v>
      </c>
    </row>
    <row r="3" spans="1:11" x14ac:dyDescent="0.25">
      <c r="A3" s="3">
        <v>46204</v>
      </c>
      <c r="B3" s="4" t="s">
        <v>11</v>
      </c>
      <c r="C3" s="5" t="s">
        <v>12</v>
      </c>
      <c r="D3" s="6" t="s">
        <v>13</v>
      </c>
      <c r="E3" s="6" t="s">
        <v>14</v>
      </c>
      <c r="F3" s="6" t="s">
        <v>15</v>
      </c>
      <c r="G3" s="7"/>
      <c r="H3" s="7"/>
      <c r="I3" s="5"/>
      <c r="J3" s="5" t="str">
        <f t="shared" ref="J3:J182" si="0">TEXT(A3,"yyyy-mm")</f>
        <v>yyyy-07</v>
      </c>
      <c r="K3" s="7">
        <f>G3</f>
        <v>0</v>
      </c>
    </row>
    <row r="4" spans="1:11" x14ac:dyDescent="0.25">
      <c r="A4" s="3">
        <v>46204</v>
      </c>
      <c r="B4" s="4" t="s">
        <v>16</v>
      </c>
      <c r="C4" s="5" t="s">
        <v>12</v>
      </c>
      <c r="D4" s="6" t="s">
        <v>13</v>
      </c>
      <c r="E4" s="6" t="s">
        <v>17</v>
      </c>
      <c r="F4" s="6"/>
      <c r="G4" s="7"/>
      <c r="H4" s="7"/>
      <c r="I4" s="5"/>
      <c r="J4" s="5" t="str">
        <f t="shared" si="0"/>
        <v>yyyy-07</v>
      </c>
      <c r="K4" s="7">
        <f t="shared" ref="K4:K67" si="1">K3 + IF(C4="Entrada", G4, -G4)</f>
        <v>0</v>
      </c>
    </row>
    <row r="5" spans="1:11" x14ac:dyDescent="0.25">
      <c r="A5" s="8">
        <v>46204</v>
      </c>
      <c r="B5" s="9" t="s">
        <v>18</v>
      </c>
      <c r="C5" s="6" t="s">
        <v>12</v>
      </c>
      <c r="D5" s="6" t="s">
        <v>19</v>
      </c>
      <c r="E5" s="6" t="s">
        <v>17</v>
      </c>
      <c r="F5" s="9"/>
      <c r="G5" s="7">
        <v>115.8</v>
      </c>
      <c r="H5" s="10"/>
      <c r="I5" s="9"/>
      <c r="J5" s="5" t="str">
        <f t="shared" si="0"/>
        <v>yyyy-07</v>
      </c>
      <c r="K5" s="7">
        <f t="shared" si="1"/>
        <v>-115.8</v>
      </c>
    </row>
    <row r="6" spans="1:11" x14ac:dyDescent="0.25">
      <c r="A6" s="8">
        <v>46204</v>
      </c>
      <c r="B6" s="9" t="s">
        <v>13</v>
      </c>
      <c r="C6" s="6" t="s">
        <v>20</v>
      </c>
      <c r="D6" s="6" t="s">
        <v>13</v>
      </c>
      <c r="E6" s="9"/>
      <c r="F6" s="9"/>
      <c r="G6" s="7">
        <v>1762</v>
      </c>
      <c r="H6" s="10"/>
      <c r="I6" s="9"/>
      <c r="J6" s="5" t="str">
        <f t="shared" si="0"/>
        <v>yyyy-07</v>
      </c>
      <c r="K6" s="7">
        <f t="shared" si="1"/>
        <v>1646.2</v>
      </c>
    </row>
    <row r="7" spans="1:11" x14ac:dyDescent="0.25">
      <c r="A7" s="8">
        <v>46204</v>
      </c>
      <c r="B7" s="9" t="s">
        <v>21</v>
      </c>
      <c r="C7" s="6" t="s">
        <v>20</v>
      </c>
      <c r="D7" s="6" t="s">
        <v>22</v>
      </c>
      <c r="E7" s="6" t="s">
        <v>17</v>
      </c>
      <c r="F7" s="9"/>
      <c r="G7" s="7">
        <v>82</v>
      </c>
      <c r="H7" s="10"/>
      <c r="I7" s="9"/>
      <c r="J7" s="5" t="str">
        <f t="shared" si="0"/>
        <v>yyyy-07</v>
      </c>
      <c r="K7" s="7">
        <f t="shared" si="1"/>
        <v>1728.2</v>
      </c>
    </row>
    <row r="8" spans="1:11" x14ac:dyDescent="0.25">
      <c r="A8" s="8">
        <v>46204</v>
      </c>
      <c r="B8" s="9" t="s">
        <v>23</v>
      </c>
      <c r="C8" s="6" t="s">
        <v>12</v>
      </c>
      <c r="D8" s="6" t="s">
        <v>24</v>
      </c>
      <c r="E8" s="6" t="s">
        <v>17</v>
      </c>
      <c r="F8" s="6" t="s">
        <v>25</v>
      </c>
      <c r="G8" s="7">
        <v>9</v>
      </c>
      <c r="H8" s="10"/>
      <c r="I8" s="9"/>
      <c r="J8" s="5" t="str">
        <f t="shared" si="0"/>
        <v>yyyy-07</v>
      </c>
      <c r="K8" s="7">
        <f t="shared" si="1"/>
        <v>1719.2</v>
      </c>
    </row>
    <row r="9" spans="1:11" x14ac:dyDescent="0.25">
      <c r="A9" s="8">
        <v>46204</v>
      </c>
      <c r="B9" s="9" t="s">
        <v>26</v>
      </c>
      <c r="C9" s="6" t="s">
        <v>12</v>
      </c>
      <c r="D9" s="6" t="s">
        <v>27</v>
      </c>
      <c r="E9" s="6" t="s">
        <v>17</v>
      </c>
      <c r="F9" s="6" t="s">
        <v>25</v>
      </c>
      <c r="G9" s="7">
        <v>1100</v>
      </c>
      <c r="H9" s="10"/>
      <c r="I9" s="9"/>
      <c r="J9" s="5" t="str">
        <f t="shared" si="0"/>
        <v>yyyy-07</v>
      </c>
      <c r="K9" s="7">
        <f t="shared" si="1"/>
        <v>619.20000000000005</v>
      </c>
    </row>
    <row r="10" spans="1:11" x14ac:dyDescent="0.25">
      <c r="A10" s="8">
        <v>46204</v>
      </c>
      <c r="B10" s="9" t="s">
        <v>28</v>
      </c>
      <c r="C10" s="6" t="s">
        <v>12</v>
      </c>
      <c r="D10" s="6" t="s">
        <v>29</v>
      </c>
      <c r="E10" s="6" t="s">
        <v>17</v>
      </c>
      <c r="F10" s="6" t="s">
        <v>25</v>
      </c>
      <c r="G10" s="7">
        <v>400</v>
      </c>
      <c r="H10" s="10"/>
      <c r="I10" s="9"/>
      <c r="J10" s="5" t="str">
        <f t="shared" si="0"/>
        <v>yyyy-07</v>
      </c>
      <c r="K10" s="7">
        <f t="shared" si="1"/>
        <v>219.20000000000005</v>
      </c>
    </row>
    <row r="11" spans="1:11" x14ac:dyDescent="0.25">
      <c r="A11" s="8">
        <v>46204</v>
      </c>
      <c r="B11" s="9" t="s">
        <v>1201</v>
      </c>
      <c r="C11" s="6" t="s">
        <v>12</v>
      </c>
      <c r="D11" s="6" t="s">
        <v>27</v>
      </c>
      <c r="E11" s="6" t="s">
        <v>17</v>
      </c>
      <c r="F11" s="6" t="s">
        <v>25</v>
      </c>
      <c r="G11" s="7">
        <v>3000</v>
      </c>
      <c r="H11" s="10"/>
      <c r="I11" s="9"/>
      <c r="J11" s="5" t="str">
        <f t="shared" si="0"/>
        <v>yyyy-07</v>
      </c>
      <c r="K11" s="7">
        <f t="shared" si="1"/>
        <v>-2780.8</v>
      </c>
    </row>
    <row r="12" spans="1:11" x14ac:dyDescent="0.25">
      <c r="A12" s="8">
        <v>46205</v>
      </c>
      <c r="B12" s="9" t="s">
        <v>13</v>
      </c>
      <c r="C12" s="6" t="s">
        <v>20</v>
      </c>
      <c r="D12" s="6" t="s">
        <v>13</v>
      </c>
      <c r="E12" s="9"/>
      <c r="F12" s="9"/>
      <c r="G12" s="7">
        <v>1659</v>
      </c>
      <c r="H12" s="10"/>
      <c r="I12" s="9"/>
      <c r="J12" s="5" t="str">
        <f t="shared" si="0"/>
        <v>yyyy-07</v>
      </c>
      <c r="K12" s="7">
        <f t="shared" si="1"/>
        <v>-1121.8000000000002</v>
      </c>
    </row>
    <row r="13" spans="1:11" x14ac:dyDescent="0.25">
      <c r="A13" s="8">
        <v>46205</v>
      </c>
      <c r="B13" s="9" t="s">
        <v>21</v>
      </c>
      <c r="C13" s="6" t="s">
        <v>20</v>
      </c>
      <c r="D13" s="6" t="s">
        <v>22</v>
      </c>
      <c r="E13" s="6" t="s">
        <v>17</v>
      </c>
      <c r="F13" s="9"/>
      <c r="G13" s="7">
        <v>0</v>
      </c>
      <c r="H13" s="10"/>
      <c r="I13" s="9"/>
      <c r="J13" s="5" t="str">
        <f t="shared" si="0"/>
        <v>yyyy-07</v>
      </c>
      <c r="K13" s="7">
        <f t="shared" si="1"/>
        <v>-1121.8000000000002</v>
      </c>
    </row>
    <row r="14" spans="1:11" x14ac:dyDescent="0.25">
      <c r="A14" s="8">
        <v>46205</v>
      </c>
      <c r="B14" s="9" t="s">
        <v>23</v>
      </c>
      <c r="C14" s="6" t="s">
        <v>12</v>
      </c>
      <c r="D14" s="6" t="s">
        <v>24</v>
      </c>
      <c r="E14" s="6" t="s">
        <v>17</v>
      </c>
      <c r="F14" s="6" t="s">
        <v>25</v>
      </c>
      <c r="G14" s="7">
        <v>0</v>
      </c>
      <c r="H14" s="10"/>
      <c r="I14" s="9"/>
      <c r="J14" s="5" t="str">
        <f t="shared" si="0"/>
        <v>yyyy-07</v>
      </c>
      <c r="K14" s="7">
        <f t="shared" si="1"/>
        <v>-1121.8000000000002</v>
      </c>
    </row>
    <row r="15" spans="1:11" x14ac:dyDescent="0.25">
      <c r="A15" s="8">
        <v>46205</v>
      </c>
      <c r="B15" s="9" t="s">
        <v>11</v>
      </c>
      <c r="C15" s="6" t="s">
        <v>12</v>
      </c>
      <c r="D15" s="6" t="s">
        <v>19</v>
      </c>
      <c r="E15" s="6" t="s">
        <v>14</v>
      </c>
      <c r="F15" s="6" t="s">
        <v>15</v>
      </c>
      <c r="G15" s="7">
        <v>240</v>
      </c>
      <c r="H15" s="10"/>
      <c r="I15" s="9"/>
      <c r="J15" s="5" t="str">
        <f t="shared" si="0"/>
        <v>yyyy-07</v>
      </c>
      <c r="K15" s="7">
        <f t="shared" si="1"/>
        <v>-1361.8000000000002</v>
      </c>
    </row>
    <row r="16" spans="1:11" x14ac:dyDescent="0.25">
      <c r="A16" s="8">
        <v>46206</v>
      </c>
      <c r="B16" s="9" t="s">
        <v>30</v>
      </c>
      <c r="C16" s="6" t="s">
        <v>20</v>
      </c>
      <c r="D16" s="6" t="s">
        <v>13</v>
      </c>
      <c r="E16" s="9"/>
      <c r="F16" s="9"/>
      <c r="G16" s="7">
        <v>3246</v>
      </c>
      <c r="H16" s="10"/>
      <c r="I16" s="9"/>
      <c r="J16" s="5" t="str">
        <f t="shared" si="0"/>
        <v>yyyy-07</v>
      </c>
      <c r="K16" s="7">
        <f t="shared" si="1"/>
        <v>1884.1999999999998</v>
      </c>
    </row>
    <row r="17" spans="1:11" x14ac:dyDescent="0.25">
      <c r="A17" s="8">
        <v>46206</v>
      </c>
      <c r="B17" s="9" t="s">
        <v>21</v>
      </c>
      <c r="C17" s="6" t="s">
        <v>20</v>
      </c>
      <c r="D17" s="6" t="s">
        <v>22</v>
      </c>
      <c r="E17" s="6" t="s">
        <v>17</v>
      </c>
      <c r="F17" s="9"/>
      <c r="G17" s="7">
        <v>106</v>
      </c>
      <c r="H17" s="10"/>
      <c r="I17" s="9"/>
      <c r="J17" s="5" t="str">
        <f t="shared" si="0"/>
        <v>yyyy-07</v>
      </c>
      <c r="K17" s="7">
        <f t="shared" si="1"/>
        <v>1990.1999999999998</v>
      </c>
    </row>
    <row r="18" spans="1:11" ht="15.75" customHeight="1" x14ac:dyDescent="0.25">
      <c r="A18" s="8">
        <v>46206</v>
      </c>
      <c r="B18" s="9" t="s">
        <v>23</v>
      </c>
      <c r="C18" s="6" t="s">
        <v>12</v>
      </c>
      <c r="D18" s="6" t="s">
        <v>24</v>
      </c>
      <c r="E18" s="6" t="s">
        <v>17</v>
      </c>
      <c r="F18" s="6" t="s">
        <v>25</v>
      </c>
      <c r="G18" s="7">
        <v>18</v>
      </c>
      <c r="H18" s="10"/>
      <c r="I18" s="9"/>
      <c r="J18" s="5" t="str">
        <f t="shared" si="0"/>
        <v>yyyy-07</v>
      </c>
      <c r="K18" s="7">
        <f t="shared" si="1"/>
        <v>1972.1999999999998</v>
      </c>
    </row>
    <row r="19" spans="1:11" ht="15.75" customHeight="1" x14ac:dyDescent="0.25">
      <c r="A19" s="8">
        <v>46206</v>
      </c>
      <c r="B19" s="9" t="s">
        <v>31</v>
      </c>
      <c r="C19" s="6" t="s">
        <v>12</v>
      </c>
      <c r="D19" s="6" t="s">
        <v>19</v>
      </c>
      <c r="E19" s="6" t="s">
        <v>17</v>
      </c>
      <c r="F19" s="6" t="s">
        <v>25</v>
      </c>
      <c r="G19" s="7">
        <v>164</v>
      </c>
      <c r="H19" s="10"/>
      <c r="I19" s="9"/>
      <c r="J19" s="5" t="str">
        <f t="shared" si="0"/>
        <v>yyyy-07</v>
      </c>
      <c r="K19" s="7">
        <f t="shared" si="1"/>
        <v>1808.1999999999998</v>
      </c>
    </row>
    <row r="20" spans="1:11" ht="15.75" customHeight="1" x14ac:dyDescent="0.25">
      <c r="A20" s="8">
        <v>46206</v>
      </c>
      <c r="B20" s="9" t="s">
        <v>11</v>
      </c>
      <c r="C20" s="6" t="s">
        <v>12</v>
      </c>
      <c r="D20" s="6" t="s">
        <v>19</v>
      </c>
      <c r="E20" s="6" t="s">
        <v>14</v>
      </c>
      <c r="F20" s="6" t="s">
        <v>15</v>
      </c>
      <c r="G20" s="7">
        <v>376</v>
      </c>
      <c r="H20" s="10"/>
      <c r="I20" s="9"/>
      <c r="J20" s="5" t="str">
        <f t="shared" si="0"/>
        <v>yyyy-07</v>
      </c>
      <c r="K20" s="7">
        <f t="shared" si="1"/>
        <v>1432.1999999999998</v>
      </c>
    </row>
    <row r="21" spans="1:11" ht="15.75" customHeight="1" x14ac:dyDescent="0.25">
      <c r="A21" s="8">
        <v>46206</v>
      </c>
      <c r="B21" s="9" t="s">
        <v>1202</v>
      </c>
      <c r="C21" s="6" t="s">
        <v>12</v>
      </c>
      <c r="D21" s="6" t="s">
        <v>33</v>
      </c>
      <c r="E21" s="6" t="s">
        <v>17</v>
      </c>
      <c r="F21" s="6" t="s">
        <v>25</v>
      </c>
      <c r="G21" s="7">
        <v>150</v>
      </c>
      <c r="H21" s="10"/>
      <c r="I21" s="9"/>
      <c r="J21" s="5" t="str">
        <f t="shared" si="0"/>
        <v>yyyy-07</v>
      </c>
      <c r="K21" s="7">
        <f t="shared" si="1"/>
        <v>1282.1999999999998</v>
      </c>
    </row>
    <row r="22" spans="1:11" ht="15.75" customHeight="1" x14ac:dyDescent="0.25">
      <c r="A22" s="8">
        <v>46207</v>
      </c>
      <c r="B22" s="9" t="s">
        <v>30</v>
      </c>
      <c r="C22" s="6" t="s">
        <v>20</v>
      </c>
      <c r="D22" s="6" t="s">
        <v>13</v>
      </c>
      <c r="E22" s="9"/>
      <c r="F22" s="9"/>
      <c r="G22" s="7">
        <v>5206</v>
      </c>
      <c r="H22" s="10"/>
      <c r="I22" s="9"/>
      <c r="J22" s="5" t="str">
        <f t="shared" si="0"/>
        <v>yyyy-07</v>
      </c>
      <c r="K22" s="7">
        <f t="shared" si="1"/>
        <v>6488.2</v>
      </c>
    </row>
    <row r="23" spans="1:11" ht="15.75" customHeight="1" x14ac:dyDescent="0.25">
      <c r="A23" s="8">
        <v>46207</v>
      </c>
      <c r="B23" s="9" t="s">
        <v>34</v>
      </c>
      <c r="C23" s="6" t="s">
        <v>20</v>
      </c>
      <c r="D23" s="6" t="s">
        <v>22</v>
      </c>
      <c r="E23" s="6" t="s">
        <v>17</v>
      </c>
      <c r="F23" s="9"/>
      <c r="G23" s="7">
        <v>150</v>
      </c>
      <c r="H23" s="10"/>
      <c r="I23" s="9"/>
      <c r="J23" s="5" t="str">
        <f t="shared" si="0"/>
        <v>yyyy-07</v>
      </c>
      <c r="K23" s="7">
        <f t="shared" si="1"/>
        <v>6638.2</v>
      </c>
    </row>
    <row r="24" spans="1:11" ht="15.75" customHeight="1" x14ac:dyDescent="0.25">
      <c r="A24" s="11">
        <v>46207</v>
      </c>
      <c r="B24" s="9" t="s">
        <v>23</v>
      </c>
      <c r="C24" s="6" t="s">
        <v>12</v>
      </c>
      <c r="D24" s="6" t="s">
        <v>24</v>
      </c>
      <c r="E24" s="6" t="s">
        <v>17</v>
      </c>
      <c r="F24" s="6" t="s">
        <v>25</v>
      </c>
      <c r="G24" s="7">
        <v>35</v>
      </c>
      <c r="H24" s="10"/>
      <c r="I24" s="9"/>
      <c r="J24" s="5" t="str">
        <f t="shared" si="0"/>
        <v>yyyy-07</v>
      </c>
      <c r="K24" s="7">
        <f t="shared" si="1"/>
        <v>6603.2</v>
      </c>
    </row>
    <row r="25" spans="1:11" ht="15.75" customHeight="1" x14ac:dyDescent="0.25">
      <c r="A25" s="8">
        <v>46207</v>
      </c>
      <c r="B25" s="9" t="s">
        <v>33</v>
      </c>
      <c r="C25" s="6" t="s">
        <v>12</v>
      </c>
      <c r="D25" s="6" t="s">
        <v>33</v>
      </c>
      <c r="E25" s="6" t="s">
        <v>14</v>
      </c>
      <c r="F25" s="6" t="s">
        <v>15</v>
      </c>
      <c r="G25" s="7">
        <v>150</v>
      </c>
      <c r="H25" s="10"/>
      <c r="I25" s="9"/>
      <c r="J25" s="5" t="str">
        <f t="shared" si="0"/>
        <v>yyyy-07</v>
      </c>
      <c r="K25" s="7">
        <f t="shared" si="1"/>
        <v>6453.2</v>
      </c>
    </row>
    <row r="26" spans="1:11" ht="15.75" customHeight="1" x14ac:dyDescent="0.25">
      <c r="A26" s="8">
        <v>46208</v>
      </c>
      <c r="B26" s="9" t="s">
        <v>13</v>
      </c>
      <c r="C26" s="6" t="s">
        <v>20</v>
      </c>
      <c r="D26" s="6" t="s">
        <v>13</v>
      </c>
      <c r="E26" s="9"/>
      <c r="F26" s="9"/>
      <c r="G26" s="7">
        <v>4084</v>
      </c>
      <c r="H26" s="10"/>
      <c r="I26" s="9"/>
      <c r="J26" s="5" t="str">
        <f t="shared" si="0"/>
        <v>yyyy-07</v>
      </c>
      <c r="K26" s="7">
        <f t="shared" si="1"/>
        <v>10537.2</v>
      </c>
    </row>
    <row r="27" spans="1:11" ht="15.75" customHeight="1" x14ac:dyDescent="0.25">
      <c r="A27" s="8">
        <v>46208</v>
      </c>
      <c r="B27" s="9" t="s">
        <v>21</v>
      </c>
      <c r="C27" s="6" t="s">
        <v>20</v>
      </c>
      <c r="D27" s="6" t="s">
        <v>22</v>
      </c>
      <c r="E27" s="6" t="s">
        <v>17</v>
      </c>
      <c r="F27" s="9"/>
      <c r="G27" s="7">
        <v>394</v>
      </c>
      <c r="H27" s="10"/>
      <c r="I27" s="9"/>
      <c r="J27" s="5" t="str">
        <f t="shared" si="0"/>
        <v>yyyy-07</v>
      </c>
      <c r="K27" s="7">
        <f t="shared" si="1"/>
        <v>10931.2</v>
      </c>
    </row>
    <row r="28" spans="1:11" ht="15.75" customHeight="1" x14ac:dyDescent="0.25">
      <c r="A28" s="8">
        <v>46208</v>
      </c>
      <c r="B28" s="9" t="s">
        <v>35</v>
      </c>
      <c r="C28" s="6" t="s">
        <v>12</v>
      </c>
      <c r="D28" s="6" t="s">
        <v>24</v>
      </c>
      <c r="E28" s="6" t="s">
        <v>17</v>
      </c>
      <c r="F28" s="6" t="s">
        <v>25</v>
      </c>
      <c r="G28" s="7">
        <v>35</v>
      </c>
      <c r="H28" s="10"/>
      <c r="I28" s="9"/>
      <c r="J28" s="5" t="str">
        <f t="shared" si="0"/>
        <v>yyyy-07</v>
      </c>
      <c r="K28" s="7">
        <f t="shared" si="1"/>
        <v>10896.2</v>
      </c>
    </row>
    <row r="29" spans="1:11" ht="15.75" customHeight="1" x14ac:dyDescent="0.25">
      <c r="A29" s="8">
        <v>46208</v>
      </c>
      <c r="B29" s="9" t="s">
        <v>33</v>
      </c>
      <c r="C29" s="6" t="s">
        <v>12</v>
      </c>
      <c r="D29" s="6" t="s">
        <v>33</v>
      </c>
      <c r="E29" s="6" t="s">
        <v>14</v>
      </c>
      <c r="F29" s="6" t="s">
        <v>15</v>
      </c>
      <c r="G29" s="7">
        <v>150</v>
      </c>
      <c r="H29" s="10"/>
      <c r="I29" s="9"/>
      <c r="J29" s="5" t="str">
        <f t="shared" si="0"/>
        <v>yyyy-07</v>
      </c>
      <c r="K29" s="7">
        <f t="shared" si="1"/>
        <v>10746.2</v>
      </c>
    </row>
    <row r="30" spans="1:11" ht="15.75" customHeight="1" x14ac:dyDescent="0.25">
      <c r="A30" s="8">
        <v>46209</v>
      </c>
      <c r="B30" s="9" t="s">
        <v>13</v>
      </c>
      <c r="C30" s="6" t="s">
        <v>20</v>
      </c>
      <c r="D30" s="6" t="s">
        <v>13</v>
      </c>
      <c r="E30" s="9"/>
      <c r="F30" s="9"/>
      <c r="G30" s="10">
        <v>1513</v>
      </c>
      <c r="H30" s="10"/>
      <c r="I30" s="9"/>
      <c r="J30" s="5" t="str">
        <f t="shared" si="0"/>
        <v>yyyy-07</v>
      </c>
      <c r="K30" s="7">
        <f t="shared" si="1"/>
        <v>12259.2</v>
      </c>
    </row>
    <row r="31" spans="1:11" ht="15.75" customHeight="1" x14ac:dyDescent="0.25">
      <c r="A31" s="8">
        <v>46209</v>
      </c>
      <c r="B31" s="9" t="s">
        <v>21</v>
      </c>
      <c r="C31" s="6" t="s">
        <v>20</v>
      </c>
      <c r="D31" s="6" t="s">
        <v>22</v>
      </c>
      <c r="E31" s="6" t="s">
        <v>17</v>
      </c>
      <c r="F31" s="9"/>
      <c r="G31" s="10">
        <v>151</v>
      </c>
      <c r="H31" s="10"/>
      <c r="I31" s="9"/>
      <c r="J31" s="5" t="str">
        <f t="shared" si="0"/>
        <v>yyyy-07</v>
      </c>
      <c r="K31" s="7">
        <f t="shared" si="1"/>
        <v>12410.2</v>
      </c>
    </row>
    <row r="32" spans="1:11" ht="15.75" customHeight="1" x14ac:dyDescent="0.25">
      <c r="A32" s="8">
        <v>46209</v>
      </c>
      <c r="B32" s="9" t="s">
        <v>23</v>
      </c>
      <c r="C32" s="6" t="s">
        <v>12</v>
      </c>
      <c r="D32" s="6" t="s">
        <v>24</v>
      </c>
      <c r="E32" s="6" t="s">
        <v>17</v>
      </c>
      <c r="F32" s="6" t="s">
        <v>25</v>
      </c>
      <c r="G32" s="10">
        <v>18</v>
      </c>
      <c r="H32" s="10"/>
      <c r="I32" s="9"/>
      <c r="J32" s="5" t="str">
        <f t="shared" si="0"/>
        <v>yyyy-07</v>
      </c>
      <c r="K32" s="7">
        <f t="shared" si="1"/>
        <v>12392.2</v>
      </c>
    </row>
    <row r="33" spans="1:11" ht="15.75" customHeight="1" x14ac:dyDescent="0.25">
      <c r="A33" s="8">
        <v>46207</v>
      </c>
      <c r="B33" s="9" t="s">
        <v>36</v>
      </c>
      <c r="C33" s="6" t="s">
        <v>12</v>
      </c>
      <c r="D33" s="6" t="s">
        <v>33</v>
      </c>
      <c r="E33" s="6" t="s">
        <v>17</v>
      </c>
      <c r="F33" s="6" t="s">
        <v>25</v>
      </c>
      <c r="G33" s="7">
        <v>300</v>
      </c>
      <c r="H33" s="10"/>
      <c r="I33" s="9"/>
      <c r="J33" s="5" t="str">
        <f t="shared" si="0"/>
        <v>yyyy-07</v>
      </c>
      <c r="K33" s="7">
        <f t="shared" si="1"/>
        <v>12092.2</v>
      </c>
    </row>
    <row r="34" spans="1:11" ht="15.75" customHeight="1" x14ac:dyDescent="0.25">
      <c r="A34" s="8">
        <v>46208</v>
      </c>
      <c r="B34" s="9" t="s">
        <v>37</v>
      </c>
      <c r="C34" s="6" t="s">
        <v>12</v>
      </c>
      <c r="D34" s="6" t="s">
        <v>19</v>
      </c>
      <c r="E34" s="6" t="s">
        <v>17</v>
      </c>
      <c r="F34" s="6" t="s">
        <v>25</v>
      </c>
      <c r="G34" s="7">
        <v>225</v>
      </c>
      <c r="H34" s="10"/>
      <c r="I34" s="9"/>
      <c r="J34" s="5" t="str">
        <f t="shared" si="0"/>
        <v>yyyy-07</v>
      </c>
      <c r="K34" s="7">
        <f t="shared" si="1"/>
        <v>11867.2</v>
      </c>
    </row>
    <row r="35" spans="1:11" ht="15.75" customHeight="1" x14ac:dyDescent="0.25">
      <c r="A35" s="8">
        <v>46209</v>
      </c>
      <c r="B35" s="9" t="s">
        <v>38</v>
      </c>
      <c r="C35" s="6" t="s">
        <v>12</v>
      </c>
      <c r="D35" s="6" t="s">
        <v>39</v>
      </c>
      <c r="E35" s="6" t="s">
        <v>17</v>
      </c>
      <c r="F35" s="9"/>
      <c r="G35" s="7">
        <v>8918.64</v>
      </c>
      <c r="H35" s="10"/>
      <c r="I35" s="9"/>
      <c r="J35" s="5" t="str">
        <f t="shared" si="0"/>
        <v>yyyy-07</v>
      </c>
      <c r="K35" s="7">
        <f t="shared" si="1"/>
        <v>2948.5600000000013</v>
      </c>
    </row>
    <row r="36" spans="1:11" ht="15.75" customHeight="1" x14ac:dyDescent="0.25">
      <c r="A36" s="8">
        <v>46209</v>
      </c>
      <c r="B36" s="21" t="s">
        <v>1203</v>
      </c>
      <c r="C36" s="6" t="s">
        <v>12</v>
      </c>
      <c r="D36" s="6" t="s">
        <v>39</v>
      </c>
      <c r="E36" s="6" t="s">
        <v>17</v>
      </c>
      <c r="F36" s="6" t="s">
        <v>25</v>
      </c>
      <c r="G36" s="7">
        <v>94.9</v>
      </c>
      <c r="H36" s="10"/>
      <c r="I36" s="9"/>
      <c r="J36" s="5" t="str">
        <f t="shared" si="0"/>
        <v>yyyy-07</v>
      </c>
      <c r="K36" s="7">
        <f t="shared" si="1"/>
        <v>2853.6600000000012</v>
      </c>
    </row>
    <row r="37" spans="1:11" ht="15.75" customHeight="1" x14ac:dyDescent="0.25">
      <c r="A37" s="8">
        <v>46209</v>
      </c>
      <c r="B37" s="9" t="s">
        <v>602</v>
      </c>
      <c r="C37" s="6" t="s">
        <v>12</v>
      </c>
      <c r="D37" s="6" t="s">
        <v>39</v>
      </c>
      <c r="E37" s="6" t="s">
        <v>17</v>
      </c>
      <c r="F37" s="9"/>
      <c r="G37" s="7">
        <v>100</v>
      </c>
      <c r="H37" s="10"/>
      <c r="I37" s="9"/>
      <c r="J37" s="5" t="str">
        <f t="shared" si="0"/>
        <v>yyyy-07</v>
      </c>
      <c r="K37" s="7">
        <f t="shared" si="1"/>
        <v>2753.6600000000012</v>
      </c>
    </row>
    <row r="38" spans="1:11" ht="15.75" customHeight="1" x14ac:dyDescent="0.25">
      <c r="A38" s="8">
        <v>46209</v>
      </c>
      <c r="B38" s="9" t="s">
        <v>42</v>
      </c>
      <c r="C38" s="6" t="s">
        <v>12</v>
      </c>
      <c r="D38" s="6" t="s">
        <v>19</v>
      </c>
      <c r="E38" s="6" t="s">
        <v>17</v>
      </c>
      <c r="F38" s="9"/>
      <c r="G38" s="7">
        <v>177.86</v>
      </c>
      <c r="H38" s="10"/>
      <c r="I38" s="9"/>
      <c r="J38" s="5" t="str">
        <f t="shared" si="0"/>
        <v>yyyy-07</v>
      </c>
      <c r="K38" s="7">
        <f t="shared" si="1"/>
        <v>2575.8000000000011</v>
      </c>
    </row>
    <row r="39" spans="1:11" ht="15.75" customHeight="1" x14ac:dyDescent="0.25">
      <c r="A39" s="8">
        <v>46209</v>
      </c>
      <c r="B39" s="9" t="s">
        <v>42</v>
      </c>
      <c r="C39" s="6" t="s">
        <v>12</v>
      </c>
      <c r="D39" s="6" t="s">
        <v>19</v>
      </c>
      <c r="E39" s="6" t="s">
        <v>17</v>
      </c>
      <c r="F39" s="9"/>
      <c r="G39" s="7">
        <v>321.07</v>
      </c>
      <c r="H39" s="10"/>
      <c r="I39" s="9"/>
      <c r="J39" s="5" t="str">
        <f t="shared" si="0"/>
        <v>yyyy-07</v>
      </c>
      <c r="K39" s="7">
        <f t="shared" si="1"/>
        <v>2254.7300000000009</v>
      </c>
    </row>
    <row r="40" spans="1:11" ht="15.75" customHeight="1" x14ac:dyDescent="0.25">
      <c r="A40" s="8">
        <v>46210</v>
      </c>
      <c r="B40" s="9" t="s">
        <v>43</v>
      </c>
      <c r="C40" s="6" t="s">
        <v>12</v>
      </c>
      <c r="D40" s="6" t="s">
        <v>19</v>
      </c>
      <c r="E40" s="6" t="s">
        <v>17</v>
      </c>
      <c r="F40" s="9"/>
      <c r="G40" s="7">
        <v>529.5</v>
      </c>
      <c r="H40" s="10"/>
      <c r="I40" s="9"/>
      <c r="J40" s="5" t="str">
        <f t="shared" si="0"/>
        <v>yyyy-07</v>
      </c>
      <c r="K40" s="7">
        <f t="shared" si="1"/>
        <v>1725.2300000000009</v>
      </c>
    </row>
    <row r="41" spans="1:11" ht="15.75" customHeight="1" x14ac:dyDescent="0.25">
      <c r="A41" s="8">
        <v>46210</v>
      </c>
      <c r="B41" s="9" t="s">
        <v>30</v>
      </c>
      <c r="C41" s="6" t="s">
        <v>20</v>
      </c>
      <c r="D41" s="6" t="s">
        <v>13</v>
      </c>
      <c r="E41" s="9"/>
      <c r="F41" s="9"/>
      <c r="G41" s="10">
        <v>1628</v>
      </c>
      <c r="H41" s="10"/>
      <c r="I41" s="9"/>
      <c r="J41" s="5" t="str">
        <f t="shared" si="0"/>
        <v>yyyy-07</v>
      </c>
      <c r="K41" s="7">
        <f t="shared" si="1"/>
        <v>3353.2300000000009</v>
      </c>
    </row>
    <row r="42" spans="1:11" ht="15.75" customHeight="1" x14ac:dyDescent="0.25">
      <c r="A42" s="8">
        <v>46210</v>
      </c>
      <c r="B42" s="9" t="s">
        <v>44</v>
      </c>
      <c r="C42" s="6" t="s">
        <v>20</v>
      </c>
      <c r="D42" s="6" t="s">
        <v>22</v>
      </c>
      <c r="E42" s="6" t="s">
        <v>17</v>
      </c>
      <c r="F42" s="9"/>
      <c r="G42" s="10">
        <v>76</v>
      </c>
      <c r="H42" s="10"/>
      <c r="I42" s="9"/>
      <c r="J42" s="5" t="str">
        <f t="shared" si="0"/>
        <v>yyyy-07</v>
      </c>
      <c r="K42" s="7">
        <f t="shared" si="1"/>
        <v>3429.2300000000009</v>
      </c>
    </row>
    <row r="43" spans="1:11" ht="15.75" customHeight="1" x14ac:dyDescent="0.25">
      <c r="A43" s="8">
        <v>46210</v>
      </c>
      <c r="B43" s="9" t="s">
        <v>45</v>
      </c>
      <c r="C43" s="6" t="s">
        <v>12</v>
      </c>
      <c r="D43" s="6" t="s">
        <v>24</v>
      </c>
      <c r="E43" s="6" t="s">
        <v>17</v>
      </c>
      <c r="F43" s="6" t="s">
        <v>25</v>
      </c>
      <c r="G43" s="10">
        <v>24</v>
      </c>
      <c r="H43" s="10"/>
      <c r="I43" s="9"/>
      <c r="J43" s="5" t="str">
        <f t="shared" si="0"/>
        <v>yyyy-07</v>
      </c>
      <c r="K43" s="7">
        <f t="shared" si="1"/>
        <v>3405.2300000000009</v>
      </c>
    </row>
    <row r="44" spans="1:11" ht="15.75" customHeight="1" x14ac:dyDescent="0.25">
      <c r="A44" s="3">
        <v>46210</v>
      </c>
      <c r="B44" s="9" t="s">
        <v>1204</v>
      </c>
      <c r="C44" s="9" t="s">
        <v>12</v>
      </c>
      <c r="D44" s="9" t="s">
        <v>27</v>
      </c>
      <c r="E44" s="9" t="s">
        <v>17</v>
      </c>
      <c r="F44" s="9" t="s">
        <v>25</v>
      </c>
      <c r="G44" s="10">
        <v>4858.41</v>
      </c>
      <c r="H44" s="10"/>
      <c r="I44" s="9"/>
      <c r="J44" s="5" t="str">
        <f t="shared" si="0"/>
        <v>yyyy-07</v>
      </c>
      <c r="K44" s="7">
        <f t="shared" si="1"/>
        <v>-1453.1799999999989</v>
      </c>
    </row>
    <row r="45" spans="1:11" ht="15.75" customHeight="1" x14ac:dyDescent="0.25">
      <c r="A45" s="3">
        <v>46211</v>
      </c>
      <c r="B45" s="4" t="s">
        <v>512</v>
      </c>
      <c r="C45" s="5" t="s">
        <v>12</v>
      </c>
      <c r="D45" s="6" t="s">
        <v>325</v>
      </c>
      <c r="E45" s="6" t="s">
        <v>17</v>
      </c>
      <c r="F45" s="6"/>
      <c r="G45" s="7">
        <v>1899.95</v>
      </c>
      <c r="H45" s="7"/>
      <c r="I45" s="5"/>
      <c r="J45" s="5" t="str">
        <f t="shared" si="0"/>
        <v>yyyy-07</v>
      </c>
      <c r="K45" s="7">
        <f t="shared" si="1"/>
        <v>-3353.1299999999992</v>
      </c>
    </row>
    <row r="46" spans="1:11" ht="15.75" customHeight="1" x14ac:dyDescent="0.25">
      <c r="A46" s="3">
        <v>46211</v>
      </c>
      <c r="B46" s="4" t="s">
        <v>303</v>
      </c>
      <c r="C46" s="5" t="s">
        <v>12</v>
      </c>
      <c r="D46" s="6" t="s">
        <v>68</v>
      </c>
      <c r="E46" s="6" t="s">
        <v>17</v>
      </c>
      <c r="F46" s="6"/>
      <c r="G46" s="7">
        <v>1000</v>
      </c>
      <c r="H46" s="7"/>
      <c r="I46" s="5"/>
      <c r="J46" s="5" t="str">
        <f t="shared" si="0"/>
        <v>yyyy-07</v>
      </c>
      <c r="K46" s="7">
        <f t="shared" si="1"/>
        <v>-4353.1299999999992</v>
      </c>
    </row>
    <row r="47" spans="1:11" ht="15.75" customHeight="1" x14ac:dyDescent="0.25">
      <c r="A47" s="3">
        <v>46211</v>
      </c>
      <c r="B47" s="4" t="s">
        <v>360</v>
      </c>
      <c r="C47" s="5" t="s">
        <v>12</v>
      </c>
      <c r="D47" s="6" t="s">
        <v>19</v>
      </c>
      <c r="E47" s="6" t="s">
        <v>17</v>
      </c>
      <c r="F47" s="6" t="s">
        <v>25</v>
      </c>
      <c r="G47" s="7">
        <v>212</v>
      </c>
      <c r="H47" s="7"/>
      <c r="I47" s="5"/>
      <c r="J47" s="5" t="str">
        <f t="shared" si="0"/>
        <v>yyyy-07</v>
      </c>
      <c r="K47" s="7">
        <f t="shared" si="1"/>
        <v>-4565.1299999999992</v>
      </c>
    </row>
    <row r="48" spans="1:11" ht="15.75" customHeight="1" x14ac:dyDescent="0.25">
      <c r="A48" s="3">
        <v>46211</v>
      </c>
      <c r="B48" s="9" t="s">
        <v>30</v>
      </c>
      <c r="C48" s="7" t="s">
        <v>20</v>
      </c>
      <c r="D48" s="6" t="s">
        <v>13</v>
      </c>
      <c r="E48" s="6"/>
      <c r="F48" s="6"/>
      <c r="G48" s="7">
        <v>1206</v>
      </c>
      <c r="H48" s="7"/>
      <c r="I48" s="5"/>
      <c r="J48" s="5" t="str">
        <f t="shared" si="0"/>
        <v>yyyy-07</v>
      </c>
      <c r="K48" s="7">
        <f t="shared" si="1"/>
        <v>-3359.1299999999992</v>
      </c>
    </row>
    <row r="49" spans="1:11" ht="15.75" customHeight="1" x14ac:dyDescent="0.25">
      <c r="A49" s="3">
        <v>46211</v>
      </c>
      <c r="B49" s="4" t="s">
        <v>44</v>
      </c>
      <c r="C49" s="5" t="s">
        <v>20</v>
      </c>
      <c r="D49" s="6" t="s">
        <v>22</v>
      </c>
      <c r="E49" s="6" t="s">
        <v>17</v>
      </c>
      <c r="F49" s="6"/>
      <c r="G49" s="7">
        <v>150</v>
      </c>
      <c r="H49" s="7"/>
      <c r="I49" s="5"/>
      <c r="J49" s="5" t="str">
        <f t="shared" si="0"/>
        <v>yyyy-07</v>
      </c>
      <c r="K49" s="7">
        <f t="shared" si="1"/>
        <v>-3209.1299999999992</v>
      </c>
    </row>
    <row r="50" spans="1:11" ht="15.75" customHeight="1" x14ac:dyDescent="0.25">
      <c r="A50" s="3">
        <v>46211</v>
      </c>
      <c r="B50" s="4" t="s">
        <v>45</v>
      </c>
      <c r="C50" s="5" t="s">
        <v>12</v>
      </c>
      <c r="D50" s="6" t="s">
        <v>24</v>
      </c>
      <c r="E50" s="6" t="s">
        <v>17</v>
      </c>
      <c r="F50" s="6" t="s">
        <v>25</v>
      </c>
      <c r="G50" s="7">
        <v>36</v>
      </c>
      <c r="H50" s="7"/>
      <c r="I50" s="5"/>
      <c r="J50" s="5" t="str">
        <f t="shared" si="0"/>
        <v>yyyy-07</v>
      </c>
      <c r="K50" s="7">
        <f t="shared" si="1"/>
        <v>-3245.1299999999992</v>
      </c>
    </row>
    <row r="51" spans="1:11" ht="15.75" customHeight="1" x14ac:dyDescent="0.25">
      <c r="A51" s="3">
        <v>46211</v>
      </c>
      <c r="B51" s="4" t="s">
        <v>1205</v>
      </c>
      <c r="C51" s="5" t="s">
        <v>12</v>
      </c>
      <c r="D51" s="6" t="s">
        <v>19</v>
      </c>
      <c r="E51" s="6" t="s">
        <v>17</v>
      </c>
      <c r="F51" s="6" t="s">
        <v>25</v>
      </c>
      <c r="G51" s="7">
        <v>79.2</v>
      </c>
      <c r="H51" s="7"/>
      <c r="I51" s="5"/>
      <c r="J51" s="5" t="str">
        <f t="shared" si="0"/>
        <v>yyyy-07</v>
      </c>
      <c r="K51" s="7">
        <f t="shared" si="1"/>
        <v>-3324.329999999999</v>
      </c>
    </row>
    <row r="52" spans="1:11" ht="15.75" customHeight="1" x14ac:dyDescent="0.25">
      <c r="A52" s="3">
        <v>46211</v>
      </c>
      <c r="B52" s="4" t="s">
        <v>1206</v>
      </c>
      <c r="C52" s="5" t="s">
        <v>12</v>
      </c>
      <c r="D52" s="6" t="s">
        <v>27</v>
      </c>
      <c r="E52" s="6" t="s">
        <v>17</v>
      </c>
      <c r="F52" s="6" t="s">
        <v>25</v>
      </c>
      <c r="G52" s="7">
        <v>500</v>
      </c>
      <c r="H52" s="7"/>
      <c r="I52" s="5"/>
      <c r="J52" s="5" t="str">
        <f t="shared" si="0"/>
        <v>yyyy-07</v>
      </c>
      <c r="K52" s="7">
        <f t="shared" si="1"/>
        <v>-3824.329999999999</v>
      </c>
    </row>
    <row r="53" spans="1:11" ht="15.75" customHeight="1" x14ac:dyDescent="0.25">
      <c r="A53" s="3">
        <v>46212</v>
      </c>
      <c r="B53" s="4" t="s">
        <v>30</v>
      </c>
      <c r="C53" s="5" t="s">
        <v>20</v>
      </c>
      <c r="D53" s="6" t="s">
        <v>13</v>
      </c>
      <c r="E53" s="6"/>
      <c r="F53" s="6"/>
      <c r="G53" s="7">
        <v>2918</v>
      </c>
      <c r="H53" s="7"/>
      <c r="I53" s="5"/>
      <c r="J53" s="5" t="str">
        <f t="shared" si="0"/>
        <v>yyyy-07</v>
      </c>
      <c r="K53" s="7">
        <f t="shared" si="1"/>
        <v>-906.32999999999902</v>
      </c>
    </row>
    <row r="54" spans="1:11" ht="15.75" customHeight="1" x14ac:dyDescent="0.25">
      <c r="A54" s="3">
        <v>46212</v>
      </c>
      <c r="B54" s="4" t="s">
        <v>44</v>
      </c>
      <c r="C54" s="5" t="s">
        <v>20</v>
      </c>
      <c r="D54" s="6" t="s">
        <v>22</v>
      </c>
      <c r="E54" s="6" t="s">
        <v>17</v>
      </c>
      <c r="F54" s="6"/>
      <c r="G54" s="7">
        <v>100</v>
      </c>
      <c r="H54" s="7"/>
      <c r="I54" s="5"/>
      <c r="J54" s="5" t="str">
        <f t="shared" si="0"/>
        <v>yyyy-07</v>
      </c>
      <c r="K54" s="7">
        <f t="shared" si="1"/>
        <v>-806.32999999999902</v>
      </c>
    </row>
    <row r="55" spans="1:11" ht="15.75" customHeight="1" x14ac:dyDescent="0.25">
      <c r="A55" s="3">
        <v>46212</v>
      </c>
      <c r="B55" s="4" t="s">
        <v>45</v>
      </c>
      <c r="C55" s="5" t="s">
        <v>12</v>
      </c>
      <c r="D55" s="6" t="s">
        <v>24</v>
      </c>
      <c r="E55" s="6" t="s">
        <v>17</v>
      </c>
      <c r="F55" s="6" t="s">
        <v>25</v>
      </c>
      <c r="G55" s="7">
        <v>18</v>
      </c>
      <c r="H55" s="7"/>
      <c r="I55" s="5"/>
      <c r="J55" s="5" t="str">
        <f t="shared" si="0"/>
        <v>yyyy-07</v>
      </c>
      <c r="K55" s="7">
        <f t="shared" si="1"/>
        <v>-824.32999999999902</v>
      </c>
    </row>
    <row r="56" spans="1:11" ht="15.75" customHeight="1" x14ac:dyDescent="0.25">
      <c r="A56" s="3">
        <v>46212</v>
      </c>
      <c r="B56" s="4" t="s">
        <v>1207</v>
      </c>
      <c r="C56" s="5" t="s">
        <v>12</v>
      </c>
      <c r="D56" s="6" t="s">
        <v>19</v>
      </c>
      <c r="E56" s="6" t="s">
        <v>17</v>
      </c>
      <c r="F56" s="6" t="s">
        <v>25</v>
      </c>
      <c r="G56" s="7">
        <v>116</v>
      </c>
      <c r="H56" s="7"/>
      <c r="I56" s="5"/>
      <c r="J56" s="5" t="str">
        <f t="shared" si="0"/>
        <v>yyyy-07</v>
      </c>
      <c r="K56" s="7">
        <f t="shared" si="1"/>
        <v>-940.32999999999902</v>
      </c>
    </row>
    <row r="57" spans="1:11" ht="15.75" customHeight="1" x14ac:dyDescent="0.25">
      <c r="A57" s="3">
        <v>46212</v>
      </c>
      <c r="B57" s="4" t="s">
        <v>1208</v>
      </c>
      <c r="C57" s="5" t="s">
        <v>12</v>
      </c>
      <c r="D57" s="6" t="s">
        <v>19</v>
      </c>
      <c r="E57" s="6" t="s">
        <v>17</v>
      </c>
      <c r="F57" s="6" t="s">
        <v>25</v>
      </c>
      <c r="G57" s="7">
        <v>52.55</v>
      </c>
      <c r="H57" s="7"/>
      <c r="I57" s="5"/>
      <c r="J57" s="5" t="str">
        <f t="shared" si="0"/>
        <v>yyyy-07</v>
      </c>
      <c r="K57" s="7">
        <f t="shared" si="1"/>
        <v>-992.87999999999897</v>
      </c>
    </row>
    <row r="58" spans="1:11" ht="15.75" customHeight="1" x14ac:dyDescent="0.25">
      <c r="A58" s="3">
        <v>46213</v>
      </c>
      <c r="B58" s="4" t="s">
        <v>30</v>
      </c>
      <c r="C58" s="5" t="s">
        <v>20</v>
      </c>
      <c r="D58" s="6" t="s">
        <v>13</v>
      </c>
      <c r="E58" s="6"/>
      <c r="F58" s="6"/>
      <c r="G58" s="7">
        <v>5033</v>
      </c>
      <c r="H58" s="7"/>
      <c r="I58" s="5"/>
      <c r="J58" s="5" t="str">
        <f t="shared" si="0"/>
        <v>yyyy-07</v>
      </c>
      <c r="K58" s="7">
        <f t="shared" si="1"/>
        <v>4040.1200000000008</v>
      </c>
    </row>
    <row r="59" spans="1:11" ht="15.75" customHeight="1" x14ac:dyDescent="0.25">
      <c r="A59" s="3">
        <v>46213</v>
      </c>
      <c r="B59" s="4" t="s">
        <v>44</v>
      </c>
      <c r="C59" s="5" t="s">
        <v>20</v>
      </c>
      <c r="D59" s="6" t="s">
        <v>22</v>
      </c>
      <c r="E59" s="6" t="s">
        <v>17</v>
      </c>
      <c r="F59" s="6"/>
      <c r="G59" s="7">
        <v>0</v>
      </c>
      <c r="H59" s="7"/>
      <c r="I59" s="5"/>
      <c r="J59" s="5" t="str">
        <f t="shared" si="0"/>
        <v>yyyy-07</v>
      </c>
      <c r="K59" s="7">
        <f t="shared" si="1"/>
        <v>4040.1200000000008</v>
      </c>
    </row>
    <row r="60" spans="1:11" ht="15.75" customHeight="1" x14ac:dyDescent="0.25">
      <c r="A60" s="3">
        <v>46213</v>
      </c>
      <c r="B60" s="4" t="s">
        <v>45</v>
      </c>
      <c r="C60" s="5" t="s">
        <v>12</v>
      </c>
      <c r="D60" s="6" t="s">
        <v>24</v>
      </c>
      <c r="E60" s="6" t="s">
        <v>17</v>
      </c>
      <c r="F60" s="6" t="s">
        <v>25</v>
      </c>
      <c r="G60" s="7">
        <v>0</v>
      </c>
      <c r="H60" s="7"/>
      <c r="I60" s="5"/>
      <c r="J60" s="5" t="str">
        <f t="shared" si="0"/>
        <v>yyyy-07</v>
      </c>
      <c r="K60" s="7">
        <f t="shared" si="1"/>
        <v>4040.1200000000008</v>
      </c>
    </row>
    <row r="61" spans="1:11" ht="15.75" customHeight="1" x14ac:dyDescent="0.25">
      <c r="A61" s="3">
        <v>46213</v>
      </c>
      <c r="B61" s="4" t="s">
        <v>393</v>
      </c>
      <c r="C61" s="5" t="s">
        <v>12</v>
      </c>
      <c r="D61" s="6" t="s">
        <v>19</v>
      </c>
      <c r="E61" s="6" t="s">
        <v>14</v>
      </c>
      <c r="F61" s="6" t="s">
        <v>15</v>
      </c>
      <c r="G61" s="7">
        <v>423</v>
      </c>
      <c r="H61" s="7"/>
      <c r="I61" s="5"/>
      <c r="J61" s="5" t="str">
        <f t="shared" si="0"/>
        <v>yyyy-07</v>
      </c>
      <c r="K61" s="7">
        <f t="shared" si="1"/>
        <v>3617.1200000000008</v>
      </c>
    </row>
    <row r="62" spans="1:11" ht="15.75" customHeight="1" x14ac:dyDescent="0.25">
      <c r="A62" s="3">
        <v>46213</v>
      </c>
      <c r="B62" s="4" t="s">
        <v>1206</v>
      </c>
      <c r="C62" s="5" t="s">
        <v>12</v>
      </c>
      <c r="D62" s="6" t="s">
        <v>27</v>
      </c>
      <c r="E62" s="6" t="s">
        <v>17</v>
      </c>
      <c r="F62" s="6" t="s">
        <v>25</v>
      </c>
      <c r="G62" s="7">
        <v>2000</v>
      </c>
      <c r="H62" s="7"/>
      <c r="I62" s="5"/>
      <c r="J62" s="5" t="str">
        <f t="shared" si="0"/>
        <v>yyyy-07</v>
      </c>
      <c r="K62" s="7">
        <f t="shared" si="1"/>
        <v>1617.1200000000008</v>
      </c>
    </row>
    <row r="63" spans="1:11" ht="15.75" customHeight="1" x14ac:dyDescent="0.25">
      <c r="A63" s="3">
        <v>46213</v>
      </c>
      <c r="B63" s="4" t="s">
        <v>343</v>
      </c>
      <c r="C63" s="5" t="s">
        <v>12</v>
      </c>
      <c r="D63" s="6" t="s">
        <v>19</v>
      </c>
      <c r="E63" s="6" t="s">
        <v>17</v>
      </c>
      <c r="F63" s="6"/>
      <c r="G63" s="7">
        <v>1085.93</v>
      </c>
      <c r="H63" s="7"/>
      <c r="I63" s="5"/>
      <c r="J63" s="5" t="str">
        <f t="shared" si="0"/>
        <v>yyyy-07</v>
      </c>
      <c r="K63" s="7">
        <f t="shared" si="1"/>
        <v>531.19000000000074</v>
      </c>
    </row>
    <row r="64" spans="1:11" ht="15.75" customHeight="1" x14ac:dyDescent="0.25">
      <c r="A64" s="3">
        <v>46213</v>
      </c>
      <c r="B64" s="4" t="s">
        <v>415</v>
      </c>
      <c r="C64" s="5" t="s">
        <v>12</v>
      </c>
      <c r="D64" s="6" t="s">
        <v>68</v>
      </c>
      <c r="E64" s="6" t="s">
        <v>17</v>
      </c>
      <c r="F64" s="6"/>
      <c r="G64" s="7">
        <v>450</v>
      </c>
      <c r="H64" s="7"/>
      <c r="I64" s="5"/>
      <c r="J64" s="5" t="str">
        <f t="shared" si="0"/>
        <v>yyyy-07</v>
      </c>
      <c r="K64" s="7">
        <f t="shared" si="1"/>
        <v>81.190000000000737</v>
      </c>
    </row>
    <row r="65" spans="1:11" ht="15.75" customHeight="1" x14ac:dyDescent="0.25">
      <c r="A65" s="3">
        <v>46213</v>
      </c>
      <c r="B65" s="4" t="s">
        <v>637</v>
      </c>
      <c r="C65" s="5" t="s">
        <v>12</v>
      </c>
      <c r="D65" s="6" t="s">
        <v>66</v>
      </c>
      <c r="E65" s="6" t="s">
        <v>17</v>
      </c>
      <c r="F65" s="6"/>
      <c r="G65" s="7">
        <v>4757.25</v>
      </c>
      <c r="H65" s="7"/>
      <c r="I65" s="5"/>
      <c r="J65" s="5" t="str">
        <f t="shared" si="0"/>
        <v>yyyy-07</v>
      </c>
      <c r="K65" s="7">
        <f t="shared" si="1"/>
        <v>-4676.0599999999995</v>
      </c>
    </row>
    <row r="66" spans="1:11" ht="15.75" customHeight="1" x14ac:dyDescent="0.25">
      <c r="A66" s="3">
        <v>46213</v>
      </c>
      <c r="B66" s="4" t="s">
        <v>638</v>
      </c>
      <c r="C66" s="5" t="s">
        <v>12</v>
      </c>
      <c r="D66" s="6" t="s">
        <v>27</v>
      </c>
      <c r="E66" s="6" t="s">
        <v>17</v>
      </c>
      <c r="F66" s="6"/>
      <c r="G66" s="7">
        <v>48</v>
      </c>
      <c r="H66" s="7"/>
      <c r="I66" s="5"/>
      <c r="J66" s="5" t="str">
        <f t="shared" si="0"/>
        <v>yyyy-07</v>
      </c>
      <c r="K66" s="7">
        <f t="shared" si="1"/>
        <v>-4724.0599999999995</v>
      </c>
    </row>
    <row r="67" spans="1:11" ht="15.75" customHeight="1" x14ac:dyDescent="0.25">
      <c r="A67" s="3">
        <v>46213</v>
      </c>
      <c r="B67" s="4" t="s">
        <v>1209</v>
      </c>
      <c r="C67" s="5" t="s">
        <v>12</v>
      </c>
      <c r="D67" s="6" t="s">
        <v>27</v>
      </c>
      <c r="E67" s="6" t="s">
        <v>17</v>
      </c>
      <c r="F67" s="6"/>
      <c r="G67" s="7">
        <v>163.6</v>
      </c>
      <c r="H67" s="7"/>
      <c r="I67" s="5"/>
      <c r="J67" s="5" t="str">
        <f t="shared" si="0"/>
        <v>yyyy-07</v>
      </c>
      <c r="K67" s="7">
        <f t="shared" si="1"/>
        <v>-4887.66</v>
      </c>
    </row>
    <row r="68" spans="1:11" ht="15.75" customHeight="1" x14ac:dyDescent="0.25">
      <c r="A68" s="3">
        <v>46214</v>
      </c>
      <c r="B68" s="4" t="s">
        <v>13</v>
      </c>
      <c r="C68" s="5" t="s">
        <v>20</v>
      </c>
      <c r="D68" s="6" t="s">
        <v>13</v>
      </c>
      <c r="E68" s="6"/>
      <c r="F68" s="6"/>
      <c r="G68" s="7">
        <v>7495</v>
      </c>
      <c r="H68" s="7"/>
      <c r="I68" s="5"/>
      <c r="J68" s="5" t="str">
        <f t="shared" si="0"/>
        <v>yyyy-07</v>
      </c>
      <c r="K68" s="7">
        <f t="shared" ref="K68:K131" si="2">K67 + IF(C68="Entrada", G68, -G68)</f>
        <v>2607.34</v>
      </c>
    </row>
    <row r="69" spans="1:11" ht="15.75" customHeight="1" x14ac:dyDescent="0.25">
      <c r="A69" s="3">
        <v>46214</v>
      </c>
      <c r="B69" s="4" t="s">
        <v>21</v>
      </c>
      <c r="C69" s="5" t="s">
        <v>20</v>
      </c>
      <c r="D69" s="6" t="s">
        <v>22</v>
      </c>
      <c r="E69" s="6" t="s">
        <v>17</v>
      </c>
      <c r="F69" s="6"/>
      <c r="G69" s="7">
        <v>217</v>
      </c>
      <c r="H69" s="7"/>
      <c r="I69" s="5"/>
      <c r="J69" s="5" t="str">
        <f t="shared" si="0"/>
        <v>yyyy-07</v>
      </c>
      <c r="K69" s="7">
        <f t="shared" si="2"/>
        <v>2824.34</v>
      </c>
    </row>
    <row r="70" spans="1:11" ht="15.75" customHeight="1" x14ac:dyDescent="0.25">
      <c r="A70" s="3">
        <v>46214</v>
      </c>
      <c r="B70" s="4" t="s">
        <v>23</v>
      </c>
      <c r="C70" s="5" t="s">
        <v>12</v>
      </c>
      <c r="D70" s="6" t="s">
        <v>24</v>
      </c>
      <c r="E70" s="6" t="s">
        <v>17</v>
      </c>
      <c r="F70" s="6" t="s">
        <v>25</v>
      </c>
      <c r="G70" s="7">
        <v>35</v>
      </c>
      <c r="H70" s="7"/>
      <c r="I70" s="5"/>
      <c r="J70" s="5" t="str">
        <f t="shared" si="0"/>
        <v>yyyy-07</v>
      </c>
      <c r="K70" s="7">
        <f t="shared" si="2"/>
        <v>2789.34</v>
      </c>
    </row>
    <row r="71" spans="1:11" ht="15.75" customHeight="1" x14ac:dyDescent="0.25">
      <c r="A71" s="3">
        <v>46214</v>
      </c>
      <c r="B71" s="4" t="s">
        <v>33</v>
      </c>
      <c r="C71" s="5" t="s">
        <v>12</v>
      </c>
      <c r="D71" s="6" t="s">
        <v>33</v>
      </c>
      <c r="E71" s="6" t="s">
        <v>14</v>
      </c>
      <c r="F71" s="6" t="s">
        <v>15</v>
      </c>
      <c r="G71" s="7">
        <v>150</v>
      </c>
      <c r="H71" s="7"/>
      <c r="I71" s="5"/>
      <c r="J71" s="5" t="str">
        <f t="shared" si="0"/>
        <v>yyyy-07</v>
      </c>
      <c r="K71" s="7">
        <f t="shared" si="2"/>
        <v>2639.34</v>
      </c>
    </row>
    <row r="72" spans="1:11" ht="15.75" customHeight="1" x14ac:dyDescent="0.25">
      <c r="A72" s="3">
        <v>46214</v>
      </c>
      <c r="B72" s="4" t="s">
        <v>1210</v>
      </c>
      <c r="C72" s="5" t="s">
        <v>12</v>
      </c>
      <c r="D72" s="6" t="s">
        <v>29</v>
      </c>
      <c r="E72" s="6" t="s">
        <v>17</v>
      </c>
      <c r="F72" s="6" t="s">
        <v>25</v>
      </c>
      <c r="G72" s="7">
        <v>66.5</v>
      </c>
      <c r="H72" s="7"/>
      <c r="I72" s="5"/>
      <c r="J72" s="5" t="str">
        <f t="shared" si="0"/>
        <v>yyyy-07</v>
      </c>
      <c r="K72" s="7">
        <f t="shared" si="2"/>
        <v>2572.84</v>
      </c>
    </row>
    <row r="73" spans="1:11" ht="15.75" customHeight="1" x14ac:dyDescent="0.25">
      <c r="A73" s="3">
        <v>46215</v>
      </c>
      <c r="B73" s="4" t="s">
        <v>618</v>
      </c>
      <c r="C73" s="5" t="s">
        <v>20</v>
      </c>
      <c r="D73" s="6" t="s">
        <v>13</v>
      </c>
      <c r="E73" s="6"/>
      <c r="F73" s="6"/>
      <c r="G73" s="7">
        <v>5865</v>
      </c>
      <c r="H73" s="7"/>
      <c r="I73" s="5"/>
      <c r="J73" s="5" t="str">
        <f t="shared" si="0"/>
        <v>yyyy-07</v>
      </c>
      <c r="K73" s="7">
        <f t="shared" si="2"/>
        <v>8437.84</v>
      </c>
    </row>
    <row r="74" spans="1:11" ht="15.75" customHeight="1" x14ac:dyDescent="0.25">
      <c r="A74" s="3">
        <v>46215</v>
      </c>
      <c r="B74" s="4" t="s">
        <v>21</v>
      </c>
      <c r="C74" s="5" t="s">
        <v>20</v>
      </c>
      <c r="D74" s="6" t="s">
        <v>22</v>
      </c>
      <c r="E74" s="6" t="s">
        <v>17</v>
      </c>
      <c r="F74" s="6"/>
      <c r="G74" s="7">
        <v>284</v>
      </c>
      <c r="H74" s="7"/>
      <c r="I74" s="5"/>
      <c r="J74" s="5" t="str">
        <f t="shared" si="0"/>
        <v>yyyy-07</v>
      </c>
      <c r="K74" s="7">
        <f t="shared" si="2"/>
        <v>8721.84</v>
      </c>
    </row>
    <row r="75" spans="1:11" ht="15.75" customHeight="1" x14ac:dyDescent="0.25">
      <c r="A75" s="3">
        <v>46215</v>
      </c>
      <c r="B75" s="4" t="s">
        <v>23</v>
      </c>
      <c r="C75" s="5" t="s">
        <v>12</v>
      </c>
      <c r="D75" s="6" t="s">
        <v>24</v>
      </c>
      <c r="E75" s="6" t="s">
        <v>17</v>
      </c>
      <c r="F75" s="6" t="s">
        <v>25</v>
      </c>
      <c r="G75" s="7">
        <v>36</v>
      </c>
      <c r="H75" s="7"/>
      <c r="I75" s="5"/>
      <c r="J75" s="5" t="str">
        <f t="shared" si="0"/>
        <v>yyyy-07</v>
      </c>
      <c r="K75" s="7">
        <f t="shared" si="2"/>
        <v>8685.84</v>
      </c>
    </row>
    <row r="76" spans="1:11" ht="15.75" customHeight="1" x14ac:dyDescent="0.25">
      <c r="A76" s="3">
        <v>46215</v>
      </c>
      <c r="B76" s="4" t="s">
        <v>33</v>
      </c>
      <c r="C76" s="5" t="s">
        <v>12</v>
      </c>
      <c r="D76" s="6" t="s">
        <v>33</v>
      </c>
      <c r="E76" s="6" t="s">
        <v>14</v>
      </c>
      <c r="F76" s="6" t="s">
        <v>15</v>
      </c>
      <c r="G76" s="7">
        <v>150</v>
      </c>
      <c r="H76" s="7"/>
      <c r="I76" s="5"/>
      <c r="J76" s="5" t="str">
        <f t="shared" si="0"/>
        <v>yyyy-07</v>
      </c>
      <c r="K76" s="7">
        <f t="shared" si="2"/>
        <v>8535.84</v>
      </c>
    </row>
    <row r="77" spans="1:11" ht="15.75" customHeight="1" x14ac:dyDescent="0.25">
      <c r="A77" s="3">
        <v>46215</v>
      </c>
      <c r="B77" s="4" t="s">
        <v>11</v>
      </c>
      <c r="C77" s="5" t="s">
        <v>12</v>
      </c>
      <c r="D77" s="6" t="s">
        <v>19</v>
      </c>
      <c r="E77" s="6" t="s">
        <v>14</v>
      </c>
      <c r="F77" s="6" t="s">
        <v>15</v>
      </c>
      <c r="G77" s="7">
        <v>100</v>
      </c>
      <c r="H77" s="7"/>
      <c r="I77" s="5"/>
      <c r="J77" s="5" t="str">
        <f t="shared" si="0"/>
        <v>yyyy-07</v>
      </c>
      <c r="K77" s="7">
        <f t="shared" si="2"/>
        <v>8435.84</v>
      </c>
    </row>
    <row r="78" spans="1:11" ht="15.75" customHeight="1" x14ac:dyDescent="0.25">
      <c r="A78" s="3">
        <v>46216</v>
      </c>
      <c r="B78" s="4" t="s">
        <v>13</v>
      </c>
      <c r="C78" s="5" t="s">
        <v>20</v>
      </c>
      <c r="D78" s="6" t="s">
        <v>13</v>
      </c>
      <c r="E78" s="6"/>
      <c r="F78" s="6"/>
      <c r="G78" s="7">
        <v>2041</v>
      </c>
      <c r="H78" s="7"/>
      <c r="I78" s="5"/>
      <c r="J78" s="5" t="str">
        <f t="shared" si="0"/>
        <v>yyyy-07</v>
      </c>
      <c r="K78" s="7">
        <f t="shared" si="2"/>
        <v>10476.84</v>
      </c>
    </row>
    <row r="79" spans="1:11" ht="15.75" customHeight="1" x14ac:dyDescent="0.25">
      <c r="A79" s="3">
        <v>46216</v>
      </c>
      <c r="B79" s="4" t="s">
        <v>21</v>
      </c>
      <c r="C79" s="5" t="s">
        <v>20</v>
      </c>
      <c r="D79" s="6" t="s">
        <v>22</v>
      </c>
      <c r="E79" s="6" t="s">
        <v>17</v>
      </c>
      <c r="F79" s="6"/>
      <c r="G79" s="7">
        <v>0</v>
      </c>
      <c r="H79" s="7"/>
      <c r="I79" s="5"/>
      <c r="J79" s="5" t="str">
        <f t="shared" si="0"/>
        <v>yyyy-07</v>
      </c>
      <c r="K79" s="7">
        <f t="shared" si="2"/>
        <v>10476.84</v>
      </c>
    </row>
    <row r="80" spans="1:11" ht="15.75" customHeight="1" x14ac:dyDescent="0.25">
      <c r="A80" s="3">
        <v>46216</v>
      </c>
      <c r="B80" s="4" t="s">
        <v>23</v>
      </c>
      <c r="C80" s="5" t="s">
        <v>12</v>
      </c>
      <c r="D80" s="6" t="s">
        <v>24</v>
      </c>
      <c r="E80" s="6" t="s">
        <v>17</v>
      </c>
      <c r="F80" s="6" t="s">
        <v>25</v>
      </c>
      <c r="G80" s="7">
        <v>0</v>
      </c>
      <c r="H80" s="7"/>
      <c r="I80" s="5"/>
      <c r="J80" s="5" t="str">
        <f t="shared" si="0"/>
        <v>yyyy-07</v>
      </c>
      <c r="K80" s="7">
        <f t="shared" si="2"/>
        <v>10476.84</v>
      </c>
    </row>
    <row r="81" spans="1:11" ht="15.75" customHeight="1" x14ac:dyDescent="0.25">
      <c r="A81" s="3">
        <v>46216</v>
      </c>
      <c r="B81" s="4" t="s">
        <v>383</v>
      </c>
      <c r="C81" s="5" t="s">
        <v>12</v>
      </c>
      <c r="D81" s="6" t="s">
        <v>19</v>
      </c>
      <c r="E81" s="6" t="s">
        <v>17</v>
      </c>
      <c r="F81" s="6"/>
      <c r="G81" s="7">
        <v>211.23</v>
      </c>
      <c r="H81" s="7"/>
      <c r="I81" s="5"/>
      <c r="J81" s="5" t="str">
        <f t="shared" si="0"/>
        <v>yyyy-07</v>
      </c>
      <c r="K81" s="7">
        <f t="shared" si="2"/>
        <v>10265.61</v>
      </c>
    </row>
    <row r="82" spans="1:11" ht="15.75" customHeight="1" x14ac:dyDescent="0.25">
      <c r="A82" s="3">
        <v>46216</v>
      </c>
      <c r="B82" s="4" t="s">
        <v>452</v>
      </c>
      <c r="C82" s="5" t="s">
        <v>12</v>
      </c>
      <c r="D82" s="6" t="s">
        <v>19</v>
      </c>
      <c r="E82" s="6" t="s">
        <v>17</v>
      </c>
      <c r="F82" s="6" t="s">
        <v>25</v>
      </c>
      <c r="G82" s="7">
        <v>458.38</v>
      </c>
      <c r="H82" s="7"/>
      <c r="I82" s="5"/>
      <c r="J82" s="5" t="str">
        <f t="shared" si="0"/>
        <v>yyyy-07</v>
      </c>
      <c r="K82" s="7">
        <f t="shared" si="2"/>
        <v>9807.2300000000014</v>
      </c>
    </row>
    <row r="83" spans="1:11" ht="15.75" customHeight="1" x14ac:dyDescent="0.25">
      <c r="A83" s="3">
        <v>46217</v>
      </c>
      <c r="B83" s="4" t="s">
        <v>346</v>
      </c>
      <c r="C83" s="5" t="s">
        <v>12</v>
      </c>
      <c r="D83" s="6" t="s">
        <v>19</v>
      </c>
      <c r="E83" s="6" t="s">
        <v>17</v>
      </c>
      <c r="F83" s="6"/>
      <c r="G83" s="7">
        <v>852.89</v>
      </c>
      <c r="H83" s="7"/>
      <c r="I83" s="5"/>
      <c r="J83" s="5" t="str">
        <f t="shared" si="0"/>
        <v>yyyy-07</v>
      </c>
      <c r="K83" s="7">
        <f t="shared" si="2"/>
        <v>8954.340000000002</v>
      </c>
    </row>
    <row r="84" spans="1:11" ht="15.75" customHeight="1" x14ac:dyDescent="0.25">
      <c r="A84" s="3">
        <v>46217</v>
      </c>
      <c r="B84" s="4" t="s">
        <v>598</v>
      </c>
      <c r="C84" s="5" t="s">
        <v>12</v>
      </c>
      <c r="D84" s="6" t="s">
        <v>19</v>
      </c>
      <c r="E84" s="6" t="s">
        <v>17</v>
      </c>
      <c r="F84" s="6"/>
      <c r="G84" s="7">
        <v>217.35</v>
      </c>
      <c r="H84" s="7"/>
      <c r="I84" s="5"/>
      <c r="J84" s="5" t="str">
        <f t="shared" si="0"/>
        <v>yyyy-07</v>
      </c>
      <c r="K84" s="7">
        <f t="shared" si="2"/>
        <v>8736.9900000000016</v>
      </c>
    </row>
    <row r="85" spans="1:11" ht="15.75" customHeight="1" x14ac:dyDescent="0.25">
      <c r="A85" s="3">
        <v>46217</v>
      </c>
      <c r="B85" s="4" t="s">
        <v>598</v>
      </c>
      <c r="C85" s="5" t="s">
        <v>12</v>
      </c>
      <c r="D85" s="6" t="s">
        <v>19</v>
      </c>
      <c r="E85" s="6" t="s">
        <v>17</v>
      </c>
      <c r="F85" s="6"/>
      <c r="G85" s="7">
        <v>379.7</v>
      </c>
      <c r="H85" s="7"/>
      <c r="I85" s="5"/>
      <c r="J85" s="5" t="str">
        <f t="shared" si="0"/>
        <v>yyyy-07</v>
      </c>
      <c r="K85" s="7">
        <f t="shared" si="2"/>
        <v>8357.2900000000009</v>
      </c>
    </row>
    <row r="86" spans="1:11" ht="15.75" customHeight="1" x14ac:dyDescent="0.25">
      <c r="A86" s="3">
        <v>46217</v>
      </c>
      <c r="B86" s="4" t="s">
        <v>13</v>
      </c>
      <c r="C86" s="5" t="s">
        <v>20</v>
      </c>
      <c r="D86" s="6" t="s">
        <v>13</v>
      </c>
      <c r="E86" s="6"/>
      <c r="F86" s="6"/>
      <c r="G86" s="7">
        <v>1605</v>
      </c>
      <c r="H86" s="7"/>
      <c r="I86" s="5"/>
      <c r="J86" s="5" t="str">
        <f t="shared" si="0"/>
        <v>yyyy-07</v>
      </c>
      <c r="K86" s="7">
        <f t="shared" si="2"/>
        <v>9962.2900000000009</v>
      </c>
    </row>
    <row r="87" spans="1:11" ht="15.75" customHeight="1" x14ac:dyDescent="0.25">
      <c r="A87" s="3">
        <v>46217</v>
      </c>
      <c r="B87" s="4" t="s">
        <v>21</v>
      </c>
      <c r="C87" s="5" t="s">
        <v>20</v>
      </c>
      <c r="D87" s="6" t="s">
        <v>22</v>
      </c>
      <c r="E87" s="6" t="s">
        <v>17</v>
      </c>
      <c r="F87" s="6"/>
      <c r="G87" s="7">
        <v>0</v>
      </c>
      <c r="H87" s="7"/>
      <c r="I87" s="5"/>
      <c r="J87" s="5" t="str">
        <f t="shared" si="0"/>
        <v>yyyy-07</v>
      </c>
      <c r="K87" s="7">
        <f t="shared" si="2"/>
        <v>9962.2900000000009</v>
      </c>
    </row>
    <row r="88" spans="1:11" ht="15.75" customHeight="1" x14ac:dyDescent="0.25">
      <c r="A88" s="3">
        <v>46217</v>
      </c>
      <c r="B88" s="4" t="s">
        <v>23</v>
      </c>
      <c r="C88" s="5" t="s">
        <v>12</v>
      </c>
      <c r="D88" s="6" t="s">
        <v>24</v>
      </c>
      <c r="E88" s="6" t="s">
        <v>17</v>
      </c>
      <c r="F88" s="6" t="s">
        <v>25</v>
      </c>
      <c r="G88" s="7">
        <v>0</v>
      </c>
      <c r="H88" s="7"/>
      <c r="I88" s="5"/>
      <c r="J88" s="5" t="str">
        <f t="shared" si="0"/>
        <v>yyyy-07</v>
      </c>
      <c r="K88" s="7">
        <f t="shared" si="2"/>
        <v>9962.2900000000009</v>
      </c>
    </row>
    <row r="89" spans="1:11" ht="15.75" customHeight="1" x14ac:dyDescent="0.25">
      <c r="A89" s="3">
        <v>46216</v>
      </c>
      <c r="B89" s="4" t="s">
        <v>1211</v>
      </c>
      <c r="C89" s="5" t="s">
        <v>12</v>
      </c>
      <c r="D89" s="6" t="s">
        <v>33</v>
      </c>
      <c r="E89" s="6" t="s">
        <v>17</v>
      </c>
      <c r="F89" s="6" t="s">
        <v>25</v>
      </c>
      <c r="G89" s="7">
        <v>720</v>
      </c>
      <c r="H89" s="7"/>
      <c r="I89" s="5"/>
      <c r="J89" s="5" t="str">
        <f t="shared" si="0"/>
        <v>yyyy-07</v>
      </c>
      <c r="K89" s="7">
        <f t="shared" si="2"/>
        <v>9242.2900000000009</v>
      </c>
    </row>
    <row r="90" spans="1:11" ht="15.75" customHeight="1" x14ac:dyDescent="0.25">
      <c r="A90" s="3">
        <v>46216</v>
      </c>
      <c r="B90" s="4" t="s">
        <v>1206</v>
      </c>
      <c r="C90" s="5" t="s">
        <v>12</v>
      </c>
      <c r="D90" s="6"/>
      <c r="E90" s="6" t="s">
        <v>17</v>
      </c>
      <c r="F90" s="6" t="s">
        <v>25</v>
      </c>
      <c r="G90" s="7">
        <v>1650</v>
      </c>
      <c r="H90" s="7"/>
      <c r="I90" s="5"/>
      <c r="J90" s="5" t="str">
        <f t="shared" si="0"/>
        <v>yyyy-07</v>
      </c>
      <c r="K90" s="7">
        <f t="shared" si="2"/>
        <v>7592.2900000000009</v>
      </c>
    </row>
    <row r="91" spans="1:11" ht="15.75" customHeight="1" x14ac:dyDescent="0.25">
      <c r="A91" s="3">
        <v>46216</v>
      </c>
      <c r="B91" s="4" t="s">
        <v>1212</v>
      </c>
      <c r="C91" s="5" t="s">
        <v>12</v>
      </c>
      <c r="D91" s="6" t="s">
        <v>19</v>
      </c>
      <c r="E91" s="6" t="s">
        <v>17</v>
      </c>
      <c r="F91" s="6" t="s">
        <v>25</v>
      </c>
      <c r="G91" s="7">
        <v>941.33</v>
      </c>
      <c r="H91" s="7"/>
      <c r="I91" s="5"/>
      <c r="J91" s="5" t="str">
        <f t="shared" si="0"/>
        <v>yyyy-07</v>
      </c>
      <c r="K91" s="7">
        <f t="shared" si="2"/>
        <v>6650.9600000000009</v>
      </c>
    </row>
    <row r="92" spans="1:11" ht="15.75" customHeight="1" x14ac:dyDescent="0.25">
      <c r="A92" s="3">
        <v>46216</v>
      </c>
      <c r="B92" s="4" t="s">
        <v>1213</v>
      </c>
      <c r="C92" s="5" t="s">
        <v>12</v>
      </c>
      <c r="D92" s="6" t="s">
        <v>19</v>
      </c>
      <c r="E92" s="6" t="s">
        <v>17</v>
      </c>
      <c r="F92" s="6" t="s">
        <v>25</v>
      </c>
      <c r="G92" s="7">
        <v>1000</v>
      </c>
      <c r="H92" s="7"/>
      <c r="I92" s="5"/>
      <c r="J92" s="5" t="str">
        <f t="shared" si="0"/>
        <v>yyyy-07</v>
      </c>
      <c r="K92" s="7">
        <f t="shared" si="2"/>
        <v>5650.9600000000009</v>
      </c>
    </row>
    <row r="93" spans="1:11" ht="15.75" customHeight="1" x14ac:dyDescent="0.25">
      <c r="A93" s="3">
        <v>46216</v>
      </c>
      <c r="B93" s="4" t="s">
        <v>1214</v>
      </c>
      <c r="C93" s="5" t="s">
        <v>12</v>
      </c>
      <c r="D93" s="6" t="s">
        <v>62</v>
      </c>
      <c r="E93" s="6" t="s">
        <v>17</v>
      </c>
      <c r="F93" s="6" t="s">
        <v>25</v>
      </c>
      <c r="G93" s="7">
        <v>172.15</v>
      </c>
      <c r="H93" s="7"/>
      <c r="I93" s="5"/>
      <c r="J93" s="5" t="str">
        <f t="shared" si="0"/>
        <v>yyyy-07</v>
      </c>
      <c r="K93" s="7">
        <f t="shared" si="2"/>
        <v>5478.8100000000013</v>
      </c>
    </row>
    <row r="94" spans="1:11" ht="15.75" customHeight="1" x14ac:dyDescent="0.25">
      <c r="A94" s="3">
        <v>46218</v>
      </c>
      <c r="B94" s="4" t="s">
        <v>13</v>
      </c>
      <c r="C94" s="5" t="s">
        <v>20</v>
      </c>
      <c r="D94" s="6" t="s">
        <v>13</v>
      </c>
      <c r="E94" s="6"/>
      <c r="F94" s="6"/>
      <c r="G94" s="7">
        <v>1726</v>
      </c>
      <c r="H94" s="7"/>
      <c r="I94" s="5"/>
      <c r="J94" s="5" t="str">
        <f t="shared" si="0"/>
        <v>yyyy-07</v>
      </c>
      <c r="K94" s="7">
        <f t="shared" si="2"/>
        <v>7204.8100000000013</v>
      </c>
    </row>
    <row r="95" spans="1:11" ht="15.75" customHeight="1" x14ac:dyDescent="0.25">
      <c r="A95" s="3">
        <v>46218</v>
      </c>
      <c r="B95" s="4" t="s">
        <v>21</v>
      </c>
      <c r="C95" s="5" t="s">
        <v>20</v>
      </c>
      <c r="D95" s="6" t="s">
        <v>22</v>
      </c>
      <c r="E95" s="6" t="s">
        <v>17</v>
      </c>
      <c r="F95" s="6"/>
      <c r="G95" s="7">
        <v>57</v>
      </c>
      <c r="H95" s="7"/>
      <c r="I95" s="5"/>
      <c r="J95" s="5" t="str">
        <f t="shared" si="0"/>
        <v>yyyy-07</v>
      </c>
      <c r="K95" s="7">
        <f t="shared" si="2"/>
        <v>7261.8100000000013</v>
      </c>
    </row>
    <row r="96" spans="1:11" ht="15.75" customHeight="1" x14ac:dyDescent="0.25">
      <c r="A96" s="3">
        <v>46218</v>
      </c>
      <c r="B96" s="4" t="s">
        <v>23</v>
      </c>
      <c r="C96" s="5" t="s">
        <v>12</v>
      </c>
      <c r="D96" s="6" t="s">
        <v>24</v>
      </c>
      <c r="E96" s="6" t="s">
        <v>17</v>
      </c>
      <c r="F96" s="6" t="s">
        <v>25</v>
      </c>
      <c r="G96" s="7">
        <v>9</v>
      </c>
      <c r="H96" s="7"/>
      <c r="I96" s="5"/>
      <c r="J96" s="5" t="str">
        <f t="shared" si="0"/>
        <v>yyyy-07</v>
      </c>
      <c r="K96" s="7">
        <f t="shared" si="2"/>
        <v>7252.8100000000013</v>
      </c>
    </row>
    <row r="97" spans="1:11" ht="15.75" customHeight="1" x14ac:dyDescent="0.25">
      <c r="A97" s="3">
        <v>46218</v>
      </c>
      <c r="B97" s="4" t="s">
        <v>64</v>
      </c>
      <c r="C97" s="5" t="s">
        <v>12</v>
      </c>
      <c r="D97" s="6" t="s">
        <v>64</v>
      </c>
      <c r="E97" s="6" t="s">
        <v>17</v>
      </c>
      <c r="F97" s="6"/>
      <c r="G97" s="7">
        <v>800</v>
      </c>
      <c r="H97" s="7"/>
      <c r="I97" s="5"/>
      <c r="J97" s="5" t="str">
        <f t="shared" si="0"/>
        <v>yyyy-07</v>
      </c>
      <c r="K97" s="7">
        <f t="shared" si="2"/>
        <v>6452.8100000000013</v>
      </c>
    </row>
    <row r="98" spans="1:11" ht="15.75" customHeight="1" x14ac:dyDescent="0.25">
      <c r="A98" s="3">
        <v>46218</v>
      </c>
      <c r="B98" s="4" t="s">
        <v>613</v>
      </c>
      <c r="C98" s="5" t="s">
        <v>12</v>
      </c>
      <c r="D98" s="6" t="s">
        <v>58</v>
      </c>
      <c r="E98" s="6" t="s">
        <v>17</v>
      </c>
      <c r="F98" s="6"/>
      <c r="G98" s="7">
        <v>1629.92</v>
      </c>
      <c r="H98" s="7"/>
      <c r="I98" s="5"/>
      <c r="J98" s="5" t="str">
        <f t="shared" si="0"/>
        <v>yyyy-07</v>
      </c>
      <c r="K98" s="7">
        <f t="shared" si="2"/>
        <v>4822.8900000000012</v>
      </c>
    </row>
    <row r="99" spans="1:11" ht="15.75" customHeight="1" x14ac:dyDescent="0.25">
      <c r="A99" s="3">
        <v>46218</v>
      </c>
      <c r="B99" s="4" t="s">
        <v>11</v>
      </c>
      <c r="C99" s="5" t="s">
        <v>12</v>
      </c>
      <c r="D99" s="6" t="s">
        <v>19</v>
      </c>
      <c r="E99" s="6" t="s">
        <v>14</v>
      </c>
      <c r="F99" s="6" t="s">
        <v>15</v>
      </c>
      <c r="G99" s="7">
        <v>100</v>
      </c>
      <c r="H99" s="7"/>
      <c r="I99" s="5"/>
      <c r="J99" s="5" t="str">
        <f t="shared" si="0"/>
        <v>yyyy-07</v>
      </c>
      <c r="K99" s="7">
        <f t="shared" si="2"/>
        <v>4722.8900000000012</v>
      </c>
    </row>
    <row r="100" spans="1:11" ht="15.75" customHeight="1" x14ac:dyDescent="0.25">
      <c r="A100" s="3">
        <v>46218</v>
      </c>
      <c r="B100" s="4" t="s">
        <v>743</v>
      </c>
      <c r="C100" s="5" t="s">
        <v>12</v>
      </c>
      <c r="D100" s="6" t="s">
        <v>27</v>
      </c>
      <c r="E100" s="6" t="s">
        <v>14</v>
      </c>
      <c r="F100" s="6" t="s">
        <v>15</v>
      </c>
      <c r="G100" s="7">
        <v>90</v>
      </c>
      <c r="H100" s="7"/>
      <c r="I100" s="5"/>
      <c r="J100" s="5" t="str">
        <f t="shared" si="0"/>
        <v>yyyy-07</v>
      </c>
      <c r="K100" s="7">
        <f t="shared" si="2"/>
        <v>4632.8900000000012</v>
      </c>
    </row>
    <row r="101" spans="1:11" ht="15.75" customHeight="1" x14ac:dyDescent="0.25">
      <c r="A101" s="3">
        <v>46218</v>
      </c>
      <c r="B101" s="4" t="s">
        <v>1230</v>
      </c>
      <c r="C101" s="5" t="s">
        <v>12</v>
      </c>
      <c r="D101" s="6" t="s">
        <v>27</v>
      </c>
      <c r="E101" s="6" t="s">
        <v>17</v>
      </c>
      <c r="F101" s="6"/>
      <c r="G101" s="7">
        <v>144</v>
      </c>
      <c r="H101" s="7"/>
      <c r="I101" s="5"/>
      <c r="J101" s="5" t="str">
        <f t="shared" si="0"/>
        <v>yyyy-07</v>
      </c>
      <c r="K101" s="7">
        <f t="shared" si="2"/>
        <v>4488.8900000000012</v>
      </c>
    </row>
    <row r="102" spans="1:11" ht="15.75" customHeight="1" x14ac:dyDescent="0.25">
      <c r="A102" s="3">
        <v>46219</v>
      </c>
      <c r="B102" s="4" t="s">
        <v>13</v>
      </c>
      <c r="C102" s="5" t="s">
        <v>20</v>
      </c>
      <c r="D102" s="6" t="s">
        <v>13</v>
      </c>
      <c r="E102" s="6"/>
      <c r="F102" s="6"/>
      <c r="G102" s="7">
        <v>2801</v>
      </c>
      <c r="H102" s="7"/>
      <c r="I102" s="5"/>
      <c r="J102" s="5" t="str">
        <f t="shared" si="0"/>
        <v>yyyy-07</v>
      </c>
      <c r="K102" s="7">
        <f t="shared" si="2"/>
        <v>7289.8900000000012</v>
      </c>
    </row>
    <row r="103" spans="1:11" ht="15.75" customHeight="1" x14ac:dyDescent="0.25">
      <c r="A103" s="3">
        <v>46219</v>
      </c>
      <c r="B103" s="4" t="s">
        <v>21</v>
      </c>
      <c r="C103" s="5" t="s">
        <v>20</v>
      </c>
      <c r="D103" s="6" t="s">
        <v>22</v>
      </c>
      <c r="E103" s="6" t="s">
        <v>17</v>
      </c>
      <c r="F103" s="6"/>
      <c r="G103" s="7">
        <v>168</v>
      </c>
      <c r="H103" s="7"/>
      <c r="I103" s="5"/>
      <c r="J103" s="5" t="str">
        <f t="shared" si="0"/>
        <v>yyyy-07</v>
      </c>
      <c r="K103" s="7">
        <f t="shared" si="2"/>
        <v>7457.8900000000012</v>
      </c>
    </row>
    <row r="104" spans="1:11" ht="15.75" customHeight="1" x14ac:dyDescent="0.25">
      <c r="A104" s="3">
        <v>46219</v>
      </c>
      <c r="B104" s="4" t="s">
        <v>23</v>
      </c>
      <c r="C104" s="5" t="s">
        <v>12</v>
      </c>
      <c r="D104" s="6" t="s">
        <v>24</v>
      </c>
      <c r="E104" s="6" t="s">
        <v>17</v>
      </c>
      <c r="F104" s="6" t="s">
        <v>25</v>
      </c>
      <c r="G104" s="7">
        <v>18</v>
      </c>
      <c r="H104" s="7"/>
      <c r="I104" s="5"/>
      <c r="J104" s="5" t="str">
        <f t="shared" si="0"/>
        <v>yyyy-07</v>
      </c>
      <c r="K104" s="7">
        <f t="shared" si="2"/>
        <v>7439.8900000000012</v>
      </c>
    </row>
    <row r="105" spans="1:11" ht="15.75" customHeight="1" x14ac:dyDescent="0.25">
      <c r="A105" s="3">
        <v>46219</v>
      </c>
      <c r="B105" s="4" t="s">
        <v>11</v>
      </c>
      <c r="C105" s="5" t="s">
        <v>12</v>
      </c>
      <c r="D105" s="6" t="s">
        <v>19</v>
      </c>
      <c r="E105" s="6" t="s">
        <v>14</v>
      </c>
      <c r="F105" s="6" t="s">
        <v>15</v>
      </c>
      <c r="G105" s="7">
        <v>100</v>
      </c>
      <c r="H105" s="7"/>
      <c r="I105" s="5"/>
      <c r="J105" s="5" t="str">
        <f t="shared" si="0"/>
        <v>yyyy-07</v>
      </c>
      <c r="K105" s="7">
        <f t="shared" si="2"/>
        <v>7339.8900000000012</v>
      </c>
    </row>
    <row r="106" spans="1:11" ht="15.75" customHeight="1" x14ac:dyDescent="0.25">
      <c r="A106" s="3">
        <v>46219</v>
      </c>
      <c r="B106" s="4" t="s">
        <v>423</v>
      </c>
      <c r="C106" s="5" t="s">
        <v>12</v>
      </c>
      <c r="D106" s="6" t="s">
        <v>39</v>
      </c>
      <c r="E106" s="6" t="s">
        <v>17</v>
      </c>
      <c r="F106" s="6" t="s">
        <v>25</v>
      </c>
      <c r="G106" s="7">
        <v>99.9</v>
      </c>
      <c r="H106" s="7"/>
      <c r="I106" s="5"/>
      <c r="J106" s="5" t="str">
        <f t="shared" si="0"/>
        <v>yyyy-07</v>
      </c>
      <c r="K106" s="7">
        <f t="shared" si="2"/>
        <v>7239.9900000000016</v>
      </c>
    </row>
    <row r="107" spans="1:11" ht="15.75" customHeight="1" x14ac:dyDescent="0.25">
      <c r="A107" s="3">
        <v>46220</v>
      </c>
      <c r="B107" s="4" t="s">
        <v>618</v>
      </c>
      <c r="C107" s="5" t="s">
        <v>20</v>
      </c>
      <c r="D107" s="6" t="s">
        <v>13</v>
      </c>
      <c r="E107" s="6"/>
      <c r="F107" s="6"/>
      <c r="G107" s="7">
        <v>3456</v>
      </c>
      <c r="H107" s="7"/>
      <c r="I107" s="5"/>
      <c r="J107" s="5" t="str">
        <f t="shared" si="0"/>
        <v>yyyy-07</v>
      </c>
      <c r="K107" s="7">
        <f t="shared" si="2"/>
        <v>10695.990000000002</v>
      </c>
    </row>
    <row r="108" spans="1:11" ht="15.75" customHeight="1" x14ac:dyDescent="0.25">
      <c r="A108" s="3">
        <v>46220</v>
      </c>
      <c r="B108" s="4" t="s">
        <v>21</v>
      </c>
      <c r="C108" s="5" t="s">
        <v>20</v>
      </c>
      <c r="D108" s="6" t="s">
        <v>22</v>
      </c>
      <c r="E108" s="6" t="s">
        <v>17</v>
      </c>
      <c r="F108" s="6"/>
      <c r="G108" s="7">
        <v>161</v>
      </c>
      <c r="H108" s="7"/>
      <c r="I108" s="5"/>
      <c r="J108" s="5" t="str">
        <f t="shared" si="0"/>
        <v>yyyy-07</v>
      </c>
      <c r="K108" s="7">
        <f t="shared" si="2"/>
        <v>10856.990000000002</v>
      </c>
    </row>
    <row r="109" spans="1:11" ht="15.75" customHeight="1" x14ac:dyDescent="0.25">
      <c r="A109" s="3">
        <v>46220</v>
      </c>
      <c r="B109" s="4" t="s">
        <v>23</v>
      </c>
      <c r="C109" s="5" t="s">
        <v>12</v>
      </c>
      <c r="D109" s="6" t="s">
        <v>24</v>
      </c>
      <c r="E109" s="6" t="s">
        <v>17</v>
      </c>
      <c r="F109" s="6" t="s">
        <v>25</v>
      </c>
      <c r="G109" s="7">
        <v>18</v>
      </c>
      <c r="H109" s="7"/>
      <c r="I109" s="5"/>
      <c r="J109" s="5" t="str">
        <f t="shared" si="0"/>
        <v>yyyy-07</v>
      </c>
      <c r="K109" s="7">
        <f t="shared" si="2"/>
        <v>10838.990000000002</v>
      </c>
    </row>
    <row r="110" spans="1:11" ht="15.75" customHeight="1" x14ac:dyDescent="0.25">
      <c r="A110" s="3">
        <v>46220</v>
      </c>
      <c r="B110" s="4" t="s">
        <v>11</v>
      </c>
      <c r="C110" s="5" t="s">
        <v>12</v>
      </c>
      <c r="D110" s="6" t="s">
        <v>19</v>
      </c>
      <c r="E110" s="6" t="s">
        <v>14</v>
      </c>
      <c r="F110" s="6" t="s">
        <v>15</v>
      </c>
      <c r="G110" s="7">
        <v>517</v>
      </c>
      <c r="H110" s="7"/>
      <c r="I110" s="5"/>
      <c r="J110" s="5" t="str">
        <f t="shared" si="0"/>
        <v>yyyy-07</v>
      </c>
      <c r="K110" s="7">
        <f t="shared" si="2"/>
        <v>10321.990000000002</v>
      </c>
    </row>
    <row r="111" spans="1:11" ht="15.75" customHeight="1" x14ac:dyDescent="0.25">
      <c r="A111" s="3">
        <v>46219</v>
      </c>
      <c r="B111" s="4" t="s">
        <v>1231</v>
      </c>
      <c r="C111" s="5" t="s">
        <v>12</v>
      </c>
      <c r="D111" s="6" t="s">
        <v>29</v>
      </c>
      <c r="E111" s="6" t="s">
        <v>17</v>
      </c>
      <c r="F111" s="6" t="s">
        <v>25</v>
      </c>
      <c r="G111" s="7">
        <v>150</v>
      </c>
      <c r="H111" s="7"/>
      <c r="I111" s="5"/>
      <c r="J111" s="5" t="str">
        <f t="shared" si="0"/>
        <v>yyyy-07</v>
      </c>
      <c r="K111" s="7">
        <f t="shared" si="2"/>
        <v>10171.990000000002</v>
      </c>
    </row>
    <row r="112" spans="1:11" ht="15.75" customHeight="1" x14ac:dyDescent="0.25">
      <c r="A112" s="3">
        <v>46220</v>
      </c>
      <c r="B112" s="4" t="s">
        <v>31</v>
      </c>
      <c r="C112" s="5" t="s">
        <v>12</v>
      </c>
      <c r="D112" s="6" t="s">
        <v>19</v>
      </c>
      <c r="E112" s="6" t="s">
        <v>17</v>
      </c>
      <c r="F112" s="6" t="s">
        <v>25</v>
      </c>
      <c r="G112" s="7">
        <v>120</v>
      </c>
      <c r="H112" s="7"/>
      <c r="I112" s="5"/>
      <c r="J112" s="5" t="str">
        <f t="shared" si="0"/>
        <v>yyyy-07</v>
      </c>
      <c r="K112" s="7">
        <f t="shared" si="2"/>
        <v>10051.990000000002</v>
      </c>
    </row>
    <row r="113" spans="1:11" ht="15.75" customHeight="1" x14ac:dyDescent="0.25">
      <c r="A113" s="3">
        <v>46221</v>
      </c>
      <c r="B113" s="4" t="s">
        <v>13</v>
      </c>
      <c r="C113" s="5" t="s">
        <v>20</v>
      </c>
      <c r="D113" s="6" t="s">
        <v>13</v>
      </c>
      <c r="E113" s="6"/>
      <c r="F113" s="6"/>
      <c r="G113" s="7">
        <v>7320</v>
      </c>
      <c r="H113" s="7"/>
      <c r="I113" s="5"/>
      <c r="J113" s="5" t="str">
        <f t="shared" si="0"/>
        <v>yyyy-07</v>
      </c>
      <c r="K113" s="7">
        <f t="shared" si="2"/>
        <v>17371.990000000002</v>
      </c>
    </row>
    <row r="114" spans="1:11" ht="15.75" customHeight="1" x14ac:dyDescent="0.25">
      <c r="A114" s="3">
        <v>46221</v>
      </c>
      <c r="B114" s="4" t="s">
        <v>21</v>
      </c>
      <c r="C114" s="5" t="s">
        <v>20</v>
      </c>
      <c r="D114" s="6" t="s">
        <v>22</v>
      </c>
      <c r="E114" s="6" t="s">
        <v>17</v>
      </c>
      <c r="F114" s="6"/>
      <c r="G114" s="7">
        <v>74</v>
      </c>
      <c r="H114" s="7"/>
      <c r="I114" s="5"/>
      <c r="J114" s="5" t="str">
        <f t="shared" si="0"/>
        <v>yyyy-07</v>
      </c>
      <c r="K114" s="7">
        <f t="shared" si="2"/>
        <v>17445.990000000002</v>
      </c>
    </row>
    <row r="115" spans="1:11" ht="15.75" customHeight="1" x14ac:dyDescent="0.25">
      <c r="A115" s="3">
        <v>46221</v>
      </c>
      <c r="B115" s="4" t="s">
        <v>23</v>
      </c>
      <c r="C115" s="5" t="s">
        <v>12</v>
      </c>
      <c r="D115" s="6" t="s">
        <v>24</v>
      </c>
      <c r="E115" s="6" t="s">
        <v>17</v>
      </c>
      <c r="F115" s="6" t="s">
        <v>25</v>
      </c>
      <c r="G115" s="7">
        <v>9</v>
      </c>
      <c r="H115" s="7"/>
      <c r="I115" s="5"/>
      <c r="J115" s="5" t="str">
        <f t="shared" si="0"/>
        <v>yyyy-07</v>
      </c>
      <c r="K115" s="7">
        <f t="shared" si="2"/>
        <v>17436.990000000002</v>
      </c>
    </row>
    <row r="116" spans="1:11" ht="15.75" customHeight="1" x14ac:dyDescent="0.25">
      <c r="A116" s="3">
        <v>46221</v>
      </c>
      <c r="B116" s="4" t="s">
        <v>33</v>
      </c>
      <c r="C116" s="5" t="s">
        <v>12</v>
      </c>
      <c r="D116" s="6" t="s">
        <v>33</v>
      </c>
      <c r="E116" s="6" t="s">
        <v>14</v>
      </c>
      <c r="F116" s="6" t="s">
        <v>15</v>
      </c>
      <c r="G116" s="7">
        <v>150</v>
      </c>
      <c r="H116" s="7"/>
      <c r="I116" s="5"/>
      <c r="J116" s="5" t="str">
        <f t="shared" si="0"/>
        <v>yyyy-07</v>
      </c>
      <c r="K116" s="7">
        <f t="shared" si="2"/>
        <v>17286.990000000002</v>
      </c>
    </row>
    <row r="117" spans="1:11" ht="15.75" customHeight="1" x14ac:dyDescent="0.25">
      <c r="A117" s="3">
        <v>46222</v>
      </c>
      <c r="B117" s="4" t="s">
        <v>13</v>
      </c>
      <c r="C117" s="5" t="s">
        <v>20</v>
      </c>
      <c r="D117" s="6" t="s">
        <v>13</v>
      </c>
      <c r="E117" s="6"/>
      <c r="F117" s="6"/>
      <c r="G117" s="7">
        <v>7358</v>
      </c>
      <c r="H117" s="7"/>
      <c r="I117" s="5"/>
      <c r="J117" s="5" t="str">
        <f t="shared" si="0"/>
        <v>yyyy-07</v>
      </c>
      <c r="K117" s="7">
        <f t="shared" si="2"/>
        <v>24644.99</v>
      </c>
    </row>
    <row r="118" spans="1:11" ht="15.75" customHeight="1" x14ac:dyDescent="0.25">
      <c r="A118" s="3">
        <v>46222</v>
      </c>
      <c r="B118" s="4" t="s">
        <v>21</v>
      </c>
      <c r="C118" s="5" t="s">
        <v>20</v>
      </c>
      <c r="D118" s="6" t="s">
        <v>22</v>
      </c>
      <c r="E118" s="6" t="s">
        <v>17</v>
      </c>
      <c r="F118" s="6"/>
      <c r="G118" s="7">
        <v>287</v>
      </c>
      <c r="H118" s="7"/>
      <c r="I118" s="5"/>
      <c r="J118" s="5" t="str">
        <f t="shared" si="0"/>
        <v>yyyy-07</v>
      </c>
      <c r="K118" s="7">
        <f t="shared" si="2"/>
        <v>24931.99</v>
      </c>
    </row>
    <row r="119" spans="1:11" ht="15.75" customHeight="1" x14ac:dyDescent="0.25">
      <c r="A119" s="3">
        <v>46222</v>
      </c>
      <c r="B119" s="4" t="s">
        <v>23</v>
      </c>
      <c r="C119" s="5" t="s">
        <v>12</v>
      </c>
      <c r="D119" s="6" t="s">
        <v>24</v>
      </c>
      <c r="E119" s="6" t="s">
        <v>17</v>
      </c>
      <c r="F119" s="6" t="s">
        <v>25</v>
      </c>
      <c r="G119" s="7">
        <v>36</v>
      </c>
      <c r="H119" s="7"/>
      <c r="I119" s="5"/>
      <c r="J119" s="5" t="str">
        <f t="shared" si="0"/>
        <v>yyyy-07</v>
      </c>
      <c r="K119" s="7">
        <f t="shared" si="2"/>
        <v>24895.99</v>
      </c>
    </row>
    <row r="120" spans="1:11" ht="15.75" customHeight="1" x14ac:dyDescent="0.25">
      <c r="A120" s="3">
        <v>46222</v>
      </c>
      <c r="B120" s="4" t="s">
        <v>33</v>
      </c>
      <c r="C120" s="5" t="s">
        <v>12</v>
      </c>
      <c r="D120" s="6" t="s">
        <v>33</v>
      </c>
      <c r="E120" s="6" t="s">
        <v>14</v>
      </c>
      <c r="F120" s="6" t="s">
        <v>15</v>
      </c>
      <c r="G120" s="7">
        <v>150</v>
      </c>
      <c r="H120" s="7"/>
      <c r="I120" s="5"/>
      <c r="J120" s="5" t="str">
        <f t="shared" si="0"/>
        <v>yyyy-07</v>
      </c>
      <c r="K120" s="7">
        <f t="shared" si="2"/>
        <v>24745.99</v>
      </c>
    </row>
    <row r="121" spans="1:11" ht="15.75" customHeight="1" x14ac:dyDescent="0.25">
      <c r="A121" s="3">
        <v>46223</v>
      </c>
      <c r="B121" s="4" t="s">
        <v>619</v>
      </c>
      <c r="C121" s="5" t="s">
        <v>12</v>
      </c>
      <c r="D121" s="6" t="s">
        <v>58</v>
      </c>
      <c r="E121" s="6" t="s">
        <v>17</v>
      </c>
      <c r="F121" s="6"/>
      <c r="G121" s="7">
        <v>4718.3</v>
      </c>
      <c r="H121" s="7"/>
      <c r="I121" s="5"/>
      <c r="J121" s="5" t="str">
        <f t="shared" si="0"/>
        <v>yyyy-07</v>
      </c>
      <c r="K121" s="7">
        <f t="shared" si="2"/>
        <v>20027.690000000002</v>
      </c>
    </row>
    <row r="122" spans="1:11" ht="15.75" customHeight="1" x14ac:dyDescent="0.25">
      <c r="A122" s="3">
        <v>46223</v>
      </c>
      <c r="B122" s="4" t="s">
        <v>350</v>
      </c>
      <c r="C122" s="5" t="s">
        <v>12</v>
      </c>
      <c r="D122" s="6" t="s">
        <v>58</v>
      </c>
      <c r="E122" s="6" t="s">
        <v>17</v>
      </c>
      <c r="F122" s="6"/>
      <c r="G122" s="7">
        <v>769.21</v>
      </c>
      <c r="H122" s="7"/>
      <c r="I122" s="5"/>
      <c r="J122" s="5" t="str">
        <f t="shared" si="0"/>
        <v>yyyy-07</v>
      </c>
      <c r="K122" s="7">
        <f t="shared" si="2"/>
        <v>19258.480000000003</v>
      </c>
    </row>
    <row r="123" spans="1:11" ht="15.75" customHeight="1" x14ac:dyDescent="0.25">
      <c r="A123" s="3">
        <v>46223</v>
      </c>
      <c r="B123" s="4" t="s">
        <v>483</v>
      </c>
      <c r="C123" s="5" t="s">
        <v>12</v>
      </c>
      <c r="D123" s="6" t="s">
        <v>58</v>
      </c>
      <c r="E123" s="6" t="s">
        <v>17</v>
      </c>
      <c r="F123" s="6"/>
      <c r="G123" s="7">
        <v>741.66</v>
      </c>
      <c r="H123" s="7"/>
      <c r="I123" s="5"/>
      <c r="J123" s="5" t="str">
        <f t="shared" si="0"/>
        <v>yyyy-07</v>
      </c>
      <c r="K123" s="7">
        <f t="shared" si="2"/>
        <v>18516.820000000003</v>
      </c>
    </row>
    <row r="124" spans="1:11" ht="15.75" customHeight="1" x14ac:dyDescent="0.25">
      <c r="A124" s="3">
        <v>46223</v>
      </c>
      <c r="B124" s="4" t="s">
        <v>30</v>
      </c>
      <c r="C124" s="5" t="s">
        <v>20</v>
      </c>
      <c r="D124" s="6" t="s">
        <v>13</v>
      </c>
      <c r="E124" s="6"/>
      <c r="F124" s="6"/>
      <c r="G124" s="7">
        <v>2825</v>
      </c>
      <c r="H124" s="7"/>
      <c r="I124" s="5"/>
      <c r="J124" s="5" t="str">
        <f t="shared" si="0"/>
        <v>yyyy-07</v>
      </c>
      <c r="K124" s="7">
        <f t="shared" si="2"/>
        <v>21341.820000000003</v>
      </c>
    </row>
    <row r="125" spans="1:11" ht="15.75" customHeight="1" x14ac:dyDescent="0.25">
      <c r="A125" s="3">
        <v>46223</v>
      </c>
      <c r="B125" s="4" t="s">
        <v>21</v>
      </c>
      <c r="C125" s="5" t="s">
        <v>20</v>
      </c>
      <c r="D125" s="6" t="s">
        <v>22</v>
      </c>
      <c r="E125" s="6" t="s">
        <v>17</v>
      </c>
      <c r="F125" s="6"/>
      <c r="G125" s="7">
        <v>0</v>
      </c>
      <c r="H125" s="7"/>
      <c r="I125" s="5"/>
      <c r="J125" s="5" t="str">
        <f t="shared" si="0"/>
        <v>yyyy-07</v>
      </c>
      <c r="K125" s="7">
        <f t="shared" si="2"/>
        <v>21341.820000000003</v>
      </c>
    </row>
    <row r="126" spans="1:11" ht="15.75" customHeight="1" x14ac:dyDescent="0.25">
      <c r="A126" s="3">
        <v>46223</v>
      </c>
      <c r="B126" s="4" t="s">
        <v>23</v>
      </c>
      <c r="C126" s="5" t="s">
        <v>12</v>
      </c>
      <c r="D126" s="6" t="s">
        <v>24</v>
      </c>
      <c r="E126" s="6" t="s">
        <v>17</v>
      </c>
      <c r="F126" s="6" t="s">
        <v>25</v>
      </c>
      <c r="G126" s="7">
        <v>0</v>
      </c>
      <c r="H126" s="7"/>
      <c r="I126" s="5"/>
      <c r="J126" s="5" t="str">
        <f t="shared" si="0"/>
        <v>yyyy-07</v>
      </c>
      <c r="K126" s="7">
        <f t="shared" si="2"/>
        <v>21341.820000000003</v>
      </c>
    </row>
    <row r="127" spans="1:11" ht="15.75" customHeight="1" x14ac:dyDescent="0.25">
      <c r="A127" s="3">
        <v>46223</v>
      </c>
      <c r="B127" s="4" t="s">
        <v>527</v>
      </c>
      <c r="C127" s="5" t="s">
        <v>12</v>
      </c>
      <c r="D127" s="6" t="s">
        <v>27</v>
      </c>
      <c r="E127" s="6" t="s">
        <v>17</v>
      </c>
      <c r="F127" s="6" t="s">
        <v>25</v>
      </c>
      <c r="G127" s="7">
        <v>3394.8</v>
      </c>
      <c r="H127" s="7"/>
      <c r="I127" s="5"/>
      <c r="J127" s="5" t="str">
        <f t="shared" si="0"/>
        <v>yyyy-07</v>
      </c>
      <c r="K127" s="7">
        <f t="shared" si="2"/>
        <v>17947.020000000004</v>
      </c>
    </row>
    <row r="128" spans="1:11" ht="15.75" customHeight="1" x14ac:dyDescent="0.25">
      <c r="A128" s="3">
        <v>46223</v>
      </c>
      <c r="B128" s="4" t="s">
        <v>1232</v>
      </c>
      <c r="C128" s="5" t="s">
        <v>12</v>
      </c>
      <c r="D128" s="6" t="s">
        <v>62</v>
      </c>
      <c r="E128" s="6" t="s">
        <v>17</v>
      </c>
      <c r="F128" s="6" t="s">
        <v>25</v>
      </c>
      <c r="G128" s="7">
        <v>1800</v>
      </c>
      <c r="H128" s="7"/>
      <c r="I128" s="5"/>
      <c r="J128" s="5" t="str">
        <f t="shared" si="0"/>
        <v>yyyy-07</v>
      </c>
      <c r="K128" s="7">
        <f t="shared" si="2"/>
        <v>16147.020000000004</v>
      </c>
    </row>
    <row r="129" spans="1:11" ht="15.75" customHeight="1" x14ac:dyDescent="0.25">
      <c r="A129" s="3">
        <v>46224</v>
      </c>
      <c r="B129" s="4" t="s">
        <v>533</v>
      </c>
      <c r="C129" s="5" t="s">
        <v>12</v>
      </c>
      <c r="D129" s="6" t="s">
        <v>19</v>
      </c>
      <c r="E129" s="6" t="s">
        <v>17</v>
      </c>
      <c r="F129" s="6"/>
      <c r="G129" s="7">
        <v>1561.1</v>
      </c>
      <c r="H129" s="7"/>
      <c r="I129" s="5"/>
      <c r="J129" s="5" t="str">
        <f t="shared" si="0"/>
        <v>yyyy-07</v>
      </c>
      <c r="K129" s="7">
        <f t="shared" si="2"/>
        <v>14585.920000000004</v>
      </c>
    </row>
    <row r="130" spans="1:11" ht="15.75" customHeight="1" x14ac:dyDescent="0.25">
      <c r="A130" s="3">
        <v>46224</v>
      </c>
      <c r="B130" s="4" t="s">
        <v>387</v>
      </c>
      <c r="C130" s="5" t="s">
        <v>12</v>
      </c>
      <c r="D130" s="6" t="s">
        <v>19</v>
      </c>
      <c r="E130" s="6" t="s">
        <v>17</v>
      </c>
      <c r="F130" s="6"/>
      <c r="G130" s="7">
        <v>486.52</v>
      </c>
      <c r="H130" s="7"/>
      <c r="I130" s="5"/>
      <c r="J130" s="5" t="str">
        <f t="shared" si="0"/>
        <v>yyyy-07</v>
      </c>
      <c r="K130" s="7">
        <f t="shared" si="2"/>
        <v>14099.400000000003</v>
      </c>
    </row>
    <row r="131" spans="1:11" ht="15.75" customHeight="1" x14ac:dyDescent="0.25">
      <c r="A131" s="3">
        <v>46224</v>
      </c>
      <c r="B131" s="4" t="s">
        <v>30</v>
      </c>
      <c r="C131" s="5" t="s">
        <v>20</v>
      </c>
      <c r="D131" s="6" t="s">
        <v>13</v>
      </c>
      <c r="E131" s="6"/>
      <c r="F131" s="6"/>
      <c r="G131" s="7">
        <v>3503</v>
      </c>
      <c r="H131" s="7"/>
      <c r="I131" s="5"/>
      <c r="J131" s="5" t="str">
        <f t="shared" si="0"/>
        <v>yyyy-07</v>
      </c>
      <c r="K131" s="7">
        <f t="shared" si="2"/>
        <v>17602.400000000001</v>
      </c>
    </row>
    <row r="132" spans="1:11" ht="15.75" customHeight="1" x14ac:dyDescent="0.25">
      <c r="A132" s="3">
        <v>46224</v>
      </c>
      <c r="B132" s="4" t="s">
        <v>44</v>
      </c>
      <c r="C132" s="5" t="s">
        <v>20</v>
      </c>
      <c r="D132" s="6" t="s">
        <v>22</v>
      </c>
      <c r="E132" s="6" t="s">
        <v>17</v>
      </c>
      <c r="F132" s="6"/>
      <c r="G132" s="7">
        <v>0</v>
      </c>
      <c r="H132" s="7"/>
      <c r="I132" s="5"/>
      <c r="J132" s="5" t="str">
        <f t="shared" si="0"/>
        <v>yyyy-07</v>
      </c>
      <c r="K132" s="7">
        <f t="shared" ref="K132:K182" si="3">K131 + IF(C132="Entrada", G132, -G132)</f>
        <v>17602.400000000001</v>
      </c>
    </row>
    <row r="133" spans="1:11" ht="15.75" customHeight="1" x14ac:dyDescent="0.25">
      <c r="A133" s="3">
        <v>46224</v>
      </c>
      <c r="B133" s="4" t="s">
        <v>507</v>
      </c>
      <c r="C133" s="5" t="s">
        <v>12</v>
      </c>
      <c r="D133" s="6" t="s">
        <v>19</v>
      </c>
      <c r="E133" s="6" t="s">
        <v>17</v>
      </c>
      <c r="F133" s="6" t="s">
        <v>25</v>
      </c>
      <c r="G133" s="7">
        <v>395</v>
      </c>
      <c r="H133" s="7"/>
      <c r="I133" s="5"/>
      <c r="J133" s="5" t="str">
        <f t="shared" si="0"/>
        <v>yyyy-07</v>
      </c>
      <c r="K133" s="7">
        <f t="shared" si="3"/>
        <v>17207.400000000001</v>
      </c>
    </row>
    <row r="134" spans="1:11" ht="15.75" customHeight="1" x14ac:dyDescent="0.25">
      <c r="A134" s="3">
        <v>46224</v>
      </c>
      <c r="B134" s="4" t="s">
        <v>45</v>
      </c>
      <c r="C134" s="5" t="s">
        <v>12</v>
      </c>
      <c r="D134" s="6" t="s">
        <v>24</v>
      </c>
      <c r="E134" s="6" t="s">
        <v>17</v>
      </c>
      <c r="F134" s="6" t="s">
        <v>25</v>
      </c>
      <c r="G134" s="7">
        <v>0</v>
      </c>
      <c r="H134" s="7"/>
      <c r="I134" s="5"/>
      <c r="J134" s="5" t="str">
        <f t="shared" si="0"/>
        <v>yyyy-07</v>
      </c>
      <c r="K134" s="7">
        <f t="shared" si="3"/>
        <v>17207.400000000001</v>
      </c>
    </row>
    <row r="135" spans="1:11" ht="15.75" customHeight="1" x14ac:dyDescent="0.25">
      <c r="A135" s="3">
        <v>46225</v>
      </c>
      <c r="B135" s="4" t="s">
        <v>344</v>
      </c>
      <c r="C135" s="5" t="s">
        <v>12</v>
      </c>
      <c r="D135" s="6" t="s">
        <v>19</v>
      </c>
      <c r="E135" s="6" t="s">
        <v>17</v>
      </c>
      <c r="F135" s="6"/>
      <c r="G135" s="7">
        <v>738.6</v>
      </c>
      <c r="H135" s="7"/>
      <c r="I135" s="5"/>
      <c r="J135" s="5" t="str">
        <f t="shared" si="0"/>
        <v>yyyy-07</v>
      </c>
      <c r="K135" s="7">
        <f t="shared" si="3"/>
        <v>16468.800000000003</v>
      </c>
    </row>
    <row r="136" spans="1:11" ht="15.75" customHeight="1" x14ac:dyDescent="0.25">
      <c r="A136" s="3">
        <v>46225</v>
      </c>
      <c r="B136" s="4" t="s">
        <v>348</v>
      </c>
      <c r="C136" s="5" t="s">
        <v>12</v>
      </c>
      <c r="D136" s="6" t="s">
        <v>19</v>
      </c>
      <c r="E136" s="6" t="s">
        <v>17</v>
      </c>
      <c r="F136" s="6"/>
      <c r="G136" s="7">
        <v>904.82</v>
      </c>
      <c r="H136" s="7"/>
      <c r="I136" s="5"/>
      <c r="J136" s="5" t="str">
        <f t="shared" si="0"/>
        <v>yyyy-07</v>
      </c>
      <c r="K136" s="7">
        <f t="shared" si="3"/>
        <v>15563.980000000003</v>
      </c>
    </row>
    <row r="137" spans="1:11" ht="15.75" customHeight="1" x14ac:dyDescent="0.25">
      <c r="A137" s="3">
        <v>46225</v>
      </c>
      <c r="B137" s="4" t="s">
        <v>30</v>
      </c>
      <c r="C137" s="5" t="s">
        <v>20</v>
      </c>
      <c r="D137" s="6" t="s">
        <v>13</v>
      </c>
      <c r="E137" s="6"/>
      <c r="F137" s="6"/>
      <c r="G137" s="7"/>
      <c r="H137" s="7"/>
      <c r="I137" s="5"/>
      <c r="J137" s="5" t="str">
        <f t="shared" si="0"/>
        <v>yyyy-07</v>
      </c>
      <c r="K137" s="7">
        <f t="shared" si="3"/>
        <v>15563.980000000003</v>
      </c>
    </row>
    <row r="138" spans="1:11" ht="15.75" customHeight="1" x14ac:dyDescent="0.25">
      <c r="A138" s="3">
        <v>46225</v>
      </c>
      <c r="B138" s="4" t="s">
        <v>44</v>
      </c>
      <c r="C138" s="5" t="s">
        <v>20</v>
      </c>
      <c r="D138" s="6" t="s">
        <v>22</v>
      </c>
      <c r="E138" s="6" t="s">
        <v>17</v>
      </c>
      <c r="F138" s="6"/>
      <c r="G138" s="7"/>
      <c r="H138" s="7"/>
      <c r="I138" s="5"/>
      <c r="J138" s="5" t="str">
        <f t="shared" si="0"/>
        <v>yyyy-07</v>
      </c>
      <c r="K138" s="7">
        <f t="shared" si="3"/>
        <v>15563.980000000003</v>
      </c>
    </row>
    <row r="139" spans="1:11" ht="15.75" customHeight="1" x14ac:dyDescent="0.25">
      <c r="A139" s="3">
        <v>46225</v>
      </c>
      <c r="B139" s="4" t="s">
        <v>45</v>
      </c>
      <c r="C139" s="5" t="s">
        <v>12</v>
      </c>
      <c r="D139" s="6" t="s">
        <v>24</v>
      </c>
      <c r="E139" s="6" t="s">
        <v>17</v>
      </c>
      <c r="F139" s="6" t="s">
        <v>25</v>
      </c>
      <c r="G139" s="7"/>
      <c r="H139" s="7"/>
      <c r="I139" s="5"/>
      <c r="J139" s="5" t="str">
        <f t="shared" si="0"/>
        <v>yyyy-07</v>
      </c>
      <c r="K139" s="7">
        <f t="shared" si="3"/>
        <v>15563.980000000003</v>
      </c>
    </row>
    <row r="140" spans="1:11" ht="15.75" customHeight="1" x14ac:dyDescent="0.25">
      <c r="A140" s="3">
        <v>46224</v>
      </c>
      <c r="B140" s="4" t="s">
        <v>1233</v>
      </c>
      <c r="C140" s="5" t="s">
        <v>12</v>
      </c>
      <c r="D140" s="6" t="s">
        <v>68</v>
      </c>
      <c r="E140" s="6" t="s">
        <v>17</v>
      </c>
      <c r="F140" s="6" t="s">
        <v>25</v>
      </c>
      <c r="G140" s="7">
        <v>500</v>
      </c>
      <c r="H140" s="7"/>
      <c r="I140" s="5"/>
      <c r="J140" s="5" t="str">
        <f t="shared" si="0"/>
        <v>yyyy-07</v>
      </c>
      <c r="K140" s="7">
        <f t="shared" si="3"/>
        <v>15063.980000000003</v>
      </c>
    </row>
    <row r="141" spans="1:11" ht="15.75" customHeight="1" x14ac:dyDescent="0.25">
      <c r="A141" s="3">
        <v>46225</v>
      </c>
      <c r="B141" s="4" t="s">
        <v>1234</v>
      </c>
      <c r="C141" s="5" t="s">
        <v>12</v>
      </c>
      <c r="D141" s="6" t="s">
        <v>60</v>
      </c>
      <c r="E141" s="6" t="s">
        <v>17</v>
      </c>
      <c r="F141" s="6" t="s">
        <v>25</v>
      </c>
      <c r="G141" s="7">
        <v>193.18</v>
      </c>
      <c r="H141" s="7"/>
      <c r="I141" s="5"/>
      <c r="J141" s="5" t="str">
        <f t="shared" si="0"/>
        <v>yyyy-07</v>
      </c>
      <c r="K141" s="7">
        <f t="shared" si="3"/>
        <v>14870.800000000003</v>
      </c>
    </row>
    <row r="142" spans="1:11" ht="15.75" customHeight="1" x14ac:dyDescent="0.25">
      <c r="A142" s="3">
        <v>46226</v>
      </c>
      <c r="B142" s="4"/>
      <c r="C142" s="5"/>
      <c r="D142" s="6"/>
      <c r="E142" s="6"/>
      <c r="F142" s="6"/>
      <c r="G142" s="7"/>
      <c r="H142" s="7"/>
      <c r="I142" s="5"/>
      <c r="J142" s="5" t="str">
        <f t="shared" si="0"/>
        <v>yyyy-07</v>
      </c>
      <c r="K142" s="7">
        <f t="shared" si="3"/>
        <v>14870.800000000003</v>
      </c>
    </row>
    <row r="143" spans="1:11" ht="15.75" customHeight="1" x14ac:dyDescent="0.25">
      <c r="A143" s="3"/>
      <c r="B143" s="4"/>
      <c r="C143" s="5"/>
      <c r="D143" s="6"/>
      <c r="E143" s="6"/>
      <c r="F143" s="6"/>
      <c r="G143" s="7"/>
      <c r="H143" s="7"/>
      <c r="I143" s="5"/>
      <c r="J143" s="5" t="str">
        <f t="shared" si="0"/>
        <v>yyyy-01</v>
      </c>
      <c r="K143" s="7">
        <f t="shared" si="3"/>
        <v>14870.800000000003</v>
      </c>
    </row>
    <row r="144" spans="1:11" ht="15.75" customHeight="1" x14ac:dyDescent="0.25">
      <c r="A144" s="3"/>
      <c r="B144" s="4"/>
      <c r="C144" s="5"/>
      <c r="D144" s="6"/>
      <c r="E144" s="6"/>
      <c r="F144" s="6"/>
      <c r="G144" s="7"/>
      <c r="H144" s="7"/>
      <c r="I144" s="5"/>
      <c r="J144" s="5" t="str">
        <f t="shared" si="0"/>
        <v>yyyy-01</v>
      </c>
      <c r="K144" s="7">
        <f t="shared" si="3"/>
        <v>14870.800000000003</v>
      </c>
    </row>
    <row r="145" spans="1:11" ht="15.75" customHeight="1" x14ac:dyDescent="0.25">
      <c r="A145" s="3"/>
      <c r="B145" s="4"/>
      <c r="C145" s="5"/>
      <c r="D145" s="6"/>
      <c r="E145" s="6"/>
      <c r="F145" s="6"/>
      <c r="G145" s="7"/>
      <c r="H145" s="7"/>
      <c r="I145" s="5"/>
      <c r="J145" s="5" t="str">
        <f t="shared" si="0"/>
        <v>yyyy-01</v>
      </c>
      <c r="K145" s="7">
        <f t="shared" si="3"/>
        <v>14870.800000000003</v>
      </c>
    </row>
    <row r="146" spans="1:11" ht="15.75" customHeight="1" x14ac:dyDescent="0.25">
      <c r="A146" s="3"/>
      <c r="B146" s="4"/>
      <c r="C146" s="5"/>
      <c r="D146" s="6"/>
      <c r="E146" s="6"/>
      <c r="F146" s="6"/>
      <c r="G146" s="7"/>
      <c r="H146" s="7"/>
      <c r="I146" s="5"/>
      <c r="J146" s="5" t="str">
        <f t="shared" si="0"/>
        <v>yyyy-01</v>
      </c>
      <c r="K146" s="7">
        <f t="shared" si="3"/>
        <v>14870.800000000003</v>
      </c>
    </row>
    <row r="147" spans="1:11" ht="15.75" customHeight="1" x14ac:dyDescent="0.25">
      <c r="A147" s="3"/>
      <c r="B147" s="4"/>
      <c r="C147" s="5"/>
      <c r="D147" s="6"/>
      <c r="E147" s="6"/>
      <c r="F147" s="6"/>
      <c r="G147" s="7"/>
      <c r="H147" s="7"/>
      <c r="I147" s="5"/>
      <c r="J147" s="5" t="str">
        <f t="shared" si="0"/>
        <v>yyyy-01</v>
      </c>
      <c r="K147" s="7">
        <f t="shared" si="3"/>
        <v>14870.800000000003</v>
      </c>
    </row>
    <row r="148" spans="1:11" ht="15.75" customHeight="1" x14ac:dyDescent="0.25">
      <c r="A148" s="3"/>
      <c r="B148" s="4"/>
      <c r="C148" s="5"/>
      <c r="D148" s="6"/>
      <c r="E148" s="6"/>
      <c r="F148" s="6"/>
      <c r="G148" s="7"/>
      <c r="H148" s="7"/>
      <c r="I148" s="5"/>
      <c r="J148" s="5" t="str">
        <f t="shared" si="0"/>
        <v>yyyy-01</v>
      </c>
      <c r="K148" s="7">
        <f t="shared" si="3"/>
        <v>14870.800000000003</v>
      </c>
    </row>
    <row r="149" spans="1:11" ht="15.75" customHeight="1" x14ac:dyDescent="0.25">
      <c r="A149" s="3"/>
      <c r="B149" s="4"/>
      <c r="C149" s="5"/>
      <c r="D149" s="6"/>
      <c r="E149" s="6"/>
      <c r="F149" s="6"/>
      <c r="G149" s="7"/>
      <c r="H149" s="7"/>
      <c r="I149" s="5"/>
      <c r="J149" s="5" t="str">
        <f t="shared" si="0"/>
        <v>yyyy-01</v>
      </c>
      <c r="K149" s="7">
        <f t="shared" si="3"/>
        <v>14870.800000000003</v>
      </c>
    </row>
    <row r="150" spans="1:11" ht="15.75" customHeight="1" x14ac:dyDescent="0.25">
      <c r="A150" s="3"/>
      <c r="B150" s="4"/>
      <c r="C150" s="5"/>
      <c r="D150" s="6"/>
      <c r="E150" s="6"/>
      <c r="F150" s="6"/>
      <c r="G150" s="7"/>
      <c r="H150" s="7"/>
      <c r="I150" s="5"/>
      <c r="J150" s="5" t="str">
        <f t="shared" si="0"/>
        <v>yyyy-01</v>
      </c>
      <c r="K150" s="7">
        <f t="shared" si="3"/>
        <v>14870.800000000003</v>
      </c>
    </row>
    <row r="151" spans="1:11" ht="15.75" customHeight="1" x14ac:dyDescent="0.25">
      <c r="A151" s="3"/>
      <c r="B151" s="4"/>
      <c r="C151" s="5"/>
      <c r="D151" s="6"/>
      <c r="E151" s="6"/>
      <c r="F151" s="6"/>
      <c r="G151" s="7"/>
      <c r="H151" s="7"/>
      <c r="I151" s="5"/>
      <c r="J151" s="5" t="str">
        <f t="shared" si="0"/>
        <v>yyyy-01</v>
      </c>
      <c r="K151" s="7">
        <f t="shared" si="3"/>
        <v>14870.800000000003</v>
      </c>
    </row>
    <row r="152" spans="1:11" ht="15.75" customHeight="1" x14ac:dyDescent="0.25">
      <c r="A152" s="3"/>
      <c r="B152" s="4"/>
      <c r="C152" s="5"/>
      <c r="D152" s="6"/>
      <c r="E152" s="6"/>
      <c r="F152" s="6"/>
      <c r="G152" s="7"/>
      <c r="H152" s="7"/>
      <c r="I152" s="5"/>
      <c r="J152" s="5" t="str">
        <f t="shared" si="0"/>
        <v>yyyy-01</v>
      </c>
      <c r="K152" s="7">
        <f t="shared" si="3"/>
        <v>14870.800000000003</v>
      </c>
    </row>
    <row r="153" spans="1:11" ht="15.75" customHeight="1" x14ac:dyDescent="0.25">
      <c r="A153" s="13"/>
      <c r="B153" s="4"/>
      <c r="C153" s="5"/>
      <c r="D153" s="6"/>
      <c r="E153" s="6"/>
      <c r="F153" s="6"/>
      <c r="G153" s="7"/>
      <c r="H153" s="7"/>
      <c r="I153" s="5"/>
      <c r="J153" s="5" t="str">
        <f t="shared" si="0"/>
        <v>yyyy-01</v>
      </c>
      <c r="K153" s="7">
        <f t="shared" si="3"/>
        <v>14870.800000000003</v>
      </c>
    </row>
    <row r="154" spans="1:11" ht="15.75" customHeight="1" x14ac:dyDescent="0.25">
      <c r="A154" s="3"/>
      <c r="B154" s="4"/>
      <c r="C154" s="5"/>
      <c r="D154" s="6"/>
      <c r="E154" s="6"/>
      <c r="F154" s="6"/>
      <c r="G154" s="7"/>
      <c r="H154" s="7"/>
      <c r="I154" s="5"/>
      <c r="J154" s="5" t="str">
        <f t="shared" si="0"/>
        <v>yyyy-01</v>
      </c>
      <c r="K154" s="7">
        <f t="shared" si="3"/>
        <v>14870.800000000003</v>
      </c>
    </row>
    <row r="155" spans="1:11" ht="15.75" customHeight="1" x14ac:dyDescent="0.25">
      <c r="A155" s="3"/>
      <c r="B155" s="4"/>
      <c r="C155" s="5"/>
      <c r="D155" s="6"/>
      <c r="E155" s="6"/>
      <c r="F155" s="6"/>
      <c r="G155" s="7"/>
      <c r="H155" s="7"/>
      <c r="I155" s="5"/>
      <c r="J155" s="5" t="str">
        <f t="shared" si="0"/>
        <v>yyyy-01</v>
      </c>
      <c r="K155" s="7">
        <f t="shared" si="3"/>
        <v>14870.800000000003</v>
      </c>
    </row>
    <row r="156" spans="1:11" ht="15.75" customHeight="1" x14ac:dyDescent="0.25">
      <c r="A156" s="3"/>
      <c r="B156" s="4"/>
      <c r="C156" s="5"/>
      <c r="D156" s="6"/>
      <c r="E156" s="6"/>
      <c r="F156" s="6"/>
      <c r="G156" s="7"/>
      <c r="H156" s="7"/>
      <c r="I156" s="5"/>
      <c r="J156" s="5" t="str">
        <f t="shared" si="0"/>
        <v>yyyy-01</v>
      </c>
      <c r="K156" s="7">
        <f t="shared" si="3"/>
        <v>14870.800000000003</v>
      </c>
    </row>
    <row r="157" spans="1:11" ht="15.75" customHeight="1" x14ac:dyDescent="0.25">
      <c r="A157" s="3"/>
      <c r="B157" s="4"/>
      <c r="C157" s="5"/>
      <c r="D157" s="6"/>
      <c r="E157" s="6"/>
      <c r="F157" s="6"/>
      <c r="G157" s="7"/>
      <c r="H157" s="7"/>
      <c r="I157" s="5"/>
      <c r="J157" s="5" t="str">
        <f t="shared" si="0"/>
        <v>yyyy-01</v>
      </c>
      <c r="K157" s="7">
        <f t="shared" si="3"/>
        <v>14870.800000000003</v>
      </c>
    </row>
    <row r="158" spans="1:11" ht="15.75" customHeight="1" x14ac:dyDescent="0.25">
      <c r="A158" s="13"/>
      <c r="B158" s="4"/>
      <c r="C158" s="5"/>
      <c r="D158" s="6"/>
      <c r="E158" s="6"/>
      <c r="F158" s="6"/>
      <c r="G158" s="7"/>
      <c r="H158" s="7"/>
      <c r="I158" s="5"/>
      <c r="J158" s="5" t="str">
        <f t="shared" si="0"/>
        <v>yyyy-01</v>
      </c>
      <c r="K158" s="7">
        <f t="shared" si="3"/>
        <v>14870.800000000003</v>
      </c>
    </row>
    <row r="159" spans="1:11" ht="15.75" customHeight="1" x14ac:dyDescent="0.25">
      <c r="A159" s="3"/>
      <c r="B159" s="4"/>
      <c r="C159" s="5"/>
      <c r="D159" s="6"/>
      <c r="E159" s="6"/>
      <c r="F159" s="6"/>
      <c r="G159" s="7"/>
      <c r="H159" s="7"/>
      <c r="I159" s="5"/>
      <c r="J159" s="5" t="str">
        <f t="shared" si="0"/>
        <v>yyyy-01</v>
      </c>
      <c r="K159" s="7">
        <f t="shared" si="3"/>
        <v>14870.800000000003</v>
      </c>
    </row>
    <row r="160" spans="1:11" ht="15.75" customHeight="1" x14ac:dyDescent="0.25">
      <c r="A160" s="3"/>
      <c r="B160" s="4"/>
      <c r="C160" s="5"/>
      <c r="D160" s="6"/>
      <c r="E160" s="6"/>
      <c r="F160" s="6"/>
      <c r="G160" s="7"/>
      <c r="H160" s="7"/>
      <c r="I160" s="5"/>
      <c r="J160" s="5" t="str">
        <f t="shared" si="0"/>
        <v>yyyy-01</v>
      </c>
      <c r="K160" s="7">
        <f t="shared" si="3"/>
        <v>14870.800000000003</v>
      </c>
    </row>
    <row r="161" spans="1:11" ht="15.75" customHeight="1" x14ac:dyDescent="0.25">
      <c r="A161" s="3"/>
      <c r="B161" s="4"/>
      <c r="C161" s="5"/>
      <c r="D161" s="6"/>
      <c r="E161" s="6"/>
      <c r="F161" s="6"/>
      <c r="G161" s="7"/>
      <c r="H161" s="7"/>
      <c r="I161" s="5"/>
      <c r="J161" s="5" t="str">
        <f t="shared" si="0"/>
        <v>yyyy-01</v>
      </c>
      <c r="K161" s="7">
        <f t="shared" si="3"/>
        <v>14870.800000000003</v>
      </c>
    </row>
    <row r="162" spans="1:11" ht="15.75" customHeight="1" x14ac:dyDescent="0.25">
      <c r="A162" s="3"/>
      <c r="B162" s="4"/>
      <c r="C162" s="5"/>
      <c r="D162" s="6"/>
      <c r="E162" s="6"/>
      <c r="F162" s="6"/>
      <c r="G162" s="7"/>
      <c r="H162" s="7"/>
      <c r="I162" s="5"/>
      <c r="J162" s="5" t="str">
        <f t="shared" si="0"/>
        <v>yyyy-01</v>
      </c>
      <c r="K162" s="7">
        <f t="shared" si="3"/>
        <v>14870.800000000003</v>
      </c>
    </row>
    <row r="163" spans="1:11" ht="15.75" customHeight="1" x14ac:dyDescent="0.25">
      <c r="A163" s="3"/>
      <c r="B163" s="4"/>
      <c r="C163" s="5"/>
      <c r="D163" s="6"/>
      <c r="E163" s="6"/>
      <c r="F163" s="6"/>
      <c r="G163" s="7"/>
      <c r="H163" s="7"/>
      <c r="I163" s="5"/>
      <c r="J163" s="5" t="str">
        <f t="shared" si="0"/>
        <v>yyyy-01</v>
      </c>
      <c r="K163" s="7">
        <f t="shared" si="3"/>
        <v>14870.800000000003</v>
      </c>
    </row>
    <row r="164" spans="1:11" ht="15.75" customHeight="1" x14ac:dyDescent="0.25">
      <c r="A164" s="3"/>
      <c r="B164" s="4"/>
      <c r="C164" s="5"/>
      <c r="D164" s="6"/>
      <c r="E164" s="6"/>
      <c r="F164" s="6"/>
      <c r="G164" s="7"/>
      <c r="H164" s="7"/>
      <c r="I164" s="5"/>
      <c r="J164" s="5" t="str">
        <f t="shared" si="0"/>
        <v>yyyy-01</v>
      </c>
      <c r="K164" s="7">
        <f t="shared" si="3"/>
        <v>14870.800000000003</v>
      </c>
    </row>
    <row r="165" spans="1:11" ht="15.75" customHeight="1" x14ac:dyDescent="0.25">
      <c r="A165" s="3"/>
      <c r="B165" s="4"/>
      <c r="C165" s="5"/>
      <c r="D165" s="6"/>
      <c r="E165" s="6"/>
      <c r="F165" s="6"/>
      <c r="G165" s="7"/>
      <c r="H165" s="7"/>
      <c r="I165" s="5"/>
      <c r="J165" s="5" t="str">
        <f t="shared" si="0"/>
        <v>yyyy-01</v>
      </c>
      <c r="K165" s="7">
        <f t="shared" si="3"/>
        <v>14870.800000000003</v>
      </c>
    </row>
    <row r="166" spans="1:11" ht="15.75" customHeight="1" x14ac:dyDescent="0.25">
      <c r="A166" s="3"/>
      <c r="B166" s="4"/>
      <c r="C166" s="5"/>
      <c r="D166" s="6"/>
      <c r="E166" s="6"/>
      <c r="F166" s="6"/>
      <c r="G166" s="7"/>
      <c r="H166" s="7"/>
      <c r="I166" s="5"/>
      <c r="J166" s="5" t="str">
        <f t="shared" si="0"/>
        <v>yyyy-01</v>
      </c>
      <c r="K166" s="7">
        <f t="shared" si="3"/>
        <v>14870.800000000003</v>
      </c>
    </row>
    <row r="167" spans="1:11" ht="15.75" customHeight="1" x14ac:dyDescent="0.25">
      <c r="A167" s="3"/>
      <c r="B167" s="4"/>
      <c r="C167" s="5"/>
      <c r="D167" s="6"/>
      <c r="E167" s="6"/>
      <c r="F167" s="6"/>
      <c r="G167" s="7"/>
      <c r="H167" s="7"/>
      <c r="I167" s="5"/>
      <c r="J167" s="5" t="str">
        <f t="shared" si="0"/>
        <v>yyyy-01</v>
      </c>
      <c r="K167" s="7">
        <f t="shared" si="3"/>
        <v>14870.800000000003</v>
      </c>
    </row>
    <row r="168" spans="1:11" ht="15.75" customHeight="1" x14ac:dyDescent="0.25">
      <c r="A168" s="3"/>
      <c r="B168" s="4"/>
      <c r="C168" s="5"/>
      <c r="D168" s="6"/>
      <c r="E168" s="6"/>
      <c r="F168" s="6"/>
      <c r="G168" s="7"/>
      <c r="H168" s="7"/>
      <c r="I168" s="5"/>
      <c r="J168" s="5" t="str">
        <f t="shared" si="0"/>
        <v>yyyy-01</v>
      </c>
      <c r="K168" s="7">
        <f t="shared" si="3"/>
        <v>14870.800000000003</v>
      </c>
    </row>
    <row r="169" spans="1:11" ht="15.75" customHeight="1" x14ac:dyDescent="0.25">
      <c r="A169" s="3"/>
      <c r="B169" s="4"/>
      <c r="C169" s="5"/>
      <c r="D169" s="6"/>
      <c r="E169" s="6"/>
      <c r="F169" s="6"/>
      <c r="G169" s="7"/>
      <c r="H169" s="7"/>
      <c r="I169" s="5"/>
      <c r="J169" s="5" t="str">
        <f t="shared" si="0"/>
        <v>yyyy-01</v>
      </c>
      <c r="K169" s="7">
        <f t="shared" si="3"/>
        <v>14870.800000000003</v>
      </c>
    </row>
    <row r="170" spans="1:11" ht="15.75" customHeight="1" x14ac:dyDescent="0.25">
      <c r="A170" s="3"/>
      <c r="B170" s="4"/>
      <c r="C170" s="5"/>
      <c r="D170" s="6"/>
      <c r="E170" s="6"/>
      <c r="F170" s="6"/>
      <c r="G170" s="7"/>
      <c r="H170" s="7"/>
      <c r="I170" s="5"/>
      <c r="J170" s="5" t="str">
        <f t="shared" si="0"/>
        <v>yyyy-01</v>
      </c>
      <c r="K170" s="7">
        <f t="shared" si="3"/>
        <v>14870.800000000003</v>
      </c>
    </row>
    <row r="171" spans="1:11" ht="15.75" customHeight="1" x14ac:dyDescent="0.25">
      <c r="A171" s="3"/>
      <c r="B171" s="4"/>
      <c r="C171" s="5"/>
      <c r="D171" s="6"/>
      <c r="E171" s="6"/>
      <c r="F171" s="6"/>
      <c r="G171" s="7"/>
      <c r="H171" s="7"/>
      <c r="I171" s="5"/>
      <c r="J171" s="5" t="str">
        <f t="shared" si="0"/>
        <v>yyyy-01</v>
      </c>
      <c r="K171" s="7">
        <f t="shared" si="3"/>
        <v>14870.800000000003</v>
      </c>
    </row>
    <row r="172" spans="1:11" ht="15.75" customHeight="1" x14ac:dyDescent="0.25">
      <c r="A172" s="3"/>
      <c r="B172" s="4"/>
      <c r="C172" s="5"/>
      <c r="D172" s="6"/>
      <c r="E172" s="6"/>
      <c r="F172" s="6"/>
      <c r="G172" s="7"/>
      <c r="H172" s="7"/>
      <c r="I172" s="5"/>
      <c r="J172" s="5" t="str">
        <f t="shared" si="0"/>
        <v>yyyy-01</v>
      </c>
      <c r="K172" s="7">
        <f t="shared" si="3"/>
        <v>14870.800000000003</v>
      </c>
    </row>
    <row r="173" spans="1:11" ht="15.75" customHeight="1" x14ac:dyDescent="0.25">
      <c r="A173" s="3"/>
      <c r="B173" s="4"/>
      <c r="C173" s="5"/>
      <c r="D173" s="6"/>
      <c r="E173" s="6"/>
      <c r="F173" s="6"/>
      <c r="G173" s="7"/>
      <c r="H173" s="7"/>
      <c r="I173" s="5"/>
      <c r="J173" s="5" t="str">
        <f t="shared" si="0"/>
        <v>yyyy-01</v>
      </c>
      <c r="K173" s="7">
        <f t="shared" si="3"/>
        <v>14870.800000000003</v>
      </c>
    </row>
    <row r="174" spans="1:11" ht="15.75" customHeight="1" x14ac:dyDescent="0.25">
      <c r="A174" s="3"/>
      <c r="B174" s="4"/>
      <c r="C174" s="5"/>
      <c r="D174" s="6"/>
      <c r="E174" s="6"/>
      <c r="F174" s="6"/>
      <c r="G174" s="7"/>
      <c r="H174" s="7"/>
      <c r="I174" s="5"/>
      <c r="J174" s="5" t="str">
        <f t="shared" si="0"/>
        <v>yyyy-01</v>
      </c>
      <c r="K174" s="7">
        <f t="shared" si="3"/>
        <v>14870.800000000003</v>
      </c>
    </row>
    <row r="175" spans="1:11" ht="15.75" customHeight="1" x14ac:dyDescent="0.25">
      <c r="A175" s="3"/>
      <c r="B175" s="4"/>
      <c r="C175" s="5"/>
      <c r="D175" s="6"/>
      <c r="E175" s="6"/>
      <c r="F175" s="6"/>
      <c r="G175" s="7"/>
      <c r="H175" s="7"/>
      <c r="I175" s="5"/>
      <c r="J175" s="5" t="str">
        <f t="shared" si="0"/>
        <v>yyyy-01</v>
      </c>
      <c r="K175" s="7">
        <f t="shared" si="3"/>
        <v>14870.800000000003</v>
      </c>
    </row>
    <row r="176" spans="1:11" ht="15.75" customHeight="1" x14ac:dyDescent="0.25">
      <c r="A176" s="3"/>
      <c r="B176" s="4"/>
      <c r="C176" s="5"/>
      <c r="D176" s="6"/>
      <c r="E176" s="6"/>
      <c r="F176" s="6"/>
      <c r="G176" s="7"/>
      <c r="H176" s="7"/>
      <c r="I176" s="5"/>
      <c r="J176" s="5" t="str">
        <f t="shared" si="0"/>
        <v>yyyy-01</v>
      </c>
      <c r="K176" s="7">
        <f t="shared" si="3"/>
        <v>14870.800000000003</v>
      </c>
    </row>
    <row r="177" spans="1:11" ht="15.75" customHeight="1" x14ac:dyDescent="0.25">
      <c r="A177" s="3"/>
      <c r="B177" s="4"/>
      <c r="C177" s="5"/>
      <c r="D177" s="6"/>
      <c r="E177" s="6"/>
      <c r="F177" s="6"/>
      <c r="G177" s="7"/>
      <c r="H177" s="7"/>
      <c r="I177" s="5"/>
      <c r="J177" s="5" t="str">
        <f t="shared" si="0"/>
        <v>yyyy-01</v>
      </c>
      <c r="K177" s="7">
        <f t="shared" si="3"/>
        <v>14870.800000000003</v>
      </c>
    </row>
    <row r="178" spans="1:11" ht="15.75" customHeight="1" x14ac:dyDescent="0.25">
      <c r="A178" s="3"/>
      <c r="B178" s="4"/>
      <c r="C178" s="5"/>
      <c r="D178" s="6"/>
      <c r="E178" s="6"/>
      <c r="F178" s="6"/>
      <c r="G178" s="7"/>
      <c r="H178" s="7"/>
      <c r="I178" s="5"/>
      <c r="J178" s="5" t="str">
        <f t="shared" si="0"/>
        <v>yyyy-01</v>
      </c>
      <c r="K178" s="7">
        <f t="shared" si="3"/>
        <v>14870.800000000003</v>
      </c>
    </row>
    <row r="179" spans="1:11" ht="15.75" customHeight="1" x14ac:dyDescent="0.25">
      <c r="A179" s="3"/>
      <c r="B179" s="4"/>
      <c r="C179" s="5"/>
      <c r="D179" s="6"/>
      <c r="E179" s="6"/>
      <c r="F179" s="6"/>
      <c r="G179" s="7"/>
      <c r="H179" s="7"/>
      <c r="I179" s="5"/>
      <c r="J179" s="5" t="str">
        <f t="shared" si="0"/>
        <v>yyyy-01</v>
      </c>
      <c r="K179" s="7">
        <f t="shared" si="3"/>
        <v>14870.800000000003</v>
      </c>
    </row>
    <row r="180" spans="1:11" ht="15.75" customHeight="1" x14ac:dyDescent="0.25">
      <c r="A180" s="3"/>
      <c r="B180" s="4"/>
      <c r="C180" s="5"/>
      <c r="D180" s="6"/>
      <c r="E180" s="6"/>
      <c r="F180" s="6"/>
      <c r="G180" s="7"/>
      <c r="H180" s="7"/>
      <c r="I180" s="5"/>
      <c r="J180" s="5" t="str">
        <f t="shared" si="0"/>
        <v>yyyy-01</v>
      </c>
      <c r="K180" s="7">
        <f t="shared" si="3"/>
        <v>14870.800000000003</v>
      </c>
    </row>
    <row r="181" spans="1:11" ht="15.75" customHeight="1" x14ac:dyDescent="0.25">
      <c r="A181" s="3"/>
      <c r="B181" s="4"/>
      <c r="C181" s="5"/>
      <c r="D181" s="6"/>
      <c r="E181" s="6"/>
      <c r="F181" s="6"/>
      <c r="G181" s="7"/>
      <c r="H181" s="7"/>
      <c r="I181" s="5"/>
      <c r="J181" s="5" t="str">
        <f t="shared" si="0"/>
        <v>yyyy-01</v>
      </c>
      <c r="K181" s="7">
        <f t="shared" si="3"/>
        <v>14870.800000000003</v>
      </c>
    </row>
    <row r="182" spans="1:11" ht="15.75" customHeight="1" x14ac:dyDescent="0.25">
      <c r="A182" s="3"/>
      <c r="B182" s="4"/>
      <c r="C182" s="5"/>
      <c r="D182" s="6"/>
      <c r="E182" s="6"/>
      <c r="F182" s="6"/>
      <c r="G182" s="7"/>
      <c r="H182" s="7"/>
      <c r="I182" s="5"/>
      <c r="J182" s="5" t="str">
        <f t="shared" si="0"/>
        <v>yyyy-01</v>
      </c>
      <c r="K182" s="7">
        <f t="shared" si="3"/>
        <v>14870.800000000003</v>
      </c>
    </row>
    <row r="183" spans="1:11" ht="15.75" customHeight="1" x14ac:dyDescent="0.25">
      <c r="J183" s="5" t="str">
        <f t="shared" ref="J183:J222" si="4">TEXT(A5,"yyyy-mm")</f>
        <v>yyyy-07</v>
      </c>
      <c r="K183" s="7">
        <f t="shared" ref="K183:K222" si="5">K182 + IF(C5="Entrada", G5, -G5)</f>
        <v>14755.000000000004</v>
      </c>
    </row>
    <row r="184" spans="1:11" ht="15.75" customHeight="1" x14ac:dyDescent="0.25">
      <c r="I184" s="21"/>
      <c r="J184" s="5" t="str">
        <f t="shared" si="4"/>
        <v>yyyy-07</v>
      </c>
      <c r="K184" s="7">
        <f t="shared" si="5"/>
        <v>16517.000000000004</v>
      </c>
    </row>
    <row r="185" spans="1:11" ht="15.75" customHeight="1" x14ac:dyDescent="0.25">
      <c r="J185" s="5" t="str">
        <f t="shared" si="4"/>
        <v>yyyy-07</v>
      </c>
      <c r="K185" s="7">
        <f t="shared" si="5"/>
        <v>16599.000000000004</v>
      </c>
    </row>
    <row r="186" spans="1:11" ht="15.75" customHeight="1" x14ac:dyDescent="0.25">
      <c r="J186" s="5" t="str">
        <f t="shared" si="4"/>
        <v>yyyy-07</v>
      </c>
      <c r="K186" s="7">
        <f t="shared" si="5"/>
        <v>16590.000000000004</v>
      </c>
    </row>
    <row r="187" spans="1:11" ht="15.75" customHeight="1" x14ac:dyDescent="0.25">
      <c r="J187" s="5" t="str">
        <f t="shared" si="4"/>
        <v>yyyy-07</v>
      </c>
      <c r="K187" s="7">
        <f t="shared" si="5"/>
        <v>15490.000000000004</v>
      </c>
    </row>
    <row r="188" spans="1:11" ht="15.75" customHeight="1" x14ac:dyDescent="0.25">
      <c r="J188" s="5" t="str">
        <f t="shared" si="4"/>
        <v>yyyy-07</v>
      </c>
      <c r="K188" s="7">
        <f t="shared" si="5"/>
        <v>15090.000000000004</v>
      </c>
    </row>
    <row r="189" spans="1:11" ht="15.75" customHeight="1" x14ac:dyDescent="0.25">
      <c r="J189" s="5" t="str">
        <f t="shared" si="4"/>
        <v>yyyy-07</v>
      </c>
      <c r="K189" s="7">
        <f t="shared" si="5"/>
        <v>12090.000000000004</v>
      </c>
    </row>
    <row r="190" spans="1:11" ht="15.75" customHeight="1" x14ac:dyDescent="0.25">
      <c r="J190" s="5" t="str">
        <f t="shared" si="4"/>
        <v>yyyy-07</v>
      </c>
      <c r="K190" s="7">
        <f t="shared" si="5"/>
        <v>13749.000000000004</v>
      </c>
    </row>
    <row r="191" spans="1:11" ht="15.75" customHeight="1" x14ac:dyDescent="0.25">
      <c r="J191" s="5" t="str">
        <f t="shared" si="4"/>
        <v>yyyy-07</v>
      </c>
      <c r="K191" s="7">
        <f t="shared" si="5"/>
        <v>13749.000000000004</v>
      </c>
    </row>
    <row r="192" spans="1:11" ht="15.75" customHeight="1" x14ac:dyDescent="0.25">
      <c r="J192" s="5" t="str">
        <f t="shared" si="4"/>
        <v>yyyy-07</v>
      </c>
      <c r="K192" s="7">
        <f t="shared" si="5"/>
        <v>13749.000000000004</v>
      </c>
    </row>
    <row r="193" spans="10:11" ht="15.75" customHeight="1" x14ac:dyDescent="0.25">
      <c r="J193" s="5" t="str">
        <f t="shared" si="4"/>
        <v>yyyy-07</v>
      </c>
      <c r="K193" s="7">
        <f t="shared" si="5"/>
        <v>13509.000000000004</v>
      </c>
    </row>
    <row r="194" spans="10:11" ht="15.75" customHeight="1" x14ac:dyDescent="0.25">
      <c r="J194" s="5" t="str">
        <f t="shared" si="4"/>
        <v>yyyy-07</v>
      </c>
      <c r="K194" s="7">
        <f t="shared" si="5"/>
        <v>16755.000000000004</v>
      </c>
    </row>
    <row r="195" spans="10:11" ht="15.75" customHeight="1" x14ac:dyDescent="0.25">
      <c r="J195" s="5" t="str">
        <f t="shared" si="4"/>
        <v>yyyy-07</v>
      </c>
      <c r="K195" s="7">
        <f t="shared" si="5"/>
        <v>16861.000000000004</v>
      </c>
    </row>
    <row r="196" spans="10:11" ht="15.75" customHeight="1" x14ac:dyDescent="0.25">
      <c r="J196" s="5" t="str">
        <f t="shared" si="4"/>
        <v>yyyy-07</v>
      </c>
      <c r="K196" s="7">
        <f t="shared" si="5"/>
        <v>16843.000000000004</v>
      </c>
    </row>
    <row r="197" spans="10:11" ht="15.75" customHeight="1" x14ac:dyDescent="0.25">
      <c r="J197" s="5" t="str">
        <f t="shared" si="4"/>
        <v>yyyy-07</v>
      </c>
      <c r="K197" s="7">
        <f t="shared" si="5"/>
        <v>16679.000000000004</v>
      </c>
    </row>
    <row r="198" spans="10:11" ht="15.75" customHeight="1" x14ac:dyDescent="0.25">
      <c r="J198" s="5" t="str">
        <f t="shared" si="4"/>
        <v>yyyy-07</v>
      </c>
      <c r="K198" s="7">
        <f t="shared" si="5"/>
        <v>16303.000000000004</v>
      </c>
    </row>
    <row r="199" spans="10:11" ht="15.75" customHeight="1" x14ac:dyDescent="0.25">
      <c r="J199" s="5" t="str">
        <f t="shared" si="4"/>
        <v>yyyy-07</v>
      </c>
      <c r="K199" s="7">
        <f t="shared" si="5"/>
        <v>16153.000000000004</v>
      </c>
    </row>
    <row r="200" spans="10:11" ht="15.75" customHeight="1" x14ac:dyDescent="0.25">
      <c r="J200" s="5" t="str">
        <f t="shared" si="4"/>
        <v>yyyy-07</v>
      </c>
      <c r="K200" s="7">
        <f t="shared" si="5"/>
        <v>21359.000000000004</v>
      </c>
    </row>
    <row r="201" spans="10:11" ht="15.75" customHeight="1" x14ac:dyDescent="0.25">
      <c r="J201" s="5" t="str">
        <f t="shared" si="4"/>
        <v>yyyy-07</v>
      </c>
      <c r="K201" s="7">
        <f t="shared" si="5"/>
        <v>21509.000000000004</v>
      </c>
    </row>
    <row r="202" spans="10:11" ht="15.75" customHeight="1" x14ac:dyDescent="0.25">
      <c r="J202" s="5" t="str">
        <f t="shared" si="4"/>
        <v>yyyy-07</v>
      </c>
      <c r="K202" s="7">
        <f t="shared" si="5"/>
        <v>21474.000000000004</v>
      </c>
    </row>
    <row r="203" spans="10:11" ht="15.75" customHeight="1" x14ac:dyDescent="0.25">
      <c r="J203" s="5" t="str">
        <f t="shared" si="4"/>
        <v>yyyy-07</v>
      </c>
      <c r="K203" s="7">
        <f t="shared" si="5"/>
        <v>21324.000000000004</v>
      </c>
    </row>
    <row r="204" spans="10:11" ht="15.75" customHeight="1" x14ac:dyDescent="0.25">
      <c r="J204" s="5" t="str">
        <f t="shared" si="4"/>
        <v>yyyy-07</v>
      </c>
      <c r="K204" s="7">
        <f t="shared" si="5"/>
        <v>25408.000000000004</v>
      </c>
    </row>
    <row r="205" spans="10:11" ht="15.75" customHeight="1" x14ac:dyDescent="0.25">
      <c r="J205" s="5" t="str">
        <f t="shared" si="4"/>
        <v>yyyy-07</v>
      </c>
      <c r="K205" s="7">
        <f t="shared" si="5"/>
        <v>25802.000000000004</v>
      </c>
    </row>
    <row r="206" spans="10:11" ht="15.75" customHeight="1" x14ac:dyDescent="0.25">
      <c r="J206" s="5" t="str">
        <f t="shared" si="4"/>
        <v>yyyy-07</v>
      </c>
      <c r="K206" s="7">
        <f t="shared" si="5"/>
        <v>25767.000000000004</v>
      </c>
    </row>
    <row r="207" spans="10:11" ht="15.75" customHeight="1" x14ac:dyDescent="0.25">
      <c r="J207" s="5" t="str">
        <f t="shared" si="4"/>
        <v>yyyy-07</v>
      </c>
      <c r="K207" s="7">
        <f t="shared" si="5"/>
        <v>25617.000000000004</v>
      </c>
    </row>
    <row r="208" spans="10:11" ht="15.75" customHeight="1" x14ac:dyDescent="0.25">
      <c r="J208" s="5" t="str">
        <f t="shared" si="4"/>
        <v>yyyy-07</v>
      </c>
      <c r="K208" s="7">
        <f t="shared" si="5"/>
        <v>27130.000000000004</v>
      </c>
    </row>
    <row r="209" spans="1:11" ht="15.75" customHeight="1" x14ac:dyDescent="0.25">
      <c r="J209" s="5" t="str">
        <f t="shared" si="4"/>
        <v>yyyy-07</v>
      </c>
      <c r="K209" s="7">
        <f t="shared" si="5"/>
        <v>27281.000000000004</v>
      </c>
    </row>
    <row r="210" spans="1:11" ht="15.75" customHeight="1" x14ac:dyDescent="0.25">
      <c r="J210" s="5" t="str">
        <f t="shared" si="4"/>
        <v>yyyy-07</v>
      </c>
      <c r="K210" s="7">
        <f t="shared" si="5"/>
        <v>27263.000000000004</v>
      </c>
    </row>
    <row r="211" spans="1:11" ht="15.75" customHeight="1" x14ac:dyDescent="0.25">
      <c r="J211" s="5" t="str">
        <f t="shared" si="4"/>
        <v>yyyy-07</v>
      </c>
      <c r="K211" s="7">
        <f t="shared" si="5"/>
        <v>26963.000000000004</v>
      </c>
    </row>
    <row r="212" spans="1:11" ht="15.75" customHeight="1" x14ac:dyDescent="0.25">
      <c r="J212" s="5" t="str">
        <f t="shared" si="4"/>
        <v>yyyy-07</v>
      </c>
      <c r="K212" s="7">
        <f t="shared" si="5"/>
        <v>26738.000000000004</v>
      </c>
    </row>
    <row r="213" spans="1:11" ht="15.75" customHeight="1" x14ac:dyDescent="0.25">
      <c r="J213" s="5" t="str">
        <f t="shared" si="4"/>
        <v>yyyy-07</v>
      </c>
      <c r="K213" s="7">
        <f t="shared" si="5"/>
        <v>17819.360000000004</v>
      </c>
    </row>
    <row r="214" spans="1:11" ht="15.75" customHeight="1" x14ac:dyDescent="0.25">
      <c r="J214" s="5" t="str">
        <f t="shared" si="4"/>
        <v>yyyy-07</v>
      </c>
      <c r="K214" s="7">
        <f t="shared" si="5"/>
        <v>17724.460000000003</v>
      </c>
    </row>
    <row r="215" spans="1:11" ht="15.75" customHeight="1" x14ac:dyDescent="0.25">
      <c r="J215" s="5" t="str">
        <f t="shared" si="4"/>
        <v>yyyy-07</v>
      </c>
      <c r="K215" s="7">
        <f t="shared" si="5"/>
        <v>17624.460000000003</v>
      </c>
    </row>
    <row r="216" spans="1:11" ht="15.75" customHeight="1" x14ac:dyDescent="0.25">
      <c r="J216" s="5" t="str">
        <f t="shared" si="4"/>
        <v>yyyy-07</v>
      </c>
      <c r="K216" s="7">
        <f t="shared" si="5"/>
        <v>17446.600000000002</v>
      </c>
    </row>
    <row r="217" spans="1:11" ht="15.75" customHeight="1" x14ac:dyDescent="0.25">
      <c r="J217" s="5" t="str">
        <f t="shared" si="4"/>
        <v>yyyy-07</v>
      </c>
      <c r="K217" s="7">
        <f t="shared" si="5"/>
        <v>17125.530000000002</v>
      </c>
    </row>
    <row r="218" spans="1:11" ht="15.75" customHeight="1" x14ac:dyDescent="0.25">
      <c r="J218" s="5" t="str">
        <f t="shared" si="4"/>
        <v>yyyy-07</v>
      </c>
      <c r="K218" s="7">
        <f t="shared" si="5"/>
        <v>16596.030000000002</v>
      </c>
    </row>
    <row r="219" spans="1:11" ht="15.75" customHeight="1" x14ac:dyDescent="0.25">
      <c r="J219" s="5" t="str">
        <f t="shared" si="4"/>
        <v>yyyy-07</v>
      </c>
      <c r="K219" s="7">
        <f t="shared" si="5"/>
        <v>18224.030000000002</v>
      </c>
    </row>
    <row r="220" spans="1:11" ht="15.75" customHeight="1" x14ac:dyDescent="0.25">
      <c r="J220" s="5" t="str">
        <f t="shared" si="4"/>
        <v>yyyy-07</v>
      </c>
      <c r="K220" s="7">
        <f t="shared" si="5"/>
        <v>18300.030000000002</v>
      </c>
    </row>
    <row r="221" spans="1:11" ht="15.75" customHeight="1" x14ac:dyDescent="0.25">
      <c r="J221" s="5" t="str">
        <f t="shared" si="4"/>
        <v>yyyy-07</v>
      </c>
      <c r="K221" s="7">
        <f t="shared" si="5"/>
        <v>18276.030000000002</v>
      </c>
    </row>
    <row r="222" spans="1:11" ht="15.75" customHeight="1" x14ac:dyDescent="0.25">
      <c r="J222" s="5" t="str">
        <f t="shared" si="4"/>
        <v>yyyy-07</v>
      </c>
      <c r="K222" s="7">
        <f t="shared" si="5"/>
        <v>13417.620000000003</v>
      </c>
    </row>
    <row r="223" spans="1:11" ht="15.75" customHeight="1" x14ac:dyDescent="0.25">
      <c r="A223" s="3"/>
      <c r="B223" s="9"/>
      <c r="C223" s="9"/>
      <c r="D223" s="9"/>
      <c r="E223" s="9"/>
      <c r="F223" s="9"/>
      <c r="G223" s="10"/>
      <c r="H223" s="10"/>
      <c r="I223" s="9"/>
      <c r="J223" s="5" t="str">
        <f t="shared" ref="J223:J477" si="6">TEXT(A223,"yyyy-mm")</f>
        <v>yyyy-01</v>
      </c>
      <c r="K223" s="7">
        <f t="shared" ref="K223:K286" si="7">K222 + IF(C223="Entrada", G223, -G223)</f>
        <v>13417.620000000003</v>
      </c>
    </row>
    <row r="224" spans="1:11" ht="15.75" customHeight="1" x14ac:dyDescent="0.25">
      <c r="A224" s="3"/>
      <c r="B224" s="4"/>
      <c r="C224" s="5"/>
      <c r="D224" s="6"/>
      <c r="E224" s="6"/>
      <c r="F224" s="6"/>
      <c r="G224" s="7"/>
      <c r="H224" s="7"/>
      <c r="I224" s="5"/>
      <c r="J224" s="5" t="str">
        <f t="shared" si="6"/>
        <v>yyyy-01</v>
      </c>
      <c r="K224" s="7">
        <f t="shared" si="7"/>
        <v>13417.620000000003</v>
      </c>
    </row>
    <row r="225" spans="1:11" ht="15.75" customHeight="1" x14ac:dyDescent="0.25">
      <c r="A225" s="3"/>
      <c r="B225" s="4"/>
      <c r="C225" s="5"/>
      <c r="D225" s="6"/>
      <c r="E225" s="6"/>
      <c r="F225" s="6"/>
      <c r="G225" s="7"/>
      <c r="H225" s="7"/>
      <c r="I225" s="5"/>
      <c r="J225" s="5" t="str">
        <f t="shared" si="6"/>
        <v>yyyy-01</v>
      </c>
      <c r="K225" s="7">
        <f t="shared" si="7"/>
        <v>13417.620000000003</v>
      </c>
    </row>
    <row r="226" spans="1:11" ht="15.75" customHeight="1" x14ac:dyDescent="0.25">
      <c r="A226" s="3"/>
      <c r="B226" s="4"/>
      <c r="C226" s="5"/>
      <c r="D226" s="6"/>
      <c r="E226" s="6"/>
      <c r="F226" s="6"/>
      <c r="G226" s="7"/>
      <c r="H226" s="7"/>
      <c r="I226" s="5"/>
      <c r="J226" s="5" t="str">
        <f t="shared" si="6"/>
        <v>yyyy-01</v>
      </c>
      <c r="K226" s="7">
        <f t="shared" si="7"/>
        <v>13417.620000000003</v>
      </c>
    </row>
    <row r="227" spans="1:11" ht="15.75" customHeight="1" x14ac:dyDescent="0.25">
      <c r="A227" s="3"/>
      <c r="B227" s="4"/>
      <c r="C227" s="5"/>
      <c r="D227" s="6"/>
      <c r="E227" s="6"/>
      <c r="F227" s="6"/>
      <c r="G227" s="7"/>
      <c r="H227" s="7"/>
      <c r="I227" s="5"/>
      <c r="J227" s="5" t="str">
        <f t="shared" si="6"/>
        <v>yyyy-01</v>
      </c>
      <c r="K227" s="7">
        <f t="shared" si="7"/>
        <v>13417.620000000003</v>
      </c>
    </row>
    <row r="228" spans="1:11" ht="15.75" customHeight="1" x14ac:dyDescent="0.25">
      <c r="A228" s="3"/>
      <c r="B228" s="4"/>
      <c r="C228" s="5"/>
      <c r="D228" s="6"/>
      <c r="E228" s="6"/>
      <c r="F228" s="6"/>
      <c r="G228" s="7"/>
      <c r="H228" s="7"/>
      <c r="I228" s="5"/>
      <c r="J228" s="5" t="str">
        <f t="shared" si="6"/>
        <v>yyyy-01</v>
      </c>
      <c r="K228" s="7">
        <f t="shared" si="7"/>
        <v>13417.620000000003</v>
      </c>
    </row>
    <row r="229" spans="1:11" ht="15.75" customHeight="1" x14ac:dyDescent="0.25">
      <c r="A229" s="3"/>
      <c r="B229" s="4"/>
      <c r="C229" s="5"/>
      <c r="D229" s="6"/>
      <c r="E229" s="6"/>
      <c r="F229" s="6"/>
      <c r="G229" s="7"/>
      <c r="H229" s="7"/>
      <c r="I229" s="5"/>
      <c r="J229" s="5" t="str">
        <f t="shared" si="6"/>
        <v>yyyy-01</v>
      </c>
      <c r="K229" s="7">
        <f t="shared" si="7"/>
        <v>13417.620000000003</v>
      </c>
    </row>
    <row r="230" spans="1:11" ht="15.75" customHeight="1" x14ac:dyDescent="0.25">
      <c r="A230" s="3"/>
      <c r="B230" s="4"/>
      <c r="C230" s="5"/>
      <c r="D230" s="6"/>
      <c r="E230" s="6"/>
      <c r="F230" s="6"/>
      <c r="G230" s="7"/>
      <c r="H230" s="7"/>
      <c r="I230" s="5"/>
      <c r="J230" s="5" t="str">
        <f t="shared" si="6"/>
        <v>yyyy-01</v>
      </c>
      <c r="K230" s="7">
        <f t="shared" si="7"/>
        <v>13417.620000000003</v>
      </c>
    </row>
    <row r="231" spans="1:11" ht="15.75" customHeight="1" x14ac:dyDescent="0.25">
      <c r="A231" s="3"/>
      <c r="B231" s="4"/>
      <c r="C231" s="5"/>
      <c r="D231" s="6"/>
      <c r="E231" s="6"/>
      <c r="F231" s="6"/>
      <c r="G231" s="7"/>
      <c r="H231" s="7"/>
      <c r="I231" s="5"/>
      <c r="J231" s="5" t="str">
        <f t="shared" si="6"/>
        <v>yyyy-01</v>
      </c>
      <c r="K231" s="7">
        <f t="shared" si="7"/>
        <v>13417.620000000003</v>
      </c>
    </row>
    <row r="232" spans="1:11" ht="15.75" customHeight="1" x14ac:dyDescent="0.25">
      <c r="A232" s="3"/>
      <c r="B232" s="4"/>
      <c r="C232" s="5"/>
      <c r="D232" s="6"/>
      <c r="E232" s="6"/>
      <c r="F232" s="6"/>
      <c r="G232" s="7"/>
      <c r="H232" s="7"/>
      <c r="I232" s="5"/>
      <c r="J232" s="5" t="str">
        <f t="shared" si="6"/>
        <v>yyyy-01</v>
      </c>
      <c r="K232" s="7">
        <f t="shared" si="7"/>
        <v>13417.620000000003</v>
      </c>
    </row>
    <row r="233" spans="1:11" ht="15.75" customHeight="1" x14ac:dyDescent="0.25">
      <c r="A233" s="3"/>
      <c r="B233" s="4"/>
      <c r="C233" s="5"/>
      <c r="D233" s="6"/>
      <c r="E233" s="6"/>
      <c r="F233" s="6"/>
      <c r="G233" s="7"/>
      <c r="H233" s="7"/>
      <c r="I233" s="5"/>
      <c r="J233" s="5" t="str">
        <f t="shared" si="6"/>
        <v>yyyy-01</v>
      </c>
      <c r="K233" s="7">
        <f t="shared" si="7"/>
        <v>13417.620000000003</v>
      </c>
    </row>
    <row r="234" spans="1:11" ht="15.75" customHeight="1" x14ac:dyDescent="0.25">
      <c r="A234" s="12"/>
      <c r="B234" s="4"/>
      <c r="C234" s="5"/>
      <c r="D234" s="6"/>
      <c r="E234" s="6"/>
      <c r="F234" s="6"/>
      <c r="G234" s="7"/>
      <c r="H234" s="7"/>
      <c r="I234" s="5"/>
      <c r="J234" s="5" t="str">
        <f t="shared" si="6"/>
        <v>yyyy-01</v>
      </c>
      <c r="K234" s="7">
        <f t="shared" si="7"/>
        <v>13417.620000000003</v>
      </c>
    </row>
    <row r="235" spans="1:11" ht="15.75" customHeight="1" x14ac:dyDescent="0.25">
      <c r="A235" s="3"/>
      <c r="B235" s="4"/>
      <c r="C235" s="5"/>
      <c r="D235" s="6"/>
      <c r="E235" s="6"/>
      <c r="F235" s="6"/>
      <c r="G235" s="7"/>
      <c r="H235" s="7"/>
      <c r="I235" s="5"/>
      <c r="J235" s="5" t="str">
        <f t="shared" si="6"/>
        <v>yyyy-01</v>
      </c>
      <c r="K235" s="7">
        <f t="shared" si="7"/>
        <v>13417.620000000003</v>
      </c>
    </row>
    <row r="236" spans="1:11" ht="15.75" customHeight="1" x14ac:dyDescent="0.25">
      <c r="A236" s="3"/>
      <c r="B236" s="4"/>
      <c r="C236" s="5"/>
      <c r="D236" s="6"/>
      <c r="E236" s="6"/>
      <c r="F236" s="6"/>
      <c r="G236" s="7"/>
      <c r="H236" s="7"/>
      <c r="I236" s="5"/>
      <c r="J236" s="5" t="str">
        <f t="shared" si="6"/>
        <v>yyyy-01</v>
      </c>
      <c r="K236" s="7">
        <f t="shared" si="7"/>
        <v>13417.620000000003</v>
      </c>
    </row>
    <row r="237" spans="1:11" ht="15.75" customHeight="1" x14ac:dyDescent="0.25">
      <c r="A237" s="3"/>
      <c r="B237" s="4"/>
      <c r="C237" s="5"/>
      <c r="D237" s="6"/>
      <c r="E237" s="6"/>
      <c r="F237" s="6"/>
      <c r="G237" s="7"/>
      <c r="H237" s="7"/>
      <c r="I237" s="5"/>
      <c r="J237" s="5" t="str">
        <f t="shared" si="6"/>
        <v>yyyy-01</v>
      </c>
      <c r="K237" s="7">
        <f t="shared" si="7"/>
        <v>13417.620000000003</v>
      </c>
    </row>
    <row r="238" spans="1:11" ht="15.75" customHeight="1" x14ac:dyDescent="0.25">
      <c r="A238" s="3"/>
      <c r="B238" s="4"/>
      <c r="C238" s="5"/>
      <c r="D238" s="6"/>
      <c r="E238" s="6"/>
      <c r="F238" s="6"/>
      <c r="G238" s="7"/>
      <c r="H238" s="7"/>
      <c r="I238" s="5"/>
      <c r="J238" s="5" t="str">
        <f t="shared" si="6"/>
        <v>yyyy-01</v>
      </c>
      <c r="K238" s="7">
        <f t="shared" si="7"/>
        <v>13417.620000000003</v>
      </c>
    </row>
    <row r="239" spans="1:11" ht="15.75" customHeight="1" x14ac:dyDescent="0.25">
      <c r="A239" s="3"/>
      <c r="B239" s="4"/>
      <c r="C239" s="5"/>
      <c r="D239" s="6"/>
      <c r="E239" s="6"/>
      <c r="F239" s="6"/>
      <c r="G239" s="7"/>
      <c r="H239" s="7"/>
      <c r="I239" s="5"/>
      <c r="J239" s="5" t="str">
        <f t="shared" si="6"/>
        <v>yyyy-01</v>
      </c>
      <c r="K239" s="7">
        <f t="shared" si="7"/>
        <v>13417.620000000003</v>
      </c>
    </row>
    <row r="240" spans="1:11" ht="15.75" customHeight="1" x14ac:dyDescent="0.25">
      <c r="A240" s="3"/>
      <c r="B240" s="4"/>
      <c r="C240" s="5"/>
      <c r="D240" s="6"/>
      <c r="E240" s="6"/>
      <c r="F240" s="6"/>
      <c r="G240" s="7"/>
      <c r="H240" s="7"/>
      <c r="I240" s="5"/>
      <c r="J240" s="5" t="str">
        <f t="shared" si="6"/>
        <v>yyyy-01</v>
      </c>
      <c r="K240" s="7">
        <f t="shared" si="7"/>
        <v>13417.620000000003</v>
      </c>
    </row>
    <row r="241" spans="1:11" ht="15.75" customHeight="1" x14ac:dyDescent="0.25">
      <c r="A241" s="3"/>
      <c r="B241" s="4"/>
      <c r="C241" s="5"/>
      <c r="D241" s="6"/>
      <c r="E241" s="6"/>
      <c r="F241" s="6"/>
      <c r="G241" s="7"/>
      <c r="H241" s="7"/>
      <c r="I241" s="5"/>
      <c r="J241" s="5" t="str">
        <f t="shared" si="6"/>
        <v>yyyy-01</v>
      </c>
      <c r="K241" s="7">
        <f t="shared" si="7"/>
        <v>13417.620000000003</v>
      </c>
    </row>
    <row r="242" spans="1:11" ht="15.75" customHeight="1" x14ac:dyDescent="0.25">
      <c r="A242" s="3"/>
      <c r="B242" s="4"/>
      <c r="C242" s="5"/>
      <c r="D242" s="6"/>
      <c r="E242" s="6"/>
      <c r="F242" s="6"/>
      <c r="G242" s="7"/>
      <c r="H242" s="7"/>
      <c r="I242" s="5"/>
      <c r="J242" s="5" t="str">
        <f t="shared" si="6"/>
        <v>yyyy-01</v>
      </c>
      <c r="K242" s="7">
        <f t="shared" si="7"/>
        <v>13417.620000000003</v>
      </c>
    </row>
    <row r="243" spans="1:11" ht="15.75" customHeight="1" x14ac:dyDescent="0.25">
      <c r="A243" s="3"/>
      <c r="B243" s="4"/>
      <c r="C243" s="5"/>
      <c r="D243" s="6"/>
      <c r="E243" s="6"/>
      <c r="F243" s="6"/>
      <c r="G243" s="7"/>
      <c r="H243" s="7"/>
      <c r="I243" s="5"/>
      <c r="J243" s="5" t="str">
        <f t="shared" si="6"/>
        <v>yyyy-01</v>
      </c>
      <c r="K243" s="7">
        <f t="shared" si="7"/>
        <v>13417.620000000003</v>
      </c>
    </row>
    <row r="244" spans="1:11" ht="15.75" customHeight="1" x14ac:dyDescent="0.25">
      <c r="A244" s="3"/>
      <c r="B244" s="4"/>
      <c r="C244" s="5"/>
      <c r="D244" s="6"/>
      <c r="E244" s="6"/>
      <c r="F244" s="6"/>
      <c r="G244" s="7"/>
      <c r="H244" s="7"/>
      <c r="I244" s="5"/>
      <c r="J244" s="5" t="str">
        <f t="shared" si="6"/>
        <v>yyyy-01</v>
      </c>
      <c r="K244" s="7">
        <f t="shared" si="7"/>
        <v>13417.620000000003</v>
      </c>
    </row>
    <row r="245" spans="1:11" ht="15.75" customHeight="1" x14ac:dyDescent="0.25">
      <c r="A245" s="14"/>
      <c r="C245" s="15"/>
      <c r="D245" s="15"/>
      <c r="E245" s="15"/>
      <c r="F245" s="15"/>
      <c r="G245" s="16"/>
      <c r="H245" s="16"/>
      <c r="I245" s="15"/>
      <c r="J245" s="15" t="str">
        <f t="shared" si="6"/>
        <v>yyyy-01</v>
      </c>
      <c r="K245" s="17">
        <f t="shared" si="7"/>
        <v>13417.620000000003</v>
      </c>
    </row>
    <row r="246" spans="1:11" ht="15.75" customHeight="1" x14ac:dyDescent="0.25">
      <c r="A246" s="14"/>
      <c r="C246" s="15"/>
      <c r="D246" s="15"/>
      <c r="E246" s="15"/>
      <c r="F246" s="15"/>
      <c r="G246" s="16"/>
      <c r="H246" s="16"/>
      <c r="I246" s="15"/>
      <c r="J246" s="15" t="str">
        <f t="shared" si="6"/>
        <v>yyyy-01</v>
      </c>
      <c r="K246" s="18">
        <f t="shared" si="7"/>
        <v>13417.620000000003</v>
      </c>
    </row>
    <row r="247" spans="1:11" ht="15.75" customHeight="1" x14ac:dyDescent="0.25">
      <c r="A247" s="14"/>
      <c r="C247" s="15"/>
      <c r="D247" s="15"/>
      <c r="E247" s="15"/>
      <c r="F247" s="15"/>
      <c r="G247" s="16"/>
      <c r="H247" s="16"/>
      <c r="I247" s="15"/>
      <c r="J247" s="15" t="str">
        <f t="shared" si="6"/>
        <v>yyyy-01</v>
      </c>
      <c r="K247" s="18">
        <f t="shared" si="7"/>
        <v>13417.620000000003</v>
      </c>
    </row>
    <row r="248" spans="1:11" ht="15.75" customHeight="1" x14ac:dyDescent="0.25">
      <c r="A248" s="14"/>
      <c r="C248" s="15"/>
      <c r="D248" s="15"/>
      <c r="E248" s="15"/>
      <c r="F248" s="15"/>
      <c r="G248" s="16"/>
      <c r="H248" s="16"/>
      <c r="I248" s="15"/>
      <c r="J248" s="15" t="str">
        <f t="shared" si="6"/>
        <v>yyyy-01</v>
      </c>
      <c r="K248" s="18">
        <f t="shared" si="7"/>
        <v>13417.620000000003</v>
      </c>
    </row>
    <row r="249" spans="1:11" ht="15.75" customHeight="1" x14ac:dyDescent="0.25">
      <c r="A249" s="14"/>
      <c r="C249" s="15"/>
      <c r="D249" s="15"/>
      <c r="E249" s="15"/>
      <c r="F249" s="15"/>
      <c r="G249" s="16"/>
      <c r="H249" s="16"/>
      <c r="I249" s="15"/>
      <c r="J249" s="15" t="str">
        <f t="shared" si="6"/>
        <v>yyyy-01</v>
      </c>
      <c r="K249" s="18">
        <f t="shared" si="7"/>
        <v>13417.620000000003</v>
      </c>
    </row>
    <row r="250" spans="1:11" ht="15.75" customHeight="1" x14ac:dyDescent="0.25">
      <c r="A250" s="14"/>
      <c r="C250" s="15"/>
      <c r="D250" s="15"/>
      <c r="E250" s="15"/>
      <c r="F250" s="15"/>
      <c r="G250" s="16"/>
      <c r="H250" s="16"/>
      <c r="I250" s="15"/>
      <c r="J250" s="15" t="str">
        <f t="shared" si="6"/>
        <v>yyyy-01</v>
      </c>
      <c r="K250" s="18">
        <f t="shared" si="7"/>
        <v>13417.620000000003</v>
      </c>
    </row>
    <row r="251" spans="1:11" ht="15.75" customHeight="1" x14ac:dyDescent="0.25">
      <c r="A251" s="14"/>
      <c r="C251" s="15"/>
      <c r="D251" s="15"/>
      <c r="E251" s="15"/>
      <c r="F251" s="15"/>
      <c r="G251" s="16"/>
      <c r="H251" s="16"/>
      <c r="I251" s="15"/>
      <c r="J251" s="15" t="str">
        <f t="shared" si="6"/>
        <v>yyyy-01</v>
      </c>
      <c r="K251" s="18">
        <f t="shared" si="7"/>
        <v>13417.620000000003</v>
      </c>
    </row>
    <row r="252" spans="1:11" ht="15.75" customHeight="1" x14ac:dyDescent="0.25">
      <c r="A252" s="14"/>
      <c r="C252" s="15"/>
      <c r="D252" s="15"/>
      <c r="E252" s="15"/>
      <c r="F252" s="15"/>
      <c r="G252" s="16"/>
      <c r="H252" s="16"/>
      <c r="I252" s="15"/>
      <c r="J252" s="15" t="str">
        <f t="shared" si="6"/>
        <v>yyyy-01</v>
      </c>
      <c r="K252" s="16">
        <f t="shared" si="7"/>
        <v>13417.620000000003</v>
      </c>
    </row>
    <row r="253" spans="1:11" ht="15.75" customHeight="1" x14ac:dyDescent="0.25">
      <c r="A253" s="14"/>
      <c r="C253" s="15"/>
      <c r="D253" s="15"/>
      <c r="E253" s="15"/>
      <c r="F253" s="15"/>
      <c r="G253" s="16"/>
      <c r="H253" s="16"/>
      <c r="I253" s="15"/>
      <c r="J253" s="15" t="str">
        <f t="shared" si="6"/>
        <v>yyyy-01</v>
      </c>
      <c r="K253" s="16">
        <f t="shared" si="7"/>
        <v>13417.620000000003</v>
      </c>
    </row>
    <row r="254" spans="1:11" ht="15.75" customHeight="1" x14ac:dyDescent="0.25">
      <c r="A254" s="14"/>
      <c r="C254" s="15"/>
      <c r="D254" s="15"/>
      <c r="E254" s="15"/>
      <c r="F254" s="15"/>
      <c r="G254" s="16"/>
      <c r="H254" s="16"/>
      <c r="I254" s="15"/>
      <c r="J254" s="15" t="str">
        <f t="shared" si="6"/>
        <v>yyyy-01</v>
      </c>
      <c r="K254" s="16">
        <f t="shared" si="7"/>
        <v>13417.620000000003</v>
      </c>
    </row>
    <row r="255" spans="1:11" ht="15.75" customHeight="1" x14ac:dyDescent="0.25">
      <c r="A255" s="14"/>
      <c r="C255" s="15"/>
      <c r="D255" s="15"/>
      <c r="E255" s="15"/>
      <c r="F255" s="15"/>
      <c r="G255" s="16"/>
      <c r="H255" s="16"/>
      <c r="I255" s="15"/>
      <c r="J255" s="15" t="str">
        <f t="shared" si="6"/>
        <v>yyyy-01</v>
      </c>
      <c r="K255" s="16">
        <f t="shared" si="7"/>
        <v>13417.620000000003</v>
      </c>
    </row>
    <row r="256" spans="1:11" ht="15.75" customHeight="1" x14ac:dyDescent="0.25">
      <c r="A256" s="14"/>
      <c r="C256" s="15"/>
      <c r="D256" s="15"/>
      <c r="E256" s="15"/>
      <c r="F256" s="15"/>
      <c r="G256" s="16"/>
      <c r="H256" s="16"/>
      <c r="I256" s="15"/>
      <c r="J256" s="15" t="str">
        <f t="shared" si="6"/>
        <v>yyyy-01</v>
      </c>
      <c r="K256" s="16">
        <f t="shared" si="7"/>
        <v>13417.620000000003</v>
      </c>
    </row>
    <row r="257" spans="1:11" ht="15.75" customHeight="1" x14ac:dyDescent="0.25">
      <c r="A257" s="14"/>
      <c r="C257" s="15"/>
      <c r="D257" s="15"/>
      <c r="E257" s="15"/>
      <c r="F257" s="15"/>
      <c r="G257" s="16"/>
      <c r="H257" s="16"/>
      <c r="I257" s="15"/>
      <c r="J257" s="15" t="str">
        <f t="shared" si="6"/>
        <v>yyyy-01</v>
      </c>
      <c r="K257" s="16">
        <f t="shared" si="7"/>
        <v>13417.620000000003</v>
      </c>
    </row>
    <row r="258" spans="1:11" ht="15.75" customHeight="1" x14ac:dyDescent="0.25">
      <c r="A258" s="14"/>
      <c r="C258" s="15"/>
      <c r="D258" s="15"/>
      <c r="E258" s="15"/>
      <c r="F258" s="15"/>
      <c r="G258" s="16"/>
      <c r="H258" s="16"/>
      <c r="I258" s="15"/>
      <c r="J258" s="15" t="str">
        <f t="shared" si="6"/>
        <v>yyyy-01</v>
      </c>
      <c r="K258" s="16">
        <f t="shared" si="7"/>
        <v>13417.620000000003</v>
      </c>
    </row>
    <row r="259" spans="1:11" ht="15.75" customHeight="1" x14ac:dyDescent="0.25">
      <c r="A259" s="14"/>
      <c r="C259" s="15"/>
      <c r="D259" s="15"/>
      <c r="E259" s="15"/>
      <c r="F259" s="15"/>
      <c r="G259" s="16"/>
      <c r="H259" s="16"/>
      <c r="I259" s="15"/>
      <c r="J259" s="15" t="str">
        <f t="shared" si="6"/>
        <v>yyyy-01</v>
      </c>
      <c r="K259" s="16">
        <f t="shared" si="7"/>
        <v>13417.620000000003</v>
      </c>
    </row>
    <row r="260" spans="1:11" ht="15.75" customHeight="1" x14ac:dyDescent="0.25">
      <c r="A260" s="14"/>
      <c r="C260" s="15"/>
      <c r="D260" s="15"/>
      <c r="E260" s="15"/>
      <c r="F260" s="15"/>
      <c r="G260" s="16"/>
      <c r="H260" s="16"/>
      <c r="I260" s="15"/>
      <c r="J260" s="15" t="str">
        <f t="shared" si="6"/>
        <v>yyyy-01</v>
      </c>
      <c r="K260" s="16">
        <f t="shared" si="7"/>
        <v>13417.620000000003</v>
      </c>
    </row>
    <row r="261" spans="1:11" ht="15.75" customHeight="1" x14ac:dyDescent="0.25">
      <c r="A261" s="14"/>
      <c r="C261" s="15"/>
      <c r="D261" s="15"/>
      <c r="E261" s="15"/>
      <c r="F261" s="15"/>
      <c r="G261" s="16"/>
      <c r="H261" s="16"/>
      <c r="I261" s="15"/>
      <c r="J261" s="15" t="str">
        <f t="shared" si="6"/>
        <v>yyyy-01</v>
      </c>
      <c r="K261" s="16">
        <f t="shared" si="7"/>
        <v>13417.620000000003</v>
      </c>
    </row>
    <row r="262" spans="1:11" ht="15.75" customHeight="1" x14ac:dyDescent="0.25">
      <c r="A262" s="14"/>
      <c r="C262" s="15"/>
      <c r="D262" s="15"/>
      <c r="E262" s="15"/>
      <c r="F262" s="15"/>
      <c r="G262" s="16"/>
      <c r="H262" s="16"/>
      <c r="I262" s="15"/>
      <c r="J262" s="15" t="str">
        <f t="shared" si="6"/>
        <v>yyyy-01</v>
      </c>
      <c r="K262" s="16">
        <f t="shared" si="7"/>
        <v>13417.620000000003</v>
      </c>
    </row>
    <row r="263" spans="1:11" ht="15.75" customHeight="1" x14ac:dyDescent="0.25">
      <c r="A263" s="14"/>
      <c r="C263" s="15"/>
      <c r="D263" s="15"/>
      <c r="E263" s="15"/>
      <c r="F263" s="15"/>
      <c r="G263" s="16"/>
      <c r="H263" s="16"/>
      <c r="I263" s="15"/>
      <c r="J263" s="15" t="str">
        <f t="shared" si="6"/>
        <v>yyyy-01</v>
      </c>
      <c r="K263" s="16">
        <f t="shared" si="7"/>
        <v>13417.620000000003</v>
      </c>
    </row>
    <row r="264" spans="1:11" ht="15.75" customHeight="1" x14ac:dyDescent="0.25">
      <c r="A264" s="14"/>
      <c r="C264" s="15"/>
      <c r="D264" s="15"/>
      <c r="E264" s="15"/>
      <c r="F264" s="15"/>
      <c r="G264" s="16"/>
      <c r="H264" s="16"/>
      <c r="I264" s="15"/>
      <c r="J264" s="15" t="str">
        <f t="shared" si="6"/>
        <v>yyyy-01</v>
      </c>
      <c r="K264" s="16">
        <f t="shared" si="7"/>
        <v>13417.620000000003</v>
      </c>
    </row>
    <row r="265" spans="1:11" ht="15.75" customHeight="1" x14ac:dyDescent="0.25">
      <c r="A265" s="14"/>
      <c r="C265" s="15"/>
      <c r="D265" s="15"/>
      <c r="E265" s="15"/>
      <c r="F265" s="15"/>
      <c r="G265" s="16"/>
      <c r="H265" s="16"/>
      <c r="I265" s="15"/>
      <c r="J265" s="15" t="str">
        <f t="shared" si="6"/>
        <v>yyyy-01</v>
      </c>
      <c r="K265" s="16">
        <f t="shared" si="7"/>
        <v>13417.620000000003</v>
      </c>
    </row>
    <row r="266" spans="1:11" ht="15.75" customHeight="1" x14ac:dyDescent="0.25">
      <c r="A266" s="14"/>
      <c r="C266" s="15"/>
      <c r="D266" s="15"/>
      <c r="E266" s="15"/>
      <c r="F266" s="15"/>
      <c r="G266" s="16"/>
      <c r="H266" s="16"/>
      <c r="I266" s="15"/>
      <c r="J266" s="15" t="str">
        <f t="shared" si="6"/>
        <v>yyyy-01</v>
      </c>
      <c r="K266" s="16">
        <f t="shared" si="7"/>
        <v>13417.620000000003</v>
      </c>
    </row>
    <row r="267" spans="1:11" ht="15.75" customHeight="1" x14ac:dyDescent="0.25">
      <c r="A267" s="14"/>
      <c r="C267" s="15"/>
      <c r="D267" s="15"/>
      <c r="E267" s="15"/>
      <c r="F267" s="15"/>
      <c r="G267" s="16"/>
      <c r="H267" s="16"/>
      <c r="I267" s="15"/>
      <c r="J267" s="15" t="str">
        <f t="shared" si="6"/>
        <v>yyyy-01</v>
      </c>
      <c r="K267" s="16">
        <f t="shared" si="7"/>
        <v>13417.620000000003</v>
      </c>
    </row>
    <row r="268" spans="1:11" ht="15.75" customHeight="1" x14ac:dyDescent="0.25">
      <c r="A268" s="14"/>
      <c r="C268" s="15"/>
      <c r="D268" s="15"/>
      <c r="E268" s="15"/>
      <c r="F268" s="15"/>
      <c r="G268" s="16"/>
      <c r="H268" s="16"/>
      <c r="I268" s="15"/>
      <c r="J268" s="15" t="str">
        <f t="shared" si="6"/>
        <v>yyyy-01</v>
      </c>
      <c r="K268" s="16">
        <f t="shared" si="7"/>
        <v>13417.620000000003</v>
      </c>
    </row>
    <row r="269" spans="1:11" ht="15.75" customHeight="1" x14ac:dyDescent="0.25">
      <c r="A269" s="14"/>
      <c r="C269" s="15"/>
      <c r="D269" s="15"/>
      <c r="E269" s="15"/>
      <c r="F269" s="15"/>
      <c r="G269" s="16"/>
      <c r="H269" s="16"/>
      <c r="I269" s="15"/>
      <c r="J269" s="15" t="str">
        <f t="shared" si="6"/>
        <v>yyyy-01</v>
      </c>
      <c r="K269" s="16">
        <f t="shared" si="7"/>
        <v>13417.620000000003</v>
      </c>
    </row>
    <row r="270" spans="1:11" ht="15.75" customHeight="1" x14ac:dyDescent="0.25">
      <c r="A270" s="14"/>
      <c r="C270" s="15"/>
      <c r="D270" s="15"/>
      <c r="E270" s="15"/>
      <c r="F270" s="15"/>
      <c r="G270" s="16"/>
      <c r="H270" s="16"/>
      <c r="I270" s="15"/>
      <c r="J270" s="15" t="str">
        <f t="shared" si="6"/>
        <v>yyyy-01</v>
      </c>
      <c r="K270" s="16">
        <f t="shared" si="7"/>
        <v>13417.620000000003</v>
      </c>
    </row>
    <row r="271" spans="1:11" ht="15.75" customHeight="1" x14ac:dyDescent="0.25">
      <c r="A271" s="14"/>
      <c r="C271" s="15"/>
      <c r="D271" s="15"/>
      <c r="E271" s="15"/>
      <c r="F271" s="15"/>
      <c r="G271" s="16"/>
      <c r="H271" s="16"/>
      <c r="I271" s="15"/>
      <c r="J271" s="15" t="str">
        <f t="shared" si="6"/>
        <v>yyyy-01</v>
      </c>
      <c r="K271" s="16">
        <f t="shared" si="7"/>
        <v>13417.620000000003</v>
      </c>
    </row>
    <row r="272" spans="1:11" ht="15.75" customHeight="1" x14ac:dyDescent="0.25">
      <c r="A272" s="14"/>
      <c r="C272" s="15"/>
      <c r="D272" s="15"/>
      <c r="E272" s="15"/>
      <c r="F272" s="15"/>
      <c r="G272" s="16"/>
      <c r="H272" s="16"/>
      <c r="I272" s="15"/>
      <c r="J272" s="15" t="str">
        <f t="shared" si="6"/>
        <v>yyyy-01</v>
      </c>
      <c r="K272" s="16">
        <f t="shared" si="7"/>
        <v>13417.620000000003</v>
      </c>
    </row>
    <row r="273" spans="1:11" ht="15.75" customHeight="1" x14ac:dyDescent="0.25">
      <c r="A273" s="14"/>
      <c r="C273" s="15"/>
      <c r="D273" s="15"/>
      <c r="E273" s="15"/>
      <c r="F273" s="15"/>
      <c r="G273" s="16"/>
      <c r="H273" s="16"/>
      <c r="I273" s="15"/>
      <c r="J273" s="15" t="str">
        <f t="shared" si="6"/>
        <v>yyyy-01</v>
      </c>
      <c r="K273" s="16">
        <f t="shared" si="7"/>
        <v>13417.620000000003</v>
      </c>
    </row>
    <row r="274" spans="1:11" ht="15.75" customHeight="1" x14ac:dyDescent="0.25">
      <c r="A274" s="14"/>
      <c r="C274" s="15"/>
      <c r="D274" s="15"/>
      <c r="E274" s="15"/>
      <c r="F274" s="15"/>
      <c r="G274" s="16"/>
      <c r="H274" s="16"/>
      <c r="I274" s="15"/>
      <c r="J274" s="15" t="str">
        <f t="shared" si="6"/>
        <v>yyyy-01</v>
      </c>
      <c r="K274" s="16">
        <f t="shared" si="7"/>
        <v>13417.620000000003</v>
      </c>
    </row>
    <row r="275" spans="1:11" ht="15.75" customHeight="1" x14ac:dyDescent="0.25">
      <c r="A275" s="14"/>
      <c r="C275" s="15"/>
      <c r="D275" s="15"/>
      <c r="E275" s="15"/>
      <c r="F275" s="15"/>
      <c r="G275" s="16"/>
      <c r="H275" s="16"/>
      <c r="I275" s="15"/>
      <c r="J275" s="15" t="str">
        <f t="shared" si="6"/>
        <v>yyyy-01</v>
      </c>
      <c r="K275" s="16">
        <f t="shared" si="7"/>
        <v>13417.620000000003</v>
      </c>
    </row>
    <row r="276" spans="1:11" ht="15.75" customHeight="1" x14ac:dyDescent="0.25">
      <c r="A276" s="14"/>
      <c r="C276" s="15"/>
      <c r="D276" s="15"/>
      <c r="E276" s="15"/>
      <c r="F276" s="15"/>
      <c r="G276" s="16"/>
      <c r="H276" s="16"/>
      <c r="I276" s="15"/>
      <c r="J276" s="15" t="str">
        <f t="shared" si="6"/>
        <v>yyyy-01</v>
      </c>
      <c r="K276" s="16">
        <f t="shared" si="7"/>
        <v>13417.620000000003</v>
      </c>
    </row>
    <row r="277" spans="1:11" ht="15.75" customHeight="1" x14ac:dyDescent="0.25">
      <c r="A277" s="14"/>
      <c r="C277" s="15"/>
      <c r="D277" s="15"/>
      <c r="E277" s="15"/>
      <c r="F277" s="15"/>
      <c r="G277" s="16"/>
      <c r="H277" s="16"/>
      <c r="I277" s="15"/>
      <c r="J277" s="15" t="str">
        <f t="shared" si="6"/>
        <v>yyyy-01</v>
      </c>
      <c r="K277" s="16">
        <f t="shared" si="7"/>
        <v>13417.620000000003</v>
      </c>
    </row>
    <row r="278" spans="1:11" ht="15.75" customHeight="1" x14ac:dyDescent="0.25">
      <c r="A278" s="14"/>
      <c r="C278" s="15"/>
      <c r="D278" s="15"/>
      <c r="E278" s="15"/>
      <c r="F278" s="15"/>
      <c r="G278" s="16"/>
      <c r="H278" s="16"/>
      <c r="I278" s="15"/>
      <c r="J278" s="15" t="str">
        <f t="shared" si="6"/>
        <v>yyyy-01</v>
      </c>
      <c r="K278" s="16">
        <f t="shared" si="7"/>
        <v>13417.620000000003</v>
      </c>
    </row>
    <row r="279" spans="1:11" ht="15.75" customHeight="1" x14ac:dyDescent="0.25">
      <c r="A279" s="14"/>
      <c r="C279" s="15"/>
      <c r="D279" s="15"/>
      <c r="E279" s="15"/>
      <c r="F279" s="15"/>
      <c r="G279" s="16"/>
      <c r="H279" s="16"/>
      <c r="I279" s="15"/>
      <c r="J279" s="15" t="str">
        <f t="shared" si="6"/>
        <v>yyyy-01</v>
      </c>
      <c r="K279" s="16">
        <f t="shared" si="7"/>
        <v>13417.620000000003</v>
      </c>
    </row>
    <row r="280" spans="1:11" ht="15.75" customHeight="1" x14ac:dyDescent="0.25">
      <c r="A280" s="14"/>
      <c r="C280" s="15"/>
      <c r="D280" s="15"/>
      <c r="E280" s="15"/>
      <c r="F280" s="15"/>
      <c r="G280" s="16"/>
      <c r="H280" s="16"/>
      <c r="I280" s="15"/>
      <c r="J280" s="15" t="str">
        <f t="shared" si="6"/>
        <v>yyyy-01</v>
      </c>
      <c r="K280" s="16">
        <f t="shared" si="7"/>
        <v>13417.620000000003</v>
      </c>
    </row>
    <row r="281" spans="1:11" ht="15.75" customHeight="1" x14ac:dyDescent="0.25">
      <c r="A281" s="14"/>
      <c r="C281" s="15"/>
      <c r="D281" s="15"/>
      <c r="E281" s="15"/>
      <c r="F281" s="15"/>
      <c r="G281" s="16"/>
      <c r="H281" s="16"/>
      <c r="I281" s="15"/>
      <c r="J281" s="15" t="str">
        <f t="shared" si="6"/>
        <v>yyyy-01</v>
      </c>
      <c r="K281" s="16">
        <f t="shared" si="7"/>
        <v>13417.620000000003</v>
      </c>
    </row>
    <row r="282" spans="1:11" ht="15.75" customHeight="1" x14ac:dyDescent="0.25">
      <c r="A282" s="14"/>
      <c r="C282" s="15"/>
      <c r="D282" s="15"/>
      <c r="E282" s="15"/>
      <c r="F282" s="15"/>
      <c r="G282" s="16"/>
      <c r="H282" s="16"/>
      <c r="I282" s="15"/>
      <c r="J282" s="15" t="str">
        <f t="shared" si="6"/>
        <v>yyyy-01</v>
      </c>
      <c r="K282" s="16">
        <f t="shared" si="7"/>
        <v>13417.620000000003</v>
      </c>
    </row>
    <row r="283" spans="1:11" ht="15.75" customHeight="1" x14ac:dyDescent="0.25">
      <c r="A283" s="14"/>
      <c r="C283" s="15"/>
      <c r="D283" s="15"/>
      <c r="E283" s="15"/>
      <c r="F283" s="15"/>
      <c r="G283" s="16"/>
      <c r="H283" s="16"/>
      <c r="I283" s="15"/>
      <c r="J283" s="15" t="str">
        <f t="shared" si="6"/>
        <v>yyyy-01</v>
      </c>
      <c r="K283" s="16">
        <f t="shared" si="7"/>
        <v>13417.620000000003</v>
      </c>
    </row>
    <row r="284" spans="1:11" ht="15.75" customHeight="1" x14ac:dyDescent="0.25">
      <c r="A284" s="14"/>
      <c r="C284" s="15"/>
      <c r="D284" s="15"/>
      <c r="E284" s="15"/>
      <c r="F284" s="15"/>
      <c r="G284" s="16"/>
      <c r="H284" s="16"/>
      <c r="I284" s="15"/>
      <c r="J284" s="15" t="str">
        <f t="shared" si="6"/>
        <v>yyyy-01</v>
      </c>
      <c r="K284" s="16">
        <f t="shared" si="7"/>
        <v>13417.620000000003</v>
      </c>
    </row>
    <row r="285" spans="1:11" ht="15.75" customHeight="1" x14ac:dyDescent="0.25">
      <c r="A285" s="14"/>
      <c r="C285" s="15"/>
      <c r="D285" s="15"/>
      <c r="E285" s="15"/>
      <c r="F285" s="15"/>
      <c r="G285" s="16"/>
      <c r="H285" s="16"/>
      <c r="I285" s="15"/>
      <c r="J285" s="15" t="str">
        <f t="shared" si="6"/>
        <v>yyyy-01</v>
      </c>
      <c r="K285" s="16">
        <f t="shared" si="7"/>
        <v>13417.620000000003</v>
      </c>
    </row>
    <row r="286" spans="1:11" ht="15.75" customHeight="1" x14ac:dyDescent="0.25">
      <c r="A286" s="14"/>
      <c r="C286" s="15"/>
      <c r="D286" s="15"/>
      <c r="E286" s="15"/>
      <c r="F286" s="15"/>
      <c r="G286" s="16"/>
      <c r="H286" s="16"/>
      <c r="I286" s="15"/>
      <c r="J286" s="15" t="str">
        <f t="shared" si="6"/>
        <v>yyyy-01</v>
      </c>
      <c r="K286" s="16">
        <f t="shared" si="7"/>
        <v>13417.620000000003</v>
      </c>
    </row>
    <row r="287" spans="1:11" ht="15.75" customHeight="1" x14ac:dyDescent="0.25">
      <c r="A287" s="14"/>
      <c r="C287" s="15"/>
      <c r="D287" s="15"/>
      <c r="E287" s="15"/>
      <c r="F287" s="15"/>
      <c r="G287" s="16"/>
      <c r="H287" s="16"/>
      <c r="I287" s="15"/>
      <c r="J287" s="15" t="str">
        <f t="shared" si="6"/>
        <v>yyyy-01</v>
      </c>
      <c r="K287" s="16">
        <f t="shared" ref="K287:K350" si="8">K286 + IF(C287="Entrada", G287, -G287)</f>
        <v>13417.620000000003</v>
      </c>
    </row>
    <row r="288" spans="1:11" ht="15.75" customHeight="1" x14ac:dyDescent="0.25">
      <c r="A288" s="14"/>
      <c r="C288" s="15"/>
      <c r="D288" s="15"/>
      <c r="E288" s="15"/>
      <c r="F288" s="15"/>
      <c r="G288" s="16"/>
      <c r="H288" s="16"/>
      <c r="I288" s="15"/>
      <c r="J288" s="15" t="str">
        <f t="shared" si="6"/>
        <v>yyyy-01</v>
      </c>
      <c r="K288" s="16">
        <f t="shared" si="8"/>
        <v>13417.620000000003</v>
      </c>
    </row>
    <row r="289" spans="1:11" ht="15.75" customHeight="1" x14ac:dyDescent="0.25">
      <c r="A289" s="14"/>
      <c r="C289" s="15"/>
      <c r="D289" s="15"/>
      <c r="E289" s="15"/>
      <c r="F289" s="15"/>
      <c r="G289" s="16"/>
      <c r="H289" s="16"/>
      <c r="I289" s="15"/>
      <c r="J289" s="15" t="str">
        <f t="shared" si="6"/>
        <v>yyyy-01</v>
      </c>
      <c r="K289" s="16">
        <f t="shared" si="8"/>
        <v>13417.620000000003</v>
      </c>
    </row>
    <row r="290" spans="1:11" ht="15.75" customHeight="1" x14ac:dyDescent="0.25">
      <c r="A290" s="14"/>
      <c r="C290" s="15"/>
      <c r="D290" s="15"/>
      <c r="E290" s="15"/>
      <c r="F290" s="15"/>
      <c r="G290" s="16"/>
      <c r="H290" s="16"/>
      <c r="I290" s="15"/>
      <c r="J290" s="15" t="str">
        <f t="shared" si="6"/>
        <v>yyyy-01</v>
      </c>
      <c r="K290" s="16">
        <f t="shared" si="8"/>
        <v>13417.620000000003</v>
      </c>
    </row>
    <row r="291" spans="1:11" ht="15.75" customHeight="1" x14ac:dyDescent="0.25">
      <c r="A291" s="14"/>
      <c r="C291" s="15"/>
      <c r="D291" s="15"/>
      <c r="E291" s="15"/>
      <c r="F291" s="15"/>
      <c r="G291" s="16"/>
      <c r="H291" s="16"/>
      <c r="I291" s="15"/>
      <c r="J291" s="15" t="str">
        <f t="shared" si="6"/>
        <v>yyyy-01</v>
      </c>
      <c r="K291" s="16">
        <f t="shared" si="8"/>
        <v>13417.620000000003</v>
      </c>
    </row>
    <row r="292" spans="1:11" ht="15.75" customHeight="1" x14ac:dyDescent="0.25">
      <c r="A292" s="14"/>
      <c r="C292" s="15"/>
      <c r="D292" s="15"/>
      <c r="E292" s="15"/>
      <c r="F292" s="15"/>
      <c r="G292" s="16"/>
      <c r="H292" s="16"/>
      <c r="I292" s="15"/>
      <c r="J292" s="15" t="str">
        <f t="shared" si="6"/>
        <v>yyyy-01</v>
      </c>
      <c r="K292" s="16">
        <f t="shared" si="8"/>
        <v>13417.620000000003</v>
      </c>
    </row>
    <row r="293" spans="1:11" ht="15.75" customHeight="1" x14ac:dyDescent="0.25">
      <c r="A293" s="14"/>
      <c r="C293" s="15"/>
      <c r="D293" s="15"/>
      <c r="E293" s="15"/>
      <c r="F293" s="15"/>
      <c r="G293" s="16"/>
      <c r="H293" s="16"/>
      <c r="I293" s="15"/>
      <c r="J293" s="15" t="str">
        <f t="shared" si="6"/>
        <v>yyyy-01</v>
      </c>
      <c r="K293" s="16">
        <f t="shared" si="8"/>
        <v>13417.620000000003</v>
      </c>
    </row>
    <row r="294" spans="1:11" ht="15.75" customHeight="1" x14ac:dyDescent="0.25">
      <c r="A294" s="14"/>
      <c r="C294" s="15"/>
      <c r="D294" s="15"/>
      <c r="E294" s="15"/>
      <c r="F294" s="15"/>
      <c r="G294" s="16"/>
      <c r="H294" s="16"/>
      <c r="I294" s="15"/>
      <c r="J294" s="15" t="str">
        <f t="shared" si="6"/>
        <v>yyyy-01</v>
      </c>
      <c r="K294" s="16">
        <f t="shared" si="8"/>
        <v>13417.620000000003</v>
      </c>
    </row>
    <row r="295" spans="1:11" ht="15.75" customHeight="1" x14ac:dyDescent="0.25">
      <c r="A295" s="14"/>
      <c r="C295" s="15"/>
      <c r="D295" s="15"/>
      <c r="E295" s="15"/>
      <c r="F295" s="15"/>
      <c r="G295" s="16"/>
      <c r="H295" s="16"/>
      <c r="I295" s="15"/>
      <c r="J295" s="15" t="str">
        <f t="shared" si="6"/>
        <v>yyyy-01</v>
      </c>
      <c r="K295" s="16">
        <f t="shared" si="8"/>
        <v>13417.620000000003</v>
      </c>
    </row>
    <row r="296" spans="1:11" ht="15.75" customHeight="1" x14ac:dyDescent="0.25">
      <c r="A296" s="14"/>
      <c r="C296" s="15"/>
      <c r="D296" s="15"/>
      <c r="E296" s="15"/>
      <c r="F296" s="15"/>
      <c r="G296" s="16"/>
      <c r="H296" s="16"/>
      <c r="I296" s="15"/>
      <c r="J296" s="15" t="str">
        <f t="shared" si="6"/>
        <v>yyyy-01</v>
      </c>
      <c r="K296" s="16">
        <f t="shared" si="8"/>
        <v>13417.620000000003</v>
      </c>
    </row>
    <row r="297" spans="1:11" ht="15.75" customHeight="1" x14ac:dyDescent="0.25">
      <c r="A297" s="14"/>
      <c r="C297" s="15"/>
      <c r="D297" s="15"/>
      <c r="E297" s="15"/>
      <c r="F297" s="15"/>
      <c r="G297" s="16"/>
      <c r="H297" s="16"/>
      <c r="I297" s="15"/>
      <c r="J297" s="15" t="str">
        <f t="shared" si="6"/>
        <v>yyyy-01</v>
      </c>
      <c r="K297" s="16">
        <f t="shared" si="8"/>
        <v>13417.620000000003</v>
      </c>
    </row>
    <row r="298" spans="1:11" ht="15.75" customHeight="1" x14ac:dyDescent="0.25">
      <c r="A298" s="14"/>
      <c r="C298" s="15"/>
      <c r="D298" s="15"/>
      <c r="E298" s="15"/>
      <c r="F298" s="15"/>
      <c r="G298" s="16"/>
      <c r="H298" s="16"/>
      <c r="I298" s="15"/>
      <c r="J298" s="15" t="str">
        <f t="shared" si="6"/>
        <v>yyyy-01</v>
      </c>
      <c r="K298" s="16">
        <f t="shared" si="8"/>
        <v>13417.620000000003</v>
      </c>
    </row>
    <row r="299" spans="1:11" ht="15.75" customHeight="1" x14ac:dyDescent="0.25">
      <c r="A299" s="14"/>
      <c r="C299" s="15"/>
      <c r="D299" s="15"/>
      <c r="E299" s="15"/>
      <c r="F299" s="15"/>
      <c r="G299" s="16"/>
      <c r="H299" s="16"/>
      <c r="I299" s="15"/>
      <c r="J299" s="15" t="str">
        <f t="shared" si="6"/>
        <v>yyyy-01</v>
      </c>
      <c r="K299" s="16">
        <f t="shared" si="8"/>
        <v>13417.620000000003</v>
      </c>
    </row>
    <row r="300" spans="1:11" ht="15.75" customHeight="1" x14ac:dyDescent="0.25">
      <c r="A300" s="14"/>
      <c r="C300" s="15"/>
      <c r="D300" s="15"/>
      <c r="E300" s="15"/>
      <c r="F300" s="15"/>
      <c r="G300" s="16"/>
      <c r="H300" s="16"/>
      <c r="I300" s="15"/>
      <c r="J300" s="15" t="str">
        <f t="shared" si="6"/>
        <v>yyyy-01</v>
      </c>
      <c r="K300" s="16">
        <f t="shared" si="8"/>
        <v>13417.620000000003</v>
      </c>
    </row>
    <row r="301" spans="1:11" ht="15.75" customHeight="1" x14ac:dyDescent="0.25">
      <c r="A301" s="14"/>
      <c r="C301" s="15"/>
      <c r="D301" s="15"/>
      <c r="E301" s="15"/>
      <c r="F301" s="15"/>
      <c r="G301" s="16"/>
      <c r="H301" s="16"/>
      <c r="I301" s="15"/>
      <c r="J301" s="15" t="str">
        <f t="shared" si="6"/>
        <v>yyyy-01</v>
      </c>
      <c r="K301" s="16">
        <f t="shared" si="8"/>
        <v>13417.620000000003</v>
      </c>
    </row>
    <row r="302" spans="1:11" ht="15.75" customHeight="1" x14ac:dyDescent="0.25">
      <c r="A302" s="14"/>
      <c r="C302" s="15"/>
      <c r="D302" s="15"/>
      <c r="E302" s="15"/>
      <c r="F302" s="15"/>
      <c r="G302" s="16"/>
      <c r="H302" s="16"/>
      <c r="I302" s="15"/>
      <c r="J302" s="15" t="str">
        <f t="shared" si="6"/>
        <v>yyyy-01</v>
      </c>
      <c r="K302" s="16">
        <f t="shared" si="8"/>
        <v>13417.620000000003</v>
      </c>
    </row>
    <row r="303" spans="1:11" ht="15.75" customHeight="1" x14ac:dyDescent="0.25">
      <c r="A303" s="14"/>
      <c r="C303" s="15"/>
      <c r="D303" s="15"/>
      <c r="E303" s="15"/>
      <c r="F303" s="15"/>
      <c r="G303" s="16"/>
      <c r="H303" s="16"/>
      <c r="I303" s="15"/>
      <c r="J303" s="15" t="str">
        <f t="shared" si="6"/>
        <v>yyyy-01</v>
      </c>
      <c r="K303" s="16">
        <f t="shared" si="8"/>
        <v>13417.620000000003</v>
      </c>
    </row>
    <row r="304" spans="1:11" ht="15.75" customHeight="1" x14ac:dyDescent="0.25">
      <c r="A304" s="14"/>
      <c r="C304" s="15"/>
      <c r="D304" s="15"/>
      <c r="E304" s="15"/>
      <c r="F304" s="15"/>
      <c r="G304" s="16"/>
      <c r="H304" s="16"/>
      <c r="I304" s="15"/>
      <c r="J304" s="15" t="str">
        <f t="shared" si="6"/>
        <v>yyyy-01</v>
      </c>
      <c r="K304" s="16">
        <f t="shared" si="8"/>
        <v>13417.620000000003</v>
      </c>
    </row>
    <row r="305" spans="1:11" ht="15.75" customHeight="1" x14ac:dyDescent="0.25">
      <c r="A305" s="14"/>
      <c r="C305" s="15"/>
      <c r="D305" s="15"/>
      <c r="E305" s="15"/>
      <c r="F305" s="15"/>
      <c r="G305" s="16"/>
      <c r="H305" s="16"/>
      <c r="I305" s="15"/>
      <c r="J305" s="15" t="str">
        <f t="shared" si="6"/>
        <v>yyyy-01</v>
      </c>
      <c r="K305" s="16">
        <f t="shared" si="8"/>
        <v>13417.620000000003</v>
      </c>
    </row>
    <row r="306" spans="1:11" ht="15.75" customHeight="1" x14ac:dyDescent="0.25">
      <c r="A306" s="14"/>
      <c r="C306" s="15"/>
      <c r="D306" s="15"/>
      <c r="E306" s="15"/>
      <c r="F306" s="15"/>
      <c r="G306" s="16"/>
      <c r="H306" s="16"/>
      <c r="I306" s="15"/>
      <c r="J306" s="15" t="str">
        <f t="shared" si="6"/>
        <v>yyyy-01</v>
      </c>
      <c r="K306" s="16">
        <f t="shared" si="8"/>
        <v>13417.620000000003</v>
      </c>
    </row>
    <row r="307" spans="1:11" ht="15.75" customHeight="1" x14ac:dyDescent="0.25">
      <c r="A307" s="14"/>
      <c r="C307" s="15"/>
      <c r="D307" s="15"/>
      <c r="E307" s="15"/>
      <c r="F307" s="15"/>
      <c r="G307" s="16"/>
      <c r="H307" s="16"/>
      <c r="I307" s="15"/>
      <c r="J307" s="15" t="str">
        <f t="shared" si="6"/>
        <v>yyyy-01</v>
      </c>
      <c r="K307" s="16">
        <f t="shared" si="8"/>
        <v>13417.620000000003</v>
      </c>
    </row>
    <row r="308" spans="1:11" ht="15.75" customHeight="1" x14ac:dyDescent="0.25">
      <c r="A308" s="14"/>
      <c r="C308" s="15"/>
      <c r="D308" s="15"/>
      <c r="E308" s="15"/>
      <c r="F308" s="15"/>
      <c r="G308" s="16"/>
      <c r="H308" s="16"/>
      <c r="I308" s="15"/>
      <c r="J308" s="15" t="str">
        <f t="shared" si="6"/>
        <v>yyyy-01</v>
      </c>
      <c r="K308" s="16">
        <f t="shared" si="8"/>
        <v>13417.620000000003</v>
      </c>
    </row>
    <row r="309" spans="1:11" ht="15.75" customHeight="1" x14ac:dyDescent="0.25">
      <c r="A309" s="14"/>
      <c r="C309" s="15"/>
      <c r="D309" s="15"/>
      <c r="E309" s="15"/>
      <c r="F309" s="15"/>
      <c r="G309" s="16"/>
      <c r="H309" s="16"/>
      <c r="I309" s="15"/>
      <c r="J309" s="15" t="str">
        <f t="shared" si="6"/>
        <v>yyyy-01</v>
      </c>
      <c r="K309" s="16">
        <f t="shared" si="8"/>
        <v>13417.620000000003</v>
      </c>
    </row>
    <row r="310" spans="1:11" ht="15.75" customHeight="1" x14ac:dyDescent="0.25">
      <c r="A310" s="14"/>
      <c r="C310" s="15"/>
      <c r="D310" s="15"/>
      <c r="E310" s="15"/>
      <c r="F310" s="15"/>
      <c r="G310" s="16"/>
      <c r="H310" s="16"/>
      <c r="I310" s="15"/>
      <c r="J310" s="15" t="str">
        <f t="shared" si="6"/>
        <v>yyyy-01</v>
      </c>
      <c r="K310" s="16">
        <f t="shared" si="8"/>
        <v>13417.620000000003</v>
      </c>
    </row>
    <row r="311" spans="1:11" ht="15.75" customHeight="1" x14ac:dyDescent="0.25">
      <c r="A311" s="14"/>
      <c r="C311" s="15"/>
      <c r="D311" s="15"/>
      <c r="E311" s="15"/>
      <c r="F311" s="15"/>
      <c r="G311" s="16"/>
      <c r="H311" s="16"/>
      <c r="I311" s="15"/>
      <c r="J311" s="15" t="str">
        <f t="shared" si="6"/>
        <v>yyyy-01</v>
      </c>
      <c r="K311" s="16">
        <f t="shared" si="8"/>
        <v>13417.620000000003</v>
      </c>
    </row>
    <row r="312" spans="1:11" ht="15.75" customHeight="1" x14ac:dyDescent="0.25">
      <c r="A312" s="14"/>
      <c r="C312" s="15"/>
      <c r="D312" s="15"/>
      <c r="E312" s="15"/>
      <c r="F312" s="15"/>
      <c r="G312" s="16"/>
      <c r="H312" s="16"/>
      <c r="I312" s="15"/>
      <c r="J312" s="15" t="str">
        <f t="shared" si="6"/>
        <v>yyyy-01</v>
      </c>
      <c r="K312" s="16">
        <f t="shared" si="8"/>
        <v>13417.620000000003</v>
      </c>
    </row>
    <row r="313" spans="1:11" ht="15.75" customHeight="1" x14ac:dyDescent="0.25">
      <c r="A313" s="14"/>
      <c r="C313" s="15"/>
      <c r="D313" s="15"/>
      <c r="E313" s="15"/>
      <c r="F313" s="15"/>
      <c r="G313" s="16"/>
      <c r="H313" s="16"/>
      <c r="I313" s="15"/>
      <c r="J313" s="15" t="str">
        <f t="shared" si="6"/>
        <v>yyyy-01</v>
      </c>
      <c r="K313" s="16">
        <f t="shared" si="8"/>
        <v>13417.620000000003</v>
      </c>
    </row>
    <row r="314" spans="1:11" ht="15.75" customHeight="1" x14ac:dyDescent="0.25">
      <c r="A314" s="14"/>
      <c r="C314" s="15"/>
      <c r="D314" s="15"/>
      <c r="E314" s="15"/>
      <c r="F314" s="15"/>
      <c r="G314" s="16"/>
      <c r="H314" s="16"/>
      <c r="I314" s="15"/>
      <c r="J314" s="15" t="str">
        <f t="shared" si="6"/>
        <v>yyyy-01</v>
      </c>
      <c r="K314" s="16">
        <f t="shared" si="8"/>
        <v>13417.620000000003</v>
      </c>
    </row>
    <row r="315" spans="1:11" ht="15.75" customHeight="1" x14ac:dyDescent="0.25">
      <c r="A315" s="14"/>
      <c r="C315" s="15"/>
      <c r="D315" s="15"/>
      <c r="E315" s="15"/>
      <c r="F315" s="15"/>
      <c r="G315" s="16"/>
      <c r="H315" s="16"/>
      <c r="I315" s="15"/>
      <c r="J315" s="15" t="str">
        <f t="shared" si="6"/>
        <v>yyyy-01</v>
      </c>
      <c r="K315" s="16">
        <f t="shared" si="8"/>
        <v>13417.620000000003</v>
      </c>
    </row>
    <row r="316" spans="1:11" ht="15.75" customHeight="1" x14ac:dyDescent="0.25">
      <c r="A316" s="14"/>
      <c r="C316" s="15"/>
      <c r="D316" s="15"/>
      <c r="E316" s="15"/>
      <c r="F316" s="15"/>
      <c r="G316" s="16"/>
      <c r="H316" s="16"/>
      <c r="I316" s="15"/>
      <c r="J316" s="15" t="str">
        <f t="shared" si="6"/>
        <v>yyyy-01</v>
      </c>
      <c r="K316" s="16">
        <f t="shared" si="8"/>
        <v>13417.620000000003</v>
      </c>
    </row>
    <row r="317" spans="1:11" ht="15.75" customHeight="1" x14ac:dyDescent="0.25">
      <c r="A317" s="14"/>
      <c r="C317" s="15"/>
      <c r="D317" s="15"/>
      <c r="E317" s="15"/>
      <c r="F317" s="15"/>
      <c r="G317" s="16"/>
      <c r="H317" s="16"/>
      <c r="I317" s="15"/>
      <c r="J317" s="15" t="str">
        <f t="shared" si="6"/>
        <v>yyyy-01</v>
      </c>
      <c r="K317" s="16">
        <f t="shared" si="8"/>
        <v>13417.620000000003</v>
      </c>
    </row>
    <row r="318" spans="1:11" ht="15.75" customHeight="1" x14ac:dyDescent="0.25">
      <c r="A318" s="14"/>
      <c r="C318" s="15"/>
      <c r="D318" s="15"/>
      <c r="E318" s="15"/>
      <c r="F318" s="15"/>
      <c r="G318" s="16"/>
      <c r="H318" s="16"/>
      <c r="I318" s="15"/>
      <c r="J318" s="15" t="str">
        <f t="shared" si="6"/>
        <v>yyyy-01</v>
      </c>
      <c r="K318" s="16">
        <f t="shared" si="8"/>
        <v>13417.620000000003</v>
      </c>
    </row>
    <row r="319" spans="1:11" ht="15.75" customHeight="1" x14ac:dyDescent="0.25">
      <c r="A319" s="14"/>
      <c r="C319" s="15"/>
      <c r="D319" s="15"/>
      <c r="E319" s="15"/>
      <c r="F319" s="15"/>
      <c r="G319" s="16"/>
      <c r="H319" s="16"/>
      <c r="I319" s="15"/>
      <c r="J319" s="15" t="str">
        <f t="shared" si="6"/>
        <v>yyyy-01</v>
      </c>
      <c r="K319" s="16">
        <f t="shared" si="8"/>
        <v>13417.620000000003</v>
      </c>
    </row>
    <row r="320" spans="1:11" ht="15.75" customHeight="1" x14ac:dyDescent="0.25">
      <c r="A320" s="14"/>
      <c r="C320" s="15"/>
      <c r="D320" s="15"/>
      <c r="E320" s="15"/>
      <c r="F320" s="15"/>
      <c r="G320" s="16"/>
      <c r="H320" s="16"/>
      <c r="I320" s="15"/>
      <c r="J320" s="15" t="str">
        <f t="shared" si="6"/>
        <v>yyyy-01</v>
      </c>
      <c r="K320" s="16">
        <f t="shared" si="8"/>
        <v>13417.620000000003</v>
      </c>
    </row>
    <row r="321" spans="1:11" ht="15.75" customHeight="1" x14ac:dyDescent="0.25">
      <c r="A321" s="14"/>
      <c r="C321" s="15"/>
      <c r="D321" s="15"/>
      <c r="E321" s="15"/>
      <c r="F321" s="15"/>
      <c r="G321" s="16"/>
      <c r="H321" s="16"/>
      <c r="I321" s="15"/>
      <c r="J321" s="15" t="str">
        <f t="shared" si="6"/>
        <v>yyyy-01</v>
      </c>
      <c r="K321" s="16">
        <f t="shared" si="8"/>
        <v>13417.620000000003</v>
      </c>
    </row>
    <row r="322" spans="1:11" ht="15.75" customHeight="1" x14ac:dyDescent="0.25">
      <c r="A322" s="14"/>
      <c r="C322" s="15"/>
      <c r="D322" s="15"/>
      <c r="E322" s="15"/>
      <c r="F322" s="15"/>
      <c r="G322" s="16"/>
      <c r="H322" s="16"/>
      <c r="I322" s="15"/>
      <c r="J322" s="15" t="str">
        <f t="shared" si="6"/>
        <v>yyyy-01</v>
      </c>
      <c r="K322" s="16">
        <f t="shared" si="8"/>
        <v>13417.620000000003</v>
      </c>
    </row>
    <row r="323" spans="1:11" ht="15.75" customHeight="1" x14ac:dyDescent="0.25">
      <c r="A323" s="14"/>
      <c r="C323" s="15"/>
      <c r="D323" s="15"/>
      <c r="E323" s="15"/>
      <c r="F323" s="15"/>
      <c r="G323" s="16"/>
      <c r="H323" s="16"/>
      <c r="I323" s="15"/>
      <c r="J323" s="15" t="str">
        <f t="shared" si="6"/>
        <v>yyyy-01</v>
      </c>
      <c r="K323" s="16">
        <f t="shared" si="8"/>
        <v>13417.620000000003</v>
      </c>
    </row>
    <row r="324" spans="1:11" ht="15.75" customHeight="1" x14ac:dyDescent="0.25">
      <c r="A324" s="14"/>
      <c r="C324" s="15"/>
      <c r="D324" s="15"/>
      <c r="E324" s="15"/>
      <c r="F324" s="15"/>
      <c r="G324" s="16"/>
      <c r="H324" s="16"/>
      <c r="I324" s="15"/>
      <c r="J324" s="15" t="str">
        <f t="shared" si="6"/>
        <v>yyyy-01</v>
      </c>
      <c r="K324" s="16">
        <f t="shared" si="8"/>
        <v>13417.620000000003</v>
      </c>
    </row>
    <row r="325" spans="1:11" ht="15.75" customHeight="1" x14ac:dyDescent="0.25">
      <c r="A325" s="14"/>
      <c r="C325" s="15"/>
      <c r="D325" s="15"/>
      <c r="E325" s="15"/>
      <c r="F325" s="15"/>
      <c r="G325" s="16"/>
      <c r="H325" s="16"/>
      <c r="I325" s="15"/>
      <c r="J325" s="15" t="str">
        <f t="shared" si="6"/>
        <v>yyyy-01</v>
      </c>
      <c r="K325" s="16">
        <f t="shared" si="8"/>
        <v>13417.620000000003</v>
      </c>
    </row>
    <row r="326" spans="1:11" ht="15.75" customHeight="1" x14ac:dyDescent="0.25">
      <c r="A326" s="14"/>
      <c r="C326" s="15"/>
      <c r="D326" s="15"/>
      <c r="E326" s="15"/>
      <c r="F326" s="15"/>
      <c r="G326" s="16"/>
      <c r="H326" s="16"/>
      <c r="I326" s="15"/>
      <c r="J326" s="15" t="str">
        <f t="shared" si="6"/>
        <v>yyyy-01</v>
      </c>
      <c r="K326" s="16">
        <f t="shared" si="8"/>
        <v>13417.620000000003</v>
      </c>
    </row>
    <row r="327" spans="1:11" ht="15.75" customHeight="1" x14ac:dyDescent="0.25">
      <c r="A327" s="14"/>
      <c r="C327" s="15"/>
      <c r="D327" s="15"/>
      <c r="E327" s="15"/>
      <c r="F327" s="15"/>
      <c r="G327" s="16"/>
      <c r="H327" s="16"/>
      <c r="I327" s="15"/>
      <c r="J327" s="15" t="str">
        <f t="shared" si="6"/>
        <v>yyyy-01</v>
      </c>
      <c r="K327" s="16">
        <f t="shared" si="8"/>
        <v>13417.620000000003</v>
      </c>
    </row>
    <row r="328" spans="1:11" ht="15.75" customHeight="1" x14ac:dyDescent="0.25">
      <c r="A328" s="14"/>
      <c r="C328" s="15"/>
      <c r="D328" s="15"/>
      <c r="E328" s="15"/>
      <c r="F328" s="15"/>
      <c r="G328" s="16"/>
      <c r="H328" s="16"/>
      <c r="I328" s="15"/>
      <c r="J328" s="15" t="str">
        <f t="shared" si="6"/>
        <v>yyyy-01</v>
      </c>
      <c r="K328" s="16">
        <f t="shared" si="8"/>
        <v>13417.620000000003</v>
      </c>
    </row>
    <row r="329" spans="1:11" ht="15.75" customHeight="1" x14ac:dyDescent="0.25">
      <c r="A329" s="14"/>
      <c r="C329" s="15"/>
      <c r="D329" s="15"/>
      <c r="E329" s="15"/>
      <c r="F329" s="15"/>
      <c r="G329" s="16"/>
      <c r="H329" s="16"/>
      <c r="I329" s="15"/>
      <c r="J329" s="15" t="str">
        <f t="shared" si="6"/>
        <v>yyyy-01</v>
      </c>
      <c r="K329" s="16">
        <f t="shared" si="8"/>
        <v>13417.620000000003</v>
      </c>
    </row>
    <row r="330" spans="1:11" ht="15.75" customHeight="1" x14ac:dyDescent="0.25">
      <c r="A330" s="14"/>
      <c r="C330" s="15"/>
      <c r="D330" s="15"/>
      <c r="E330" s="15"/>
      <c r="F330" s="15"/>
      <c r="G330" s="16"/>
      <c r="H330" s="16"/>
      <c r="I330" s="15"/>
      <c r="J330" s="15" t="str">
        <f t="shared" si="6"/>
        <v>yyyy-01</v>
      </c>
      <c r="K330" s="16">
        <f t="shared" si="8"/>
        <v>13417.620000000003</v>
      </c>
    </row>
    <row r="331" spans="1:11" ht="15.75" customHeight="1" x14ac:dyDescent="0.25">
      <c r="A331" s="14"/>
      <c r="C331" s="15"/>
      <c r="D331" s="15"/>
      <c r="E331" s="15"/>
      <c r="F331" s="15"/>
      <c r="G331" s="16"/>
      <c r="H331" s="16"/>
      <c r="I331" s="15"/>
      <c r="J331" s="15" t="str">
        <f t="shared" si="6"/>
        <v>yyyy-01</v>
      </c>
      <c r="K331" s="16">
        <f t="shared" si="8"/>
        <v>13417.620000000003</v>
      </c>
    </row>
    <row r="332" spans="1:11" ht="15.75" customHeight="1" x14ac:dyDescent="0.25">
      <c r="A332" s="14"/>
      <c r="C332" s="15"/>
      <c r="D332" s="15"/>
      <c r="E332" s="15"/>
      <c r="F332" s="15"/>
      <c r="G332" s="16"/>
      <c r="H332" s="16"/>
      <c r="I332" s="15"/>
      <c r="J332" s="15" t="str">
        <f t="shared" si="6"/>
        <v>yyyy-01</v>
      </c>
      <c r="K332" s="16">
        <f t="shared" si="8"/>
        <v>13417.620000000003</v>
      </c>
    </row>
    <row r="333" spans="1:11" ht="15.75" customHeight="1" x14ac:dyDescent="0.25">
      <c r="A333" s="14"/>
      <c r="C333" s="15"/>
      <c r="D333" s="15"/>
      <c r="E333" s="15"/>
      <c r="F333" s="15"/>
      <c r="G333" s="16"/>
      <c r="H333" s="16"/>
      <c r="I333" s="15"/>
      <c r="J333" s="15" t="str">
        <f t="shared" si="6"/>
        <v>yyyy-01</v>
      </c>
      <c r="K333" s="16">
        <f t="shared" si="8"/>
        <v>13417.620000000003</v>
      </c>
    </row>
    <row r="334" spans="1:11" ht="15.75" customHeight="1" x14ac:dyDescent="0.25">
      <c r="A334" s="14"/>
      <c r="C334" s="15"/>
      <c r="D334" s="15"/>
      <c r="E334" s="15"/>
      <c r="F334" s="15"/>
      <c r="G334" s="16"/>
      <c r="H334" s="16"/>
      <c r="I334" s="15"/>
      <c r="J334" s="15" t="str">
        <f t="shared" si="6"/>
        <v>yyyy-01</v>
      </c>
      <c r="K334" s="16">
        <f t="shared" si="8"/>
        <v>13417.620000000003</v>
      </c>
    </row>
    <row r="335" spans="1:11" ht="15.75" customHeight="1" x14ac:dyDescent="0.25">
      <c r="A335" s="14"/>
      <c r="C335" s="15"/>
      <c r="D335" s="15"/>
      <c r="E335" s="15"/>
      <c r="F335" s="15"/>
      <c r="G335" s="16"/>
      <c r="H335" s="16"/>
      <c r="I335" s="15"/>
      <c r="J335" s="15" t="str">
        <f t="shared" si="6"/>
        <v>yyyy-01</v>
      </c>
      <c r="K335" s="16">
        <f t="shared" si="8"/>
        <v>13417.620000000003</v>
      </c>
    </row>
    <row r="336" spans="1:11" ht="15.75" customHeight="1" x14ac:dyDescent="0.25">
      <c r="A336" s="14"/>
      <c r="C336" s="15"/>
      <c r="D336" s="15"/>
      <c r="E336" s="15"/>
      <c r="F336" s="15"/>
      <c r="G336" s="16"/>
      <c r="H336" s="16"/>
      <c r="I336" s="15"/>
      <c r="J336" s="15" t="str">
        <f t="shared" si="6"/>
        <v>yyyy-01</v>
      </c>
      <c r="K336" s="16">
        <f t="shared" si="8"/>
        <v>13417.620000000003</v>
      </c>
    </row>
    <row r="337" spans="1:11" ht="15.75" customHeight="1" x14ac:dyDescent="0.25">
      <c r="A337" s="14"/>
      <c r="C337" s="15"/>
      <c r="D337" s="15"/>
      <c r="E337" s="15"/>
      <c r="F337" s="15"/>
      <c r="G337" s="16"/>
      <c r="H337" s="16"/>
      <c r="I337" s="15"/>
      <c r="J337" s="15" t="str">
        <f t="shared" si="6"/>
        <v>yyyy-01</v>
      </c>
      <c r="K337" s="16">
        <f t="shared" si="8"/>
        <v>13417.620000000003</v>
      </c>
    </row>
    <row r="338" spans="1:11" ht="15.75" customHeight="1" x14ac:dyDescent="0.25">
      <c r="A338" s="14"/>
      <c r="C338" s="15"/>
      <c r="D338" s="15"/>
      <c r="E338" s="15"/>
      <c r="F338" s="15"/>
      <c r="G338" s="16"/>
      <c r="H338" s="16"/>
      <c r="I338" s="15"/>
      <c r="J338" s="15" t="str">
        <f t="shared" si="6"/>
        <v>yyyy-01</v>
      </c>
      <c r="K338" s="16">
        <f t="shared" si="8"/>
        <v>13417.620000000003</v>
      </c>
    </row>
    <row r="339" spans="1:11" ht="15.75" customHeight="1" x14ac:dyDescent="0.25">
      <c r="A339" s="14"/>
      <c r="C339" s="15"/>
      <c r="D339" s="15"/>
      <c r="E339" s="15"/>
      <c r="F339" s="15"/>
      <c r="G339" s="16"/>
      <c r="H339" s="16"/>
      <c r="I339" s="15"/>
      <c r="J339" s="15" t="str">
        <f t="shared" si="6"/>
        <v>yyyy-01</v>
      </c>
      <c r="K339" s="16">
        <f t="shared" si="8"/>
        <v>13417.620000000003</v>
      </c>
    </row>
    <row r="340" spans="1:11" ht="15.75" customHeight="1" x14ac:dyDescent="0.25">
      <c r="A340" s="14"/>
      <c r="C340" s="15"/>
      <c r="D340" s="15"/>
      <c r="E340" s="15"/>
      <c r="F340" s="15"/>
      <c r="G340" s="16"/>
      <c r="H340" s="16"/>
      <c r="I340" s="15"/>
      <c r="J340" s="15" t="str">
        <f t="shared" si="6"/>
        <v>yyyy-01</v>
      </c>
      <c r="K340" s="16">
        <f t="shared" si="8"/>
        <v>13417.620000000003</v>
      </c>
    </row>
    <row r="341" spans="1:11" ht="15.75" customHeight="1" x14ac:dyDescent="0.25">
      <c r="A341" s="14"/>
      <c r="C341" s="15"/>
      <c r="D341" s="15"/>
      <c r="E341" s="15"/>
      <c r="F341" s="15"/>
      <c r="G341" s="16"/>
      <c r="H341" s="16"/>
      <c r="I341" s="15"/>
      <c r="J341" s="15" t="str">
        <f t="shared" si="6"/>
        <v>yyyy-01</v>
      </c>
      <c r="K341" s="16">
        <f t="shared" si="8"/>
        <v>13417.620000000003</v>
      </c>
    </row>
    <row r="342" spans="1:11" ht="15.75" customHeight="1" x14ac:dyDescent="0.25">
      <c r="A342" s="14"/>
      <c r="C342" s="15"/>
      <c r="D342" s="15"/>
      <c r="E342" s="15"/>
      <c r="F342" s="15"/>
      <c r="G342" s="16"/>
      <c r="H342" s="16"/>
      <c r="I342" s="15"/>
      <c r="J342" s="15" t="str">
        <f t="shared" si="6"/>
        <v>yyyy-01</v>
      </c>
      <c r="K342" s="16">
        <f t="shared" si="8"/>
        <v>13417.620000000003</v>
      </c>
    </row>
    <row r="343" spans="1:11" ht="15.75" customHeight="1" x14ac:dyDescent="0.25">
      <c r="A343" s="14"/>
      <c r="C343" s="15"/>
      <c r="D343" s="15"/>
      <c r="E343" s="15"/>
      <c r="F343" s="15"/>
      <c r="G343" s="16"/>
      <c r="H343" s="16"/>
      <c r="I343" s="15"/>
      <c r="J343" s="15" t="str">
        <f t="shared" si="6"/>
        <v>yyyy-01</v>
      </c>
      <c r="K343" s="16">
        <f t="shared" si="8"/>
        <v>13417.620000000003</v>
      </c>
    </row>
    <row r="344" spans="1:11" ht="15.75" customHeight="1" x14ac:dyDescent="0.25">
      <c r="A344" s="14"/>
      <c r="C344" s="15"/>
      <c r="D344" s="15"/>
      <c r="E344" s="15"/>
      <c r="F344" s="15"/>
      <c r="G344" s="16"/>
      <c r="H344" s="16"/>
      <c r="I344" s="15"/>
      <c r="J344" s="15" t="str">
        <f t="shared" si="6"/>
        <v>yyyy-01</v>
      </c>
      <c r="K344" s="16">
        <f t="shared" si="8"/>
        <v>13417.620000000003</v>
      </c>
    </row>
    <row r="345" spans="1:11" ht="15.75" customHeight="1" x14ac:dyDescent="0.25">
      <c r="A345" s="14"/>
      <c r="C345" s="15"/>
      <c r="D345" s="15"/>
      <c r="E345" s="15"/>
      <c r="F345" s="15"/>
      <c r="G345" s="16"/>
      <c r="H345" s="16"/>
      <c r="I345" s="15"/>
      <c r="J345" s="15" t="str">
        <f t="shared" si="6"/>
        <v>yyyy-01</v>
      </c>
      <c r="K345" s="16">
        <f t="shared" si="8"/>
        <v>13417.620000000003</v>
      </c>
    </row>
    <row r="346" spans="1:11" ht="15.75" customHeight="1" x14ac:dyDescent="0.25">
      <c r="A346" s="14"/>
      <c r="C346" s="15"/>
      <c r="D346" s="15"/>
      <c r="E346" s="15"/>
      <c r="F346" s="15"/>
      <c r="G346" s="16"/>
      <c r="H346" s="16"/>
      <c r="I346" s="15"/>
      <c r="J346" s="15" t="str">
        <f t="shared" si="6"/>
        <v>yyyy-01</v>
      </c>
      <c r="K346" s="16">
        <f t="shared" si="8"/>
        <v>13417.620000000003</v>
      </c>
    </row>
    <row r="347" spans="1:11" ht="15.75" customHeight="1" x14ac:dyDescent="0.25">
      <c r="A347" s="14"/>
      <c r="C347" s="15"/>
      <c r="D347" s="15"/>
      <c r="E347" s="15"/>
      <c r="F347" s="15"/>
      <c r="G347" s="16"/>
      <c r="H347" s="16"/>
      <c r="I347" s="15"/>
      <c r="J347" s="15" t="str">
        <f t="shared" si="6"/>
        <v>yyyy-01</v>
      </c>
      <c r="K347" s="16">
        <f t="shared" si="8"/>
        <v>13417.620000000003</v>
      </c>
    </row>
    <row r="348" spans="1:11" ht="15.75" customHeight="1" x14ac:dyDescent="0.25">
      <c r="A348" s="14"/>
      <c r="C348" s="15"/>
      <c r="D348" s="15"/>
      <c r="E348" s="15"/>
      <c r="F348" s="15"/>
      <c r="G348" s="16"/>
      <c r="H348" s="16"/>
      <c r="I348" s="15"/>
      <c r="J348" s="15" t="str">
        <f t="shared" si="6"/>
        <v>yyyy-01</v>
      </c>
      <c r="K348" s="16">
        <f t="shared" si="8"/>
        <v>13417.620000000003</v>
      </c>
    </row>
    <row r="349" spans="1:11" ht="15.75" customHeight="1" x14ac:dyDescent="0.25">
      <c r="A349" s="14"/>
      <c r="C349" s="15"/>
      <c r="D349" s="15"/>
      <c r="E349" s="15"/>
      <c r="F349" s="15"/>
      <c r="G349" s="16"/>
      <c r="H349" s="16"/>
      <c r="I349" s="15"/>
      <c r="J349" s="15" t="str">
        <f t="shared" si="6"/>
        <v>yyyy-01</v>
      </c>
      <c r="K349" s="16">
        <f t="shared" si="8"/>
        <v>13417.620000000003</v>
      </c>
    </row>
    <row r="350" spans="1:11" ht="15.75" customHeight="1" x14ac:dyDescent="0.25">
      <c r="A350" s="14"/>
      <c r="C350" s="15"/>
      <c r="D350" s="15"/>
      <c r="E350" s="15"/>
      <c r="F350" s="15"/>
      <c r="G350" s="16"/>
      <c r="H350" s="16"/>
      <c r="I350" s="15"/>
      <c r="J350" s="15" t="str">
        <f t="shared" si="6"/>
        <v>yyyy-01</v>
      </c>
      <c r="K350" s="16">
        <f t="shared" si="8"/>
        <v>13417.620000000003</v>
      </c>
    </row>
    <row r="351" spans="1:11" ht="15.75" customHeight="1" x14ac:dyDescent="0.25">
      <c r="A351" s="14"/>
      <c r="C351" s="15"/>
      <c r="D351" s="15"/>
      <c r="E351" s="15"/>
      <c r="F351" s="15"/>
      <c r="G351" s="16"/>
      <c r="H351" s="16"/>
      <c r="I351" s="15"/>
      <c r="J351" s="15" t="str">
        <f t="shared" si="6"/>
        <v>yyyy-01</v>
      </c>
      <c r="K351" s="16">
        <f t="shared" ref="K351:K414" si="9">K350 + IF(C351="Entrada", G351, -G351)</f>
        <v>13417.620000000003</v>
      </c>
    </row>
    <row r="352" spans="1:11" ht="15.75" customHeight="1" x14ac:dyDescent="0.25">
      <c r="A352" s="14"/>
      <c r="C352" s="15"/>
      <c r="D352" s="15"/>
      <c r="E352" s="15"/>
      <c r="F352" s="15"/>
      <c r="G352" s="16"/>
      <c r="H352" s="16"/>
      <c r="I352" s="15"/>
      <c r="J352" s="15" t="str">
        <f t="shared" si="6"/>
        <v>yyyy-01</v>
      </c>
      <c r="K352" s="16">
        <f t="shared" si="9"/>
        <v>13417.620000000003</v>
      </c>
    </row>
    <row r="353" spans="1:11" ht="15.75" customHeight="1" x14ac:dyDescent="0.25">
      <c r="A353" s="14"/>
      <c r="C353" s="15"/>
      <c r="D353" s="15"/>
      <c r="E353" s="15"/>
      <c r="F353" s="15"/>
      <c r="G353" s="16"/>
      <c r="H353" s="16"/>
      <c r="I353" s="15"/>
      <c r="J353" s="15" t="str">
        <f t="shared" si="6"/>
        <v>yyyy-01</v>
      </c>
      <c r="K353" s="16">
        <f t="shared" si="9"/>
        <v>13417.620000000003</v>
      </c>
    </row>
    <row r="354" spans="1:11" ht="15.75" customHeight="1" x14ac:dyDescent="0.25">
      <c r="A354" s="14"/>
      <c r="C354" s="15"/>
      <c r="D354" s="15"/>
      <c r="E354" s="15"/>
      <c r="F354" s="15"/>
      <c r="G354" s="16"/>
      <c r="H354" s="16"/>
      <c r="I354" s="15"/>
      <c r="J354" s="15" t="str">
        <f t="shared" si="6"/>
        <v>yyyy-01</v>
      </c>
      <c r="K354" s="16">
        <f t="shared" si="9"/>
        <v>13417.620000000003</v>
      </c>
    </row>
    <row r="355" spans="1:11" ht="15.75" customHeight="1" x14ac:dyDescent="0.25">
      <c r="A355" s="14"/>
      <c r="C355" s="15"/>
      <c r="D355" s="15"/>
      <c r="E355" s="15"/>
      <c r="F355" s="15"/>
      <c r="G355" s="16"/>
      <c r="H355" s="16"/>
      <c r="I355" s="15"/>
      <c r="J355" s="15" t="str">
        <f t="shared" si="6"/>
        <v>yyyy-01</v>
      </c>
      <c r="K355" s="16">
        <f t="shared" si="9"/>
        <v>13417.620000000003</v>
      </c>
    </row>
    <row r="356" spans="1:11" ht="15.75" customHeight="1" x14ac:dyDescent="0.25">
      <c r="A356" s="14"/>
      <c r="C356" s="15"/>
      <c r="D356" s="15"/>
      <c r="E356" s="15"/>
      <c r="F356" s="15"/>
      <c r="G356" s="16"/>
      <c r="H356" s="16"/>
      <c r="I356" s="15"/>
      <c r="J356" s="15" t="str">
        <f t="shared" si="6"/>
        <v>yyyy-01</v>
      </c>
      <c r="K356" s="16">
        <f t="shared" si="9"/>
        <v>13417.620000000003</v>
      </c>
    </row>
    <row r="357" spans="1:11" ht="15.75" customHeight="1" x14ac:dyDescent="0.25">
      <c r="A357" s="14"/>
      <c r="C357" s="15"/>
      <c r="D357" s="15"/>
      <c r="E357" s="15"/>
      <c r="F357" s="15"/>
      <c r="G357" s="16"/>
      <c r="H357" s="16"/>
      <c r="I357" s="15"/>
      <c r="J357" s="15" t="str">
        <f t="shared" si="6"/>
        <v>yyyy-01</v>
      </c>
      <c r="K357" s="16">
        <f t="shared" si="9"/>
        <v>13417.620000000003</v>
      </c>
    </row>
    <row r="358" spans="1:11" ht="15.75" customHeight="1" x14ac:dyDescent="0.25">
      <c r="A358" s="14"/>
      <c r="C358" s="15"/>
      <c r="D358" s="15"/>
      <c r="E358" s="15"/>
      <c r="F358" s="15"/>
      <c r="G358" s="16"/>
      <c r="H358" s="16"/>
      <c r="I358" s="15"/>
      <c r="J358" s="15" t="str">
        <f t="shared" si="6"/>
        <v>yyyy-01</v>
      </c>
      <c r="K358" s="16">
        <f t="shared" si="9"/>
        <v>13417.620000000003</v>
      </c>
    </row>
    <row r="359" spans="1:11" ht="15.75" customHeight="1" x14ac:dyDescent="0.25">
      <c r="A359" s="14"/>
      <c r="C359" s="15"/>
      <c r="D359" s="15"/>
      <c r="E359" s="15"/>
      <c r="F359" s="15"/>
      <c r="G359" s="16"/>
      <c r="H359" s="16"/>
      <c r="I359" s="15"/>
      <c r="J359" s="15" t="str">
        <f t="shared" si="6"/>
        <v>yyyy-01</v>
      </c>
      <c r="K359" s="16">
        <f t="shared" si="9"/>
        <v>13417.620000000003</v>
      </c>
    </row>
    <row r="360" spans="1:11" ht="15.75" customHeight="1" x14ac:dyDescent="0.25">
      <c r="A360" s="14"/>
      <c r="C360" s="15"/>
      <c r="D360" s="15"/>
      <c r="E360" s="15"/>
      <c r="F360" s="15"/>
      <c r="G360" s="16"/>
      <c r="H360" s="16"/>
      <c r="I360" s="15"/>
      <c r="J360" s="15" t="str">
        <f t="shared" si="6"/>
        <v>yyyy-01</v>
      </c>
      <c r="K360" s="16">
        <f t="shared" si="9"/>
        <v>13417.620000000003</v>
      </c>
    </row>
    <row r="361" spans="1:11" ht="15.75" customHeight="1" x14ac:dyDescent="0.25">
      <c r="A361" s="14"/>
      <c r="C361" s="15"/>
      <c r="D361" s="15"/>
      <c r="E361" s="15"/>
      <c r="F361" s="15"/>
      <c r="G361" s="16"/>
      <c r="H361" s="16"/>
      <c r="I361" s="15"/>
      <c r="J361" s="15" t="str">
        <f t="shared" si="6"/>
        <v>yyyy-01</v>
      </c>
      <c r="K361" s="16">
        <f t="shared" si="9"/>
        <v>13417.620000000003</v>
      </c>
    </row>
    <row r="362" spans="1:11" ht="15.75" customHeight="1" x14ac:dyDescent="0.25">
      <c r="A362" s="14"/>
      <c r="C362" s="15"/>
      <c r="D362" s="15"/>
      <c r="E362" s="15"/>
      <c r="F362" s="15"/>
      <c r="G362" s="16"/>
      <c r="H362" s="16"/>
      <c r="I362" s="15"/>
      <c r="J362" s="15" t="str">
        <f t="shared" si="6"/>
        <v>yyyy-01</v>
      </c>
      <c r="K362" s="16">
        <f t="shared" si="9"/>
        <v>13417.620000000003</v>
      </c>
    </row>
    <row r="363" spans="1:11" ht="15.75" customHeight="1" x14ac:dyDescent="0.25">
      <c r="A363" s="14"/>
      <c r="C363" s="15"/>
      <c r="D363" s="15"/>
      <c r="E363" s="15"/>
      <c r="F363" s="15"/>
      <c r="G363" s="16"/>
      <c r="H363" s="16"/>
      <c r="I363" s="15"/>
      <c r="J363" s="15" t="str">
        <f t="shared" si="6"/>
        <v>yyyy-01</v>
      </c>
      <c r="K363" s="16">
        <f t="shared" si="9"/>
        <v>13417.620000000003</v>
      </c>
    </row>
    <row r="364" spans="1:11" ht="15.75" customHeight="1" x14ac:dyDescent="0.25">
      <c r="A364" s="14"/>
      <c r="C364" s="15"/>
      <c r="D364" s="15"/>
      <c r="E364" s="15"/>
      <c r="F364" s="15"/>
      <c r="G364" s="16"/>
      <c r="H364" s="16"/>
      <c r="I364" s="15"/>
      <c r="J364" s="15" t="str">
        <f t="shared" si="6"/>
        <v>yyyy-01</v>
      </c>
      <c r="K364" s="16">
        <f t="shared" si="9"/>
        <v>13417.620000000003</v>
      </c>
    </row>
    <row r="365" spans="1:11" ht="15.75" customHeight="1" x14ac:dyDescent="0.25">
      <c r="A365" s="14"/>
      <c r="C365" s="15"/>
      <c r="D365" s="15"/>
      <c r="E365" s="15"/>
      <c r="F365" s="15"/>
      <c r="G365" s="16"/>
      <c r="H365" s="16"/>
      <c r="I365" s="15"/>
      <c r="J365" s="15" t="str">
        <f t="shared" si="6"/>
        <v>yyyy-01</v>
      </c>
      <c r="K365" s="16">
        <f t="shared" si="9"/>
        <v>13417.620000000003</v>
      </c>
    </row>
    <row r="366" spans="1:11" ht="15.75" customHeight="1" x14ac:dyDescent="0.25">
      <c r="A366" s="14"/>
      <c r="C366" s="15"/>
      <c r="D366" s="15"/>
      <c r="E366" s="15"/>
      <c r="F366" s="15"/>
      <c r="G366" s="16"/>
      <c r="H366" s="16"/>
      <c r="I366" s="15"/>
      <c r="J366" s="15" t="str">
        <f t="shared" si="6"/>
        <v>yyyy-01</v>
      </c>
      <c r="K366" s="16">
        <f t="shared" si="9"/>
        <v>13417.620000000003</v>
      </c>
    </row>
    <row r="367" spans="1:11" ht="15.75" customHeight="1" x14ac:dyDescent="0.25">
      <c r="A367" s="14"/>
      <c r="C367" s="15"/>
      <c r="D367" s="15"/>
      <c r="E367" s="15"/>
      <c r="F367" s="15"/>
      <c r="G367" s="16"/>
      <c r="H367" s="16"/>
      <c r="I367" s="15"/>
      <c r="J367" s="15" t="str">
        <f t="shared" si="6"/>
        <v>yyyy-01</v>
      </c>
      <c r="K367" s="16">
        <f t="shared" si="9"/>
        <v>13417.620000000003</v>
      </c>
    </row>
    <row r="368" spans="1:11" ht="15.75" customHeight="1" x14ac:dyDescent="0.25">
      <c r="A368" s="14"/>
      <c r="C368" s="15"/>
      <c r="D368" s="15"/>
      <c r="E368" s="15"/>
      <c r="F368" s="15"/>
      <c r="G368" s="16"/>
      <c r="H368" s="16"/>
      <c r="I368" s="15"/>
      <c r="J368" s="15" t="str">
        <f t="shared" si="6"/>
        <v>yyyy-01</v>
      </c>
      <c r="K368" s="16">
        <f t="shared" si="9"/>
        <v>13417.620000000003</v>
      </c>
    </row>
    <row r="369" spans="1:11" ht="15.75" customHeight="1" x14ac:dyDescent="0.25">
      <c r="A369" s="14"/>
      <c r="C369" s="15"/>
      <c r="D369" s="15"/>
      <c r="E369" s="15"/>
      <c r="F369" s="15"/>
      <c r="G369" s="16"/>
      <c r="H369" s="16"/>
      <c r="I369" s="15"/>
      <c r="J369" s="15" t="str">
        <f t="shared" si="6"/>
        <v>yyyy-01</v>
      </c>
      <c r="K369" s="16">
        <f t="shared" si="9"/>
        <v>13417.620000000003</v>
      </c>
    </row>
    <row r="370" spans="1:11" ht="15.75" customHeight="1" x14ac:dyDescent="0.25">
      <c r="A370" s="14"/>
      <c r="C370" s="15"/>
      <c r="D370" s="15"/>
      <c r="E370" s="15"/>
      <c r="F370" s="15"/>
      <c r="G370" s="16"/>
      <c r="H370" s="16"/>
      <c r="I370" s="15"/>
      <c r="J370" s="15" t="str">
        <f t="shared" si="6"/>
        <v>yyyy-01</v>
      </c>
      <c r="K370" s="16">
        <f t="shared" si="9"/>
        <v>13417.620000000003</v>
      </c>
    </row>
    <row r="371" spans="1:11" ht="15.75" customHeight="1" x14ac:dyDescent="0.25">
      <c r="A371" s="14"/>
      <c r="C371" s="15"/>
      <c r="D371" s="15"/>
      <c r="E371" s="15"/>
      <c r="F371" s="15"/>
      <c r="G371" s="16"/>
      <c r="H371" s="16"/>
      <c r="I371" s="15"/>
      <c r="J371" s="15" t="str">
        <f t="shared" si="6"/>
        <v>yyyy-01</v>
      </c>
      <c r="K371" s="16">
        <f t="shared" si="9"/>
        <v>13417.620000000003</v>
      </c>
    </row>
    <row r="372" spans="1:11" ht="15.75" customHeight="1" x14ac:dyDescent="0.25">
      <c r="A372" s="14"/>
      <c r="C372" s="15"/>
      <c r="D372" s="15"/>
      <c r="E372" s="15"/>
      <c r="F372" s="15"/>
      <c r="G372" s="16"/>
      <c r="H372" s="16"/>
      <c r="I372" s="15"/>
      <c r="J372" s="15" t="str">
        <f t="shared" si="6"/>
        <v>yyyy-01</v>
      </c>
      <c r="K372" s="16">
        <f t="shared" si="9"/>
        <v>13417.620000000003</v>
      </c>
    </row>
    <row r="373" spans="1:11" ht="15.75" customHeight="1" x14ac:dyDescent="0.25">
      <c r="A373" s="14"/>
      <c r="C373" s="15"/>
      <c r="D373" s="15"/>
      <c r="E373" s="15"/>
      <c r="F373" s="15"/>
      <c r="G373" s="16"/>
      <c r="H373" s="16"/>
      <c r="I373" s="15"/>
      <c r="J373" s="15" t="str">
        <f t="shared" si="6"/>
        <v>yyyy-01</v>
      </c>
      <c r="K373" s="16">
        <f t="shared" si="9"/>
        <v>13417.620000000003</v>
      </c>
    </row>
    <row r="374" spans="1:11" ht="15.75" customHeight="1" x14ac:dyDescent="0.25">
      <c r="A374" s="14"/>
      <c r="C374" s="15"/>
      <c r="D374" s="15"/>
      <c r="E374" s="15"/>
      <c r="F374" s="15"/>
      <c r="G374" s="16"/>
      <c r="H374" s="16"/>
      <c r="I374" s="15"/>
      <c r="J374" s="15" t="str">
        <f t="shared" si="6"/>
        <v>yyyy-01</v>
      </c>
      <c r="K374" s="16">
        <f t="shared" si="9"/>
        <v>13417.620000000003</v>
      </c>
    </row>
    <row r="375" spans="1:11" ht="15.75" customHeight="1" x14ac:dyDescent="0.25">
      <c r="A375" s="14"/>
      <c r="C375" s="15"/>
      <c r="D375" s="15"/>
      <c r="E375" s="15"/>
      <c r="F375" s="15"/>
      <c r="G375" s="16"/>
      <c r="H375" s="16"/>
      <c r="I375" s="15"/>
      <c r="J375" s="15" t="str">
        <f t="shared" si="6"/>
        <v>yyyy-01</v>
      </c>
      <c r="K375" s="16">
        <f t="shared" si="9"/>
        <v>13417.620000000003</v>
      </c>
    </row>
    <row r="376" spans="1:11" ht="15.75" customHeight="1" x14ac:dyDescent="0.25">
      <c r="A376" s="14"/>
      <c r="C376" s="15"/>
      <c r="D376" s="15"/>
      <c r="E376" s="15"/>
      <c r="F376" s="15"/>
      <c r="G376" s="16"/>
      <c r="H376" s="16"/>
      <c r="I376" s="15"/>
      <c r="J376" s="15" t="str">
        <f t="shared" si="6"/>
        <v>yyyy-01</v>
      </c>
      <c r="K376" s="16">
        <f t="shared" si="9"/>
        <v>13417.620000000003</v>
      </c>
    </row>
    <row r="377" spans="1:11" ht="15.75" customHeight="1" x14ac:dyDescent="0.25">
      <c r="A377" s="14"/>
      <c r="C377" s="15"/>
      <c r="D377" s="15"/>
      <c r="E377" s="15"/>
      <c r="F377" s="15"/>
      <c r="G377" s="16"/>
      <c r="H377" s="16"/>
      <c r="I377" s="15"/>
      <c r="J377" s="15" t="str">
        <f t="shared" si="6"/>
        <v>yyyy-01</v>
      </c>
      <c r="K377" s="16">
        <f t="shared" si="9"/>
        <v>13417.620000000003</v>
      </c>
    </row>
    <row r="378" spans="1:11" ht="15.75" customHeight="1" x14ac:dyDescent="0.25">
      <c r="A378" s="14"/>
      <c r="C378" s="15"/>
      <c r="D378" s="15"/>
      <c r="E378" s="15"/>
      <c r="F378" s="15"/>
      <c r="G378" s="16"/>
      <c r="H378" s="16"/>
      <c r="I378" s="15"/>
      <c r="J378" s="15" t="str">
        <f t="shared" si="6"/>
        <v>yyyy-01</v>
      </c>
      <c r="K378" s="16">
        <f t="shared" si="9"/>
        <v>13417.620000000003</v>
      </c>
    </row>
    <row r="379" spans="1:11" ht="15.75" customHeight="1" x14ac:dyDescent="0.25">
      <c r="A379" s="14"/>
      <c r="C379" s="15"/>
      <c r="D379" s="15"/>
      <c r="E379" s="15"/>
      <c r="F379" s="15"/>
      <c r="G379" s="16"/>
      <c r="H379" s="16"/>
      <c r="I379" s="15"/>
      <c r="J379" s="15" t="str">
        <f t="shared" si="6"/>
        <v>yyyy-01</v>
      </c>
      <c r="K379" s="16">
        <f t="shared" si="9"/>
        <v>13417.620000000003</v>
      </c>
    </row>
    <row r="380" spans="1:11" ht="15.75" customHeight="1" x14ac:dyDescent="0.25">
      <c r="A380" s="14"/>
      <c r="C380" s="15"/>
      <c r="D380" s="15"/>
      <c r="E380" s="15"/>
      <c r="F380" s="15"/>
      <c r="G380" s="16"/>
      <c r="H380" s="16"/>
      <c r="I380" s="15"/>
      <c r="J380" s="15" t="str">
        <f t="shared" si="6"/>
        <v>yyyy-01</v>
      </c>
      <c r="K380" s="16">
        <f t="shared" si="9"/>
        <v>13417.620000000003</v>
      </c>
    </row>
    <row r="381" spans="1:11" ht="15.75" customHeight="1" x14ac:dyDescent="0.25">
      <c r="A381" s="14"/>
      <c r="C381" s="15"/>
      <c r="D381" s="15"/>
      <c r="E381" s="15"/>
      <c r="F381" s="15"/>
      <c r="G381" s="16"/>
      <c r="H381" s="16"/>
      <c r="I381" s="15"/>
      <c r="J381" s="15" t="str">
        <f t="shared" si="6"/>
        <v>yyyy-01</v>
      </c>
      <c r="K381" s="16">
        <f t="shared" si="9"/>
        <v>13417.620000000003</v>
      </c>
    </row>
    <row r="382" spans="1:11" ht="15.75" customHeight="1" x14ac:dyDescent="0.25">
      <c r="A382" s="14"/>
      <c r="C382" s="15"/>
      <c r="D382" s="15"/>
      <c r="E382" s="15"/>
      <c r="F382" s="15"/>
      <c r="G382" s="16"/>
      <c r="H382" s="16"/>
      <c r="I382" s="15"/>
      <c r="J382" s="15" t="str">
        <f t="shared" si="6"/>
        <v>yyyy-01</v>
      </c>
      <c r="K382" s="16">
        <f t="shared" si="9"/>
        <v>13417.620000000003</v>
      </c>
    </row>
    <row r="383" spans="1:11" ht="15.75" customHeight="1" x14ac:dyDescent="0.25">
      <c r="A383" s="14"/>
      <c r="C383" s="15"/>
      <c r="D383" s="15"/>
      <c r="E383" s="15"/>
      <c r="F383" s="15"/>
      <c r="G383" s="16"/>
      <c r="H383" s="16"/>
      <c r="I383" s="15"/>
      <c r="J383" s="15" t="str">
        <f t="shared" si="6"/>
        <v>yyyy-01</v>
      </c>
      <c r="K383" s="16">
        <f t="shared" si="9"/>
        <v>13417.620000000003</v>
      </c>
    </row>
    <row r="384" spans="1:11" ht="15.75" customHeight="1" x14ac:dyDescent="0.25">
      <c r="A384" s="14"/>
      <c r="C384" s="15"/>
      <c r="D384" s="15"/>
      <c r="E384" s="15"/>
      <c r="F384" s="15"/>
      <c r="G384" s="16"/>
      <c r="H384" s="16"/>
      <c r="I384" s="15"/>
      <c r="J384" s="15" t="str">
        <f t="shared" si="6"/>
        <v>yyyy-01</v>
      </c>
      <c r="K384" s="16">
        <f t="shared" si="9"/>
        <v>13417.620000000003</v>
      </c>
    </row>
    <row r="385" spans="1:11" ht="15.75" customHeight="1" x14ac:dyDescent="0.25">
      <c r="A385" s="14"/>
      <c r="C385" s="15"/>
      <c r="D385" s="15"/>
      <c r="E385" s="15"/>
      <c r="F385" s="15"/>
      <c r="G385" s="16"/>
      <c r="H385" s="16"/>
      <c r="I385" s="15"/>
      <c r="J385" s="15" t="str">
        <f t="shared" si="6"/>
        <v>yyyy-01</v>
      </c>
      <c r="K385" s="16">
        <f t="shared" si="9"/>
        <v>13417.620000000003</v>
      </c>
    </row>
    <row r="386" spans="1:11" ht="15.75" customHeight="1" x14ac:dyDescent="0.25">
      <c r="A386" s="14"/>
      <c r="C386" s="15"/>
      <c r="D386" s="15"/>
      <c r="E386" s="15"/>
      <c r="F386" s="15"/>
      <c r="G386" s="16"/>
      <c r="H386" s="16"/>
      <c r="I386" s="15"/>
      <c r="J386" s="15" t="str">
        <f t="shared" si="6"/>
        <v>yyyy-01</v>
      </c>
      <c r="K386" s="16">
        <f t="shared" si="9"/>
        <v>13417.620000000003</v>
      </c>
    </row>
    <row r="387" spans="1:11" ht="15.75" customHeight="1" x14ac:dyDescent="0.25">
      <c r="A387" s="14"/>
      <c r="C387" s="15"/>
      <c r="D387" s="15"/>
      <c r="E387" s="15"/>
      <c r="F387" s="15"/>
      <c r="G387" s="16"/>
      <c r="H387" s="16"/>
      <c r="I387" s="15"/>
      <c r="J387" s="15" t="str">
        <f t="shared" si="6"/>
        <v>yyyy-01</v>
      </c>
      <c r="K387" s="16">
        <f t="shared" si="9"/>
        <v>13417.620000000003</v>
      </c>
    </row>
    <row r="388" spans="1:11" ht="15.75" customHeight="1" x14ac:dyDescent="0.25">
      <c r="A388" s="14"/>
      <c r="C388" s="15"/>
      <c r="D388" s="15"/>
      <c r="E388" s="15"/>
      <c r="F388" s="15"/>
      <c r="G388" s="16"/>
      <c r="H388" s="16"/>
      <c r="I388" s="15"/>
      <c r="J388" s="15" t="str">
        <f t="shared" si="6"/>
        <v>yyyy-01</v>
      </c>
      <c r="K388" s="16">
        <f t="shared" si="9"/>
        <v>13417.620000000003</v>
      </c>
    </row>
    <row r="389" spans="1:11" ht="15.75" customHeight="1" x14ac:dyDescent="0.25">
      <c r="A389" s="14"/>
      <c r="C389" s="15"/>
      <c r="D389" s="15"/>
      <c r="E389" s="15"/>
      <c r="F389" s="15"/>
      <c r="G389" s="16"/>
      <c r="H389" s="16"/>
      <c r="I389" s="15"/>
      <c r="J389" s="15" t="str">
        <f t="shared" si="6"/>
        <v>yyyy-01</v>
      </c>
      <c r="K389" s="16">
        <f t="shared" si="9"/>
        <v>13417.620000000003</v>
      </c>
    </row>
    <row r="390" spans="1:11" ht="15.75" customHeight="1" x14ac:dyDescent="0.25">
      <c r="A390" s="14"/>
      <c r="C390" s="15"/>
      <c r="D390" s="15"/>
      <c r="E390" s="15"/>
      <c r="F390" s="15"/>
      <c r="G390" s="16"/>
      <c r="H390" s="16"/>
      <c r="I390" s="15"/>
      <c r="J390" s="15" t="str">
        <f t="shared" si="6"/>
        <v>yyyy-01</v>
      </c>
      <c r="K390" s="16">
        <f t="shared" si="9"/>
        <v>13417.620000000003</v>
      </c>
    </row>
    <row r="391" spans="1:11" ht="15.75" customHeight="1" x14ac:dyDescent="0.25">
      <c r="A391" s="14"/>
      <c r="C391" s="15"/>
      <c r="D391" s="15"/>
      <c r="E391" s="15"/>
      <c r="F391" s="15"/>
      <c r="G391" s="16"/>
      <c r="H391" s="16"/>
      <c r="I391" s="15"/>
      <c r="J391" s="15" t="str">
        <f t="shared" si="6"/>
        <v>yyyy-01</v>
      </c>
      <c r="K391" s="16">
        <f t="shared" si="9"/>
        <v>13417.620000000003</v>
      </c>
    </row>
    <row r="392" spans="1:11" ht="15.75" customHeight="1" x14ac:dyDescent="0.25">
      <c r="A392" s="14"/>
      <c r="C392" s="15"/>
      <c r="D392" s="15"/>
      <c r="E392" s="15"/>
      <c r="F392" s="15"/>
      <c r="G392" s="16"/>
      <c r="H392" s="16"/>
      <c r="I392" s="15"/>
      <c r="J392" s="15" t="str">
        <f t="shared" si="6"/>
        <v>yyyy-01</v>
      </c>
      <c r="K392" s="16">
        <f t="shared" si="9"/>
        <v>13417.620000000003</v>
      </c>
    </row>
    <row r="393" spans="1:11" ht="15.75" customHeight="1" x14ac:dyDescent="0.25">
      <c r="A393" s="14"/>
      <c r="C393" s="15"/>
      <c r="D393" s="15"/>
      <c r="E393" s="15"/>
      <c r="F393" s="15"/>
      <c r="G393" s="16"/>
      <c r="H393" s="16"/>
      <c r="I393" s="15"/>
      <c r="J393" s="15" t="str">
        <f t="shared" si="6"/>
        <v>yyyy-01</v>
      </c>
      <c r="K393" s="16">
        <f t="shared" si="9"/>
        <v>13417.620000000003</v>
      </c>
    </row>
    <row r="394" spans="1:11" ht="15.75" customHeight="1" x14ac:dyDescent="0.25">
      <c r="A394" s="14"/>
      <c r="C394" s="15"/>
      <c r="D394" s="15"/>
      <c r="E394" s="15"/>
      <c r="F394" s="15"/>
      <c r="G394" s="16"/>
      <c r="H394" s="16"/>
      <c r="I394" s="15"/>
      <c r="J394" s="15" t="str">
        <f t="shared" si="6"/>
        <v>yyyy-01</v>
      </c>
      <c r="K394" s="16">
        <f t="shared" si="9"/>
        <v>13417.620000000003</v>
      </c>
    </row>
    <row r="395" spans="1:11" ht="15.75" customHeight="1" x14ac:dyDescent="0.25">
      <c r="A395" s="14"/>
      <c r="C395" s="15"/>
      <c r="D395" s="15"/>
      <c r="E395" s="15"/>
      <c r="F395" s="15"/>
      <c r="G395" s="16"/>
      <c r="H395" s="16"/>
      <c r="I395" s="15"/>
      <c r="J395" s="15" t="str">
        <f t="shared" si="6"/>
        <v>yyyy-01</v>
      </c>
      <c r="K395" s="16">
        <f t="shared" si="9"/>
        <v>13417.620000000003</v>
      </c>
    </row>
    <row r="396" spans="1:11" ht="15.75" customHeight="1" x14ac:dyDescent="0.25">
      <c r="A396" s="14"/>
      <c r="C396" s="15"/>
      <c r="D396" s="15"/>
      <c r="E396" s="15"/>
      <c r="F396" s="15"/>
      <c r="G396" s="16"/>
      <c r="H396" s="16"/>
      <c r="I396" s="15"/>
      <c r="J396" s="15" t="str">
        <f t="shared" si="6"/>
        <v>yyyy-01</v>
      </c>
      <c r="K396" s="16">
        <f t="shared" si="9"/>
        <v>13417.620000000003</v>
      </c>
    </row>
    <row r="397" spans="1:11" ht="15.75" customHeight="1" x14ac:dyDescent="0.25">
      <c r="A397" s="14"/>
      <c r="C397" s="15"/>
      <c r="D397" s="15"/>
      <c r="E397" s="15"/>
      <c r="F397" s="15"/>
      <c r="G397" s="16"/>
      <c r="H397" s="16"/>
      <c r="I397" s="15"/>
      <c r="J397" s="15" t="str">
        <f t="shared" si="6"/>
        <v>yyyy-01</v>
      </c>
      <c r="K397" s="16">
        <f t="shared" si="9"/>
        <v>13417.620000000003</v>
      </c>
    </row>
    <row r="398" spans="1:11" ht="15.75" customHeight="1" x14ac:dyDescent="0.25">
      <c r="A398" s="14"/>
      <c r="C398" s="15"/>
      <c r="D398" s="15"/>
      <c r="E398" s="15"/>
      <c r="F398" s="15"/>
      <c r="G398" s="16"/>
      <c r="H398" s="16"/>
      <c r="I398" s="15"/>
      <c r="J398" s="15" t="str">
        <f t="shared" si="6"/>
        <v>yyyy-01</v>
      </c>
      <c r="K398" s="16">
        <f t="shared" si="9"/>
        <v>13417.620000000003</v>
      </c>
    </row>
    <row r="399" spans="1:11" ht="15.75" customHeight="1" x14ac:dyDescent="0.25">
      <c r="A399" s="14"/>
      <c r="C399" s="15"/>
      <c r="D399" s="15"/>
      <c r="E399" s="15"/>
      <c r="F399" s="15"/>
      <c r="G399" s="16"/>
      <c r="H399" s="16"/>
      <c r="I399" s="15"/>
      <c r="J399" s="15" t="str">
        <f t="shared" si="6"/>
        <v>yyyy-01</v>
      </c>
      <c r="K399" s="16">
        <f t="shared" si="9"/>
        <v>13417.620000000003</v>
      </c>
    </row>
    <row r="400" spans="1:11" ht="15.75" customHeight="1" x14ac:dyDescent="0.25">
      <c r="A400" s="14"/>
      <c r="C400" s="15"/>
      <c r="D400" s="15"/>
      <c r="E400" s="15"/>
      <c r="F400" s="15"/>
      <c r="G400" s="16"/>
      <c r="H400" s="16"/>
      <c r="I400" s="15"/>
      <c r="J400" s="15" t="str">
        <f t="shared" si="6"/>
        <v>yyyy-01</v>
      </c>
      <c r="K400" s="16">
        <f t="shared" si="9"/>
        <v>13417.620000000003</v>
      </c>
    </row>
    <row r="401" spans="1:11" ht="15.75" customHeight="1" x14ac:dyDescent="0.25">
      <c r="A401" s="14"/>
      <c r="C401" s="15"/>
      <c r="D401" s="15"/>
      <c r="E401" s="15"/>
      <c r="F401" s="15"/>
      <c r="G401" s="16"/>
      <c r="H401" s="16"/>
      <c r="I401" s="15"/>
      <c r="J401" s="15" t="str">
        <f t="shared" si="6"/>
        <v>yyyy-01</v>
      </c>
      <c r="K401" s="16">
        <f t="shared" si="9"/>
        <v>13417.620000000003</v>
      </c>
    </row>
    <row r="402" spans="1:11" ht="15.75" customHeight="1" x14ac:dyDescent="0.25">
      <c r="A402" s="14"/>
      <c r="C402" s="15"/>
      <c r="D402" s="15"/>
      <c r="E402" s="15"/>
      <c r="F402" s="15"/>
      <c r="G402" s="16"/>
      <c r="H402" s="16"/>
      <c r="I402" s="15"/>
      <c r="J402" s="15" t="str">
        <f t="shared" si="6"/>
        <v>yyyy-01</v>
      </c>
      <c r="K402" s="16">
        <f t="shared" si="9"/>
        <v>13417.620000000003</v>
      </c>
    </row>
    <row r="403" spans="1:11" ht="15.75" customHeight="1" x14ac:dyDescent="0.25">
      <c r="A403" s="14"/>
      <c r="C403" s="15"/>
      <c r="D403" s="15"/>
      <c r="E403" s="15"/>
      <c r="F403" s="15"/>
      <c r="G403" s="16"/>
      <c r="H403" s="16"/>
      <c r="I403" s="15"/>
      <c r="J403" s="15" t="str">
        <f t="shared" si="6"/>
        <v>yyyy-01</v>
      </c>
      <c r="K403" s="16">
        <f t="shared" si="9"/>
        <v>13417.620000000003</v>
      </c>
    </row>
    <row r="404" spans="1:11" ht="15.75" customHeight="1" x14ac:dyDescent="0.25">
      <c r="A404" s="14"/>
      <c r="C404" s="15"/>
      <c r="D404" s="15"/>
      <c r="E404" s="15"/>
      <c r="F404" s="15"/>
      <c r="G404" s="16"/>
      <c r="H404" s="16"/>
      <c r="I404" s="15"/>
      <c r="J404" s="15" t="str">
        <f t="shared" si="6"/>
        <v>yyyy-01</v>
      </c>
      <c r="K404" s="16">
        <f t="shared" si="9"/>
        <v>13417.620000000003</v>
      </c>
    </row>
    <row r="405" spans="1:11" ht="15.75" customHeight="1" x14ac:dyDescent="0.25">
      <c r="A405" s="14"/>
      <c r="C405" s="15"/>
      <c r="D405" s="15"/>
      <c r="E405" s="15"/>
      <c r="F405" s="15"/>
      <c r="G405" s="16"/>
      <c r="H405" s="16"/>
      <c r="I405" s="15"/>
      <c r="J405" s="15" t="str">
        <f t="shared" si="6"/>
        <v>yyyy-01</v>
      </c>
      <c r="K405" s="16">
        <f t="shared" si="9"/>
        <v>13417.620000000003</v>
      </c>
    </row>
    <row r="406" spans="1:11" ht="15.75" customHeight="1" x14ac:dyDescent="0.25">
      <c r="A406" s="14"/>
      <c r="C406" s="15"/>
      <c r="D406" s="15"/>
      <c r="E406" s="15"/>
      <c r="F406" s="15"/>
      <c r="G406" s="16"/>
      <c r="H406" s="16"/>
      <c r="I406" s="15"/>
      <c r="J406" s="15" t="str">
        <f t="shared" si="6"/>
        <v>yyyy-01</v>
      </c>
      <c r="K406" s="16">
        <f t="shared" si="9"/>
        <v>13417.620000000003</v>
      </c>
    </row>
    <row r="407" spans="1:11" ht="15.75" customHeight="1" x14ac:dyDescent="0.25">
      <c r="A407" s="14"/>
      <c r="C407" s="15"/>
      <c r="D407" s="15"/>
      <c r="E407" s="15"/>
      <c r="F407" s="15"/>
      <c r="G407" s="16"/>
      <c r="H407" s="16"/>
      <c r="I407" s="15"/>
      <c r="J407" s="15" t="str">
        <f t="shared" si="6"/>
        <v>yyyy-01</v>
      </c>
      <c r="K407" s="16">
        <f t="shared" si="9"/>
        <v>13417.620000000003</v>
      </c>
    </row>
    <row r="408" spans="1:11" ht="15.75" customHeight="1" x14ac:dyDescent="0.25">
      <c r="A408" s="14"/>
      <c r="C408" s="15"/>
      <c r="D408" s="15"/>
      <c r="E408" s="15"/>
      <c r="F408" s="15"/>
      <c r="G408" s="16"/>
      <c r="H408" s="16"/>
      <c r="I408" s="15"/>
      <c r="J408" s="15" t="str">
        <f t="shared" si="6"/>
        <v>yyyy-01</v>
      </c>
      <c r="K408" s="16">
        <f t="shared" si="9"/>
        <v>13417.620000000003</v>
      </c>
    </row>
    <row r="409" spans="1:11" ht="15.75" customHeight="1" x14ac:dyDescent="0.25">
      <c r="A409" s="14"/>
      <c r="C409" s="15"/>
      <c r="D409" s="15"/>
      <c r="E409" s="15"/>
      <c r="F409" s="15"/>
      <c r="G409" s="16"/>
      <c r="H409" s="16"/>
      <c r="I409" s="15"/>
      <c r="J409" s="15" t="str">
        <f t="shared" si="6"/>
        <v>yyyy-01</v>
      </c>
      <c r="K409" s="16">
        <f t="shared" si="9"/>
        <v>13417.620000000003</v>
      </c>
    </row>
    <row r="410" spans="1:11" ht="15.75" customHeight="1" x14ac:dyDescent="0.25">
      <c r="A410" s="14"/>
      <c r="C410" s="15"/>
      <c r="D410" s="15"/>
      <c r="E410" s="15"/>
      <c r="F410" s="15"/>
      <c r="G410" s="16"/>
      <c r="H410" s="16"/>
      <c r="I410" s="15"/>
      <c r="J410" s="15" t="str">
        <f t="shared" si="6"/>
        <v>yyyy-01</v>
      </c>
      <c r="K410" s="16">
        <f t="shared" si="9"/>
        <v>13417.620000000003</v>
      </c>
    </row>
    <row r="411" spans="1:11" ht="15.75" customHeight="1" x14ac:dyDescent="0.25">
      <c r="A411" s="14"/>
      <c r="C411" s="15"/>
      <c r="D411" s="15"/>
      <c r="E411" s="15"/>
      <c r="F411" s="15"/>
      <c r="G411" s="16"/>
      <c r="H411" s="16"/>
      <c r="I411" s="15"/>
      <c r="J411" s="15" t="str">
        <f t="shared" si="6"/>
        <v>yyyy-01</v>
      </c>
      <c r="K411" s="16">
        <f t="shared" si="9"/>
        <v>13417.620000000003</v>
      </c>
    </row>
    <row r="412" spans="1:11" ht="15.75" customHeight="1" x14ac:dyDescent="0.25">
      <c r="A412" s="14"/>
      <c r="C412" s="15"/>
      <c r="D412" s="15"/>
      <c r="E412" s="15"/>
      <c r="F412" s="15"/>
      <c r="G412" s="16"/>
      <c r="H412" s="16"/>
      <c r="I412" s="15"/>
      <c r="J412" s="15" t="str">
        <f t="shared" si="6"/>
        <v>yyyy-01</v>
      </c>
      <c r="K412" s="16">
        <f t="shared" si="9"/>
        <v>13417.620000000003</v>
      </c>
    </row>
    <row r="413" spans="1:11" ht="15.75" customHeight="1" x14ac:dyDescent="0.25">
      <c r="A413" s="14"/>
      <c r="C413" s="15"/>
      <c r="D413" s="15"/>
      <c r="E413" s="15"/>
      <c r="F413" s="15"/>
      <c r="G413" s="16"/>
      <c r="H413" s="16"/>
      <c r="I413" s="15"/>
      <c r="J413" s="15" t="str">
        <f t="shared" si="6"/>
        <v>yyyy-01</v>
      </c>
      <c r="K413" s="16">
        <f t="shared" si="9"/>
        <v>13417.620000000003</v>
      </c>
    </row>
    <row r="414" spans="1:11" ht="15.75" customHeight="1" x14ac:dyDescent="0.25">
      <c r="A414" s="14"/>
      <c r="C414" s="15"/>
      <c r="D414" s="15"/>
      <c r="E414" s="15"/>
      <c r="F414" s="15"/>
      <c r="G414" s="16"/>
      <c r="H414" s="16"/>
      <c r="I414" s="15"/>
      <c r="J414" s="15" t="str">
        <f t="shared" si="6"/>
        <v>yyyy-01</v>
      </c>
      <c r="K414" s="16">
        <f t="shared" si="9"/>
        <v>13417.620000000003</v>
      </c>
    </row>
    <row r="415" spans="1:11" ht="15.75" customHeight="1" x14ac:dyDescent="0.25">
      <c r="A415" s="14"/>
      <c r="C415" s="15"/>
      <c r="D415" s="15"/>
      <c r="E415" s="15"/>
      <c r="F415" s="15"/>
      <c r="G415" s="16"/>
      <c r="H415" s="16"/>
      <c r="I415" s="15"/>
      <c r="J415" s="15" t="str">
        <f t="shared" si="6"/>
        <v>yyyy-01</v>
      </c>
      <c r="K415" s="16">
        <f t="shared" ref="K415:K478" si="10">K414 + IF(C415="Entrada", G415, -G415)</f>
        <v>13417.620000000003</v>
      </c>
    </row>
    <row r="416" spans="1:11" ht="15.75" customHeight="1" x14ac:dyDescent="0.25">
      <c r="A416" s="14"/>
      <c r="C416" s="15"/>
      <c r="D416" s="15"/>
      <c r="E416" s="15"/>
      <c r="F416" s="15"/>
      <c r="G416" s="16"/>
      <c r="H416" s="16"/>
      <c r="I416" s="15"/>
      <c r="J416" s="15" t="str">
        <f t="shared" si="6"/>
        <v>yyyy-01</v>
      </c>
      <c r="K416" s="16">
        <f t="shared" si="10"/>
        <v>13417.620000000003</v>
      </c>
    </row>
    <row r="417" spans="1:11" ht="15.75" customHeight="1" x14ac:dyDescent="0.25">
      <c r="A417" s="14"/>
      <c r="C417" s="15"/>
      <c r="D417" s="15"/>
      <c r="E417" s="15"/>
      <c r="F417" s="15"/>
      <c r="G417" s="16"/>
      <c r="H417" s="16"/>
      <c r="I417" s="15"/>
      <c r="J417" s="15" t="str">
        <f t="shared" si="6"/>
        <v>yyyy-01</v>
      </c>
      <c r="K417" s="16">
        <f t="shared" si="10"/>
        <v>13417.620000000003</v>
      </c>
    </row>
    <row r="418" spans="1:11" ht="15.75" customHeight="1" x14ac:dyDescent="0.25">
      <c r="A418" s="14"/>
      <c r="C418" s="15"/>
      <c r="D418" s="15"/>
      <c r="E418" s="15"/>
      <c r="F418" s="15"/>
      <c r="G418" s="16"/>
      <c r="H418" s="16"/>
      <c r="I418" s="15"/>
      <c r="J418" s="15" t="str">
        <f t="shared" si="6"/>
        <v>yyyy-01</v>
      </c>
      <c r="K418" s="16">
        <f t="shared" si="10"/>
        <v>13417.620000000003</v>
      </c>
    </row>
    <row r="419" spans="1:11" ht="15.75" customHeight="1" x14ac:dyDescent="0.25">
      <c r="A419" s="14"/>
      <c r="C419" s="15"/>
      <c r="D419" s="15"/>
      <c r="E419" s="15"/>
      <c r="F419" s="15"/>
      <c r="G419" s="16"/>
      <c r="H419" s="16"/>
      <c r="I419" s="15"/>
      <c r="J419" s="15" t="str">
        <f t="shared" si="6"/>
        <v>yyyy-01</v>
      </c>
      <c r="K419" s="16">
        <f t="shared" si="10"/>
        <v>13417.620000000003</v>
      </c>
    </row>
    <row r="420" spans="1:11" ht="15.75" customHeight="1" x14ac:dyDescent="0.25">
      <c r="A420" s="14"/>
      <c r="C420" s="15"/>
      <c r="D420" s="15"/>
      <c r="E420" s="15"/>
      <c r="F420" s="15"/>
      <c r="G420" s="16"/>
      <c r="H420" s="16"/>
      <c r="I420" s="15"/>
      <c r="J420" s="15" t="str">
        <f t="shared" si="6"/>
        <v>yyyy-01</v>
      </c>
      <c r="K420" s="16">
        <f t="shared" si="10"/>
        <v>13417.620000000003</v>
      </c>
    </row>
    <row r="421" spans="1:11" ht="15.75" customHeight="1" x14ac:dyDescent="0.25">
      <c r="A421" s="14"/>
      <c r="C421" s="15"/>
      <c r="D421" s="15"/>
      <c r="E421" s="15"/>
      <c r="F421" s="15"/>
      <c r="G421" s="16"/>
      <c r="H421" s="16"/>
      <c r="I421" s="15"/>
      <c r="J421" s="15" t="str">
        <f t="shared" si="6"/>
        <v>yyyy-01</v>
      </c>
      <c r="K421" s="16">
        <f t="shared" si="10"/>
        <v>13417.620000000003</v>
      </c>
    </row>
    <row r="422" spans="1:11" ht="15.75" customHeight="1" x14ac:dyDescent="0.25">
      <c r="A422" s="14"/>
      <c r="C422" s="15"/>
      <c r="D422" s="15"/>
      <c r="E422" s="15"/>
      <c r="F422" s="15"/>
      <c r="G422" s="16"/>
      <c r="H422" s="16"/>
      <c r="I422" s="15"/>
      <c r="J422" s="15" t="str">
        <f t="shared" si="6"/>
        <v>yyyy-01</v>
      </c>
      <c r="K422" s="16">
        <f t="shared" si="10"/>
        <v>13417.620000000003</v>
      </c>
    </row>
    <row r="423" spans="1:11" ht="15.75" customHeight="1" x14ac:dyDescent="0.25">
      <c r="A423" s="14"/>
      <c r="C423" s="15"/>
      <c r="D423" s="15"/>
      <c r="E423" s="15"/>
      <c r="F423" s="15"/>
      <c r="G423" s="16"/>
      <c r="H423" s="16"/>
      <c r="I423" s="15"/>
      <c r="J423" s="15" t="str">
        <f t="shared" si="6"/>
        <v>yyyy-01</v>
      </c>
      <c r="K423" s="16">
        <f t="shared" si="10"/>
        <v>13417.620000000003</v>
      </c>
    </row>
    <row r="424" spans="1:11" ht="15.75" customHeight="1" x14ac:dyDescent="0.25">
      <c r="A424" s="14"/>
      <c r="C424" s="15"/>
      <c r="D424" s="15"/>
      <c r="E424" s="15"/>
      <c r="F424" s="15"/>
      <c r="G424" s="16"/>
      <c r="H424" s="16"/>
      <c r="I424" s="15"/>
      <c r="J424" s="15" t="str">
        <f t="shared" si="6"/>
        <v>yyyy-01</v>
      </c>
      <c r="K424" s="16">
        <f t="shared" si="10"/>
        <v>13417.620000000003</v>
      </c>
    </row>
    <row r="425" spans="1:11" ht="15.75" customHeight="1" x14ac:dyDescent="0.25">
      <c r="A425" s="14"/>
      <c r="C425" s="15"/>
      <c r="D425" s="15"/>
      <c r="E425" s="15"/>
      <c r="F425" s="15"/>
      <c r="G425" s="16"/>
      <c r="H425" s="16"/>
      <c r="I425" s="15"/>
      <c r="J425" s="15" t="str">
        <f t="shared" si="6"/>
        <v>yyyy-01</v>
      </c>
      <c r="K425" s="16">
        <f t="shared" si="10"/>
        <v>13417.620000000003</v>
      </c>
    </row>
    <row r="426" spans="1:11" ht="15.75" customHeight="1" x14ac:dyDescent="0.25">
      <c r="A426" s="14"/>
      <c r="C426" s="15"/>
      <c r="D426" s="15"/>
      <c r="E426" s="15"/>
      <c r="F426" s="15"/>
      <c r="G426" s="16"/>
      <c r="H426" s="16"/>
      <c r="I426" s="15"/>
      <c r="J426" s="15" t="str">
        <f t="shared" si="6"/>
        <v>yyyy-01</v>
      </c>
      <c r="K426" s="16">
        <f t="shared" si="10"/>
        <v>13417.620000000003</v>
      </c>
    </row>
    <row r="427" spans="1:11" ht="15.75" customHeight="1" x14ac:dyDescent="0.25">
      <c r="A427" s="14"/>
      <c r="C427" s="15"/>
      <c r="D427" s="15"/>
      <c r="E427" s="15"/>
      <c r="F427" s="15"/>
      <c r="G427" s="16"/>
      <c r="H427" s="16"/>
      <c r="I427" s="15"/>
      <c r="J427" s="15" t="str">
        <f t="shared" si="6"/>
        <v>yyyy-01</v>
      </c>
      <c r="K427" s="16">
        <f t="shared" si="10"/>
        <v>13417.620000000003</v>
      </c>
    </row>
    <row r="428" spans="1:11" ht="15.75" customHeight="1" x14ac:dyDescent="0.25">
      <c r="A428" s="14"/>
      <c r="C428" s="15"/>
      <c r="D428" s="15"/>
      <c r="E428" s="15"/>
      <c r="F428" s="15"/>
      <c r="G428" s="16"/>
      <c r="H428" s="16"/>
      <c r="I428" s="15"/>
      <c r="J428" s="15" t="str">
        <f t="shared" si="6"/>
        <v>yyyy-01</v>
      </c>
      <c r="K428" s="16">
        <f t="shared" si="10"/>
        <v>13417.620000000003</v>
      </c>
    </row>
    <row r="429" spans="1:11" ht="15.75" customHeight="1" x14ac:dyDescent="0.25">
      <c r="A429" s="14"/>
      <c r="C429" s="15"/>
      <c r="D429" s="15"/>
      <c r="E429" s="15"/>
      <c r="F429" s="15"/>
      <c r="G429" s="16"/>
      <c r="H429" s="16"/>
      <c r="I429" s="15"/>
      <c r="J429" s="15" t="str">
        <f t="shared" si="6"/>
        <v>yyyy-01</v>
      </c>
      <c r="K429" s="16">
        <f t="shared" si="10"/>
        <v>13417.620000000003</v>
      </c>
    </row>
    <row r="430" spans="1:11" ht="15.75" customHeight="1" x14ac:dyDescent="0.25">
      <c r="A430" s="14"/>
      <c r="C430" s="15"/>
      <c r="D430" s="15"/>
      <c r="E430" s="15"/>
      <c r="F430" s="15"/>
      <c r="G430" s="16"/>
      <c r="H430" s="16"/>
      <c r="I430" s="15"/>
      <c r="J430" s="15" t="str">
        <f t="shared" si="6"/>
        <v>yyyy-01</v>
      </c>
      <c r="K430" s="16">
        <f t="shared" si="10"/>
        <v>13417.620000000003</v>
      </c>
    </row>
    <row r="431" spans="1:11" ht="15.75" customHeight="1" x14ac:dyDescent="0.25">
      <c r="A431" s="14"/>
      <c r="C431" s="15"/>
      <c r="D431" s="15"/>
      <c r="E431" s="15"/>
      <c r="F431" s="15"/>
      <c r="G431" s="16"/>
      <c r="H431" s="16"/>
      <c r="I431" s="15"/>
      <c r="J431" s="15" t="str">
        <f t="shared" si="6"/>
        <v>yyyy-01</v>
      </c>
      <c r="K431" s="16">
        <f t="shared" si="10"/>
        <v>13417.620000000003</v>
      </c>
    </row>
    <row r="432" spans="1:11" ht="15.75" customHeight="1" x14ac:dyDescent="0.25">
      <c r="A432" s="14"/>
      <c r="C432" s="15"/>
      <c r="D432" s="15"/>
      <c r="E432" s="15"/>
      <c r="F432" s="15"/>
      <c r="G432" s="16"/>
      <c r="H432" s="16"/>
      <c r="I432" s="15"/>
      <c r="J432" s="15" t="str">
        <f t="shared" si="6"/>
        <v>yyyy-01</v>
      </c>
      <c r="K432" s="16">
        <f t="shared" si="10"/>
        <v>13417.620000000003</v>
      </c>
    </row>
    <row r="433" spans="1:11" ht="15.75" customHeight="1" x14ac:dyDescent="0.25">
      <c r="A433" s="14"/>
      <c r="C433" s="15"/>
      <c r="D433" s="15"/>
      <c r="E433" s="15"/>
      <c r="F433" s="15"/>
      <c r="G433" s="16"/>
      <c r="H433" s="16"/>
      <c r="I433" s="15"/>
      <c r="J433" s="15" t="str">
        <f t="shared" si="6"/>
        <v>yyyy-01</v>
      </c>
      <c r="K433" s="16">
        <f t="shared" si="10"/>
        <v>13417.620000000003</v>
      </c>
    </row>
    <row r="434" spans="1:11" ht="15.75" customHeight="1" x14ac:dyDescent="0.25">
      <c r="A434" s="14"/>
      <c r="C434" s="15"/>
      <c r="D434" s="15"/>
      <c r="E434" s="15"/>
      <c r="F434" s="15"/>
      <c r="G434" s="16"/>
      <c r="H434" s="16"/>
      <c r="I434" s="15"/>
      <c r="J434" s="15" t="str">
        <f t="shared" si="6"/>
        <v>yyyy-01</v>
      </c>
      <c r="K434" s="16">
        <f t="shared" si="10"/>
        <v>13417.620000000003</v>
      </c>
    </row>
    <row r="435" spans="1:11" ht="15.75" customHeight="1" x14ac:dyDescent="0.25">
      <c r="A435" s="14"/>
      <c r="C435" s="15"/>
      <c r="D435" s="15"/>
      <c r="E435" s="15"/>
      <c r="F435" s="15"/>
      <c r="G435" s="16"/>
      <c r="H435" s="16"/>
      <c r="I435" s="15"/>
      <c r="J435" s="15" t="str">
        <f t="shared" si="6"/>
        <v>yyyy-01</v>
      </c>
      <c r="K435" s="16">
        <f t="shared" si="10"/>
        <v>13417.620000000003</v>
      </c>
    </row>
    <row r="436" spans="1:11" ht="15.75" customHeight="1" x14ac:dyDescent="0.25">
      <c r="A436" s="14"/>
      <c r="C436" s="15"/>
      <c r="D436" s="15"/>
      <c r="E436" s="15"/>
      <c r="F436" s="15"/>
      <c r="G436" s="16"/>
      <c r="H436" s="16"/>
      <c r="I436" s="15"/>
      <c r="J436" s="15" t="str">
        <f t="shared" si="6"/>
        <v>yyyy-01</v>
      </c>
      <c r="K436" s="16">
        <f t="shared" si="10"/>
        <v>13417.620000000003</v>
      </c>
    </row>
    <row r="437" spans="1:11" ht="15.75" customHeight="1" x14ac:dyDescent="0.25">
      <c r="A437" s="14"/>
      <c r="C437" s="15"/>
      <c r="D437" s="15"/>
      <c r="E437" s="15"/>
      <c r="F437" s="15"/>
      <c r="G437" s="16"/>
      <c r="H437" s="16"/>
      <c r="I437" s="15"/>
      <c r="J437" s="15" t="str">
        <f t="shared" si="6"/>
        <v>yyyy-01</v>
      </c>
      <c r="K437" s="16">
        <f t="shared" si="10"/>
        <v>13417.620000000003</v>
      </c>
    </row>
    <row r="438" spans="1:11" ht="15.75" customHeight="1" x14ac:dyDescent="0.25">
      <c r="A438" s="14"/>
      <c r="C438" s="15"/>
      <c r="D438" s="15"/>
      <c r="E438" s="15"/>
      <c r="F438" s="15"/>
      <c r="G438" s="16"/>
      <c r="H438" s="16"/>
      <c r="I438" s="15"/>
      <c r="J438" s="15" t="str">
        <f t="shared" si="6"/>
        <v>yyyy-01</v>
      </c>
      <c r="K438" s="16">
        <f t="shared" si="10"/>
        <v>13417.620000000003</v>
      </c>
    </row>
    <row r="439" spans="1:11" ht="15.75" customHeight="1" x14ac:dyDescent="0.25">
      <c r="A439" s="14"/>
      <c r="C439" s="15"/>
      <c r="D439" s="15"/>
      <c r="E439" s="15"/>
      <c r="F439" s="15"/>
      <c r="G439" s="16"/>
      <c r="H439" s="16"/>
      <c r="I439" s="15"/>
      <c r="J439" s="15" t="str">
        <f t="shared" si="6"/>
        <v>yyyy-01</v>
      </c>
      <c r="K439" s="16">
        <f t="shared" si="10"/>
        <v>13417.620000000003</v>
      </c>
    </row>
    <row r="440" spans="1:11" ht="15.75" customHeight="1" x14ac:dyDescent="0.25">
      <c r="A440" s="14"/>
      <c r="C440" s="15"/>
      <c r="D440" s="15"/>
      <c r="E440" s="15"/>
      <c r="F440" s="15"/>
      <c r="G440" s="16"/>
      <c r="H440" s="16"/>
      <c r="I440" s="15"/>
      <c r="J440" s="15" t="str">
        <f t="shared" si="6"/>
        <v>yyyy-01</v>
      </c>
      <c r="K440" s="16">
        <f t="shared" si="10"/>
        <v>13417.620000000003</v>
      </c>
    </row>
    <row r="441" spans="1:11" ht="15.75" customHeight="1" x14ac:dyDescent="0.25">
      <c r="A441" s="14"/>
      <c r="C441" s="15"/>
      <c r="D441" s="15"/>
      <c r="E441" s="15"/>
      <c r="F441" s="15"/>
      <c r="G441" s="16"/>
      <c r="H441" s="16"/>
      <c r="I441" s="15"/>
      <c r="J441" s="15" t="str">
        <f t="shared" si="6"/>
        <v>yyyy-01</v>
      </c>
      <c r="K441" s="16">
        <f t="shared" si="10"/>
        <v>13417.620000000003</v>
      </c>
    </row>
    <row r="442" spans="1:11" ht="15.75" customHeight="1" x14ac:dyDescent="0.25">
      <c r="A442" s="14"/>
      <c r="C442" s="15"/>
      <c r="D442" s="15"/>
      <c r="E442" s="15"/>
      <c r="F442" s="15"/>
      <c r="G442" s="16"/>
      <c r="H442" s="16"/>
      <c r="I442" s="15"/>
      <c r="J442" s="15" t="str">
        <f t="shared" si="6"/>
        <v>yyyy-01</v>
      </c>
      <c r="K442" s="16">
        <f t="shared" si="10"/>
        <v>13417.620000000003</v>
      </c>
    </row>
    <row r="443" spans="1:11" ht="15.75" customHeight="1" x14ac:dyDescent="0.25">
      <c r="A443" s="14"/>
      <c r="C443" s="15"/>
      <c r="D443" s="15"/>
      <c r="E443" s="15"/>
      <c r="F443" s="15"/>
      <c r="G443" s="16"/>
      <c r="H443" s="16"/>
      <c r="I443" s="15"/>
      <c r="J443" s="15" t="str">
        <f t="shared" si="6"/>
        <v>yyyy-01</v>
      </c>
      <c r="K443" s="16">
        <f t="shared" si="10"/>
        <v>13417.620000000003</v>
      </c>
    </row>
    <row r="444" spans="1:11" ht="15.75" customHeight="1" x14ac:dyDescent="0.25">
      <c r="A444" s="14"/>
      <c r="C444" s="15"/>
      <c r="D444" s="15"/>
      <c r="E444" s="15"/>
      <c r="F444" s="15"/>
      <c r="G444" s="16"/>
      <c r="H444" s="16"/>
      <c r="I444" s="15"/>
      <c r="J444" s="15" t="str">
        <f t="shared" si="6"/>
        <v>yyyy-01</v>
      </c>
      <c r="K444" s="16">
        <f t="shared" si="10"/>
        <v>13417.620000000003</v>
      </c>
    </row>
    <row r="445" spans="1:11" ht="15.75" customHeight="1" x14ac:dyDescent="0.25">
      <c r="A445" s="14"/>
      <c r="C445" s="15"/>
      <c r="D445" s="15"/>
      <c r="E445" s="15"/>
      <c r="F445" s="15"/>
      <c r="G445" s="16"/>
      <c r="H445" s="16"/>
      <c r="I445" s="15"/>
      <c r="J445" s="15" t="str">
        <f t="shared" si="6"/>
        <v>yyyy-01</v>
      </c>
      <c r="K445" s="16">
        <f t="shared" si="10"/>
        <v>13417.620000000003</v>
      </c>
    </row>
    <row r="446" spans="1:11" ht="15.75" customHeight="1" x14ac:dyDescent="0.25">
      <c r="A446" s="14"/>
      <c r="C446" s="15"/>
      <c r="D446" s="15"/>
      <c r="E446" s="15"/>
      <c r="F446" s="15"/>
      <c r="G446" s="16"/>
      <c r="H446" s="16"/>
      <c r="I446" s="15"/>
      <c r="J446" s="15" t="str">
        <f t="shared" si="6"/>
        <v>yyyy-01</v>
      </c>
      <c r="K446" s="16">
        <f t="shared" si="10"/>
        <v>13417.620000000003</v>
      </c>
    </row>
    <row r="447" spans="1:11" ht="15.75" customHeight="1" x14ac:dyDescent="0.25">
      <c r="A447" s="14"/>
      <c r="C447" s="15"/>
      <c r="D447" s="15"/>
      <c r="E447" s="15"/>
      <c r="F447" s="15"/>
      <c r="G447" s="16"/>
      <c r="H447" s="16"/>
      <c r="I447" s="15"/>
      <c r="J447" s="15" t="str">
        <f t="shared" si="6"/>
        <v>yyyy-01</v>
      </c>
      <c r="K447" s="16">
        <f t="shared" si="10"/>
        <v>13417.620000000003</v>
      </c>
    </row>
    <row r="448" spans="1:11" ht="15.75" customHeight="1" x14ac:dyDescent="0.25">
      <c r="A448" s="14"/>
      <c r="C448" s="15"/>
      <c r="D448" s="15"/>
      <c r="E448" s="15"/>
      <c r="F448" s="15"/>
      <c r="G448" s="16"/>
      <c r="H448" s="16"/>
      <c r="I448" s="15"/>
      <c r="J448" s="15" t="str">
        <f t="shared" si="6"/>
        <v>yyyy-01</v>
      </c>
      <c r="K448" s="16">
        <f t="shared" si="10"/>
        <v>13417.620000000003</v>
      </c>
    </row>
    <row r="449" spans="1:11" ht="15.75" customHeight="1" x14ac:dyDescent="0.25">
      <c r="A449" s="14"/>
      <c r="C449" s="15"/>
      <c r="D449" s="15"/>
      <c r="E449" s="15"/>
      <c r="F449" s="15"/>
      <c r="G449" s="16"/>
      <c r="H449" s="16"/>
      <c r="I449" s="15"/>
      <c r="J449" s="15" t="str">
        <f t="shared" si="6"/>
        <v>yyyy-01</v>
      </c>
      <c r="K449" s="16">
        <f t="shared" si="10"/>
        <v>13417.620000000003</v>
      </c>
    </row>
    <row r="450" spans="1:11" ht="15.75" customHeight="1" x14ac:dyDescent="0.25">
      <c r="A450" s="14"/>
      <c r="C450" s="15"/>
      <c r="D450" s="15"/>
      <c r="E450" s="15"/>
      <c r="F450" s="15"/>
      <c r="G450" s="16"/>
      <c r="H450" s="16"/>
      <c r="I450" s="15"/>
      <c r="J450" s="15" t="str">
        <f t="shared" si="6"/>
        <v>yyyy-01</v>
      </c>
      <c r="K450" s="16">
        <f t="shared" si="10"/>
        <v>13417.620000000003</v>
      </c>
    </row>
    <row r="451" spans="1:11" ht="15.75" customHeight="1" x14ac:dyDescent="0.25">
      <c r="A451" s="14"/>
      <c r="C451" s="15"/>
      <c r="D451" s="15"/>
      <c r="E451" s="15"/>
      <c r="F451" s="15"/>
      <c r="G451" s="16"/>
      <c r="H451" s="16"/>
      <c r="I451" s="15"/>
      <c r="J451" s="15" t="str">
        <f t="shared" si="6"/>
        <v>yyyy-01</v>
      </c>
      <c r="K451" s="16">
        <f t="shared" si="10"/>
        <v>13417.620000000003</v>
      </c>
    </row>
    <row r="452" spans="1:11" ht="15.75" customHeight="1" x14ac:dyDescent="0.25">
      <c r="A452" s="14"/>
      <c r="C452" s="15"/>
      <c r="D452" s="15"/>
      <c r="E452" s="15"/>
      <c r="F452" s="15"/>
      <c r="G452" s="16"/>
      <c r="H452" s="16"/>
      <c r="I452" s="15"/>
      <c r="J452" s="15" t="str">
        <f t="shared" si="6"/>
        <v>yyyy-01</v>
      </c>
      <c r="K452" s="16">
        <f t="shared" si="10"/>
        <v>13417.620000000003</v>
      </c>
    </row>
    <row r="453" spans="1:11" ht="15.75" customHeight="1" x14ac:dyDescent="0.25">
      <c r="A453" s="14"/>
      <c r="C453" s="15"/>
      <c r="D453" s="15"/>
      <c r="E453" s="15"/>
      <c r="F453" s="15"/>
      <c r="G453" s="16"/>
      <c r="H453" s="16"/>
      <c r="I453" s="15"/>
      <c r="J453" s="15" t="str">
        <f t="shared" si="6"/>
        <v>yyyy-01</v>
      </c>
      <c r="K453" s="16">
        <f t="shared" si="10"/>
        <v>13417.620000000003</v>
      </c>
    </row>
    <row r="454" spans="1:11" ht="15.75" customHeight="1" x14ac:dyDescent="0.25">
      <c r="A454" s="14"/>
      <c r="C454" s="15"/>
      <c r="D454" s="15"/>
      <c r="E454" s="15"/>
      <c r="F454" s="15"/>
      <c r="G454" s="16"/>
      <c r="H454" s="16"/>
      <c r="I454" s="15"/>
      <c r="J454" s="15" t="str">
        <f t="shared" si="6"/>
        <v>yyyy-01</v>
      </c>
      <c r="K454" s="16">
        <f t="shared" si="10"/>
        <v>13417.620000000003</v>
      </c>
    </row>
    <row r="455" spans="1:11" ht="15.75" customHeight="1" x14ac:dyDescent="0.25">
      <c r="A455" s="14"/>
      <c r="C455" s="15"/>
      <c r="D455" s="15"/>
      <c r="E455" s="15"/>
      <c r="F455" s="15"/>
      <c r="G455" s="16"/>
      <c r="H455" s="16"/>
      <c r="I455" s="15"/>
      <c r="J455" s="15" t="str">
        <f t="shared" si="6"/>
        <v>yyyy-01</v>
      </c>
      <c r="K455" s="16">
        <f t="shared" si="10"/>
        <v>13417.620000000003</v>
      </c>
    </row>
    <row r="456" spans="1:11" ht="15.75" customHeight="1" x14ac:dyDescent="0.25">
      <c r="A456" s="14"/>
      <c r="C456" s="15"/>
      <c r="D456" s="15"/>
      <c r="E456" s="15"/>
      <c r="F456" s="15"/>
      <c r="G456" s="16"/>
      <c r="H456" s="16"/>
      <c r="I456" s="15"/>
      <c r="J456" s="15" t="str">
        <f t="shared" si="6"/>
        <v>yyyy-01</v>
      </c>
      <c r="K456" s="16">
        <f t="shared" si="10"/>
        <v>13417.620000000003</v>
      </c>
    </row>
    <row r="457" spans="1:11" ht="15.75" customHeight="1" x14ac:dyDescent="0.25">
      <c r="A457" s="14"/>
      <c r="C457" s="15"/>
      <c r="D457" s="15"/>
      <c r="E457" s="15"/>
      <c r="F457" s="15"/>
      <c r="G457" s="16"/>
      <c r="H457" s="16"/>
      <c r="I457" s="15"/>
      <c r="J457" s="15" t="str">
        <f t="shared" si="6"/>
        <v>yyyy-01</v>
      </c>
      <c r="K457" s="16">
        <f t="shared" si="10"/>
        <v>13417.620000000003</v>
      </c>
    </row>
    <row r="458" spans="1:11" ht="15.75" customHeight="1" x14ac:dyDescent="0.25">
      <c r="A458" s="14"/>
      <c r="C458" s="15"/>
      <c r="D458" s="15"/>
      <c r="E458" s="15"/>
      <c r="F458" s="15"/>
      <c r="G458" s="16"/>
      <c r="H458" s="16"/>
      <c r="I458" s="15"/>
      <c r="J458" s="15" t="str">
        <f t="shared" si="6"/>
        <v>yyyy-01</v>
      </c>
      <c r="K458" s="16">
        <f t="shared" si="10"/>
        <v>13417.620000000003</v>
      </c>
    </row>
    <row r="459" spans="1:11" ht="15.75" customHeight="1" x14ac:dyDescent="0.25">
      <c r="A459" s="14"/>
      <c r="C459" s="15"/>
      <c r="D459" s="15"/>
      <c r="E459" s="15"/>
      <c r="F459" s="15"/>
      <c r="G459" s="16"/>
      <c r="H459" s="16"/>
      <c r="I459" s="15"/>
      <c r="J459" s="15" t="str">
        <f t="shared" si="6"/>
        <v>yyyy-01</v>
      </c>
      <c r="K459" s="16">
        <f t="shared" si="10"/>
        <v>13417.620000000003</v>
      </c>
    </row>
    <row r="460" spans="1:11" ht="15.75" customHeight="1" x14ac:dyDescent="0.25">
      <c r="A460" s="14"/>
      <c r="C460" s="15"/>
      <c r="D460" s="15"/>
      <c r="E460" s="15"/>
      <c r="F460" s="15"/>
      <c r="G460" s="16"/>
      <c r="H460" s="16"/>
      <c r="I460" s="15"/>
      <c r="J460" s="15" t="str">
        <f t="shared" si="6"/>
        <v>yyyy-01</v>
      </c>
      <c r="K460" s="16">
        <f t="shared" si="10"/>
        <v>13417.620000000003</v>
      </c>
    </row>
    <row r="461" spans="1:11" ht="15.75" customHeight="1" x14ac:dyDescent="0.25">
      <c r="A461" s="14"/>
      <c r="C461" s="15"/>
      <c r="D461" s="15"/>
      <c r="E461" s="15"/>
      <c r="F461" s="15"/>
      <c r="G461" s="16"/>
      <c r="H461" s="16"/>
      <c r="I461" s="15"/>
      <c r="J461" s="15" t="str">
        <f t="shared" si="6"/>
        <v>yyyy-01</v>
      </c>
      <c r="K461" s="16">
        <f t="shared" si="10"/>
        <v>13417.620000000003</v>
      </c>
    </row>
    <row r="462" spans="1:11" ht="15.75" customHeight="1" x14ac:dyDescent="0.25">
      <c r="A462" s="14"/>
      <c r="C462" s="15"/>
      <c r="D462" s="15"/>
      <c r="E462" s="15"/>
      <c r="F462" s="15"/>
      <c r="G462" s="16"/>
      <c r="H462" s="16"/>
      <c r="I462" s="15"/>
      <c r="J462" s="15" t="str">
        <f t="shared" si="6"/>
        <v>yyyy-01</v>
      </c>
      <c r="K462" s="16">
        <f t="shared" si="10"/>
        <v>13417.620000000003</v>
      </c>
    </row>
    <row r="463" spans="1:11" ht="15.75" customHeight="1" x14ac:dyDescent="0.25">
      <c r="A463" s="14"/>
      <c r="C463" s="15"/>
      <c r="D463" s="15"/>
      <c r="E463" s="15"/>
      <c r="F463" s="15"/>
      <c r="G463" s="16"/>
      <c r="H463" s="16"/>
      <c r="I463" s="15"/>
      <c r="J463" s="15" t="str">
        <f t="shared" si="6"/>
        <v>yyyy-01</v>
      </c>
      <c r="K463" s="16">
        <f t="shared" si="10"/>
        <v>13417.620000000003</v>
      </c>
    </row>
    <row r="464" spans="1:11" ht="15.75" customHeight="1" x14ac:dyDescent="0.25">
      <c r="A464" s="14"/>
      <c r="C464" s="15"/>
      <c r="D464" s="15"/>
      <c r="E464" s="15"/>
      <c r="F464" s="15"/>
      <c r="G464" s="16"/>
      <c r="H464" s="16"/>
      <c r="I464" s="15"/>
      <c r="J464" s="15" t="str">
        <f t="shared" si="6"/>
        <v>yyyy-01</v>
      </c>
      <c r="K464" s="16">
        <f t="shared" si="10"/>
        <v>13417.620000000003</v>
      </c>
    </row>
    <row r="465" spans="1:11" ht="15.75" customHeight="1" x14ac:dyDescent="0.25">
      <c r="A465" s="14"/>
      <c r="C465" s="15"/>
      <c r="D465" s="15"/>
      <c r="E465" s="15"/>
      <c r="F465" s="15"/>
      <c r="G465" s="16"/>
      <c r="H465" s="16"/>
      <c r="I465" s="15"/>
      <c r="J465" s="15" t="str">
        <f t="shared" si="6"/>
        <v>yyyy-01</v>
      </c>
      <c r="K465" s="16">
        <f t="shared" si="10"/>
        <v>13417.620000000003</v>
      </c>
    </row>
    <row r="466" spans="1:11" ht="15.75" customHeight="1" x14ac:dyDescent="0.25">
      <c r="A466" s="14"/>
      <c r="C466" s="15"/>
      <c r="D466" s="15"/>
      <c r="E466" s="15"/>
      <c r="F466" s="15"/>
      <c r="G466" s="16"/>
      <c r="H466" s="16"/>
      <c r="I466" s="15"/>
      <c r="J466" s="15" t="str">
        <f t="shared" si="6"/>
        <v>yyyy-01</v>
      </c>
      <c r="K466" s="16">
        <f t="shared" si="10"/>
        <v>13417.620000000003</v>
      </c>
    </row>
    <row r="467" spans="1:11" ht="15.75" customHeight="1" x14ac:dyDescent="0.25">
      <c r="A467" s="14"/>
      <c r="C467" s="15"/>
      <c r="D467" s="15"/>
      <c r="E467" s="15"/>
      <c r="F467" s="15"/>
      <c r="G467" s="16"/>
      <c r="H467" s="16"/>
      <c r="I467" s="15"/>
      <c r="J467" s="15" t="str">
        <f t="shared" si="6"/>
        <v>yyyy-01</v>
      </c>
      <c r="K467" s="16">
        <f t="shared" si="10"/>
        <v>13417.620000000003</v>
      </c>
    </row>
    <row r="468" spans="1:11" ht="15.75" customHeight="1" x14ac:dyDescent="0.25">
      <c r="A468" s="14"/>
      <c r="C468" s="15"/>
      <c r="D468" s="15"/>
      <c r="E468" s="15"/>
      <c r="F468" s="15"/>
      <c r="G468" s="16"/>
      <c r="H468" s="16"/>
      <c r="I468" s="15"/>
      <c r="J468" s="15" t="str">
        <f t="shared" si="6"/>
        <v>yyyy-01</v>
      </c>
      <c r="K468" s="16">
        <f t="shared" si="10"/>
        <v>13417.620000000003</v>
      </c>
    </row>
    <row r="469" spans="1:11" ht="15.75" customHeight="1" x14ac:dyDescent="0.25">
      <c r="A469" s="14"/>
      <c r="C469" s="15"/>
      <c r="D469" s="15"/>
      <c r="E469" s="15"/>
      <c r="F469" s="15"/>
      <c r="G469" s="16"/>
      <c r="H469" s="16"/>
      <c r="I469" s="15"/>
      <c r="J469" s="15" t="str">
        <f t="shared" si="6"/>
        <v>yyyy-01</v>
      </c>
      <c r="K469" s="16">
        <f t="shared" si="10"/>
        <v>13417.620000000003</v>
      </c>
    </row>
    <row r="470" spans="1:11" ht="15.75" customHeight="1" x14ac:dyDescent="0.25">
      <c r="A470" s="14"/>
      <c r="C470" s="15"/>
      <c r="D470" s="15"/>
      <c r="E470" s="15"/>
      <c r="F470" s="15"/>
      <c r="G470" s="16"/>
      <c r="H470" s="16"/>
      <c r="I470" s="15"/>
      <c r="J470" s="15" t="str">
        <f t="shared" si="6"/>
        <v>yyyy-01</v>
      </c>
      <c r="K470" s="16">
        <f t="shared" si="10"/>
        <v>13417.620000000003</v>
      </c>
    </row>
    <row r="471" spans="1:11" ht="15.75" customHeight="1" x14ac:dyDescent="0.25">
      <c r="A471" s="14"/>
      <c r="C471" s="15"/>
      <c r="D471" s="15"/>
      <c r="E471" s="15"/>
      <c r="F471" s="15"/>
      <c r="G471" s="16"/>
      <c r="H471" s="16"/>
      <c r="I471" s="15"/>
      <c r="J471" s="15" t="str">
        <f t="shared" si="6"/>
        <v>yyyy-01</v>
      </c>
      <c r="K471" s="16">
        <f t="shared" si="10"/>
        <v>13417.620000000003</v>
      </c>
    </row>
    <row r="472" spans="1:11" ht="15.75" customHeight="1" x14ac:dyDescent="0.25">
      <c r="A472" s="14"/>
      <c r="C472" s="15"/>
      <c r="D472" s="15"/>
      <c r="E472" s="15"/>
      <c r="F472" s="15"/>
      <c r="G472" s="16"/>
      <c r="H472" s="16"/>
      <c r="I472" s="15"/>
      <c r="J472" s="15" t="str">
        <f t="shared" si="6"/>
        <v>yyyy-01</v>
      </c>
      <c r="K472" s="16">
        <f t="shared" si="10"/>
        <v>13417.620000000003</v>
      </c>
    </row>
    <row r="473" spans="1:11" ht="15.75" customHeight="1" x14ac:dyDescent="0.25">
      <c r="A473" s="14"/>
      <c r="C473" s="15"/>
      <c r="D473" s="15"/>
      <c r="E473" s="15"/>
      <c r="F473" s="15"/>
      <c r="G473" s="16"/>
      <c r="H473" s="16"/>
      <c r="I473" s="15"/>
      <c r="J473" s="15" t="str">
        <f t="shared" si="6"/>
        <v>yyyy-01</v>
      </c>
      <c r="K473" s="16">
        <f t="shared" si="10"/>
        <v>13417.620000000003</v>
      </c>
    </row>
    <row r="474" spans="1:11" ht="15.75" customHeight="1" x14ac:dyDescent="0.25">
      <c r="A474" s="14"/>
      <c r="C474" s="15"/>
      <c r="D474" s="15"/>
      <c r="E474" s="15"/>
      <c r="F474" s="15"/>
      <c r="G474" s="16"/>
      <c r="H474" s="16"/>
      <c r="I474" s="15"/>
      <c r="J474" s="15" t="str">
        <f t="shared" si="6"/>
        <v>yyyy-01</v>
      </c>
      <c r="K474" s="16">
        <f t="shared" si="10"/>
        <v>13417.620000000003</v>
      </c>
    </row>
    <row r="475" spans="1:11" ht="15.75" customHeight="1" x14ac:dyDescent="0.25">
      <c r="A475" s="14"/>
      <c r="C475" s="15"/>
      <c r="D475" s="15"/>
      <c r="E475" s="15"/>
      <c r="F475" s="15"/>
      <c r="G475" s="16"/>
      <c r="H475" s="16"/>
      <c r="I475" s="15"/>
      <c r="J475" s="15" t="str">
        <f t="shared" si="6"/>
        <v>yyyy-01</v>
      </c>
      <c r="K475" s="16">
        <f t="shared" si="10"/>
        <v>13417.620000000003</v>
      </c>
    </row>
    <row r="476" spans="1:11" ht="15.75" customHeight="1" x14ac:dyDescent="0.25">
      <c r="A476" s="14"/>
      <c r="C476" s="15"/>
      <c r="D476" s="15"/>
      <c r="E476" s="15"/>
      <c r="F476" s="15"/>
      <c r="G476" s="16"/>
      <c r="H476" s="16"/>
      <c r="I476" s="15"/>
      <c r="J476" s="15" t="str">
        <f t="shared" si="6"/>
        <v>yyyy-01</v>
      </c>
      <c r="K476" s="16">
        <f t="shared" si="10"/>
        <v>13417.620000000003</v>
      </c>
    </row>
    <row r="477" spans="1:11" ht="15.75" customHeight="1" x14ac:dyDescent="0.25">
      <c r="A477" s="14"/>
      <c r="C477" s="15"/>
      <c r="D477" s="15"/>
      <c r="E477" s="15"/>
      <c r="F477" s="15"/>
      <c r="G477" s="16"/>
      <c r="H477" s="16"/>
      <c r="I477" s="15"/>
      <c r="J477" s="15" t="str">
        <f t="shared" si="6"/>
        <v>yyyy-01</v>
      </c>
      <c r="K477" s="16">
        <f t="shared" si="10"/>
        <v>13417.620000000003</v>
      </c>
    </row>
    <row r="478" spans="1:11" ht="15.75" customHeight="1" x14ac:dyDescent="0.25">
      <c r="A478" s="14"/>
      <c r="C478" s="15"/>
      <c r="D478" s="15"/>
      <c r="E478" s="15"/>
      <c r="F478" s="15"/>
      <c r="G478" s="16"/>
      <c r="H478" s="16"/>
      <c r="I478" s="15"/>
      <c r="J478" s="15" t="str">
        <f t="shared" ref="J478:J732" si="11">TEXT(A478,"yyyy-mm")</f>
        <v>yyyy-01</v>
      </c>
      <c r="K478" s="16">
        <f t="shared" si="10"/>
        <v>13417.620000000003</v>
      </c>
    </row>
    <row r="479" spans="1:11" ht="15.75" customHeight="1" x14ac:dyDescent="0.25">
      <c r="A479" s="14"/>
      <c r="C479" s="15"/>
      <c r="D479" s="15"/>
      <c r="E479" s="15"/>
      <c r="F479" s="15"/>
      <c r="G479" s="16"/>
      <c r="H479" s="16"/>
      <c r="I479" s="15"/>
      <c r="J479" s="15" t="str">
        <f t="shared" si="11"/>
        <v>yyyy-01</v>
      </c>
      <c r="K479" s="16">
        <f t="shared" ref="K479:K542" si="12">K478 + IF(C479="Entrada", G479, -G479)</f>
        <v>13417.620000000003</v>
      </c>
    </row>
    <row r="480" spans="1:11" ht="15.75" customHeight="1" x14ac:dyDescent="0.25">
      <c r="A480" s="14"/>
      <c r="C480" s="15"/>
      <c r="D480" s="15"/>
      <c r="E480" s="15"/>
      <c r="F480" s="15"/>
      <c r="G480" s="16"/>
      <c r="H480" s="16"/>
      <c r="I480" s="15"/>
      <c r="J480" s="15" t="str">
        <f t="shared" si="11"/>
        <v>yyyy-01</v>
      </c>
      <c r="K480" s="16">
        <f t="shared" si="12"/>
        <v>13417.620000000003</v>
      </c>
    </row>
    <row r="481" spans="1:11" ht="15.75" customHeight="1" x14ac:dyDescent="0.25">
      <c r="A481" s="14"/>
      <c r="C481" s="15"/>
      <c r="D481" s="15"/>
      <c r="E481" s="15"/>
      <c r="F481" s="15"/>
      <c r="G481" s="16"/>
      <c r="H481" s="16"/>
      <c r="I481" s="15"/>
      <c r="J481" s="15" t="str">
        <f t="shared" si="11"/>
        <v>yyyy-01</v>
      </c>
      <c r="K481" s="16">
        <f t="shared" si="12"/>
        <v>13417.620000000003</v>
      </c>
    </row>
    <row r="482" spans="1:11" ht="15.75" customHeight="1" x14ac:dyDescent="0.25">
      <c r="A482" s="14"/>
      <c r="C482" s="15"/>
      <c r="D482" s="15"/>
      <c r="E482" s="15"/>
      <c r="F482" s="15"/>
      <c r="G482" s="16"/>
      <c r="H482" s="16"/>
      <c r="I482" s="15"/>
      <c r="J482" s="15" t="str">
        <f t="shared" si="11"/>
        <v>yyyy-01</v>
      </c>
      <c r="K482" s="16">
        <f t="shared" si="12"/>
        <v>13417.620000000003</v>
      </c>
    </row>
    <row r="483" spans="1:11" ht="15.75" customHeight="1" x14ac:dyDescent="0.25">
      <c r="A483" s="14"/>
      <c r="C483" s="15"/>
      <c r="D483" s="15"/>
      <c r="E483" s="15"/>
      <c r="F483" s="15"/>
      <c r="G483" s="16"/>
      <c r="H483" s="16"/>
      <c r="I483" s="15"/>
      <c r="J483" s="15" t="str">
        <f t="shared" si="11"/>
        <v>yyyy-01</v>
      </c>
      <c r="K483" s="16">
        <f t="shared" si="12"/>
        <v>13417.620000000003</v>
      </c>
    </row>
    <row r="484" spans="1:11" ht="15.75" customHeight="1" x14ac:dyDescent="0.25">
      <c r="A484" s="14"/>
      <c r="C484" s="15"/>
      <c r="D484" s="15"/>
      <c r="E484" s="15"/>
      <c r="F484" s="15"/>
      <c r="G484" s="16"/>
      <c r="H484" s="16"/>
      <c r="I484" s="15"/>
      <c r="J484" s="15" t="str">
        <f t="shared" si="11"/>
        <v>yyyy-01</v>
      </c>
      <c r="K484" s="16">
        <f t="shared" si="12"/>
        <v>13417.620000000003</v>
      </c>
    </row>
    <row r="485" spans="1:11" ht="15.75" customHeight="1" x14ac:dyDescent="0.25">
      <c r="A485" s="14"/>
      <c r="C485" s="15"/>
      <c r="D485" s="15"/>
      <c r="E485" s="15"/>
      <c r="F485" s="15"/>
      <c r="G485" s="16"/>
      <c r="H485" s="16"/>
      <c r="I485" s="15"/>
      <c r="J485" s="15" t="str">
        <f t="shared" si="11"/>
        <v>yyyy-01</v>
      </c>
      <c r="K485" s="16">
        <f t="shared" si="12"/>
        <v>13417.620000000003</v>
      </c>
    </row>
    <row r="486" spans="1:11" ht="15.75" customHeight="1" x14ac:dyDescent="0.25">
      <c r="A486" s="14"/>
      <c r="C486" s="15"/>
      <c r="D486" s="15"/>
      <c r="E486" s="15"/>
      <c r="F486" s="15"/>
      <c r="G486" s="16"/>
      <c r="H486" s="16"/>
      <c r="I486" s="15"/>
      <c r="J486" s="15" t="str">
        <f t="shared" si="11"/>
        <v>yyyy-01</v>
      </c>
      <c r="K486" s="16">
        <f t="shared" si="12"/>
        <v>13417.620000000003</v>
      </c>
    </row>
    <row r="487" spans="1:11" ht="15.75" customHeight="1" x14ac:dyDescent="0.25">
      <c r="A487" s="14"/>
      <c r="C487" s="15"/>
      <c r="D487" s="15"/>
      <c r="E487" s="15"/>
      <c r="F487" s="15"/>
      <c r="G487" s="16"/>
      <c r="H487" s="16"/>
      <c r="I487" s="15"/>
      <c r="J487" s="15" t="str">
        <f t="shared" si="11"/>
        <v>yyyy-01</v>
      </c>
      <c r="K487" s="16">
        <f t="shared" si="12"/>
        <v>13417.620000000003</v>
      </c>
    </row>
    <row r="488" spans="1:11" ht="15.75" customHeight="1" x14ac:dyDescent="0.25">
      <c r="A488" s="14"/>
      <c r="C488" s="15"/>
      <c r="D488" s="15"/>
      <c r="E488" s="15"/>
      <c r="F488" s="15"/>
      <c r="G488" s="16"/>
      <c r="H488" s="16"/>
      <c r="I488" s="15"/>
      <c r="J488" s="15" t="str">
        <f t="shared" si="11"/>
        <v>yyyy-01</v>
      </c>
      <c r="K488" s="16">
        <f t="shared" si="12"/>
        <v>13417.620000000003</v>
      </c>
    </row>
    <row r="489" spans="1:11" ht="15.75" customHeight="1" x14ac:dyDescent="0.25">
      <c r="A489" s="14"/>
      <c r="C489" s="15"/>
      <c r="D489" s="15"/>
      <c r="E489" s="15"/>
      <c r="F489" s="15"/>
      <c r="G489" s="16"/>
      <c r="H489" s="16"/>
      <c r="I489" s="15"/>
      <c r="J489" s="15" t="str">
        <f t="shared" si="11"/>
        <v>yyyy-01</v>
      </c>
      <c r="K489" s="16">
        <f t="shared" si="12"/>
        <v>13417.620000000003</v>
      </c>
    </row>
    <row r="490" spans="1:11" ht="15.75" customHeight="1" x14ac:dyDescent="0.25">
      <c r="A490" s="14"/>
      <c r="C490" s="15"/>
      <c r="D490" s="15"/>
      <c r="E490" s="15"/>
      <c r="F490" s="15"/>
      <c r="G490" s="16"/>
      <c r="H490" s="16"/>
      <c r="I490" s="15"/>
      <c r="J490" s="15" t="str">
        <f t="shared" si="11"/>
        <v>yyyy-01</v>
      </c>
      <c r="K490" s="16">
        <f t="shared" si="12"/>
        <v>13417.620000000003</v>
      </c>
    </row>
    <row r="491" spans="1:11" ht="15.75" customHeight="1" x14ac:dyDescent="0.25">
      <c r="A491" s="14"/>
      <c r="C491" s="15"/>
      <c r="D491" s="15"/>
      <c r="E491" s="15"/>
      <c r="F491" s="15"/>
      <c r="G491" s="16"/>
      <c r="H491" s="16"/>
      <c r="I491" s="15"/>
      <c r="J491" s="15" t="str">
        <f t="shared" si="11"/>
        <v>yyyy-01</v>
      </c>
      <c r="K491" s="16">
        <f t="shared" si="12"/>
        <v>13417.620000000003</v>
      </c>
    </row>
    <row r="492" spans="1:11" ht="15.75" customHeight="1" x14ac:dyDescent="0.25">
      <c r="A492" s="14"/>
      <c r="C492" s="15"/>
      <c r="D492" s="15"/>
      <c r="E492" s="15"/>
      <c r="F492" s="15"/>
      <c r="G492" s="16"/>
      <c r="H492" s="16"/>
      <c r="I492" s="15"/>
      <c r="J492" s="15" t="str">
        <f t="shared" si="11"/>
        <v>yyyy-01</v>
      </c>
      <c r="K492" s="16">
        <f t="shared" si="12"/>
        <v>13417.620000000003</v>
      </c>
    </row>
    <row r="493" spans="1:11" ht="15.75" customHeight="1" x14ac:dyDescent="0.25">
      <c r="A493" s="14"/>
      <c r="C493" s="15"/>
      <c r="D493" s="15"/>
      <c r="E493" s="15"/>
      <c r="F493" s="15"/>
      <c r="G493" s="16"/>
      <c r="H493" s="16"/>
      <c r="I493" s="15"/>
      <c r="J493" s="15" t="str">
        <f t="shared" si="11"/>
        <v>yyyy-01</v>
      </c>
      <c r="K493" s="16">
        <f t="shared" si="12"/>
        <v>13417.620000000003</v>
      </c>
    </row>
    <row r="494" spans="1:11" ht="15.75" customHeight="1" x14ac:dyDescent="0.25">
      <c r="A494" s="14"/>
      <c r="C494" s="15"/>
      <c r="D494" s="15"/>
      <c r="E494" s="15"/>
      <c r="F494" s="15"/>
      <c r="G494" s="16"/>
      <c r="H494" s="16"/>
      <c r="I494" s="15"/>
      <c r="J494" s="15" t="str">
        <f t="shared" si="11"/>
        <v>yyyy-01</v>
      </c>
      <c r="K494" s="16">
        <f t="shared" si="12"/>
        <v>13417.620000000003</v>
      </c>
    </row>
    <row r="495" spans="1:11" ht="15.75" customHeight="1" x14ac:dyDescent="0.25">
      <c r="A495" s="14"/>
      <c r="C495" s="15"/>
      <c r="D495" s="15"/>
      <c r="E495" s="15"/>
      <c r="F495" s="15"/>
      <c r="G495" s="16"/>
      <c r="H495" s="16"/>
      <c r="I495" s="15"/>
      <c r="J495" s="15" t="str">
        <f t="shared" si="11"/>
        <v>yyyy-01</v>
      </c>
      <c r="K495" s="16">
        <f t="shared" si="12"/>
        <v>13417.620000000003</v>
      </c>
    </row>
    <row r="496" spans="1:11" ht="15.75" customHeight="1" x14ac:dyDescent="0.25">
      <c r="A496" s="14"/>
      <c r="C496" s="15"/>
      <c r="D496" s="15"/>
      <c r="E496" s="15"/>
      <c r="F496" s="15"/>
      <c r="G496" s="16"/>
      <c r="H496" s="16"/>
      <c r="I496" s="15"/>
      <c r="J496" s="15" t="str">
        <f t="shared" si="11"/>
        <v>yyyy-01</v>
      </c>
      <c r="K496" s="16">
        <f t="shared" si="12"/>
        <v>13417.620000000003</v>
      </c>
    </row>
    <row r="497" spans="1:11" ht="15.75" customHeight="1" x14ac:dyDescent="0.25">
      <c r="A497" s="14"/>
      <c r="C497" s="15"/>
      <c r="D497" s="15"/>
      <c r="E497" s="15"/>
      <c r="F497" s="15"/>
      <c r="G497" s="16"/>
      <c r="H497" s="16"/>
      <c r="I497" s="15"/>
      <c r="J497" s="15" t="str">
        <f t="shared" si="11"/>
        <v>yyyy-01</v>
      </c>
      <c r="K497" s="16">
        <f t="shared" si="12"/>
        <v>13417.620000000003</v>
      </c>
    </row>
    <row r="498" spans="1:11" ht="15.75" customHeight="1" x14ac:dyDescent="0.25">
      <c r="A498" s="14"/>
      <c r="C498" s="15"/>
      <c r="D498" s="15"/>
      <c r="E498" s="15"/>
      <c r="F498" s="15"/>
      <c r="G498" s="16"/>
      <c r="H498" s="16"/>
      <c r="I498" s="15"/>
      <c r="J498" s="15" t="str">
        <f t="shared" si="11"/>
        <v>yyyy-01</v>
      </c>
      <c r="K498" s="16">
        <f t="shared" si="12"/>
        <v>13417.620000000003</v>
      </c>
    </row>
    <row r="499" spans="1:11" ht="15.75" customHeight="1" x14ac:dyDescent="0.25">
      <c r="A499" s="14"/>
      <c r="C499" s="15"/>
      <c r="D499" s="15"/>
      <c r="E499" s="15"/>
      <c r="F499" s="15"/>
      <c r="G499" s="16"/>
      <c r="H499" s="16"/>
      <c r="I499" s="15"/>
      <c r="J499" s="15" t="str">
        <f t="shared" si="11"/>
        <v>yyyy-01</v>
      </c>
      <c r="K499" s="16">
        <f t="shared" si="12"/>
        <v>13417.620000000003</v>
      </c>
    </row>
    <row r="500" spans="1:11" ht="15.75" customHeight="1" x14ac:dyDescent="0.25">
      <c r="A500" s="14"/>
      <c r="C500" s="15"/>
      <c r="D500" s="15"/>
      <c r="E500" s="15"/>
      <c r="F500" s="15"/>
      <c r="G500" s="16"/>
      <c r="H500" s="16"/>
      <c r="I500" s="15"/>
      <c r="J500" s="15" t="str">
        <f t="shared" si="11"/>
        <v>yyyy-01</v>
      </c>
      <c r="K500" s="16">
        <f t="shared" si="12"/>
        <v>13417.620000000003</v>
      </c>
    </row>
    <row r="501" spans="1:11" ht="15.75" customHeight="1" x14ac:dyDescent="0.25">
      <c r="A501" s="14"/>
      <c r="C501" s="15"/>
      <c r="D501" s="15"/>
      <c r="E501" s="15"/>
      <c r="F501" s="15"/>
      <c r="G501" s="16"/>
      <c r="H501" s="16"/>
      <c r="I501" s="15"/>
      <c r="J501" s="15" t="str">
        <f t="shared" si="11"/>
        <v>yyyy-01</v>
      </c>
      <c r="K501" s="16">
        <f t="shared" si="12"/>
        <v>13417.620000000003</v>
      </c>
    </row>
    <row r="502" spans="1:11" ht="15.75" customHeight="1" x14ac:dyDescent="0.25">
      <c r="A502" s="14"/>
      <c r="C502" s="15"/>
      <c r="D502" s="15"/>
      <c r="E502" s="15"/>
      <c r="F502" s="15"/>
      <c r="G502" s="16"/>
      <c r="H502" s="16"/>
      <c r="I502" s="15"/>
      <c r="J502" s="15" t="str">
        <f t="shared" si="11"/>
        <v>yyyy-01</v>
      </c>
      <c r="K502" s="16">
        <f t="shared" si="12"/>
        <v>13417.620000000003</v>
      </c>
    </row>
    <row r="503" spans="1:11" ht="15.75" customHeight="1" x14ac:dyDescent="0.25">
      <c r="A503" s="14"/>
      <c r="C503" s="15"/>
      <c r="D503" s="15"/>
      <c r="E503" s="15"/>
      <c r="F503" s="15"/>
      <c r="G503" s="16"/>
      <c r="H503" s="16"/>
      <c r="I503" s="15"/>
      <c r="J503" s="15" t="str">
        <f t="shared" si="11"/>
        <v>yyyy-01</v>
      </c>
      <c r="K503" s="16">
        <f t="shared" si="12"/>
        <v>13417.620000000003</v>
      </c>
    </row>
    <row r="504" spans="1:11" ht="15.75" customHeight="1" x14ac:dyDescent="0.25">
      <c r="A504" s="14"/>
      <c r="C504" s="15"/>
      <c r="D504" s="15"/>
      <c r="E504" s="15"/>
      <c r="F504" s="15"/>
      <c r="G504" s="16"/>
      <c r="H504" s="16"/>
      <c r="I504" s="15"/>
      <c r="J504" s="15" t="str">
        <f t="shared" si="11"/>
        <v>yyyy-01</v>
      </c>
      <c r="K504" s="16">
        <f t="shared" si="12"/>
        <v>13417.620000000003</v>
      </c>
    </row>
    <row r="505" spans="1:11" ht="15.75" customHeight="1" x14ac:dyDescent="0.25">
      <c r="A505" s="14"/>
      <c r="C505" s="15"/>
      <c r="D505" s="15"/>
      <c r="E505" s="15"/>
      <c r="F505" s="15"/>
      <c r="G505" s="16"/>
      <c r="H505" s="16"/>
      <c r="I505" s="15"/>
      <c r="J505" s="15" t="str">
        <f t="shared" si="11"/>
        <v>yyyy-01</v>
      </c>
      <c r="K505" s="16">
        <f t="shared" si="12"/>
        <v>13417.620000000003</v>
      </c>
    </row>
    <row r="506" spans="1:11" ht="15.75" customHeight="1" x14ac:dyDescent="0.25">
      <c r="A506" s="14"/>
      <c r="C506" s="15"/>
      <c r="D506" s="15"/>
      <c r="E506" s="15"/>
      <c r="F506" s="15"/>
      <c r="G506" s="16"/>
      <c r="H506" s="16"/>
      <c r="I506" s="15"/>
      <c r="J506" s="15" t="str">
        <f t="shared" si="11"/>
        <v>yyyy-01</v>
      </c>
      <c r="K506" s="16">
        <f t="shared" si="12"/>
        <v>13417.620000000003</v>
      </c>
    </row>
    <row r="507" spans="1:11" ht="15.75" customHeight="1" x14ac:dyDescent="0.25">
      <c r="A507" s="14"/>
      <c r="C507" s="15"/>
      <c r="D507" s="15"/>
      <c r="E507" s="15"/>
      <c r="F507" s="15"/>
      <c r="G507" s="16"/>
      <c r="H507" s="16"/>
      <c r="I507" s="15"/>
      <c r="J507" s="15" t="str">
        <f t="shared" si="11"/>
        <v>yyyy-01</v>
      </c>
      <c r="K507" s="16">
        <f t="shared" si="12"/>
        <v>13417.620000000003</v>
      </c>
    </row>
    <row r="508" spans="1:11" ht="15.75" customHeight="1" x14ac:dyDescent="0.25">
      <c r="A508" s="14"/>
      <c r="C508" s="15"/>
      <c r="D508" s="15"/>
      <c r="E508" s="15"/>
      <c r="F508" s="15"/>
      <c r="G508" s="16"/>
      <c r="H508" s="16"/>
      <c r="I508" s="15"/>
      <c r="J508" s="15" t="str">
        <f t="shared" si="11"/>
        <v>yyyy-01</v>
      </c>
      <c r="K508" s="16">
        <f t="shared" si="12"/>
        <v>13417.620000000003</v>
      </c>
    </row>
    <row r="509" spans="1:11" ht="15.75" customHeight="1" x14ac:dyDescent="0.25">
      <c r="A509" s="14"/>
      <c r="C509" s="15"/>
      <c r="D509" s="15"/>
      <c r="E509" s="15"/>
      <c r="F509" s="15"/>
      <c r="G509" s="16"/>
      <c r="H509" s="16"/>
      <c r="I509" s="15"/>
      <c r="J509" s="15" t="str">
        <f t="shared" si="11"/>
        <v>yyyy-01</v>
      </c>
      <c r="K509" s="16">
        <f t="shared" si="12"/>
        <v>13417.620000000003</v>
      </c>
    </row>
    <row r="510" spans="1:11" ht="15.75" customHeight="1" x14ac:dyDescent="0.25">
      <c r="A510" s="14"/>
      <c r="C510" s="15"/>
      <c r="D510" s="15"/>
      <c r="E510" s="15"/>
      <c r="F510" s="15"/>
      <c r="G510" s="16"/>
      <c r="H510" s="16"/>
      <c r="I510" s="15"/>
      <c r="J510" s="15" t="str">
        <f t="shared" si="11"/>
        <v>yyyy-01</v>
      </c>
      <c r="K510" s="16">
        <f t="shared" si="12"/>
        <v>13417.620000000003</v>
      </c>
    </row>
    <row r="511" spans="1:11" ht="15.75" customHeight="1" x14ac:dyDescent="0.25">
      <c r="A511" s="14"/>
      <c r="C511" s="15"/>
      <c r="D511" s="15"/>
      <c r="E511" s="15"/>
      <c r="F511" s="15"/>
      <c r="G511" s="16"/>
      <c r="H511" s="16"/>
      <c r="I511" s="15"/>
      <c r="J511" s="15" t="str">
        <f t="shared" si="11"/>
        <v>yyyy-01</v>
      </c>
      <c r="K511" s="16">
        <f t="shared" si="12"/>
        <v>13417.620000000003</v>
      </c>
    </row>
    <row r="512" spans="1:11" ht="15.75" customHeight="1" x14ac:dyDescent="0.25">
      <c r="A512" s="14"/>
      <c r="C512" s="15"/>
      <c r="D512" s="15"/>
      <c r="E512" s="15"/>
      <c r="F512" s="15"/>
      <c r="G512" s="16"/>
      <c r="H512" s="16"/>
      <c r="I512" s="15"/>
      <c r="J512" s="15" t="str">
        <f t="shared" si="11"/>
        <v>yyyy-01</v>
      </c>
      <c r="K512" s="16">
        <f t="shared" si="12"/>
        <v>13417.620000000003</v>
      </c>
    </row>
    <row r="513" spans="1:11" ht="15.75" customHeight="1" x14ac:dyDescent="0.25">
      <c r="A513" s="14"/>
      <c r="C513" s="15"/>
      <c r="D513" s="15"/>
      <c r="E513" s="15"/>
      <c r="F513" s="15"/>
      <c r="G513" s="16"/>
      <c r="H513" s="16"/>
      <c r="I513" s="15"/>
      <c r="J513" s="15" t="str">
        <f t="shared" si="11"/>
        <v>yyyy-01</v>
      </c>
      <c r="K513" s="16">
        <f t="shared" si="12"/>
        <v>13417.620000000003</v>
      </c>
    </row>
    <row r="514" spans="1:11" ht="15.75" customHeight="1" x14ac:dyDescent="0.25">
      <c r="A514" s="14"/>
      <c r="C514" s="15"/>
      <c r="D514" s="15"/>
      <c r="E514" s="15"/>
      <c r="F514" s="15"/>
      <c r="G514" s="16"/>
      <c r="H514" s="16"/>
      <c r="I514" s="15"/>
      <c r="J514" s="15" t="str">
        <f t="shared" si="11"/>
        <v>yyyy-01</v>
      </c>
      <c r="K514" s="16">
        <f t="shared" si="12"/>
        <v>13417.620000000003</v>
      </c>
    </row>
    <row r="515" spans="1:11" ht="15.75" customHeight="1" x14ac:dyDescent="0.25">
      <c r="A515" s="14"/>
      <c r="C515" s="15"/>
      <c r="D515" s="15"/>
      <c r="E515" s="15"/>
      <c r="F515" s="15"/>
      <c r="G515" s="16"/>
      <c r="H515" s="16"/>
      <c r="I515" s="15"/>
      <c r="J515" s="15" t="str">
        <f t="shared" si="11"/>
        <v>yyyy-01</v>
      </c>
      <c r="K515" s="16">
        <f t="shared" si="12"/>
        <v>13417.620000000003</v>
      </c>
    </row>
    <row r="516" spans="1:11" ht="15.75" customHeight="1" x14ac:dyDescent="0.25">
      <c r="A516" s="14"/>
      <c r="C516" s="15"/>
      <c r="D516" s="15"/>
      <c r="E516" s="15"/>
      <c r="F516" s="15"/>
      <c r="G516" s="16"/>
      <c r="H516" s="16"/>
      <c r="I516" s="15"/>
      <c r="J516" s="15" t="str">
        <f t="shared" si="11"/>
        <v>yyyy-01</v>
      </c>
      <c r="K516" s="16">
        <f t="shared" si="12"/>
        <v>13417.620000000003</v>
      </c>
    </row>
    <row r="517" spans="1:11" ht="15.75" customHeight="1" x14ac:dyDescent="0.25">
      <c r="A517" s="14"/>
      <c r="C517" s="15"/>
      <c r="D517" s="15"/>
      <c r="E517" s="15"/>
      <c r="F517" s="15"/>
      <c r="G517" s="16"/>
      <c r="H517" s="16"/>
      <c r="I517" s="15"/>
      <c r="J517" s="15" t="str">
        <f t="shared" si="11"/>
        <v>yyyy-01</v>
      </c>
      <c r="K517" s="16">
        <f t="shared" si="12"/>
        <v>13417.620000000003</v>
      </c>
    </row>
    <row r="518" spans="1:11" ht="15.75" customHeight="1" x14ac:dyDescent="0.25">
      <c r="A518" s="14"/>
      <c r="C518" s="15"/>
      <c r="D518" s="15"/>
      <c r="E518" s="15"/>
      <c r="F518" s="15"/>
      <c r="G518" s="16"/>
      <c r="H518" s="16"/>
      <c r="I518" s="15"/>
      <c r="J518" s="15" t="str">
        <f t="shared" si="11"/>
        <v>yyyy-01</v>
      </c>
      <c r="K518" s="16">
        <f t="shared" si="12"/>
        <v>13417.620000000003</v>
      </c>
    </row>
    <row r="519" spans="1:11" ht="15.75" customHeight="1" x14ac:dyDescent="0.25">
      <c r="A519" s="14"/>
      <c r="C519" s="15"/>
      <c r="D519" s="15"/>
      <c r="E519" s="15"/>
      <c r="F519" s="15"/>
      <c r="G519" s="16"/>
      <c r="H519" s="16"/>
      <c r="I519" s="15"/>
      <c r="J519" s="15" t="str">
        <f t="shared" si="11"/>
        <v>yyyy-01</v>
      </c>
      <c r="K519" s="16">
        <f t="shared" si="12"/>
        <v>13417.620000000003</v>
      </c>
    </row>
    <row r="520" spans="1:11" ht="15.75" customHeight="1" x14ac:dyDescent="0.25">
      <c r="A520" s="14"/>
      <c r="C520" s="15"/>
      <c r="D520" s="15"/>
      <c r="E520" s="15"/>
      <c r="F520" s="15"/>
      <c r="G520" s="16"/>
      <c r="H520" s="16"/>
      <c r="I520" s="15"/>
      <c r="J520" s="15" t="str">
        <f t="shared" si="11"/>
        <v>yyyy-01</v>
      </c>
      <c r="K520" s="16">
        <f t="shared" si="12"/>
        <v>13417.620000000003</v>
      </c>
    </row>
    <row r="521" spans="1:11" ht="15.75" customHeight="1" x14ac:dyDescent="0.25">
      <c r="A521" s="14"/>
      <c r="C521" s="15"/>
      <c r="D521" s="15"/>
      <c r="E521" s="15"/>
      <c r="F521" s="15"/>
      <c r="G521" s="16"/>
      <c r="H521" s="16"/>
      <c r="I521" s="15"/>
      <c r="J521" s="15" t="str">
        <f t="shared" si="11"/>
        <v>yyyy-01</v>
      </c>
      <c r="K521" s="16">
        <f t="shared" si="12"/>
        <v>13417.620000000003</v>
      </c>
    </row>
    <row r="522" spans="1:11" ht="15.75" customHeight="1" x14ac:dyDescent="0.25">
      <c r="A522" s="14"/>
      <c r="C522" s="15"/>
      <c r="D522" s="15"/>
      <c r="E522" s="15"/>
      <c r="F522" s="15"/>
      <c r="G522" s="16"/>
      <c r="H522" s="16"/>
      <c r="I522" s="15"/>
      <c r="J522" s="15" t="str">
        <f t="shared" si="11"/>
        <v>yyyy-01</v>
      </c>
      <c r="K522" s="16">
        <f t="shared" si="12"/>
        <v>13417.620000000003</v>
      </c>
    </row>
    <row r="523" spans="1:11" ht="15.75" customHeight="1" x14ac:dyDescent="0.25">
      <c r="A523" s="14"/>
      <c r="C523" s="15"/>
      <c r="D523" s="15"/>
      <c r="E523" s="15"/>
      <c r="F523" s="15"/>
      <c r="G523" s="16"/>
      <c r="H523" s="16"/>
      <c r="I523" s="15"/>
      <c r="J523" s="15" t="str">
        <f t="shared" si="11"/>
        <v>yyyy-01</v>
      </c>
      <c r="K523" s="16">
        <f t="shared" si="12"/>
        <v>13417.620000000003</v>
      </c>
    </row>
    <row r="524" spans="1:11" ht="15.75" customHeight="1" x14ac:dyDescent="0.25">
      <c r="A524" s="14"/>
      <c r="C524" s="15"/>
      <c r="D524" s="15"/>
      <c r="E524" s="15"/>
      <c r="F524" s="15"/>
      <c r="G524" s="16"/>
      <c r="H524" s="16"/>
      <c r="I524" s="15"/>
      <c r="J524" s="15" t="str">
        <f t="shared" si="11"/>
        <v>yyyy-01</v>
      </c>
      <c r="K524" s="16">
        <f t="shared" si="12"/>
        <v>13417.620000000003</v>
      </c>
    </row>
    <row r="525" spans="1:11" ht="15.75" customHeight="1" x14ac:dyDescent="0.25">
      <c r="A525" s="14"/>
      <c r="C525" s="15"/>
      <c r="D525" s="15"/>
      <c r="E525" s="15"/>
      <c r="F525" s="15"/>
      <c r="G525" s="16"/>
      <c r="H525" s="16"/>
      <c r="I525" s="15"/>
      <c r="J525" s="15" t="str">
        <f t="shared" si="11"/>
        <v>yyyy-01</v>
      </c>
      <c r="K525" s="16">
        <f t="shared" si="12"/>
        <v>13417.620000000003</v>
      </c>
    </row>
    <row r="526" spans="1:11" ht="15.75" customHeight="1" x14ac:dyDescent="0.25">
      <c r="A526" s="14"/>
      <c r="C526" s="15"/>
      <c r="D526" s="15"/>
      <c r="E526" s="15"/>
      <c r="F526" s="15"/>
      <c r="G526" s="16"/>
      <c r="H526" s="16"/>
      <c r="I526" s="15"/>
      <c r="J526" s="15" t="str">
        <f t="shared" si="11"/>
        <v>yyyy-01</v>
      </c>
      <c r="K526" s="16">
        <f t="shared" si="12"/>
        <v>13417.620000000003</v>
      </c>
    </row>
    <row r="527" spans="1:11" ht="15.75" customHeight="1" x14ac:dyDescent="0.25">
      <c r="A527" s="14"/>
      <c r="C527" s="15"/>
      <c r="D527" s="15"/>
      <c r="E527" s="15"/>
      <c r="F527" s="15"/>
      <c r="G527" s="16"/>
      <c r="H527" s="16"/>
      <c r="I527" s="15"/>
      <c r="J527" s="15" t="str">
        <f t="shared" si="11"/>
        <v>yyyy-01</v>
      </c>
      <c r="K527" s="16">
        <f t="shared" si="12"/>
        <v>13417.620000000003</v>
      </c>
    </row>
    <row r="528" spans="1:11" ht="15.75" customHeight="1" x14ac:dyDescent="0.25">
      <c r="A528" s="14"/>
      <c r="C528" s="15"/>
      <c r="D528" s="15"/>
      <c r="E528" s="15"/>
      <c r="F528" s="15"/>
      <c r="G528" s="16"/>
      <c r="H528" s="16"/>
      <c r="I528" s="15"/>
      <c r="J528" s="15" t="str">
        <f t="shared" si="11"/>
        <v>yyyy-01</v>
      </c>
      <c r="K528" s="16">
        <f t="shared" si="12"/>
        <v>13417.620000000003</v>
      </c>
    </row>
    <row r="529" spans="1:11" ht="15.75" customHeight="1" x14ac:dyDescent="0.25">
      <c r="A529" s="14"/>
      <c r="C529" s="15"/>
      <c r="D529" s="15"/>
      <c r="E529" s="15"/>
      <c r="F529" s="15"/>
      <c r="G529" s="16"/>
      <c r="H529" s="16"/>
      <c r="I529" s="15"/>
      <c r="J529" s="15" t="str">
        <f t="shared" si="11"/>
        <v>yyyy-01</v>
      </c>
      <c r="K529" s="16">
        <f t="shared" si="12"/>
        <v>13417.620000000003</v>
      </c>
    </row>
    <row r="530" spans="1:11" ht="15.75" customHeight="1" x14ac:dyDescent="0.25">
      <c r="A530" s="14"/>
      <c r="C530" s="15"/>
      <c r="D530" s="15"/>
      <c r="E530" s="15"/>
      <c r="F530" s="15"/>
      <c r="G530" s="16"/>
      <c r="H530" s="16"/>
      <c r="I530" s="15"/>
      <c r="J530" s="15" t="str">
        <f t="shared" si="11"/>
        <v>yyyy-01</v>
      </c>
      <c r="K530" s="16">
        <f t="shared" si="12"/>
        <v>13417.620000000003</v>
      </c>
    </row>
    <row r="531" spans="1:11" ht="15.75" customHeight="1" x14ac:dyDescent="0.25">
      <c r="A531" s="14"/>
      <c r="C531" s="15"/>
      <c r="D531" s="15"/>
      <c r="E531" s="15"/>
      <c r="F531" s="15"/>
      <c r="G531" s="16"/>
      <c r="H531" s="16"/>
      <c r="I531" s="15"/>
      <c r="J531" s="15" t="str">
        <f t="shared" si="11"/>
        <v>yyyy-01</v>
      </c>
      <c r="K531" s="16">
        <f t="shared" si="12"/>
        <v>13417.620000000003</v>
      </c>
    </row>
    <row r="532" spans="1:11" ht="15.75" customHeight="1" x14ac:dyDescent="0.25">
      <c r="A532" s="14"/>
      <c r="C532" s="15"/>
      <c r="D532" s="15"/>
      <c r="E532" s="15"/>
      <c r="F532" s="15"/>
      <c r="G532" s="16"/>
      <c r="H532" s="16"/>
      <c r="I532" s="15"/>
      <c r="J532" s="15" t="str">
        <f t="shared" si="11"/>
        <v>yyyy-01</v>
      </c>
      <c r="K532" s="16">
        <f t="shared" si="12"/>
        <v>13417.620000000003</v>
      </c>
    </row>
    <row r="533" spans="1:11" ht="15.75" customHeight="1" x14ac:dyDescent="0.25">
      <c r="A533" s="14"/>
      <c r="C533" s="15"/>
      <c r="D533" s="15"/>
      <c r="E533" s="15"/>
      <c r="F533" s="15"/>
      <c r="G533" s="16"/>
      <c r="H533" s="16"/>
      <c r="I533" s="15"/>
      <c r="J533" s="15" t="str">
        <f t="shared" si="11"/>
        <v>yyyy-01</v>
      </c>
      <c r="K533" s="16">
        <f t="shared" si="12"/>
        <v>13417.620000000003</v>
      </c>
    </row>
    <row r="534" spans="1:11" ht="15.75" customHeight="1" x14ac:dyDescent="0.25">
      <c r="A534" s="14"/>
      <c r="C534" s="15"/>
      <c r="D534" s="15"/>
      <c r="E534" s="15"/>
      <c r="F534" s="15"/>
      <c r="G534" s="16"/>
      <c r="H534" s="16"/>
      <c r="I534" s="15"/>
      <c r="J534" s="15" t="str">
        <f t="shared" si="11"/>
        <v>yyyy-01</v>
      </c>
      <c r="K534" s="16">
        <f t="shared" si="12"/>
        <v>13417.620000000003</v>
      </c>
    </row>
    <row r="535" spans="1:11" ht="15.75" customHeight="1" x14ac:dyDescent="0.25">
      <c r="A535" s="14"/>
      <c r="C535" s="15"/>
      <c r="D535" s="15"/>
      <c r="E535" s="15"/>
      <c r="F535" s="15"/>
      <c r="G535" s="16"/>
      <c r="H535" s="16"/>
      <c r="I535" s="15"/>
      <c r="J535" s="15" t="str">
        <f t="shared" si="11"/>
        <v>yyyy-01</v>
      </c>
      <c r="K535" s="16">
        <f t="shared" si="12"/>
        <v>13417.620000000003</v>
      </c>
    </row>
    <row r="536" spans="1:11" ht="15.75" customHeight="1" x14ac:dyDescent="0.25">
      <c r="A536" s="14"/>
      <c r="C536" s="15"/>
      <c r="D536" s="15"/>
      <c r="E536" s="15"/>
      <c r="F536" s="15"/>
      <c r="G536" s="16"/>
      <c r="H536" s="16"/>
      <c r="I536" s="15"/>
      <c r="J536" s="15" t="str">
        <f t="shared" si="11"/>
        <v>yyyy-01</v>
      </c>
      <c r="K536" s="16">
        <f t="shared" si="12"/>
        <v>13417.620000000003</v>
      </c>
    </row>
    <row r="537" spans="1:11" ht="15.75" customHeight="1" x14ac:dyDescent="0.25">
      <c r="A537" s="14"/>
      <c r="C537" s="15"/>
      <c r="D537" s="15"/>
      <c r="E537" s="15"/>
      <c r="F537" s="15"/>
      <c r="G537" s="16"/>
      <c r="H537" s="16"/>
      <c r="I537" s="15"/>
      <c r="J537" s="15" t="str">
        <f t="shared" si="11"/>
        <v>yyyy-01</v>
      </c>
      <c r="K537" s="16">
        <f t="shared" si="12"/>
        <v>13417.620000000003</v>
      </c>
    </row>
    <row r="538" spans="1:11" ht="15.75" customHeight="1" x14ac:dyDescent="0.25">
      <c r="A538" s="14"/>
      <c r="C538" s="15"/>
      <c r="D538" s="15"/>
      <c r="E538" s="15"/>
      <c r="F538" s="15"/>
      <c r="G538" s="16"/>
      <c r="H538" s="16"/>
      <c r="I538" s="15"/>
      <c r="J538" s="15" t="str">
        <f t="shared" si="11"/>
        <v>yyyy-01</v>
      </c>
      <c r="K538" s="16">
        <f t="shared" si="12"/>
        <v>13417.620000000003</v>
      </c>
    </row>
    <row r="539" spans="1:11" ht="15.75" customHeight="1" x14ac:dyDescent="0.25">
      <c r="A539" s="14"/>
      <c r="C539" s="15"/>
      <c r="D539" s="15"/>
      <c r="E539" s="15"/>
      <c r="F539" s="15"/>
      <c r="G539" s="16"/>
      <c r="H539" s="16"/>
      <c r="I539" s="15"/>
      <c r="J539" s="15" t="str">
        <f t="shared" si="11"/>
        <v>yyyy-01</v>
      </c>
      <c r="K539" s="16">
        <f t="shared" si="12"/>
        <v>13417.620000000003</v>
      </c>
    </row>
    <row r="540" spans="1:11" ht="15.75" customHeight="1" x14ac:dyDescent="0.25">
      <c r="A540" s="14"/>
      <c r="C540" s="15"/>
      <c r="D540" s="15"/>
      <c r="E540" s="15"/>
      <c r="F540" s="15"/>
      <c r="G540" s="16"/>
      <c r="H540" s="16"/>
      <c r="I540" s="15"/>
      <c r="J540" s="15" t="str">
        <f t="shared" si="11"/>
        <v>yyyy-01</v>
      </c>
      <c r="K540" s="16">
        <f t="shared" si="12"/>
        <v>13417.620000000003</v>
      </c>
    </row>
    <row r="541" spans="1:11" ht="15.75" customHeight="1" x14ac:dyDescent="0.25">
      <c r="A541" s="14"/>
      <c r="C541" s="15"/>
      <c r="D541" s="15"/>
      <c r="E541" s="15"/>
      <c r="F541" s="15"/>
      <c r="G541" s="16"/>
      <c r="H541" s="16"/>
      <c r="I541" s="15"/>
      <c r="J541" s="15" t="str">
        <f t="shared" si="11"/>
        <v>yyyy-01</v>
      </c>
      <c r="K541" s="16">
        <f t="shared" si="12"/>
        <v>13417.620000000003</v>
      </c>
    </row>
    <row r="542" spans="1:11" ht="15.75" customHeight="1" x14ac:dyDescent="0.25">
      <c r="A542" s="14"/>
      <c r="C542" s="15"/>
      <c r="D542" s="15"/>
      <c r="E542" s="15"/>
      <c r="F542" s="15"/>
      <c r="G542" s="16"/>
      <c r="H542" s="16"/>
      <c r="I542" s="15"/>
      <c r="J542" s="15" t="str">
        <f t="shared" si="11"/>
        <v>yyyy-01</v>
      </c>
      <c r="K542" s="16">
        <f t="shared" si="12"/>
        <v>13417.620000000003</v>
      </c>
    </row>
    <row r="543" spans="1:11" ht="15.75" customHeight="1" x14ac:dyDescent="0.25">
      <c r="A543" s="14"/>
      <c r="C543" s="15"/>
      <c r="D543" s="15"/>
      <c r="E543" s="15"/>
      <c r="F543" s="15"/>
      <c r="G543" s="16"/>
      <c r="H543" s="16"/>
      <c r="I543" s="15"/>
      <c r="J543" s="15" t="str">
        <f t="shared" si="11"/>
        <v>yyyy-01</v>
      </c>
      <c r="K543" s="16">
        <f t="shared" ref="K543:K606" si="13">K542 + IF(C543="Entrada", G543, -G543)</f>
        <v>13417.620000000003</v>
      </c>
    </row>
    <row r="544" spans="1:11" ht="15.75" customHeight="1" x14ac:dyDescent="0.25">
      <c r="A544" s="14"/>
      <c r="C544" s="15"/>
      <c r="D544" s="15"/>
      <c r="E544" s="15"/>
      <c r="F544" s="15"/>
      <c r="G544" s="16"/>
      <c r="H544" s="16"/>
      <c r="I544" s="15"/>
      <c r="J544" s="15" t="str">
        <f t="shared" si="11"/>
        <v>yyyy-01</v>
      </c>
      <c r="K544" s="16">
        <f t="shared" si="13"/>
        <v>13417.620000000003</v>
      </c>
    </row>
    <row r="545" spans="1:11" ht="15.75" customHeight="1" x14ac:dyDescent="0.25">
      <c r="A545" s="14"/>
      <c r="C545" s="15"/>
      <c r="D545" s="15"/>
      <c r="E545" s="15"/>
      <c r="F545" s="15"/>
      <c r="G545" s="16"/>
      <c r="H545" s="16"/>
      <c r="I545" s="15"/>
      <c r="J545" s="15" t="str">
        <f t="shared" si="11"/>
        <v>yyyy-01</v>
      </c>
      <c r="K545" s="16">
        <f t="shared" si="13"/>
        <v>13417.620000000003</v>
      </c>
    </row>
    <row r="546" spans="1:11" ht="15.75" customHeight="1" x14ac:dyDescent="0.25">
      <c r="A546" s="14"/>
      <c r="C546" s="15"/>
      <c r="D546" s="15"/>
      <c r="E546" s="15"/>
      <c r="F546" s="15"/>
      <c r="G546" s="16"/>
      <c r="H546" s="16"/>
      <c r="I546" s="15"/>
      <c r="J546" s="15" t="str">
        <f t="shared" si="11"/>
        <v>yyyy-01</v>
      </c>
      <c r="K546" s="16">
        <f t="shared" si="13"/>
        <v>13417.620000000003</v>
      </c>
    </row>
    <row r="547" spans="1:11" ht="15.75" customHeight="1" x14ac:dyDescent="0.25">
      <c r="A547" s="14"/>
      <c r="C547" s="15"/>
      <c r="D547" s="15"/>
      <c r="E547" s="15"/>
      <c r="F547" s="15"/>
      <c r="G547" s="16"/>
      <c r="H547" s="16"/>
      <c r="I547" s="15"/>
      <c r="J547" s="15" t="str">
        <f t="shared" si="11"/>
        <v>yyyy-01</v>
      </c>
      <c r="K547" s="16">
        <f t="shared" si="13"/>
        <v>13417.620000000003</v>
      </c>
    </row>
    <row r="548" spans="1:11" ht="15.75" customHeight="1" x14ac:dyDescent="0.25">
      <c r="A548" s="14"/>
      <c r="C548" s="15"/>
      <c r="D548" s="15"/>
      <c r="E548" s="15"/>
      <c r="F548" s="15"/>
      <c r="G548" s="16"/>
      <c r="H548" s="16"/>
      <c r="I548" s="15"/>
      <c r="J548" s="15" t="str">
        <f t="shared" si="11"/>
        <v>yyyy-01</v>
      </c>
      <c r="K548" s="16">
        <f t="shared" si="13"/>
        <v>13417.620000000003</v>
      </c>
    </row>
    <row r="549" spans="1:11" ht="15.75" customHeight="1" x14ac:dyDescent="0.25">
      <c r="A549" s="14"/>
      <c r="C549" s="15"/>
      <c r="D549" s="15"/>
      <c r="E549" s="15"/>
      <c r="F549" s="15"/>
      <c r="G549" s="16"/>
      <c r="H549" s="16"/>
      <c r="I549" s="15"/>
      <c r="J549" s="15" t="str">
        <f t="shared" si="11"/>
        <v>yyyy-01</v>
      </c>
      <c r="K549" s="16">
        <f t="shared" si="13"/>
        <v>13417.620000000003</v>
      </c>
    </row>
    <row r="550" spans="1:11" ht="15.75" customHeight="1" x14ac:dyDescent="0.25">
      <c r="A550" s="14"/>
      <c r="C550" s="15"/>
      <c r="D550" s="15"/>
      <c r="E550" s="15"/>
      <c r="F550" s="15"/>
      <c r="G550" s="16"/>
      <c r="H550" s="16"/>
      <c r="I550" s="15"/>
      <c r="J550" s="15" t="str">
        <f t="shared" si="11"/>
        <v>yyyy-01</v>
      </c>
      <c r="K550" s="16">
        <f t="shared" si="13"/>
        <v>13417.620000000003</v>
      </c>
    </row>
    <row r="551" spans="1:11" ht="15.75" customHeight="1" x14ac:dyDescent="0.25">
      <c r="A551" s="14"/>
      <c r="C551" s="15"/>
      <c r="D551" s="15"/>
      <c r="E551" s="15"/>
      <c r="F551" s="15"/>
      <c r="G551" s="16"/>
      <c r="H551" s="16"/>
      <c r="I551" s="15"/>
      <c r="J551" s="15" t="str">
        <f t="shared" si="11"/>
        <v>yyyy-01</v>
      </c>
      <c r="K551" s="16">
        <f t="shared" si="13"/>
        <v>13417.620000000003</v>
      </c>
    </row>
    <row r="552" spans="1:11" ht="15.75" customHeight="1" x14ac:dyDescent="0.25">
      <c r="A552" s="14"/>
      <c r="C552" s="15"/>
      <c r="D552" s="15"/>
      <c r="E552" s="15"/>
      <c r="F552" s="15"/>
      <c r="G552" s="16"/>
      <c r="H552" s="16"/>
      <c r="I552" s="15"/>
      <c r="J552" s="15" t="str">
        <f t="shared" si="11"/>
        <v>yyyy-01</v>
      </c>
      <c r="K552" s="16">
        <f t="shared" si="13"/>
        <v>13417.620000000003</v>
      </c>
    </row>
    <row r="553" spans="1:11" ht="15.75" customHeight="1" x14ac:dyDescent="0.25">
      <c r="A553" s="14"/>
      <c r="C553" s="15"/>
      <c r="D553" s="15"/>
      <c r="E553" s="15"/>
      <c r="F553" s="15"/>
      <c r="G553" s="16"/>
      <c r="H553" s="16"/>
      <c r="I553" s="15"/>
      <c r="J553" s="15" t="str">
        <f t="shared" si="11"/>
        <v>yyyy-01</v>
      </c>
      <c r="K553" s="16">
        <f t="shared" si="13"/>
        <v>13417.620000000003</v>
      </c>
    </row>
    <row r="554" spans="1:11" ht="15.75" customHeight="1" x14ac:dyDescent="0.25">
      <c r="A554" s="14"/>
      <c r="C554" s="15"/>
      <c r="D554" s="15"/>
      <c r="E554" s="15"/>
      <c r="F554" s="15"/>
      <c r="G554" s="16"/>
      <c r="H554" s="16"/>
      <c r="I554" s="15"/>
      <c r="J554" s="15" t="str">
        <f t="shared" si="11"/>
        <v>yyyy-01</v>
      </c>
      <c r="K554" s="16">
        <f t="shared" si="13"/>
        <v>13417.620000000003</v>
      </c>
    </row>
    <row r="555" spans="1:11" ht="15.75" customHeight="1" x14ac:dyDescent="0.25">
      <c r="A555" s="14"/>
      <c r="C555" s="15"/>
      <c r="D555" s="15"/>
      <c r="E555" s="15"/>
      <c r="F555" s="15"/>
      <c r="G555" s="16"/>
      <c r="H555" s="16"/>
      <c r="I555" s="15"/>
      <c r="J555" s="15" t="str">
        <f t="shared" si="11"/>
        <v>yyyy-01</v>
      </c>
      <c r="K555" s="16">
        <f t="shared" si="13"/>
        <v>13417.620000000003</v>
      </c>
    </row>
    <row r="556" spans="1:11" ht="15.75" customHeight="1" x14ac:dyDescent="0.25">
      <c r="A556" s="14"/>
      <c r="C556" s="15"/>
      <c r="D556" s="15"/>
      <c r="E556" s="15"/>
      <c r="F556" s="15"/>
      <c r="G556" s="16"/>
      <c r="H556" s="16"/>
      <c r="I556" s="15"/>
      <c r="J556" s="15" t="str">
        <f t="shared" si="11"/>
        <v>yyyy-01</v>
      </c>
      <c r="K556" s="16">
        <f t="shared" si="13"/>
        <v>13417.620000000003</v>
      </c>
    </row>
    <row r="557" spans="1:11" ht="15.75" customHeight="1" x14ac:dyDescent="0.25">
      <c r="A557" s="14"/>
      <c r="C557" s="15"/>
      <c r="D557" s="15"/>
      <c r="E557" s="15"/>
      <c r="F557" s="15"/>
      <c r="G557" s="16"/>
      <c r="H557" s="16"/>
      <c r="I557" s="15"/>
      <c r="J557" s="15" t="str">
        <f t="shared" si="11"/>
        <v>yyyy-01</v>
      </c>
      <c r="K557" s="16">
        <f t="shared" si="13"/>
        <v>13417.620000000003</v>
      </c>
    </row>
    <row r="558" spans="1:11" ht="15.75" customHeight="1" x14ac:dyDescent="0.25">
      <c r="A558" s="14"/>
      <c r="C558" s="15"/>
      <c r="D558" s="15"/>
      <c r="E558" s="15"/>
      <c r="F558" s="15"/>
      <c r="G558" s="16"/>
      <c r="H558" s="16"/>
      <c r="I558" s="15"/>
      <c r="J558" s="15" t="str">
        <f t="shared" si="11"/>
        <v>yyyy-01</v>
      </c>
      <c r="K558" s="16">
        <f t="shared" si="13"/>
        <v>13417.620000000003</v>
      </c>
    </row>
    <row r="559" spans="1:11" ht="15.75" customHeight="1" x14ac:dyDescent="0.25">
      <c r="A559" s="14"/>
      <c r="C559" s="15"/>
      <c r="D559" s="15"/>
      <c r="E559" s="15"/>
      <c r="F559" s="15"/>
      <c r="G559" s="16"/>
      <c r="H559" s="16"/>
      <c r="I559" s="15"/>
      <c r="J559" s="15" t="str">
        <f t="shared" si="11"/>
        <v>yyyy-01</v>
      </c>
      <c r="K559" s="16">
        <f t="shared" si="13"/>
        <v>13417.620000000003</v>
      </c>
    </row>
    <row r="560" spans="1:11" ht="15.75" customHeight="1" x14ac:dyDescent="0.25">
      <c r="A560" s="14"/>
      <c r="C560" s="15"/>
      <c r="D560" s="15"/>
      <c r="E560" s="15"/>
      <c r="F560" s="15"/>
      <c r="G560" s="16"/>
      <c r="H560" s="16"/>
      <c r="I560" s="15"/>
      <c r="J560" s="15" t="str">
        <f t="shared" si="11"/>
        <v>yyyy-01</v>
      </c>
      <c r="K560" s="16">
        <f t="shared" si="13"/>
        <v>13417.620000000003</v>
      </c>
    </row>
    <row r="561" spans="1:11" ht="15.75" customHeight="1" x14ac:dyDescent="0.25">
      <c r="A561" s="14"/>
      <c r="C561" s="15"/>
      <c r="D561" s="15"/>
      <c r="E561" s="15"/>
      <c r="F561" s="15"/>
      <c r="G561" s="16"/>
      <c r="H561" s="16"/>
      <c r="I561" s="15"/>
      <c r="J561" s="15" t="str">
        <f t="shared" si="11"/>
        <v>yyyy-01</v>
      </c>
      <c r="K561" s="16">
        <f t="shared" si="13"/>
        <v>13417.620000000003</v>
      </c>
    </row>
    <row r="562" spans="1:11" ht="15.75" customHeight="1" x14ac:dyDescent="0.25">
      <c r="A562" s="14"/>
      <c r="C562" s="15"/>
      <c r="D562" s="15"/>
      <c r="E562" s="15"/>
      <c r="F562" s="15"/>
      <c r="G562" s="16"/>
      <c r="H562" s="16"/>
      <c r="I562" s="15"/>
      <c r="J562" s="15" t="str">
        <f t="shared" si="11"/>
        <v>yyyy-01</v>
      </c>
      <c r="K562" s="16">
        <f t="shared" si="13"/>
        <v>13417.620000000003</v>
      </c>
    </row>
    <row r="563" spans="1:11" ht="15.75" customHeight="1" x14ac:dyDescent="0.25">
      <c r="A563" s="14"/>
      <c r="C563" s="15"/>
      <c r="D563" s="15"/>
      <c r="E563" s="15"/>
      <c r="F563" s="15"/>
      <c r="G563" s="16"/>
      <c r="H563" s="16"/>
      <c r="I563" s="15"/>
      <c r="J563" s="15" t="str">
        <f t="shared" si="11"/>
        <v>yyyy-01</v>
      </c>
      <c r="K563" s="16">
        <f t="shared" si="13"/>
        <v>13417.620000000003</v>
      </c>
    </row>
    <row r="564" spans="1:11" ht="15.75" customHeight="1" x14ac:dyDescent="0.25">
      <c r="A564" s="14"/>
      <c r="C564" s="15"/>
      <c r="D564" s="15"/>
      <c r="E564" s="15"/>
      <c r="F564" s="15"/>
      <c r="G564" s="16"/>
      <c r="H564" s="16"/>
      <c r="I564" s="15"/>
      <c r="J564" s="15" t="str">
        <f t="shared" si="11"/>
        <v>yyyy-01</v>
      </c>
      <c r="K564" s="16">
        <f t="shared" si="13"/>
        <v>13417.620000000003</v>
      </c>
    </row>
    <row r="565" spans="1:11" ht="15.75" customHeight="1" x14ac:dyDescent="0.25">
      <c r="A565" s="14"/>
      <c r="C565" s="15"/>
      <c r="D565" s="15"/>
      <c r="E565" s="15"/>
      <c r="F565" s="15"/>
      <c r="G565" s="16"/>
      <c r="H565" s="16"/>
      <c r="I565" s="15"/>
      <c r="J565" s="15" t="str">
        <f t="shared" si="11"/>
        <v>yyyy-01</v>
      </c>
      <c r="K565" s="16">
        <f t="shared" si="13"/>
        <v>13417.620000000003</v>
      </c>
    </row>
    <row r="566" spans="1:11" ht="15.75" customHeight="1" x14ac:dyDescent="0.25">
      <c r="A566" s="14"/>
      <c r="C566" s="15"/>
      <c r="D566" s="15"/>
      <c r="E566" s="15"/>
      <c r="F566" s="15"/>
      <c r="G566" s="16"/>
      <c r="H566" s="16"/>
      <c r="I566" s="15"/>
      <c r="J566" s="15" t="str">
        <f t="shared" si="11"/>
        <v>yyyy-01</v>
      </c>
      <c r="K566" s="16">
        <f t="shared" si="13"/>
        <v>13417.620000000003</v>
      </c>
    </row>
    <row r="567" spans="1:11" ht="15.75" customHeight="1" x14ac:dyDescent="0.25">
      <c r="A567" s="14"/>
      <c r="C567" s="15"/>
      <c r="D567" s="15"/>
      <c r="E567" s="15"/>
      <c r="F567" s="15"/>
      <c r="G567" s="16"/>
      <c r="H567" s="16"/>
      <c r="I567" s="15"/>
      <c r="J567" s="15" t="str">
        <f t="shared" si="11"/>
        <v>yyyy-01</v>
      </c>
      <c r="K567" s="16">
        <f t="shared" si="13"/>
        <v>13417.620000000003</v>
      </c>
    </row>
    <row r="568" spans="1:11" ht="15.75" customHeight="1" x14ac:dyDescent="0.25">
      <c r="A568" s="14"/>
      <c r="C568" s="15"/>
      <c r="D568" s="15"/>
      <c r="E568" s="15"/>
      <c r="F568" s="15"/>
      <c r="G568" s="16"/>
      <c r="H568" s="16"/>
      <c r="I568" s="15"/>
      <c r="J568" s="15" t="str">
        <f t="shared" si="11"/>
        <v>yyyy-01</v>
      </c>
      <c r="K568" s="16">
        <f t="shared" si="13"/>
        <v>13417.620000000003</v>
      </c>
    </row>
    <row r="569" spans="1:11" ht="15.75" customHeight="1" x14ac:dyDescent="0.25">
      <c r="A569" s="14"/>
      <c r="C569" s="15"/>
      <c r="D569" s="15"/>
      <c r="E569" s="15"/>
      <c r="F569" s="15"/>
      <c r="G569" s="16"/>
      <c r="H569" s="16"/>
      <c r="I569" s="15"/>
      <c r="J569" s="15" t="str">
        <f t="shared" si="11"/>
        <v>yyyy-01</v>
      </c>
      <c r="K569" s="16">
        <f t="shared" si="13"/>
        <v>13417.620000000003</v>
      </c>
    </row>
    <row r="570" spans="1:11" ht="15.75" customHeight="1" x14ac:dyDescent="0.25">
      <c r="A570" s="14"/>
      <c r="C570" s="15"/>
      <c r="D570" s="15"/>
      <c r="E570" s="15"/>
      <c r="F570" s="15"/>
      <c r="G570" s="16"/>
      <c r="H570" s="16"/>
      <c r="I570" s="15"/>
      <c r="J570" s="15" t="str">
        <f t="shared" si="11"/>
        <v>yyyy-01</v>
      </c>
      <c r="K570" s="16">
        <f t="shared" si="13"/>
        <v>13417.620000000003</v>
      </c>
    </row>
    <row r="571" spans="1:11" ht="15.75" customHeight="1" x14ac:dyDescent="0.25">
      <c r="A571" s="14"/>
      <c r="C571" s="15"/>
      <c r="D571" s="15"/>
      <c r="E571" s="15"/>
      <c r="F571" s="15"/>
      <c r="G571" s="16"/>
      <c r="H571" s="16"/>
      <c r="I571" s="15"/>
      <c r="J571" s="15" t="str">
        <f t="shared" si="11"/>
        <v>yyyy-01</v>
      </c>
      <c r="K571" s="16">
        <f t="shared" si="13"/>
        <v>13417.620000000003</v>
      </c>
    </row>
    <row r="572" spans="1:11" ht="15.75" customHeight="1" x14ac:dyDescent="0.25">
      <c r="A572" s="14"/>
      <c r="C572" s="15"/>
      <c r="D572" s="15"/>
      <c r="E572" s="15"/>
      <c r="F572" s="15"/>
      <c r="G572" s="16"/>
      <c r="H572" s="16"/>
      <c r="I572" s="15"/>
      <c r="J572" s="15" t="str">
        <f t="shared" si="11"/>
        <v>yyyy-01</v>
      </c>
      <c r="K572" s="16">
        <f t="shared" si="13"/>
        <v>13417.620000000003</v>
      </c>
    </row>
    <row r="573" spans="1:11" ht="15.75" customHeight="1" x14ac:dyDescent="0.25">
      <c r="A573" s="14"/>
      <c r="C573" s="15"/>
      <c r="D573" s="15"/>
      <c r="E573" s="15"/>
      <c r="F573" s="15"/>
      <c r="G573" s="16"/>
      <c r="H573" s="16"/>
      <c r="I573" s="15"/>
      <c r="J573" s="15" t="str">
        <f t="shared" si="11"/>
        <v>yyyy-01</v>
      </c>
      <c r="K573" s="16">
        <f t="shared" si="13"/>
        <v>13417.620000000003</v>
      </c>
    </row>
    <row r="574" spans="1:11" ht="15.75" customHeight="1" x14ac:dyDescent="0.25">
      <c r="A574" s="14"/>
      <c r="C574" s="15"/>
      <c r="D574" s="15"/>
      <c r="E574" s="15"/>
      <c r="F574" s="15"/>
      <c r="G574" s="16"/>
      <c r="H574" s="16"/>
      <c r="I574" s="15"/>
      <c r="J574" s="15" t="str">
        <f t="shared" si="11"/>
        <v>yyyy-01</v>
      </c>
      <c r="K574" s="16">
        <f t="shared" si="13"/>
        <v>13417.620000000003</v>
      </c>
    </row>
    <row r="575" spans="1:11" ht="15.75" customHeight="1" x14ac:dyDescent="0.25">
      <c r="A575" s="14"/>
      <c r="C575" s="15"/>
      <c r="D575" s="15"/>
      <c r="E575" s="15"/>
      <c r="F575" s="15"/>
      <c r="G575" s="16"/>
      <c r="H575" s="16"/>
      <c r="I575" s="15"/>
      <c r="J575" s="15" t="str">
        <f t="shared" si="11"/>
        <v>yyyy-01</v>
      </c>
      <c r="K575" s="16">
        <f t="shared" si="13"/>
        <v>13417.620000000003</v>
      </c>
    </row>
    <row r="576" spans="1:11" ht="15.75" customHeight="1" x14ac:dyDescent="0.25">
      <c r="A576" s="14"/>
      <c r="C576" s="15"/>
      <c r="D576" s="15"/>
      <c r="E576" s="15"/>
      <c r="F576" s="15"/>
      <c r="G576" s="16"/>
      <c r="H576" s="16"/>
      <c r="I576" s="15"/>
      <c r="J576" s="15" t="str">
        <f t="shared" si="11"/>
        <v>yyyy-01</v>
      </c>
      <c r="K576" s="16">
        <f t="shared" si="13"/>
        <v>13417.620000000003</v>
      </c>
    </row>
    <row r="577" spans="1:11" ht="15.75" customHeight="1" x14ac:dyDescent="0.25">
      <c r="A577" s="14"/>
      <c r="C577" s="15"/>
      <c r="D577" s="15"/>
      <c r="E577" s="15"/>
      <c r="F577" s="15"/>
      <c r="G577" s="16"/>
      <c r="H577" s="16"/>
      <c r="I577" s="15"/>
      <c r="J577" s="15" t="str">
        <f t="shared" si="11"/>
        <v>yyyy-01</v>
      </c>
      <c r="K577" s="16">
        <f t="shared" si="13"/>
        <v>13417.620000000003</v>
      </c>
    </row>
    <row r="578" spans="1:11" ht="15.75" customHeight="1" x14ac:dyDescent="0.25">
      <c r="A578" s="14"/>
      <c r="C578" s="15"/>
      <c r="D578" s="15"/>
      <c r="E578" s="15"/>
      <c r="F578" s="15"/>
      <c r="G578" s="16"/>
      <c r="H578" s="16"/>
      <c r="I578" s="15"/>
      <c r="J578" s="15" t="str">
        <f t="shared" si="11"/>
        <v>yyyy-01</v>
      </c>
      <c r="K578" s="16">
        <f t="shared" si="13"/>
        <v>13417.620000000003</v>
      </c>
    </row>
    <row r="579" spans="1:11" ht="15.75" customHeight="1" x14ac:dyDescent="0.25">
      <c r="A579" s="14"/>
      <c r="C579" s="15"/>
      <c r="D579" s="15"/>
      <c r="E579" s="15"/>
      <c r="F579" s="15"/>
      <c r="G579" s="16"/>
      <c r="H579" s="16"/>
      <c r="I579" s="15"/>
      <c r="J579" s="15" t="str">
        <f t="shared" si="11"/>
        <v>yyyy-01</v>
      </c>
      <c r="K579" s="16">
        <f t="shared" si="13"/>
        <v>13417.620000000003</v>
      </c>
    </row>
    <row r="580" spans="1:11" ht="15.75" customHeight="1" x14ac:dyDescent="0.25">
      <c r="A580" s="14"/>
      <c r="C580" s="15"/>
      <c r="D580" s="15"/>
      <c r="E580" s="15"/>
      <c r="F580" s="15"/>
      <c r="G580" s="16"/>
      <c r="H580" s="16"/>
      <c r="I580" s="15"/>
      <c r="J580" s="15" t="str">
        <f t="shared" si="11"/>
        <v>yyyy-01</v>
      </c>
      <c r="K580" s="16">
        <f t="shared" si="13"/>
        <v>13417.620000000003</v>
      </c>
    </row>
    <row r="581" spans="1:11" ht="15.75" customHeight="1" x14ac:dyDescent="0.25">
      <c r="A581" s="14"/>
      <c r="C581" s="15"/>
      <c r="D581" s="15"/>
      <c r="E581" s="15"/>
      <c r="F581" s="15"/>
      <c r="G581" s="16"/>
      <c r="H581" s="16"/>
      <c r="I581" s="15"/>
      <c r="J581" s="15" t="str">
        <f t="shared" si="11"/>
        <v>yyyy-01</v>
      </c>
      <c r="K581" s="16">
        <f t="shared" si="13"/>
        <v>13417.620000000003</v>
      </c>
    </row>
    <row r="582" spans="1:11" ht="15.75" customHeight="1" x14ac:dyDescent="0.25">
      <c r="A582" s="14"/>
      <c r="C582" s="15"/>
      <c r="D582" s="15"/>
      <c r="E582" s="15"/>
      <c r="F582" s="15"/>
      <c r="G582" s="16"/>
      <c r="H582" s="16"/>
      <c r="I582" s="15"/>
      <c r="J582" s="15" t="str">
        <f t="shared" si="11"/>
        <v>yyyy-01</v>
      </c>
      <c r="K582" s="16">
        <f t="shared" si="13"/>
        <v>13417.620000000003</v>
      </c>
    </row>
    <row r="583" spans="1:11" ht="15.75" customHeight="1" x14ac:dyDescent="0.25">
      <c r="A583" s="14"/>
      <c r="C583" s="15"/>
      <c r="D583" s="15"/>
      <c r="E583" s="15"/>
      <c r="F583" s="15"/>
      <c r="G583" s="16"/>
      <c r="H583" s="16"/>
      <c r="I583" s="15"/>
      <c r="J583" s="15" t="str">
        <f t="shared" si="11"/>
        <v>yyyy-01</v>
      </c>
      <c r="K583" s="16">
        <f t="shared" si="13"/>
        <v>13417.620000000003</v>
      </c>
    </row>
    <row r="584" spans="1:11" ht="15.75" customHeight="1" x14ac:dyDescent="0.25">
      <c r="A584" s="14"/>
      <c r="C584" s="15"/>
      <c r="D584" s="15"/>
      <c r="E584" s="15"/>
      <c r="F584" s="15"/>
      <c r="G584" s="16"/>
      <c r="H584" s="16"/>
      <c r="I584" s="15"/>
      <c r="J584" s="15" t="str">
        <f t="shared" si="11"/>
        <v>yyyy-01</v>
      </c>
      <c r="K584" s="16">
        <f t="shared" si="13"/>
        <v>13417.620000000003</v>
      </c>
    </row>
    <row r="585" spans="1:11" ht="15.75" customHeight="1" x14ac:dyDescent="0.25">
      <c r="A585" s="14"/>
      <c r="C585" s="15"/>
      <c r="D585" s="15"/>
      <c r="E585" s="15"/>
      <c r="F585" s="15"/>
      <c r="G585" s="16"/>
      <c r="H585" s="16"/>
      <c r="I585" s="15"/>
      <c r="J585" s="15" t="str">
        <f t="shared" si="11"/>
        <v>yyyy-01</v>
      </c>
      <c r="K585" s="16">
        <f t="shared" si="13"/>
        <v>13417.620000000003</v>
      </c>
    </row>
    <row r="586" spans="1:11" ht="15.75" customHeight="1" x14ac:dyDescent="0.25">
      <c r="A586" s="14"/>
      <c r="C586" s="15"/>
      <c r="D586" s="15"/>
      <c r="E586" s="15"/>
      <c r="F586" s="15"/>
      <c r="G586" s="16"/>
      <c r="H586" s="16"/>
      <c r="I586" s="15"/>
      <c r="J586" s="15" t="str">
        <f t="shared" si="11"/>
        <v>yyyy-01</v>
      </c>
      <c r="K586" s="16">
        <f t="shared" si="13"/>
        <v>13417.620000000003</v>
      </c>
    </row>
    <row r="587" spans="1:11" ht="15.75" customHeight="1" x14ac:dyDescent="0.25">
      <c r="A587" s="14"/>
      <c r="C587" s="15"/>
      <c r="D587" s="15"/>
      <c r="E587" s="15"/>
      <c r="F587" s="15"/>
      <c r="G587" s="16"/>
      <c r="H587" s="16"/>
      <c r="I587" s="15"/>
      <c r="J587" s="15" t="str">
        <f t="shared" si="11"/>
        <v>yyyy-01</v>
      </c>
      <c r="K587" s="16">
        <f t="shared" si="13"/>
        <v>13417.620000000003</v>
      </c>
    </row>
    <row r="588" spans="1:11" ht="15.75" customHeight="1" x14ac:dyDescent="0.25">
      <c r="A588" s="14"/>
      <c r="C588" s="15"/>
      <c r="D588" s="15"/>
      <c r="E588" s="15"/>
      <c r="F588" s="15"/>
      <c r="G588" s="16"/>
      <c r="H588" s="16"/>
      <c r="I588" s="15"/>
      <c r="J588" s="15" t="str">
        <f t="shared" si="11"/>
        <v>yyyy-01</v>
      </c>
      <c r="K588" s="16">
        <f t="shared" si="13"/>
        <v>13417.620000000003</v>
      </c>
    </row>
    <row r="589" spans="1:11" ht="15.75" customHeight="1" x14ac:dyDescent="0.25">
      <c r="A589" s="14"/>
      <c r="C589" s="15"/>
      <c r="D589" s="15"/>
      <c r="E589" s="15"/>
      <c r="F589" s="15"/>
      <c r="G589" s="16"/>
      <c r="H589" s="16"/>
      <c r="I589" s="15"/>
      <c r="J589" s="15" t="str">
        <f t="shared" si="11"/>
        <v>yyyy-01</v>
      </c>
      <c r="K589" s="16">
        <f t="shared" si="13"/>
        <v>13417.620000000003</v>
      </c>
    </row>
    <row r="590" spans="1:11" ht="15.75" customHeight="1" x14ac:dyDescent="0.25">
      <c r="A590" s="14"/>
      <c r="C590" s="15"/>
      <c r="D590" s="15"/>
      <c r="E590" s="15"/>
      <c r="F590" s="15"/>
      <c r="G590" s="16"/>
      <c r="H590" s="16"/>
      <c r="I590" s="15"/>
      <c r="J590" s="15" t="str">
        <f t="shared" si="11"/>
        <v>yyyy-01</v>
      </c>
      <c r="K590" s="16">
        <f t="shared" si="13"/>
        <v>13417.620000000003</v>
      </c>
    </row>
    <row r="591" spans="1:11" ht="15.75" customHeight="1" x14ac:dyDescent="0.25">
      <c r="A591" s="14"/>
      <c r="C591" s="15"/>
      <c r="D591" s="15"/>
      <c r="E591" s="15"/>
      <c r="F591" s="15"/>
      <c r="G591" s="16"/>
      <c r="H591" s="16"/>
      <c r="I591" s="15"/>
      <c r="J591" s="15" t="str">
        <f t="shared" si="11"/>
        <v>yyyy-01</v>
      </c>
      <c r="K591" s="16">
        <f t="shared" si="13"/>
        <v>13417.620000000003</v>
      </c>
    </row>
    <row r="592" spans="1:11" ht="15.75" customHeight="1" x14ac:dyDescent="0.25">
      <c r="A592" s="14"/>
      <c r="C592" s="15"/>
      <c r="D592" s="15"/>
      <c r="E592" s="15"/>
      <c r="F592" s="15"/>
      <c r="G592" s="16"/>
      <c r="H592" s="16"/>
      <c r="I592" s="15"/>
      <c r="J592" s="15" t="str">
        <f t="shared" si="11"/>
        <v>yyyy-01</v>
      </c>
      <c r="K592" s="16">
        <f t="shared" si="13"/>
        <v>13417.620000000003</v>
      </c>
    </row>
    <row r="593" spans="1:11" ht="15.75" customHeight="1" x14ac:dyDescent="0.25">
      <c r="A593" s="14"/>
      <c r="C593" s="15"/>
      <c r="D593" s="15"/>
      <c r="E593" s="15"/>
      <c r="F593" s="15"/>
      <c r="G593" s="16"/>
      <c r="H593" s="16"/>
      <c r="I593" s="15"/>
      <c r="J593" s="15" t="str">
        <f t="shared" si="11"/>
        <v>yyyy-01</v>
      </c>
      <c r="K593" s="16">
        <f t="shared" si="13"/>
        <v>13417.620000000003</v>
      </c>
    </row>
    <row r="594" spans="1:11" ht="15.75" customHeight="1" x14ac:dyDescent="0.25">
      <c r="A594" s="14"/>
      <c r="C594" s="15"/>
      <c r="D594" s="15"/>
      <c r="E594" s="15"/>
      <c r="F594" s="15"/>
      <c r="G594" s="16"/>
      <c r="H594" s="16"/>
      <c r="I594" s="15"/>
      <c r="J594" s="15" t="str">
        <f t="shared" si="11"/>
        <v>yyyy-01</v>
      </c>
      <c r="K594" s="16">
        <f t="shared" si="13"/>
        <v>13417.620000000003</v>
      </c>
    </row>
    <row r="595" spans="1:11" ht="15.75" customHeight="1" x14ac:dyDescent="0.25">
      <c r="A595" s="14"/>
      <c r="C595" s="15"/>
      <c r="D595" s="15"/>
      <c r="E595" s="15"/>
      <c r="F595" s="15"/>
      <c r="G595" s="16"/>
      <c r="H595" s="16"/>
      <c r="I595" s="15"/>
      <c r="J595" s="15" t="str">
        <f t="shared" si="11"/>
        <v>yyyy-01</v>
      </c>
      <c r="K595" s="16">
        <f t="shared" si="13"/>
        <v>13417.620000000003</v>
      </c>
    </row>
    <row r="596" spans="1:11" ht="15.75" customHeight="1" x14ac:dyDescent="0.25">
      <c r="A596" s="14"/>
      <c r="C596" s="15"/>
      <c r="D596" s="15"/>
      <c r="E596" s="15"/>
      <c r="F596" s="15"/>
      <c r="G596" s="16"/>
      <c r="H596" s="16"/>
      <c r="I596" s="15"/>
      <c r="J596" s="15" t="str">
        <f t="shared" si="11"/>
        <v>yyyy-01</v>
      </c>
      <c r="K596" s="16">
        <f t="shared" si="13"/>
        <v>13417.620000000003</v>
      </c>
    </row>
    <row r="597" spans="1:11" ht="15.75" customHeight="1" x14ac:dyDescent="0.25">
      <c r="A597" s="14"/>
      <c r="C597" s="15"/>
      <c r="D597" s="15"/>
      <c r="E597" s="15"/>
      <c r="F597" s="15"/>
      <c r="G597" s="16"/>
      <c r="H597" s="16"/>
      <c r="I597" s="15"/>
      <c r="J597" s="15" t="str">
        <f t="shared" si="11"/>
        <v>yyyy-01</v>
      </c>
      <c r="K597" s="16">
        <f t="shared" si="13"/>
        <v>13417.620000000003</v>
      </c>
    </row>
    <row r="598" spans="1:11" ht="15.75" customHeight="1" x14ac:dyDescent="0.25">
      <c r="A598" s="14"/>
      <c r="C598" s="15"/>
      <c r="D598" s="15"/>
      <c r="E598" s="15"/>
      <c r="F598" s="15"/>
      <c r="G598" s="16"/>
      <c r="H598" s="16"/>
      <c r="I598" s="15"/>
      <c r="J598" s="15" t="str">
        <f t="shared" si="11"/>
        <v>yyyy-01</v>
      </c>
      <c r="K598" s="16">
        <f t="shared" si="13"/>
        <v>13417.620000000003</v>
      </c>
    </row>
    <row r="599" spans="1:11" ht="15.75" customHeight="1" x14ac:dyDescent="0.25">
      <c r="A599" s="14"/>
      <c r="C599" s="15"/>
      <c r="D599" s="15"/>
      <c r="E599" s="15"/>
      <c r="F599" s="15"/>
      <c r="G599" s="16"/>
      <c r="H599" s="16"/>
      <c r="I599" s="15"/>
      <c r="J599" s="15" t="str">
        <f t="shared" si="11"/>
        <v>yyyy-01</v>
      </c>
      <c r="K599" s="16">
        <f t="shared" si="13"/>
        <v>13417.620000000003</v>
      </c>
    </row>
    <row r="600" spans="1:11" ht="15.75" customHeight="1" x14ac:dyDescent="0.25">
      <c r="A600" s="14"/>
      <c r="C600" s="15"/>
      <c r="D600" s="15"/>
      <c r="E600" s="15"/>
      <c r="F600" s="15"/>
      <c r="G600" s="16"/>
      <c r="H600" s="16"/>
      <c r="I600" s="15"/>
      <c r="J600" s="15" t="str">
        <f t="shared" si="11"/>
        <v>yyyy-01</v>
      </c>
      <c r="K600" s="16">
        <f t="shared" si="13"/>
        <v>13417.620000000003</v>
      </c>
    </row>
    <row r="601" spans="1:11" ht="15.75" customHeight="1" x14ac:dyDescent="0.25">
      <c r="A601" s="14"/>
      <c r="C601" s="15"/>
      <c r="D601" s="15"/>
      <c r="E601" s="15"/>
      <c r="F601" s="15"/>
      <c r="G601" s="16"/>
      <c r="H601" s="16"/>
      <c r="I601" s="15"/>
      <c r="J601" s="15" t="str">
        <f t="shared" si="11"/>
        <v>yyyy-01</v>
      </c>
      <c r="K601" s="16">
        <f t="shared" si="13"/>
        <v>13417.620000000003</v>
      </c>
    </row>
    <row r="602" spans="1:11" ht="15.75" customHeight="1" x14ac:dyDescent="0.25">
      <c r="A602" s="14"/>
      <c r="C602" s="15"/>
      <c r="D602" s="15"/>
      <c r="E602" s="15"/>
      <c r="F602" s="15"/>
      <c r="G602" s="16"/>
      <c r="H602" s="16"/>
      <c r="I602" s="15"/>
      <c r="J602" s="15" t="str">
        <f t="shared" si="11"/>
        <v>yyyy-01</v>
      </c>
      <c r="K602" s="16">
        <f t="shared" si="13"/>
        <v>13417.620000000003</v>
      </c>
    </row>
    <row r="603" spans="1:11" ht="15.75" customHeight="1" x14ac:dyDescent="0.25">
      <c r="A603" s="14"/>
      <c r="C603" s="15"/>
      <c r="D603" s="15"/>
      <c r="E603" s="15"/>
      <c r="F603" s="15"/>
      <c r="G603" s="16"/>
      <c r="H603" s="16"/>
      <c r="I603" s="15"/>
      <c r="J603" s="15" t="str">
        <f t="shared" si="11"/>
        <v>yyyy-01</v>
      </c>
      <c r="K603" s="16">
        <f t="shared" si="13"/>
        <v>13417.620000000003</v>
      </c>
    </row>
    <row r="604" spans="1:11" ht="15.75" customHeight="1" x14ac:dyDescent="0.25">
      <c r="A604" s="14"/>
      <c r="C604" s="15"/>
      <c r="D604" s="15"/>
      <c r="E604" s="15"/>
      <c r="F604" s="15"/>
      <c r="G604" s="16"/>
      <c r="H604" s="16"/>
      <c r="I604" s="15"/>
      <c r="J604" s="15" t="str">
        <f t="shared" si="11"/>
        <v>yyyy-01</v>
      </c>
      <c r="K604" s="16">
        <f t="shared" si="13"/>
        <v>13417.620000000003</v>
      </c>
    </row>
    <row r="605" spans="1:11" ht="15.75" customHeight="1" x14ac:dyDescent="0.25">
      <c r="A605" s="14"/>
      <c r="C605" s="15"/>
      <c r="D605" s="15"/>
      <c r="E605" s="15"/>
      <c r="F605" s="15"/>
      <c r="G605" s="16"/>
      <c r="H605" s="16"/>
      <c r="I605" s="15"/>
      <c r="J605" s="15" t="str">
        <f t="shared" si="11"/>
        <v>yyyy-01</v>
      </c>
      <c r="K605" s="16">
        <f t="shared" si="13"/>
        <v>13417.620000000003</v>
      </c>
    </row>
    <row r="606" spans="1:11" ht="15.75" customHeight="1" x14ac:dyDescent="0.25">
      <c r="A606" s="14"/>
      <c r="C606" s="15"/>
      <c r="D606" s="15"/>
      <c r="E606" s="15"/>
      <c r="F606" s="15"/>
      <c r="G606" s="16"/>
      <c r="H606" s="16"/>
      <c r="I606" s="15"/>
      <c r="J606" s="15" t="str">
        <f t="shared" si="11"/>
        <v>yyyy-01</v>
      </c>
      <c r="K606" s="16">
        <f t="shared" si="13"/>
        <v>13417.620000000003</v>
      </c>
    </row>
    <row r="607" spans="1:11" ht="15.75" customHeight="1" x14ac:dyDescent="0.25">
      <c r="A607" s="14"/>
      <c r="C607" s="15"/>
      <c r="D607" s="15"/>
      <c r="E607" s="15"/>
      <c r="F607" s="15"/>
      <c r="G607" s="16"/>
      <c r="H607" s="16"/>
      <c r="I607" s="15"/>
      <c r="J607" s="15" t="str">
        <f t="shared" si="11"/>
        <v>yyyy-01</v>
      </c>
      <c r="K607" s="16">
        <f t="shared" ref="K607:K670" si="14">K606 + IF(C607="Entrada", G607, -G607)</f>
        <v>13417.620000000003</v>
      </c>
    </row>
    <row r="608" spans="1:11" ht="15.75" customHeight="1" x14ac:dyDescent="0.25">
      <c r="A608" s="14"/>
      <c r="C608" s="15"/>
      <c r="D608" s="15"/>
      <c r="E608" s="15"/>
      <c r="F608" s="15"/>
      <c r="G608" s="16"/>
      <c r="H608" s="16"/>
      <c r="I608" s="15"/>
      <c r="J608" s="15" t="str">
        <f t="shared" si="11"/>
        <v>yyyy-01</v>
      </c>
      <c r="K608" s="16">
        <f t="shared" si="14"/>
        <v>13417.620000000003</v>
      </c>
    </row>
    <row r="609" spans="1:11" ht="15.75" customHeight="1" x14ac:dyDescent="0.25">
      <c r="A609" s="14"/>
      <c r="C609" s="15"/>
      <c r="D609" s="15"/>
      <c r="E609" s="15"/>
      <c r="F609" s="15"/>
      <c r="G609" s="16"/>
      <c r="H609" s="16"/>
      <c r="I609" s="15"/>
      <c r="J609" s="15" t="str">
        <f t="shared" si="11"/>
        <v>yyyy-01</v>
      </c>
      <c r="K609" s="16">
        <f t="shared" si="14"/>
        <v>13417.620000000003</v>
      </c>
    </row>
    <row r="610" spans="1:11" ht="15.75" customHeight="1" x14ac:dyDescent="0.25">
      <c r="A610" s="14"/>
      <c r="C610" s="15"/>
      <c r="D610" s="15"/>
      <c r="E610" s="15"/>
      <c r="F610" s="15"/>
      <c r="G610" s="16"/>
      <c r="H610" s="16"/>
      <c r="I610" s="15"/>
      <c r="J610" s="15" t="str">
        <f t="shared" si="11"/>
        <v>yyyy-01</v>
      </c>
      <c r="K610" s="16">
        <f t="shared" si="14"/>
        <v>13417.620000000003</v>
      </c>
    </row>
    <row r="611" spans="1:11" ht="15.75" customHeight="1" x14ac:dyDescent="0.25">
      <c r="A611" s="14"/>
      <c r="C611" s="15"/>
      <c r="D611" s="15"/>
      <c r="E611" s="15"/>
      <c r="F611" s="15"/>
      <c r="G611" s="16"/>
      <c r="H611" s="16"/>
      <c r="I611" s="15"/>
      <c r="J611" s="15" t="str">
        <f t="shared" si="11"/>
        <v>yyyy-01</v>
      </c>
      <c r="K611" s="16">
        <f t="shared" si="14"/>
        <v>13417.620000000003</v>
      </c>
    </row>
    <row r="612" spans="1:11" ht="15.75" customHeight="1" x14ac:dyDescent="0.25">
      <c r="A612" s="14"/>
      <c r="C612" s="15"/>
      <c r="D612" s="15"/>
      <c r="E612" s="15"/>
      <c r="F612" s="15"/>
      <c r="G612" s="16"/>
      <c r="H612" s="16"/>
      <c r="I612" s="15"/>
      <c r="J612" s="15" t="str">
        <f t="shared" si="11"/>
        <v>yyyy-01</v>
      </c>
      <c r="K612" s="16">
        <f t="shared" si="14"/>
        <v>13417.620000000003</v>
      </c>
    </row>
    <row r="613" spans="1:11" ht="15.75" customHeight="1" x14ac:dyDescent="0.25">
      <c r="A613" s="14"/>
      <c r="C613" s="15"/>
      <c r="D613" s="15"/>
      <c r="E613" s="15"/>
      <c r="F613" s="15"/>
      <c r="G613" s="16"/>
      <c r="H613" s="16"/>
      <c r="I613" s="15"/>
      <c r="J613" s="15" t="str">
        <f t="shared" si="11"/>
        <v>yyyy-01</v>
      </c>
      <c r="K613" s="16">
        <f t="shared" si="14"/>
        <v>13417.620000000003</v>
      </c>
    </row>
    <row r="614" spans="1:11" ht="15.75" customHeight="1" x14ac:dyDescent="0.25">
      <c r="A614" s="14"/>
      <c r="C614" s="15"/>
      <c r="D614" s="15"/>
      <c r="E614" s="15"/>
      <c r="F614" s="15"/>
      <c r="G614" s="16"/>
      <c r="H614" s="16"/>
      <c r="I614" s="15"/>
      <c r="J614" s="15" t="str">
        <f t="shared" si="11"/>
        <v>yyyy-01</v>
      </c>
      <c r="K614" s="16">
        <f t="shared" si="14"/>
        <v>13417.620000000003</v>
      </c>
    </row>
    <row r="615" spans="1:11" ht="15.75" customHeight="1" x14ac:dyDescent="0.25">
      <c r="A615" s="14"/>
      <c r="C615" s="15"/>
      <c r="D615" s="15"/>
      <c r="E615" s="15"/>
      <c r="F615" s="15"/>
      <c r="G615" s="16"/>
      <c r="H615" s="16"/>
      <c r="I615" s="15"/>
      <c r="J615" s="15" t="str">
        <f t="shared" si="11"/>
        <v>yyyy-01</v>
      </c>
      <c r="K615" s="16">
        <f t="shared" si="14"/>
        <v>13417.620000000003</v>
      </c>
    </row>
    <row r="616" spans="1:11" ht="15.75" customHeight="1" x14ac:dyDescent="0.25">
      <c r="A616" s="14"/>
      <c r="C616" s="15"/>
      <c r="D616" s="15"/>
      <c r="E616" s="15"/>
      <c r="F616" s="15"/>
      <c r="G616" s="16"/>
      <c r="H616" s="16"/>
      <c r="I616" s="15"/>
      <c r="J616" s="15" t="str">
        <f t="shared" si="11"/>
        <v>yyyy-01</v>
      </c>
      <c r="K616" s="16">
        <f t="shared" si="14"/>
        <v>13417.620000000003</v>
      </c>
    </row>
    <row r="617" spans="1:11" ht="15.75" customHeight="1" x14ac:dyDescent="0.25">
      <c r="A617" s="14"/>
      <c r="C617" s="15"/>
      <c r="D617" s="15"/>
      <c r="E617" s="15"/>
      <c r="F617" s="15"/>
      <c r="G617" s="16"/>
      <c r="H617" s="16"/>
      <c r="I617" s="15"/>
      <c r="J617" s="15" t="str">
        <f t="shared" si="11"/>
        <v>yyyy-01</v>
      </c>
      <c r="K617" s="16">
        <f t="shared" si="14"/>
        <v>13417.620000000003</v>
      </c>
    </row>
    <row r="618" spans="1:11" ht="15.75" customHeight="1" x14ac:dyDescent="0.25">
      <c r="A618" s="14"/>
      <c r="C618" s="15"/>
      <c r="D618" s="15"/>
      <c r="E618" s="15"/>
      <c r="F618" s="15"/>
      <c r="G618" s="16"/>
      <c r="H618" s="16"/>
      <c r="I618" s="15"/>
      <c r="J618" s="15" t="str">
        <f t="shared" si="11"/>
        <v>yyyy-01</v>
      </c>
      <c r="K618" s="16">
        <f t="shared" si="14"/>
        <v>13417.620000000003</v>
      </c>
    </row>
    <row r="619" spans="1:11" ht="15.75" customHeight="1" x14ac:dyDescent="0.25">
      <c r="A619" s="14"/>
      <c r="C619" s="15"/>
      <c r="D619" s="15"/>
      <c r="E619" s="15"/>
      <c r="F619" s="15"/>
      <c r="G619" s="16"/>
      <c r="H619" s="16"/>
      <c r="I619" s="15"/>
      <c r="J619" s="15" t="str">
        <f t="shared" si="11"/>
        <v>yyyy-01</v>
      </c>
      <c r="K619" s="16">
        <f t="shared" si="14"/>
        <v>13417.620000000003</v>
      </c>
    </row>
    <row r="620" spans="1:11" ht="15.75" customHeight="1" x14ac:dyDescent="0.25">
      <c r="A620" s="14"/>
      <c r="C620" s="15"/>
      <c r="D620" s="15"/>
      <c r="E620" s="15"/>
      <c r="F620" s="15"/>
      <c r="G620" s="16"/>
      <c r="H620" s="16"/>
      <c r="I620" s="15"/>
      <c r="J620" s="15" t="str">
        <f t="shared" si="11"/>
        <v>yyyy-01</v>
      </c>
      <c r="K620" s="16">
        <f t="shared" si="14"/>
        <v>13417.620000000003</v>
      </c>
    </row>
    <row r="621" spans="1:11" ht="15.75" customHeight="1" x14ac:dyDescent="0.25">
      <c r="A621" s="14"/>
      <c r="C621" s="15"/>
      <c r="D621" s="15"/>
      <c r="E621" s="15"/>
      <c r="F621" s="15"/>
      <c r="G621" s="16"/>
      <c r="H621" s="16"/>
      <c r="I621" s="15"/>
      <c r="J621" s="15" t="str">
        <f t="shared" si="11"/>
        <v>yyyy-01</v>
      </c>
      <c r="K621" s="16">
        <f t="shared" si="14"/>
        <v>13417.620000000003</v>
      </c>
    </row>
    <row r="622" spans="1:11" ht="15.75" customHeight="1" x14ac:dyDescent="0.25">
      <c r="A622" s="14"/>
      <c r="C622" s="15"/>
      <c r="D622" s="15"/>
      <c r="E622" s="15"/>
      <c r="F622" s="15"/>
      <c r="G622" s="16"/>
      <c r="H622" s="16"/>
      <c r="I622" s="15"/>
      <c r="J622" s="15" t="str">
        <f t="shared" si="11"/>
        <v>yyyy-01</v>
      </c>
      <c r="K622" s="16">
        <f t="shared" si="14"/>
        <v>13417.620000000003</v>
      </c>
    </row>
    <row r="623" spans="1:11" ht="15.75" customHeight="1" x14ac:dyDescent="0.25">
      <c r="A623" s="14"/>
      <c r="C623" s="15"/>
      <c r="D623" s="15"/>
      <c r="E623" s="15"/>
      <c r="F623" s="15"/>
      <c r="G623" s="16"/>
      <c r="H623" s="16"/>
      <c r="I623" s="15"/>
      <c r="J623" s="15" t="str">
        <f t="shared" si="11"/>
        <v>yyyy-01</v>
      </c>
      <c r="K623" s="16">
        <f t="shared" si="14"/>
        <v>13417.620000000003</v>
      </c>
    </row>
    <row r="624" spans="1:11" ht="15.75" customHeight="1" x14ac:dyDescent="0.25">
      <c r="A624" s="14"/>
      <c r="C624" s="15"/>
      <c r="D624" s="15"/>
      <c r="E624" s="15"/>
      <c r="F624" s="15"/>
      <c r="G624" s="16"/>
      <c r="H624" s="16"/>
      <c r="I624" s="15"/>
      <c r="J624" s="15" t="str">
        <f t="shared" si="11"/>
        <v>yyyy-01</v>
      </c>
      <c r="K624" s="16">
        <f t="shared" si="14"/>
        <v>13417.620000000003</v>
      </c>
    </row>
    <row r="625" spans="1:11" ht="15.75" customHeight="1" x14ac:dyDescent="0.25">
      <c r="A625" s="14"/>
      <c r="C625" s="15"/>
      <c r="D625" s="15"/>
      <c r="E625" s="15"/>
      <c r="F625" s="15"/>
      <c r="G625" s="16"/>
      <c r="H625" s="16"/>
      <c r="I625" s="15"/>
      <c r="J625" s="15" t="str">
        <f t="shared" si="11"/>
        <v>yyyy-01</v>
      </c>
      <c r="K625" s="16">
        <f t="shared" si="14"/>
        <v>13417.620000000003</v>
      </c>
    </row>
    <row r="626" spans="1:11" ht="15.75" customHeight="1" x14ac:dyDescent="0.25">
      <c r="A626" s="14"/>
      <c r="C626" s="15"/>
      <c r="D626" s="15"/>
      <c r="E626" s="15"/>
      <c r="F626" s="15"/>
      <c r="G626" s="16"/>
      <c r="H626" s="16"/>
      <c r="I626" s="15"/>
      <c r="J626" s="15" t="str">
        <f t="shared" si="11"/>
        <v>yyyy-01</v>
      </c>
      <c r="K626" s="16">
        <f t="shared" si="14"/>
        <v>13417.620000000003</v>
      </c>
    </row>
    <row r="627" spans="1:11" ht="15.75" customHeight="1" x14ac:dyDescent="0.25">
      <c r="A627" s="14"/>
      <c r="C627" s="15"/>
      <c r="D627" s="15"/>
      <c r="E627" s="15"/>
      <c r="F627" s="15"/>
      <c r="G627" s="16"/>
      <c r="H627" s="16"/>
      <c r="I627" s="15"/>
      <c r="J627" s="15" t="str">
        <f t="shared" si="11"/>
        <v>yyyy-01</v>
      </c>
      <c r="K627" s="16">
        <f t="shared" si="14"/>
        <v>13417.620000000003</v>
      </c>
    </row>
    <row r="628" spans="1:11" ht="15.75" customHeight="1" x14ac:dyDescent="0.25">
      <c r="A628" s="14"/>
      <c r="C628" s="15"/>
      <c r="D628" s="15"/>
      <c r="E628" s="15"/>
      <c r="F628" s="15"/>
      <c r="G628" s="16"/>
      <c r="H628" s="16"/>
      <c r="I628" s="15"/>
      <c r="J628" s="15" t="str">
        <f t="shared" si="11"/>
        <v>yyyy-01</v>
      </c>
      <c r="K628" s="16">
        <f t="shared" si="14"/>
        <v>13417.620000000003</v>
      </c>
    </row>
    <row r="629" spans="1:11" ht="15.75" customHeight="1" x14ac:dyDescent="0.25">
      <c r="A629" s="14"/>
      <c r="C629" s="15"/>
      <c r="D629" s="15"/>
      <c r="E629" s="15"/>
      <c r="F629" s="15"/>
      <c r="G629" s="16"/>
      <c r="H629" s="16"/>
      <c r="I629" s="15"/>
      <c r="J629" s="15" t="str">
        <f t="shared" si="11"/>
        <v>yyyy-01</v>
      </c>
      <c r="K629" s="16">
        <f t="shared" si="14"/>
        <v>13417.620000000003</v>
      </c>
    </row>
    <row r="630" spans="1:11" ht="15.75" customHeight="1" x14ac:dyDescent="0.25">
      <c r="A630" s="14"/>
      <c r="C630" s="15"/>
      <c r="D630" s="15"/>
      <c r="E630" s="15"/>
      <c r="F630" s="15"/>
      <c r="G630" s="16"/>
      <c r="H630" s="16"/>
      <c r="I630" s="15"/>
      <c r="J630" s="15" t="str">
        <f t="shared" si="11"/>
        <v>yyyy-01</v>
      </c>
      <c r="K630" s="16">
        <f t="shared" si="14"/>
        <v>13417.620000000003</v>
      </c>
    </row>
    <row r="631" spans="1:11" ht="15.75" customHeight="1" x14ac:dyDescent="0.25">
      <c r="A631" s="14"/>
      <c r="C631" s="15"/>
      <c r="D631" s="15"/>
      <c r="E631" s="15"/>
      <c r="F631" s="15"/>
      <c r="G631" s="16"/>
      <c r="H631" s="16"/>
      <c r="I631" s="15"/>
      <c r="J631" s="15" t="str">
        <f t="shared" si="11"/>
        <v>yyyy-01</v>
      </c>
      <c r="K631" s="16">
        <f t="shared" si="14"/>
        <v>13417.620000000003</v>
      </c>
    </row>
    <row r="632" spans="1:11" ht="15.75" customHeight="1" x14ac:dyDescent="0.25">
      <c r="A632" s="14"/>
      <c r="C632" s="15"/>
      <c r="D632" s="15"/>
      <c r="E632" s="15"/>
      <c r="F632" s="15"/>
      <c r="G632" s="16"/>
      <c r="H632" s="16"/>
      <c r="I632" s="15"/>
      <c r="J632" s="15" t="str">
        <f t="shared" si="11"/>
        <v>yyyy-01</v>
      </c>
      <c r="K632" s="16">
        <f t="shared" si="14"/>
        <v>13417.620000000003</v>
      </c>
    </row>
    <row r="633" spans="1:11" ht="15.75" customHeight="1" x14ac:dyDescent="0.25">
      <c r="A633" s="14"/>
      <c r="C633" s="15"/>
      <c r="D633" s="15"/>
      <c r="E633" s="15"/>
      <c r="F633" s="15"/>
      <c r="G633" s="16"/>
      <c r="H633" s="16"/>
      <c r="I633" s="15"/>
      <c r="J633" s="15" t="str">
        <f t="shared" si="11"/>
        <v>yyyy-01</v>
      </c>
      <c r="K633" s="16">
        <f t="shared" si="14"/>
        <v>13417.620000000003</v>
      </c>
    </row>
    <row r="634" spans="1:11" ht="15.75" customHeight="1" x14ac:dyDescent="0.25">
      <c r="A634" s="14"/>
      <c r="C634" s="15"/>
      <c r="D634" s="15"/>
      <c r="E634" s="15"/>
      <c r="F634" s="15"/>
      <c r="G634" s="16"/>
      <c r="H634" s="16"/>
      <c r="I634" s="15"/>
      <c r="J634" s="15" t="str">
        <f t="shared" si="11"/>
        <v>yyyy-01</v>
      </c>
      <c r="K634" s="16">
        <f t="shared" si="14"/>
        <v>13417.620000000003</v>
      </c>
    </row>
    <row r="635" spans="1:11" ht="15.75" customHeight="1" x14ac:dyDescent="0.25">
      <c r="A635" s="14"/>
      <c r="C635" s="15"/>
      <c r="D635" s="15"/>
      <c r="E635" s="15"/>
      <c r="F635" s="15"/>
      <c r="G635" s="16"/>
      <c r="H635" s="16"/>
      <c r="I635" s="15"/>
      <c r="J635" s="15" t="str">
        <f t="shared" si="11"/>
        <v>yyyy-01</v>
      </c>
      <c r="K635" s="16">
        <f t="shared" si="14"/>
        <v>13417.620000000003</v>
      </c>
    </row>
    <row r="636" spans="1:11" ht="15.75" customHeight="1" x14ac:dyDescent="0.25">
      <c r="A636" s="14"/>
      <c r="C636" s="15"/>
      <c r="D636" s="15"/>
      <c r="E636" s="15"/>
      <c r="F636" s="15"/>
      <c r="G636" s="16"/>
      <c r="H636" s="16"/>
      <c r="I636" s="15"/>
      <c r="J636" s="15" t="str">
        <f t="shared" si="11"/>
        <v>yyyy-01</v>
      </c>
      <c r="K636" s="16">
        <f t="shared" si="14"/>
        <v>13417.620000000003</v>
      </c>
    </row>
    <row r="637" spans="1:11" ht="15.75" customHeight="1" x14ac:dyDescent="0.25">
      <c r="A637" s="14"/>
      <c r="C637" s="15"/>
      <c r="D637" s="15"/>
      <c r="E637" s="15"/>
      <c r="F637" s="15"/>
      <c r="G637" s="16"/>
      <c r="H637" s="16"/>
      <c r="I637" s="15"/>
      <c r="J637" s="15" t="str">
        <f t="shared" si="11"/>
        <v>yyyy-01</v>
      </c>
      <c r="K637" s="16">
        <f t="shared" si="14"/>
        <v>13417.620000000003</v>
      </c>
    </row>
    <row r="638" spans="1:11" ht="15.75" customHeight="1" x14ac:dyDescent="0.25">
      <c r="A638" s="14"/>
      <c r="C638" s="15"/>
      <c r="D638" s="15"/>
      <c r="E638" s="15"/>
      <c r="F638" s="15"/>
      <c r="G638" s="16"/>
      <c r="H638" s="16"/>
      <c r="I638" s="15"/>
      <c r="J638" s="15" t="str">
        <f t="shared" si="11"/>
        <v>yyyy-01</v>
      </c>
      <c r="K638" s="16">
        <f t="shared" si="14"/>
        <v>13417.620000000003</v>
      </c>
    </row>
    <row r="639" spans="1:11" ht="15.75" customHeight="1" x14ac:dyDescent="0.25">
      <c r="A639" s="14"/>
      <c r="C639" s="15"/>
      <c r="D639" s="15"/>
      <c r="E639" s="15"/>
      <c r="F639" s="15"/>
      <c r="G639" s="16"/>
      <c r="H639" s="16"/>
      <c r="I639" s="15"/>
      <c r="J639" s="15" t="str">
        <f t="shared" si="11"/>
        <v>yyyy-01</v>
      </c>
      <c r="K639" s="16">
        <f t="shared" si="14"/>
        <v>13417.620000000003</v>
      </c>
    </row>
    <row r="640" spans="1:11" ht="15.75" customHeight="1" x14ac:dyDescent="0.25">
      <c r="A640" s="14"/>
      <c r="C640" s="15"/>
      <c r="D640" s="15"/>
      <c r="E640" s="15"/>
      <c r="F640" s="15"/>
      <c r="G640" s="16"/>
      <c r="H640" s="16"/>
      <c r="I640" s="15"/>
      <c r="J640" s="15" t="str">
        <f t="shared" si="11"/>
        <v>yyyy-01</v>
      </c>
      <c r="K640" s="16">
        <f t="shared" si="14"/>
        <v>13417.620000000003</v>
      </c>
    </row>
    <row r="641" spans="1:11" ht="15.75" customHeight="1" x14ac:dyDescent="0.25">
      <c r="A641" s="14"/>
      <c r="C641" s="15"/>
      <c r="D641" s="15"/>
      <c r="E641" s="15"/>
      <c r="F641" s="15"/>
      <c r="G641" s="16"/>
      <c r="H641" s="16"/>
      <c r="I641" s="15"/>
      <c r="J641" s="15" t="str">
        <f t="shared" si="11"/>
        <v>yyyy-01</v>
      </c>
      <c r="K641" s="16">
        <f t="shared" si="14"/>
        <v>13417.620000000003</v>
      </c>
    </row>
    <row r="642" spans="1:11" ht="15.75" customHeight="1" x14ac:dyDescent="0.25">
      <c r="A642" s="14"/>
      <c r="C642" s="15"/>
      <c r="D642" s="15"/>
      <c r="E642" s="15"/>
      <c r="F642" s="15"/>
      <c r="G642" s="16"/>
      <c r="H642" s="16"/>
      <c r="I642" s="15"/>
      <c r="J642" s="15" t="str">
        <f t="shared" si="11"/>
        <v>yyyy-01</v>
      </c>
      <c r="K642" s="16">
        <f t="shared" si="14"/>
        <v>13417.620000000003</v>
      </c>
    </row>
    <row r="643" spans="1:11" ht="15.75" customHeight="1" x14ac:dyDescent="0.25">
      <c r="A643" s="14"/>
      <c r="C643" s="15"/>
      <c r="D643" s="15"/>
      <c r="E643" s="15"/>
      <c r="F643" s="15"/>
      <c r="G643" s="16"/>
      <c r="H643" s="16"/>
      <c r="I643" s="15"/>
      <c r="J643" s="15" t="str">
        <f t="shared" si="11"/>
        <v>yyyy-01</v>
      </c>
      <c r="K643" s="16">
        <f t="shared" si="14"/>
        <v>13417.620000000003</v>
      </c>
    </row>
    <row r="644" spans="1:11" ht="15.75" customHeight="1" x14ac:dyDescent="0.25">
      <c r="A644" s="14"/>
      <c r="C644" s="15"/>
      <c r="D644" s="15"/>
      <c r="E644" s="15"/>
      <c r="F644" s="15"/>
      <c r="G644" s="16"/>
      <c r="H644" s="16"/>
      <c r="I644" s="15"/>
      <c r="J644" s="15" t="str">
        <f t="shared" si="11"/>
        <v>yyyy-01</v>
      </c>
      <c r="K644" s="16">
        <f t="shared" si="14"/>
        <v>13417.620000000003</v>
      </c>
    </row>
    <row r="645" spans="1:11" ht="15.75" customHeight="1" x14ac:dyDescent="0.25">
      <c r="A645" s="14"/>
      <c r="C645" s="15"/>
      <c r="D645" s="15"/>
      <c r="E645" s="15"/>
      <c r="F645" s="15"/>
      <c r="G645" s="16"/>
      <c r="H645" s="16"/>
      <c r="I645" s="15"/>
      <c r="J645" s="15" t="str">
        <f t="shared" si="11"/>
        <v>yyyy-01</v>
      </c>
      <c r="K645" s="16">
        <f t="shared" si="14"/>
        <v>13417.620000000003</v>
      </c>
    </row>
    <row r="646" spans="1:11" ht="15.75" customHeight="1" x14ac:dyDescent="0.25">
      <c r="A646" s="14"/>
      <c r="C646" s="15"/>
      <c r="D646" s="15"/>
      <c r="E646" s="15"/>
      <c r="F646" s="15"/>
      <c r="G646" s="16"/>
      <c r="H646" s="16"/>
      <c r="I646" s="15"/>
      <c r="J646" s="15" t="str">
        <f t="shared" si="11"/>
        <v>yyyy-01</v>
      </c>
      <c r="K646" s="16">
        <f t="shared" si="14"/>
        <v>13417.620000000003</v>
      </c>
    </row>
    <row r="647" spans="1:11" ht="15.75" customHeight="1" x14ac:dyDescent="0.25">
      <c r="A647" s="14"/>
      <c r="C647" s="15"/>
      <c r="D647" s="15"/>
      <c r="E647" s="15"/>
      <c r="F647" s="15"/>
      <c r="G647" s="16"/>
      <c r="H647" s="16"/>
      <c r="I647" s="15"/>
      <c r="J647" s="15" t="str">
        <f t="shared" si="11"/>
        <v>yyyy-01</v>
      </c>
      <c r="K647" s="16">
        <f t="shared" si="14"/>
        <v>13417.620000000003</v>
      </c>
    </row>
    <row r="648" spans="1:11" ht="15.75" customHeight="1" x14ac:dyDescent="0.25">
      <c r="A648" s="14"/>
      <c r="C648" s="15"/>
      <c r="D648" s="15"/>
      <c r="E648" s="15"/>
      <c r="F648" s="15"/>
      <c r="G648" s="16"/>
      <c r="H648" s="16"/>
      <c r="I648" s="15"/>
      <c r="J648" s="15" t="str">
        <f t="shared" si="11"/>
        <v>yyyy-01</v>
      </c>
      <c r="K648" s="16">
        <f t="shared" si="14"/>
        <v>13417.620000000003</v>
      </c>
    </row>
    <row r="649" spans="1:11" ht="15.75" customHeight="1" x14ac:dyDescent="0.25">
      <c r="A649" s="14"/>
      <c r="C649" s="15"/>
      <c r="D649" s="15"/>
      <c r="E649" s="15"/>
      <c r="F649" s="15"/>
      <c r="G649" s="16"/>
      <c r="H649" s="16"/>
      <c r="I649" s="15"/>
      <c r="J649" s="15" t="str">
        <f t="shared" si="11"/>
        <v>yyyy-01</v>
      </c>
      <c r="K649" s="16">
        <f t="shared" si="14"/>
        <v>13417.620000000003</v>
      </c>
    </row>
    <row r="650" spans="1:11" ht="15.75" customHeight="1" x14ac:dyDescent="0.25">
      <c r="A650" s="14"/>
      <c r="C650" s="15"/>
      <c r="D650" s="15"/>
      <c r="E650" s="15"/>
      <c r="F650" s="15"/>
      <c r="G650" s="16"/>
      <c r="H650" s="16"/>
      <c r="I650" s="15"/>
      <c r="J650" s="15" t="str">
        <f t="shared" si="11"/>
        <v>yyyy-01</v>
      </c>
      <c r="K650" s="16">
        <f t="shared" si="14"/>
        <v>13417.620000000003</v>
      </c>
    </row>
    <row r="651" spans="1:11" ht="15.75" customHeight="1" x14ac:dyDescent="0.25">
      <c r="A651" s="14"/>
      <c r="C651" s="15"/>
      <c r="D651" s="15"/>
      <c r="E651" s="15"/>
      <c r="F651" s="15"/>
      <c r="G651" s="16"/>
      <c r="H651" s="16"/>
      <c r="I651" s="15"/>
      <c r="J651" s="15" t="str">
        <f t="shared" si="11"/>
        <v>yyyy-01</v>
      </c>
      <c r="K651" s="16">
        <f t="shared" si="14"/>
        <v>13417.620000000003</v>
      </c>
    </row>
    <row r="652" spans="1:11" ht="15.75" customHeight="1" x14ac:dyDescent="0.25">
      <c r="A652" s="14"/>
      <c r="C652" s="15"/>
      <c r="D652" s="15"/>
      <c r="E652" s="15"/>
      <c r="F652" s="15"/>
      <c r="G652" s="16"/>
      <c r="H652" s="16"/>
      <c r="I652" s="15"/>
      <c r="J652" s="15" t="str">
        <f t="shared" si="11"/>
        <v>yyyy-01</v>
      </c>
      <c r="K652" s="16">
        <f t="shared" si="14"/>
        <v>13417.620000000003</v>
      </c>
    </row>
    <row r="653" spans="1:11" ht="15.75" customHeight="1" x14ac:dyDescent="0.25">
      <c r="A653" s="14"/>
      <c r="C653" s="15"/>
      <c r="D653" s="15"/>
      <c r="E653" s="15"/>
      <c r="F653" s="15"/>
      <c r="G653" s="16"/>
      <c r="H653" s="16"/>
      <c r="I653" s="15"/>
      <c r="J653" s="15" t="str">
        <f t="shared" si="11"/>
        <v>yyyy-01</v>
      </c>
      <c r="K653" s="16">
        <f t="shared" si="14"/>
        <v>13417.620000000003</v>
      </c>
    </row>
    <row r="654" spans="1:11" ht="15.75" customHeight="1" x14ac:dyDescent="0.25">
      <c r="A654" s="14"/>
      <c r="C654" s="15"/>
      <c r="D654" s="15"/>
      <c r="E654" s="15"/>
      <c r="F654" s="15"/>
      <c r="G654" s="16"/>
      <c r="H654" s="16"/>
      <c r="I654" s="15"/>
      <c r="J654" s="15" t="str">
        <f t="shared" si="11"/>
        <v>yyyy-01</v>
      </c>
      <c r="K654" s="16">
        <f t="shared" si="14"/>
        <v>13417.620000000003</v>
      </c>
    </row>
    <row r="655" spans="1:11" ht="15.75" customHeight="1" x14ac:dyDescent="0.25">
      <c r="A655" s="14"/>
      <c r="C655" s="15"/>
      <c r="D655" s="15"/>
      <c r="E655" s="15"/>
      <c r="F655" s="15"/>
      <c r="G655" s="16"/>
      <c r="H655" s="16"/>
      <c r="I655" s="15"/>
      <c r="J655" s="15" t="str">
        <f t="shared" si="11"/>
        <v>yyyy-01</v>
      </c>
      <c r="K655" s="16">
        <f t="shared" si="14"/>
        <v>13417.620000000003</v>
      </c>
    </row>
    <row r="656" spans="1:11" ht="15.75" customHeight="1" x14ac:dyDescent="0.25">
      <c r="A656" s="14"/>
      <c r="C656" s="15"/>
      <c r="D656" s="15"/>
      <c r="E656" s="15"/>
      <c r="F656" s="15"/>
      <c r="G656" s="16"/>
      <c r="H656" s="16"/>
      <c r="I656" s="15"/>
      <c r="J656" s="15" t="str">
        <f t="shared" si="11"/>
        <v>yyyy-01</v>
      </c>
      <c r="K656" s="16">
        <f t="shared" si="14"/>
        <v>13417.620000000003</v>
      </c>
    </row>
    <row r="657" spans="1:11" ht="15.75" customHeight="1" x14ac:dyDescent="0.25">
      <c r="A657" s="14"/>
      <c r="C657" s="15"/>
      <c r="D657" s="15"/>
      <c r="E657" s="15"/>
      <c r="F657" s="15"/>
      <c r="G657" s="16"/>
      <c r="H657" s="16"/>
      <c r="I657" s="15"/>
      <c r="J657" s="15" t="str">
        <f t="shared" si="11"/>
        <v>yyyy-01</v>
      </c>
      <c r="K657" s="16">
        <f t="shared" si="14"/>
        <v>13417.620000000003</v>
      </c>
    </row>
    <row r="658" spans="1:11" ht="15.75" customHeight="1" x14ac:dyDescent="0.25">
      <c r="A658" s="14"/>
      <c r="C658" s="15"/>
      <c r="D658" s="15"/>
      <c r="E658" s="15"/>
      <c r="F658" s="15"/>
      <c r="G658" s="16"/>
      <c r="H658" s="16"/>
      <c r="I658" s="15"/>
      <c r="J658" s="15" t="str">
        <f t="shared" si="11"/>
        <v>yyyy-01</v>
      </c>
      <c r="K658" s="16">
        <f t="shared" si="14"/>
        <v>13417.620000000003</v>
      </c>
    </row>
    <row r="659" spans="1:11" ht="15.75" customHeight="1" x14ac:dyDescent="0.25">
      <c r="A659" s="14"/>
      <c r="C659" s="15"/>
      <c r="D659" s="15"/>
      <c r="E659" s="15"/>
      <c r="F659" s="15"/>
      <c r="G659" s="16"/>
      <c r="H659" s="16"/>
      <c r="I659" s="15"/>
      <c r="J659" s="15" t="str">
        <f t="shared" si="11"/>
        <v>yyyy-01</v>
      </c>
      <c r="K659" s="16">
        <f t="shared" si="14"/>
        <v>13417.620000000003</v>
      </c>
    </row>
    <row r="660" spans="1:11" ht="15.75" customHeight="1" x14ac:dyDescent="0.25">
      <c r="A660" s="14"/>
      <c r="C660" s="15"/>
      <c r="D660" s="15"/>
      <c r="E660" s="15"/>
      <c r="F660" s="15"/>
      <c r="G660" s="16"/>
      <c r="H660" s="16"/>
      <c r="I660" s="15"/>
      <c r="J660" s="15" t="str">
        <f t="shared" si="11"/>
        <v>yyyy-01</v>
      </c>
      <c r="K660" s="16">
        <f t="shared" si="14"/>
        <v>13417.620000000003</v>
      </c>
    </row>
    <row r="661" spans="1:11" ht="15.75" customHeight="1" x14ac:dyDescent="0.25">
      <c r="A661" s="14"/>
      <c r="C661" s="15"/>
      <c r="D661" s="15"/>
      <c r="E661" s="15"/>
      <c r="F661" s="15"/>
      <c r="G661" s="16"/>
      <c r="H661" s="16"/>
      <c r="I661" s="15"/>
      <c r="J661" s="15" t="str">
        <f t="shared" si="11"/>
        <v>yyyy-01</v>
      </c>
      <c r="K661" s="16">
        <f t="shared" si="14"/>
        <v>13417.620000000003</v>
      </c>
    </row>
    <row r="662" spans="1:11" ht="15.75" customHeight="1" x14ac:dyDescent="0.25">
      <c r="A662" s="14"/>
      <c r="C662" s="15"/>
      <c r="D662" s="15"/>
      <c r="E662" s="15"/>
      <c r="F662" s="15"/>
      <c r="G662" s="16"/>
      <c r="H662" s="16"/>
      <c r="I662" s="15"/>
      <c r="J662" s="15" t="str">
        <f t="shared" si="11"/>
        <v>yyyy-01</v>
      </c>
      <c r="K662" s="16">
        <f t="shared" si="14"/>
        <v>13417.620000000003</v>
      </c>
    </row>
    <row r="663" spans="1:11" ht="15.75" customHeight="1" x14ac:dyDescent="0.25">
      <c r="A663" s="14"/>
      <c r="C663" s="15"/>
      <c r="D663" s="15"/>
      <c r="E663" s="15"/>
      <c r="F663" s="15"/>
      <c r="G663" s="16"/>
      <c r="H663" s="16"/>
      <c r="I663" s="15"/>
      <c r="J663" s="15" t="str">
        <f t="shared" si="11"/>
        <v>yyyy-01</v>
      </c>
      <c r="K663" s="16">
        <f t="shared" si="14"/>
        <v>13417.620000000003</v>
      </c>
    </row>
    <row r="664" spans="1:11" ht="15.75" customHeight="1" x14ac:dyDescent="0.25">
      <c r="A664" s="14"/>
      <c r="C664" s="15"/>
      <c r="D664" s="15"/>
      <c r="E664" s="15"/>
      <c r="F664" s="15"/>
      <c r="G664" s="16"/>
      <c r="H664" s="16"/>
      <c r="I664" s="15"/>
      <c r="J664" s="15" t="str">
        <f t="shared" si="11"/>
        <v>yyyy-01</v>
      </c>
      <c r="K664" s="16">
        <f t="shared" si="14"/>
        <v>13417.620000000003</v>
      </c>
    </row>
    <row r="665" spans="1:11" ht="15.75" customHeight="1" x14ac:dyDescent="0.25">
      <c r="A665" s="14"/>
      <c r="C665" s="15"/>
      <c r="D665" s="15"/>
      <c r="E665" s="15"/>
      <c r="F665" s="15"/>
      <c r="G665" s="16"/>
      <c r="H665" s="16"/>
      <c r="I665" s="15"/>
      <c r="J665" s="15" t="str">
        <f t="shared" si="11"/>
        <v>yyyy-01</v>
      </c>
      <c r="K665" s="16">
        <f t="shared" si="14"/>
        <v>13417.620000000003</v>
      </c>
    </row>
    <row r="666" spans="1:11" ht="15.75" customHeight="1" x14ac:dyDescent="0.25">
      <c r="A666" s="14"/>
      <c r="C666" s="15"/>
      <c r="D666" s="15"/>
      <c r="E666" s="15"/>
      <c r="F666" s="15"/>
      <c r="G666" s="16"/>
      <c r="H666" s="16"/>
      <c r="I666" s="15"/>
      <c r="J666" s="15" t="str">
        <f t="shared" si="11"/>
        <v>yyyy-01</v>
      </c>
      <c r="K666" s="16">
        <f t="shared" si="14"/>
        <v>13417.620000000003</v>
      </c>
    </row>
    <row r="667" spans="1:11" ht="15.75" customHeight="1" x14ac:dyDescent="0.25">
      <c r="A667" s="14"/>
      <c r="C667" s="15"/>
      <c r="D667" s="15"/>
      <c r="E667" s="15"/>
      <c r="F667" s="15"/>
      <c r="G667" s="16"/>
      <c r="H667" s="16"/>
      <c r="I667" s="15"/>
      <c r="J667" s="15" t="str">
        <f t="shared" si="11"/>
        <v>yyyy-01</v>
      </c>
      <c r="K667" s="16">
        <f t="shared" si="14"/>
        <v>13417.620000000003</v>
      </c>
    </row>
    <row r="668" spans="1:11" ht="15.75" customHeight="1" x14ac:dyDescent="0.25">
      <c r="A668" s="14"/>
      <c r="C668" s="15"/>
      <c r="D668" s="15"/>
      <c r="E668" s="15"/>
      <c r="F668" s="15"/>
      <c r="G668" s="16"/>
      <c r="H668" s="16"/>
      <c r="I668" s="15"/>
      <c r="J668" s="15" t="str">
        <f t="shared" si="11"/>
        <v>yyyy-01</v>
      </c>
      <c r="K668" s="16">
        <f t="shared" si="14"/>
        <v>13417.620000000003</v>
      </c>
    </row>
    <row r="669" spans="1:11" ht="15.75" customHeight="1" x14ac:dyDescent="0.25">
      <c r="A669" s="14"/>
      <c r="C669" s="15"/>
      <c r="D669" s="15"/>
      <c r="E669" s="15"/>
      <c r="F669" s="15"/>
      <c r="G669" s="16"/>
      <c r="H669" s="16"/>
      <c r="I669" s="15"/>
      <c r="J669" s="15" t="str">
        <f t="shared" si="11"/>
        <v>yyyy-01</v>
      </c>
      <c r="K669" s="16">
        <f t="shared" si="14"/>
        <v>13417.620000000003</v>
      </c>
    </row>
    <row r="670" spans="1:11" ht="15.75" customHeight="1" x14ac:dyDescent="0.25">
      <c r="A670" s="14"/>
      <c r="C670" s="15"/>
      <c r="D670" s="15"/>
      <c r="E670" s="15"/>
      <c r="F670" s="15"/>
      <c r="G670" s="16"/>
      <c r="H670" s="16"/>
      <c r="I670" s="15"/>
      <c r="J670" s="15" t="str">
        <f t="shared" si="11"/>
        <v>yyyy-01</v>
      </c>
      <c r="K670" s="16">
        <f t="shared" si="14"/>
        <v>13417.620000000003</v>
      </c>
    </row>
    <row r="671" spans="1:11" ht="15.75" customHeight="1" x14ac:dyDescent="0.25">
      <c r="A671" s="14"/>
      <c r="C671" s="15"/>
      <c r="D671" s="15"/>
      <c r="E671" s="15"/>
      <c r="F671" s="15"/>
      <c r="G671" s="16"/>
      <c r="H671" s="16"/>
      <c r="I671" s="15"/>
      <c r="J671" s="15" t="str">
        <f t="shared" si="11"/>
        <v>yyyy-01</v>
      </c>
      <c r="K671" s="16">
        <f t="shared" ref="K671:K734" si="15">K670 + IF(C671="Entrada", G671, -G671)</f>
        <v>13417.620000000003</v>
      </c>
    </row>
    <row r="672" spans="1:11" ht="15.75" customHeight="1" x14ac:dyDescent="0.25">
      <c r="A672" s="14"/>
      <c r="C672" s="15"/>
      <c r="D672" s="15"/>
      <c r="E672" s="15"/>
      <c r="F672" s="15"/>
      <c r="G672" s="16"/>
      <c r="H672" s="16"/>
      <c r="I672" s="15"/>
      <c r="J672" s="15" t="str">
        <f t="shared" si="11"/>
        <v>yyyy-01</v>
      </c>
      <c r="K672" s="16">
        <f t="shared" si="15"/>
        <v>13417.620000000003</v>
      </c>
    </row>
    <row r="673" spans="1:11" ht="15.75" customHeight="1" x14ac:dyDescent="0.25">
      <c r="A673" s="14"/>
      <c r="C673" s="15"/>
      <c r="D673" s="15"/>
      <c r="E673" s="15"/>
      <c r="F673" s="15"/>
      <c r="G673" s="16"/>
      <c r="H673" s="16"/>
      <c r="I673" s="15"/>
      <c r="J673" s="15" t="str">
        <f t="shared" si="11"/>
        <v>yyyy-01</v>
      </c>
      <c r="K673" s="16">
        <f t="shared" si="15"/>
        <v>13417.620000000003</v>
      </c>
    </row>
    <row r="674" spans="1:11" ht="15.75" customHeight="1" x14ac:dyDescent="0.25">
      <c r="A674" s="14"/>
      <c r="C674" s="15"/>
      <c r="D674" s="15"/>
      <c r="E674" s="15"/>
      <c r="F674" s="15"/>
      <c r="G674" s="16"/>
      <c r="H674" s="16"/>
      <c r="I674" s="15"/>
      <c r="J674" s="15" t="str">
        <f t="shared" si="11"/>
        <v>yyyy-01</v>
      </c>
      <c r="K674" s="16">
        <f t="shared" si="15"/>
        <v>13417.620000000003</v>
      </c>
    </row>
    <row r="675" spans="1:11" ht="15.75" customHeight="1" x14ac:dyDescent="0.25">
      <c r="A675" s="14"/>
      <c r="C675" s="15"/>
      <c r="D675" s="15"/>
      <c r="E675" s="15"/>
      <c r="F675" s="15"/>
      <c r="G675" s="16"/>
      <c r="H675" s="16"/>
      <c r="I675" s="15"/>
      <c r="J675" s="15" t="str">
        <f t="shared" si="11"/>
        <v>yyyy-01</v>
      </c>
      <c r="K675" s="16">
        <f t="shared" si="15"/>
        <v>13417.620000000003</v>
      </c>
    </row>
    <row r="676" spans="1:11" ht="15.75" customHeight="1" x14ac:dyDescent="0.25">
      <c r="A676" s="14"/>
      <c r="C676" s="15"/>
      <c r="D676" s="15"/>
      <c r="E676" s="15"/>
      <c r="F676" s="15"/>
      <c r="G676" s="16"/>
      <c r="H676" s="16"/>
      <c r="I676" s="15"/>
      <c r="J676" s="15" t="str">
        <f t="shared" si="11"/>
        <v>yyyy-01</v>
      </c>
      <c r="K676" s="16">
        <f t="shared" si="15"/>
        <v>13417.620000000003</v>
      </c>
    </row>
    <row r="677" spans="1:11" ht="15.75" customHeight="1" x14ac:dyDescent="0.25">
      <c r="A677" s="14"/>
      <c r="C677" s="15"/>
      <c r="D677" s="15"/>
      <c r="E677" s="15"/>
      <c r="F677" s="15"/>
      <c r="G677" s="16"/>
      <c r="H677" s="16"/>
      <c r="I677" s="15"/>
      <c r="J677" s="15" t="str">
        <f t="shared" si="11"/>
        <v>yyyy-01</v>
      </c>
      <c r="K677" s="16">
        <f t="shared" si="15"/>
        <v>13417.620000000003</v>
      </c>
    </row>
    <row r="678" spans="1:11" ht="15.75" customHeight="1" x14ac:dyDescent="0.25">
      <c r="A678" s="14"/>
      <c r="C678" s="15"/>
      <c r="D678" s="15"/>
      <c r="E678" s="15"/>
      <c r="F678" s="15"/>
      <c r="G678" s="16"/>
      <c r="H678" s="16"/>
      <c r="I678" s="15"/>
      <c r="J678" s="15" t="str">
        <f t="shared" si="11"/>
        <v>yyyy-01</v>
      </c>
      <c r="K678" s="16">
        <f t="shared" si="15"/>
        <v>13417.620000000003</v>
      </c>
    </row>
    <row r="679" spans="1:11" ht="15.75" customHeight="1" x14ac:dyDescent="0.25">
      <c r="A679" s="14"/>
      <c r="C679" s="15"/>
      <c r="D679" s="15"/>
      <c r="E679" s="15"/>
      <c r="F679" s="15"/>
      <c r="G679" s="16"/>
      <c r="H679" s="16"/>
      <c r="I679" s="15"/>
      <c r="J679" s="15" t="str">
        <f t="shared" si="11"/>
        <v>yyyy-01</v>
      </c>
      <c r="K679" s="16">
        <f t="shared" si="15"/>
        <v>13417.620000000003</v>
      </c>
    </row>
    <row r="680" spans="1:11" ht="15.75" customHeight="1" x14ac:dyDescent="0.25">
      <c r="A680" s="14"/>
      <c r="C680" s="15"/>
      <c r="D680" s="15"/>
      <c r="E680" s="15"/>
      <c r="F680" s="15"/>
      <c r="G680" s="16"/>
      <c r="H680" s="16"/>
      <c r="I680" s="15"/>
      <c r="J680" s="15" t="str">
        <f t="shared" si="11"/>
        <v>yyyy-01</v>
      </c>
      <c r="K680" s="16">
        <f t="shared" si="15"/>
        <v>13417.620000000003</v>
      </c>
    </row>
    <row r="681" spans="1:11" ht="15.75" customHeight="1" x14ac:dyDescent="0.25">
      <c r="A681" s="14"/>
      <c r="C681" s="15"/>
      <c r="D681" s="15"/>
      <c r="E681" s="15"/>
      <c r="F681" s="15"/>
      <c r="G681" s="16"/>
      <c r="H681" s="16"/>
      <c r="I681" s="15"/>
      <c r="J681" s="15" t="str">
        <f t="shared" si="11"/>
        <v>yyyy-01</v>
      </c>
      <c r="K681" s="16">
        <f t="shared" si="15"/>
        <v>13417.620000000003</v>
      </c>
    </row>
    <row r="682" spans="1:11" ht="15.75" customHeight="1" x14ac:dyDescent="0.25">
      <c r="A682" s="14"/>
      <c r="C682" s="15"/>
      <c r="D682" s="15"/>
      <c r="E682" s="15"/>
      <c r="F682" s="15"/>
      <c r="G682" s="16"/>
      <c r="H682" s="16"/>
      <c r="I682" s="15"/>
      <c r="J682" s="15" t="str">
        <f t="shared" si="11"/>
        <v>yyyy-01</v>
      </c>
      <c r="K682" s="16">
        <f t="shared" si="15"/>
        <v>13417.620000000003</v>
      </c>
    </row>
    <row r="683" spans="1:11" ht="15.75" customHeight="1" x14ac:dyDescent="0.25">
      <c r="A683" s="14"/>
      <c r="C683" s="15"/>
      <c r="D683" s="15"/>
      <c r="E683" s="15"/>
      <c r="F683" s="15"/>
      <c r="G683" s="16"/>
      <c r="H683" s="16"/>
      <c r="I683" s="15"/>
      <c r="J683" s="15" t="str">
        <f t="shared" si="11"/>
        <v>yyyy-01</v>
      </c>
      <c r="K683" s="16">
        <f t="shared" si="15"/>
        <v>13417.620000000003</v>
      </c>
    </row>
    <row r="684" spans="1:11" ht="15.75" customHeight="1" x14ac:dyDescent="0.25">
      <c r="A684" s="14"/>
      <c r="C684" s="15"/>
      <c r="D684" s="15"/>
      <c r="E684" s="15"/>
      <c r="F684" s="15"/>
      <c r="G684" s="16"/>
      <c r="H684" s="16"/>
      <c r="I684" s="15"/>
      <c r="J684" s="15" t="str">
        <f t="shared" si="11"/>
        <v>yyyy-01</v>
      </c>
      <c r="K684" s="16">
        <f t="shared" si="15"/>
        <v>13417.620000000003</v>
      </c>
    </row>
    <row r="685" spans="1:11" ht="15.75" customHeight="1" x14ac:dyDescent="0.25">
      <c r="A685" s="14"/>
      <c r="C685" s="15"/>
      <c r="D685" s="15"/>
      <c r="E685" s="15"/>
      <c r="F685" s="15"/>
      <c r="G685" s="16"/>
      <c r="H685" s="16"/>
      <c r="I685" s="15"/>
      <c r="J685" s="15" t="str">
        <f t="shared" si="11"/>
        <v>yyyy-01</v>
      </c>
      <c r="K685" s="16">
        <f t="shared" si="15"/>
        <v>13417.620000000003</v>
      </c>
    </row>
    <row r="686" spans="1:11" ht="15.75" customHeight="1" x14ac:dyDescent="0.25">
      <c r="A686" s="14"/>
      <c r="C686" s="15"/>
      <c r="D686" s="15"/>
      <c r="E686" s="15"/>
      <c r="F686" s="15"/>
      <c r="G686" s="16"/>
      <c r="H686" s="16"/>
      <c r="I686" s="15"/>
      <c r="J686" s="15" t="str">
        <f t="shared" si="11"/>
        <v>yyyy-01</v>
      </c>
      <c r="K686" s="16">
        <f t="shared" si="15"/>
        <v>13417.620000000003</v>
      </c>
    </row>
    <row r="687" spans="1:11" ht="15.75" customHeight="1" x14ac:dyDescent="0.25">
      <c r="A687" s="14"/>
      <c r="C687" s="15"/>
      <c r="D687" s="15"/>
      <c r="E687" s="15"/>
      <c r="F687" s="15"/>
      <c r="G687" s="16"/>
      <c r="H687" s="16"/>
      <c r="I687" s="15"/>
      <c r="J687" s="15" t="str">
        <f t="shared" si="11"/>
        <v>yyyy-01</v>
      </c>
      <c r="K687" s="16">
        <f t="shared" si="15"/>
        <v>13417.620000000003</v>
      </c>
    </row>
    <row r="688" spans="1:11" ht="15.75" customHeight="1" x14ac:dyDescent="0.25">
      <c r="A688" s="14"/>
      <c r="C688" s="15"/>
      <c r="D688" s="15"/>
      <c r="E688" s="15"/>
      <c r="F688" s="15"/>
      <c r="G688" s="16"/>
      <c r="H688" s="16"/>
      <c r="I688" s="15"/>
      <c r="J688" s="15" t="str">
        <f t="shared" si="11"/>
        <v>yyyy-01</v>
      </c>
      <c r="K688" s="16">
        <f t="shared" si="15"/>
        <v>13417.620000000003</v>
      </c>
    </row>
    <row r="689" spans="1:11" ht="15.75" customHeight="1" x14ac:dyDescent="0.25">
      <c r="A689" s="14"/>
      <c r="C689" s="15"/>
      <c r="D689" s="15"/>
      <c r="E689" s="15"/>
      <c r="F689" s="15"/>
      <c r="G689" s="16"/>
      <c r="H689" s="16"/>
      <c r="I689" s="15"/>
      <c r="J689" s="15" t="str">
        <f t="shared" si="11"/>
        <v>yyyy-01</v>
      </c>
      <c r="K689" s="16">
        <f t="shared" si="15"/>
        <v>13417.620000000003</v>
      </c>
    </row>
    <row r="690" spans="1:11" ht="15.75" customHeight="1" x14ac:dyDescent="0.25">
      <c r="A690" s="14"/>
      <c r="C690" s="15"/>
      <c r="D690" s="15"/>
      <c r="E690" s="15"/>
      <c r="F690" s="15"/>
      <c r="G690" s="16"/>
      <c r="H690" s="16"/>
      <c r="I690" s="15"/>
      <c r="J690" s="15" t="str">
        <f t="shared" si="11"/>
        <v>yyyy-01</v>
      </c>
      <c r="K690" s="16">
        <f t="shared" si="15"/>
        <v>13417.620000000003</v>
      </c>
    </row>
    <row r="691" spans="1:11" ht="15.75" customHeight="1" x14ac:dyDescent="0.25">
      <c r="A691" s="14"/>
      <c r="C691" s="15"/>
      <c r="D691" s="15"/>
      <c r="E691" s="15"/>
      <c r="F691" s="15"/>
      <c r="G691" s="16"/>
      <c r="H691" s="16"/>
      <c r="I691" s="15"/>
      <c r="J691" s="15" t="str">
        <f t="shared" si="11"/>
        <v>yyyy-01</v>
      </c>
      <c r="K691" s="16">
        <f t="shared" si="15"/>
        <v>13417.620000000003</v>
      </c>
    </row>
    <row r="692" spans="1:11" ht="15.75" customHeight="1" x14ac:dyDescent="0.25">
      <c r="A692" s="14"/>
      <c r="C692" s="15"/>
      <c r="D692" s="15"/>
      <c r="E692" s="15"/>
      <c r="F692" s="15"/>
      <c r="G692" s="16"/>
      <c r="H692" s="16"/>
      <c r="I692" s="15"/>
      <c r="J692" s="15" t="str">
        <f t="shared" si="11"/>
        <v>yyyy-01</v>
      </c>
      <c r="K692" s="16">
        <f t="shared" si="15"/>
        <v>13417.620000000003</v>
      </c>
    </row>
    <row r="693" spans="1:11" ht="15.75" customHeight="1" x14ac:dyDescent="0.25">
      <c r="A693" s="14"/>
      <c r="C693" s="15"/>
      <c r="D693" s="15"/>
      <c r="E693" s="15"/>
      <c r="F693" s="15"/>
      <c r="G693" s="16"/>
      <c r="H693" s="16"/>
      <c r="I693" s="15"/>
      <c r="J693" s="15" t="str">
        <f t="shared" si="11"/>
        <v>yyyy-01</v>
      </c>
      <c r="K693" s="16">
        <f t="shared" si="15"/>
        <v>13417.620000000003</v>
      </c>
    </row>
    <row r="694" spans="1:11" ht="15.75" customHeight="1" x14ac:dyDescent="0.25">
      <c r="A694" s="14"/>
      <c r="C694" s="15"/>
      <c r="D694" s="15"/>
      <c r="E694" s="15"/>
      <c r="F694" s="15"/>
      <c r="G694" s="16"/>
      <c r="H694" s="16"/>
      <c r="I694" s="15"/>
      <c r="J694" s="15" t="str">
        <f t="shared" si="11"/>
        <v>yyyy-01</v>
      </c>
      <c r="K694" s="16">
        <f t="shared" si="15"/>
        <v>13417.620000000003</v>
      </c>
    </row>
    <row r="695" spans="1:11" ht="15.75" customHeight="1" x14ac:dyDescent="0.25">
      <c r="A695" s="14"/>
      <c r="C695" s="15"/>
      <c r="D695" s="15"/>
      <c r="E695" s="15"/>
      <c r="F695" s="15"/>
      <c r="G695" s="16"/>
      <c r="H695" s="16"/>
      <c r="I695" s="15"/>
      <c r="J695" s="15" t="str">
        <f t="shared" si="11"/>
        <v>yyyy-01</v>
      </c>
      <c r="K695" s="16">
        <f t="shared" si="15"/>
        <v>13417.620000000003</v>
      </c>
    </row>
    <row r="696" spans="1:11" ht="15.75" customHeight="1" x14ac:dyDescent="0.25">
      <c r="A696" s="14"/>
      <c r="C696" s="15"/>
      <c r="D696" s="15"/>
      <c r="E696" s="15"/>
      <c r="F696" s="15"/>
      <c r="G696" s="16"/>
      <c r="H696" s="16"/>
      <c r="I696" s="15"/>
      <c r="J696" s="15" t="str">
        <f t="shared" si="11"/>
        <v>yyyy-01</v>
      </c>
      <c r="K696" s="16">
        <f t="shared" si="15"/>
        <v>13417.620000000003</v>
      </c>
    </row>
    <row r="697" spans="1:11" ht="15.75" customHeight="1" x14ac:dyDescent="0.25">
      <c r="A697" s="14"/>
      <c r="C697" s="15"/>
      <c r="D697" s="15"/>
      <c r="E697" s="15"/>
      <c r="F697" s="15"/>
      <c r="G697" s="16"/>
      <c r="H697" s="16"/>
      <c r="I697" s="15"/>
      <c r="J697" s="15" t="str">
        <f t="shared" si="11"/>
        <v>yyyy-01</v>
      </c>
      <c r="K697" s="16">
        <f t="shared" si="15"/>
        <v>13417.620000000003</v>
      </c>
    </row>
    <row r="698" spans="1:11" ht="15.75" customHeight="1" x14ac:dyDescent="0.25">
      <c r="A698" s="14"/>
      <c r="C698" s="15"/>
      <c r="D698" s="15"/>
      <c r="E698" s="15"/>
      <c r="F698" s="15"/>
      <c r="G698" s="16"/>
      <c r="H698" s="16"/>
      <c r="I698" s="15"/>
      <c r="J698" s="15" t="str">
        <f t="shared" si="11"/>
        <v>yyyy-01</v>
      </c>
      <c r="K698" s="16">
        <f t="shared" si="15"/>
        <v>13417.620000000003</v>
      </c>
    </row>
    <row r="699" spans="1:11" ht="15.75" customHeight="1" x14ac:dyDescent="0.25">
      <c r="A699" s="14"/>
      <c r="C699" s="15"/>
      <c r="D699" s="15"/>
      <c r="E699" s="15"/>
      <c r="F699" s="15"/>
      <c r="G699" s="16"/>
      <c r="H699" s="16"/>
      <c r="I699" s="15"/>
      <c r="J699" s="15" t="str">
        <f t="shared" si="11"/>
        <v>yyyy-01</v>
      </c>
      <c r="K699" s="16">
        <f t="shared" si="15"/>
        <v>13417.620000000003</v>
      </c>
    </row>
    <row r="700" spans="1:11" ht="15.75" customHeight="1" x14ac:dyDescent="0.25">
      <c r="A700" s="14"/>
      <c r="C700" s="15"/>
      <c r="D700" s="15"/>
      <c r="E700" s="15"/>
      <c r="F700" s="15"/>
      <c r="G700" s="16"/>
      <c r="H700" s="16"/>
      <c r="I700" s="15"/>
      <c r="J700" s="15" t="str">
        <f t="shared" si="11"/>
        <v>yyyy-01</v>
      </c>
      <c r="K700" s="16">
        <f t="shared" si="15"/>
        <v>13417.620000000003</v>
      </c>
    </row>
    <row r="701" spans="1:11" ht="15.75" customHeight="1" x14ac:dyDescent="0.25">
      <c r="A701" s="14"/>
      <c r="C701" s="15"/>
      <c r="D701" s="15"/>
      <c r="E701" s="15"/>
      <c r="F701" s="15"/>
      <c r="G701" s="16"/>
      <c r="H701" s="16"/>
      <c r="I701" s="15"/>
      <c r="J701" s="15" t="str">
        <f t="shared" si="11"/>
        <v>yyyy-01</v>
      </c>
      <c r="K701" s="16">
        <f t="shared" si="15"/>
        <v>13417.620000000003</v>
      </c>
    </row>
    <row r="702" spans="1:11" ht="15.75" customHeight="1" x14ac:dyDescent="0.25">
      <c r="A702" s="14"/>
      <c r="C702" s="15"/>
      <c r="D702" s="15"/>
      <c r="E702" s="15"/>
      <c r="F702" s="15"/>
      <c r="G702" s="16"/>
      <c r="H702" s="16"/>
      <c r="I702" s="15"/>
      <c r="J702" s="15" t="str">
        <f t="shared" si="11"/>
        <v>yyyy-01</v>
      </c>
      <c r="K702" s="16">
        <f t="shared" si="15"/>
        <v>13417.620000000003</v>
      </c>
    </row>
    <row r="703" spans="1:11" ht="15.75" customHeight="1" x14ac:dyDescent="0.25">
      <c r="A703" s="14"/>
      <c r="C703" s="15"/>
      <c r="D703" s="15"/>
      <c r="E703" s="15"/>
      <c r="F703" s="15"/>
      <c r="G703" s="16"/>
      <c r="H703" s="16"/>
      <c r="I703" s="15"/>
      <c r="J703" s="15" t="str">
        <f t="shared" si="11"/>
        <v>yyyy-01</v>
      </c>
      <c r="K703" s="16">
        <f t="shared" si="15"/>
        <v>13417.620000000003</v>
      </c>
    </row>
    <row r="704" spans="1:11" ht="15.75" customHeight="1" x14ac:dyDescent="0.25">
      <c r="A704" s="14"/>
      <c r="C704" s="15"/>
      <c r="D704" s="15"/>
      <c r="E704" s="15"/>
      <c r="F704" s="15"/>
      <c r="G704" s="16"/>
      <c r="H704" s="16"/>
      <c r="I704" s="15"/>
      <c r="J704" s="15" t="str">
        <f t="shared" si="11"/>
        <v>yyyy-01</v>
      </c>
      <c r="K704" s="16">
        <f t="shared" si="15"/>
        <v>13417.620000000003</v>
      </c>
    </row>
    <row r="705" spans="1:11" ht="15.75" customHeight="1" x14ac:dyDescent="0.25">
      <c r="A705" s="14"/>
      <c r="C705" s="15"/>
      <c r="D705" s="15"/>
      <c r="E705" s="15"/>
      <c r="F705" s="15"/>
      <c r="G705" s="16"/>
      <c r="H705" s="16"/>
      <c r="I705" s="15"/>
      <c r="J705" s="15" t="str">
        <f t="shared" si="11"/>
        <v>yyyy-01</v>
      </c>
      <c r="K705" s="16">
        <f t="shared" si="15"/>
        <v>13417.620000000003</v>
      </c>
    </row>
    <row r="706" spans="1:11" ht="15.75" customHeight="1" x14ac:dyDescent="0.25">
      <c r="A706" s="14"/>
      <c r="C706" s="15"/>
      <c r="D706" s="15"/>
      <c r="E706" s="15"/>
      <c r="F706" s="15"/>
      <c r="G706" s="16"/>
      <c r="H706" s="16"/>
      <c r="I706" s="15"/>
      <c r="J706" s="15" t="str">
        <f t="shared" si="11"/>
        <v>yyyy-01</v>
      </c>
      <c r="K706" s="16">
        <f t="shared" si="15"/>
        <v>13417.620000000003</v>
      </c>
    </row>
    <row r="707" spans="1:11" ht="15.75" customHeight="1" x14ac:dyDescent="0.25">
      <c r="A707" s="14"/>
      <c r="C707" s="15"/>
      <c r="D707" s="15"/>
      <c r="E707" s="15"/>
      <c r="F707" s="15"/>
      <c r="G707" s="16"/>
      <c r="H707" s="16"/>
      <c r="I707" s="15"/>
      <c r="J707" s="15" t="str">
        <f t="shared" si="11"/>
        <v>yyyy-01</v>
      </c>
      <c r="K707" s="16">
        <f t="shared" si="15"/>
        <v>13417.620000000003</v>
      </c>
    </row>
    <row r="708" spans="1:11" ht="15.75" customHeight="1" x14ac:dyDescent="0.25">
      <c r="A708" s="14"/>
      <c r="C708" s="15"/>
      <c r="D708" s="15"/>
      <c r="E708" s="15"/>
      <c r="F708" s="15"/>
      <c r="G708" s="16"/>
      <c r="H708" s="16"/>
      <c r="I708" s="15"/>
      <c r="J708" s="15" t="str">
        <f t="shared" si="11"/>
        <v>yyyy-01</v>
      </c>
      <c r="K708" s="16">
        <f t="shared" si="15"/>
        <v>13417.620000000003</v>
      </c>
    </row>
    <row r="709" spans="1:11" ht="15.75" customHeight="1" x14ac:dyDescent="0.25">
      <c r="A709" s="14"/>
      <c r="C709" s="15"/>
      <c r="D709" s="15"/>
      <c r="E709" s="15"/>
      <c r="F709" s="15"/>
      <c r="G709" s="16"/>
      <c r="H709" s="16"/>
      <c r="I709" s="15"/>
      <c r="J709" s="15" t="str">
        <f t="shared" si="11"/>
        <v>yyyy-01</v>
      </c>
      <c r="K709" s="16">
        <f t="shared" si="15"/>
        <v>13417.620000000003</v>
      </c>
    </row>
    <row r="710" spans="1:11" ht="15.75" customHeight="1" x14ac:dyDescent="0.25">
      <c r="A710" s="14"/>
      <c r="C710" s="15"/>
      <c r="D710" s="15"/>
      <c r="E710" s="15"/>
      <c r="F710" s="15"/>
      <c r="G710" s="16"/>
      <c r="H710" s="16"/>
      <c r="I710" s="15"/>
      <c r="J710" s="15" t="str">
        <f t="shared" si="11"/>
        <v>yyyy-01</v>
      </c>
      <c r="K710" s="16">
        <f t="shared" si="15"/>
        <v>13417.620000000003</v>
      </c>
    </row>
    <row r="711" spans="1:11" ht="15.75" customHeight="1" x14ac:dyDescent="0.25">
      <c r="A711" s="14"/>
      <c r="C711" s="15"/>
      <c r="D711" s="15"/>
      <c r="E711" s="15"/>
      <c r="F711" s="15"/>
      <c r="G711" s="16"/>
      <c r="H711" s="16"/>
      <c r="I711" s="15"/>
      <c r="J711" s="15" t="str">
        <f t="shared" si="11"/>
        <v>yyyy-01</v>
      </c>
      <c r="K711" s="16">
        <f t="shared" si="15"/>
        <v>13417.620000000003</v>
      </c>
    </row>
    <row r="712" spans="1:11" ht="15.75" customHeight="1" x14ac:dyDescent="0.25">
      <c r="A712" s="14"/>
      <c r="C712" s="15"/>
      <c r="D712" s="15"/>
      <c r="E712" s="15"/>
      <c r="F712" s="15"/>
      <c r="G712" s="16"/>
      <c r="H712" s="16"/>
      <c r="I712" s="15"/>
      <c r="J712" s="15" t="str">
        <f t="shared" si="11"/>
        <v>yyyy-01</v>
      </c>
      <c r="K712" s="16">
        <f t="shared" si="15"/>
        <v>13417.620000000003</v>
      </c>
    </row>
    <row r="713" spans="1:11" ht="15.75" customHeight="1" x14ac:dyDescent="0.25">
      <c r="A713" s="14"/>
      <c r="C713" s="15"/>
      <c r="D713" s="15"/>
      <c r="E713" s="15"/>
      <c r="F713" s="15"/>
      <c r="G713" s="16"/>
      <c r="H713" s="16"/>
      <c r="I713" s="15"/>
      <c r="J713" s="15" t="str">
        <f t="shared" si="11"/>
        <v>yyyy-01</v>
      </c>
      <c r="K713" s="16">
        <f t="shared" si="15"/>
        <v>13417.620000000003</v>
      </c>
    </row>
    <row r="714" spans="1:11" ht="15.75" customHeight="1" x14ac:dyDescent="0.25">
      <c r="A714" s="14"/>
      <c r="C714" s="15"/>
      <c r="D714" s="15"/>
      <c r="E714" s="15"/>
      <c r="F714" s="15"/>
      <c r="G714" s="16"/>
      <c r="H714" s="16"/>
      <c r="I714" s="15"/>
      <c r="J714" s="15" t="str">
        <f t="shared" si="11"/>
        <v>yyyy-01</v>
      </c>
      <c r="K714" s="16">
        <f t="shared" si="15"/>
        <v>13417.620000000003</v>
      </c>
    </row>
    <row r="715" spans="1:11" ht="15.75" customHeight="1" x14ac:dyDescent="0.25">
      <c r="A715" s="14"/>
      <c r="C715" s="15"/>
      <c r="D715" s="15"/>
      <c r="E715" s="15"/>
      <c r="F715" s="15"/>
      <c r="G715" s="16"/>
      <c r="H715" s="16"/>
      <c r="I715" s="15"/>
      <c r="J715" s="15" t="str">
        <f t="shared" si="11"/>
        <v>yyyy-01</v>
      </c>
      <c r="K715" s="16">
        <f t="shared" si="15"/>
        <v>13417.620000000003</v>
      </c>
    </row>
    <row r="716" spans="1:11" ht="15.75" customHeight="1" x14ac:dyDescent="0.25">
      <c r="A716" s="14"/>
      <c r="C716" s="15"/>
      <c r="D716" s="15"/>
      <c r="E716" s="15"/>
      <c r="F716" s="15"/>
      <c r="G716" s="16"/>
      <c r="H716" s="16"/>
      <c r="I716" s="15"/>
      <c r="J716" s="15" t="str">
        <f t="shared" si="11"/>
        <v>yyyy-01</v>
      </c>
      <c r="K716" s="16">
        <f t="shared" si="15"/>
        <v>13417.620000000003</v>
      </c>
    </row>
    <row r="717" spans="1:11" ht="15.75" customHeight="1" x14ac:dyDescent="0.25">
      <c r="A717" s="14"/>
      <c r="C717" s="15"/>
      <c r="D717" s="15"/>
      <c r="E717" s="15"/>
      <c r="F717" s="15"/>
      <c r="G717" s="16"/>
      <c r="H717" s="16"/>
      <c r="I717" s="15"/>
      <c r="J717" s="15" t="str">
        <f t="shared" si="11"/>
        <v>yyyy-01</v>
      </c>
      <c r="K717" s="16">
        <f t="shared" si="15"/>
        <v>13417.620000000003</v>
      </c>
    </row>
    <row r="718" spans="1:11" ht="15.75" customHeight="1" x14ac:dyDescent="0.25">
      <c r="A718" s="14"/>
      <c r="C718" s="15"/>
      <c r="D718" s="15"/>
      <c r="E718" s="15"/>
      <c r="F718" s="15"/>
      <c r="G718" s="16"/>
      <c r="H718" s="16"/>
      <c r="I718" s="15"/>
      <c r="J718" s="15" t="str">
        <f t="shared" si="11"/>
        <v>yyyy-01</v>
      </c>
      <c r="K718" s="16">
        <f t="shared" si="15"/>
        <v>13417.620000000003</v>
      </c>
    </row>
    <row r="719" spans="1:11" ht="15.75" customHeight="1" x14ac:dyDescent="0.25">
      <c r="A719" s="14"/>
      <c r="C719" s="15"/>
      <c r="D719" s="15"/>
      <c r="E719" s="15"/>
      <c r="F719" s="15"/>
      <c r="G719" s="16"/>
      <c r="H719" s="16"/>
      <c r="I719" s="15"/>
      <c r="J719" s="15" t="str">
        <f t="shared" si="11"/>
        <v>yyyy-01</v>
      </c>
      <c r="K719" s="16">
        <f t="shared" si="15"/>
        <v>13417.620000000003</v>
      </c>
    </row>
    <row r="720" spans="1:11" ht="15.75" customHeight="1" x14ac:dyDescent="0.25">
      <c r="A720" s="14"/>
      <c r="C720" s="15"/>
      <c r="D720" s="15"/>
      <c r="E720" s="15"/>
      <c r="F720" s="15"/>
      <c r="G720" s="16"/>
      <c r="H720" s="16"/>
      <c r="I720" s="15"/>
      <c r="J720" s="15" t="str">
        <f t="shared" si="11"/>
        <v>yyyy-01</v>
      </c>
      <c r="K720" s="16">
        <f t="shared" si="15"/>
        <v>13417.620000000003</v>
      </c>
    </row>
    <row r="721" spans="1:11" ht="15.75" customHeight="1" x14ac:dyDescent="0.25">
      <c r="A721" s="14"/>
      <c r="C721" s="15"/>
      <c r="D721" s="15"/>
      <c r="E721" s="15"/>
      <c r="F721" s="15"/>
      <c r="G721" s="16"/>
      <c r="H721" s="16"/>
      <c r="I721" s="15"/>
      <c r="J721" s="15" t="str">
        <f t="shared" si="11"/>
        <v>yyyy-01</v>
      </c>
      <c r="K721" s="16">
        <f t="shared" si="15"/>
        <v>13417.620000000003</v>
      </c>
    </row>
    <row r="722" spans="1:11" ht="15.75" customHeight="1" x14ac:dyDescent="0.25">
      <c r="A722" s="14"/>
      <c r="C722" s="15"/>
      <c r="D722" s="15"/>
      <c r="E722" s="15"/>
      <c r="F722" s="15"/>
      <c r="G722" s="16"/>
      <c r="H722" s="16"/>
      <c r="I722" s="15"/>
      <c r="J722" s="15" t="str">
        <f t="shared" si="11"/>
        <v>yyyy-01</v>
      </c>
      <c r="K722" s="16">
        <f t="shared" si="15"/>
        <v>13417.620000000003</v>
      </c>
    </row>
    <row r="723" spans="1:11" ht="15.75" customHeight="1" x14ac:dyDescent="0.25">
      <c r="A723" s="14"/>
      <c r="C723" s="15"/>
      <c r="D723" s="15"/>
      <c r="E723" s="15"/>
      <c r="F723" s="15"/>
      <c r="G723" s="16"/>
      <c r="H723" s="16"/>
      <c r="I723" s="15"/>
      <c r="J723" s="15" t="str">
        <f t="shared" si="11"/>
        <v>yyyy-01</v>
      </c>
      <c r="K723" s="16">
        <f t="shared" si="15"/>
        <v>13417.620000000003</v>
      </c>
    </row>
    <row r="724" spans="1:11" ht="15.75" customHeight="1" x14ac:dyDescent="0.25">
      <c r="A724" s="14"/>
      <c r="C724" s="15"/>
      <c r="D724" s="15"/>
      <c r="E724" s="15"/>
      <c r="F724" s="15"/>
      <c r="G724" s="16"/>
      <c r="H724" s="16"/>
      <c r="I724" s="15"/>
      <c r="J724" s="15" t="str">
        <f t="shared" si="11"/>
        <v>yyyy-01</v>
      </c>
      <c r="K724" s="16">
        <f t="shared" si="15"/>
        <v>13417.620000000003</v>
      </c>
    </row>
    <row r="725" spans="1:11" ht="15.75" customHeight="1" x14ac:dyDescent="0.25">
      <c r="A725" s="14"/>
      <c r="C725" s="15"/>
      <c r="D725" s="15"/>
      <c r="E725" s="15"/>
      <c r="F725" s="15"/>
      <c r="G725" s="16"/>
      <c r="H725" s="16"/>
      <c r="I725" s="15"/>
      <c r="J725" s="15" t="str">
        <f t="shared" si="11"/>
        <v>yyyy-01</v>
      </c>
      <c r="K725" s="16">
        <f t="shared" si="15"/>
        <v>13417.620000000003</v>
      </c>
    </row>
    <row r="726" spans="1:11" ht="15.75" customHeight="1" x14ac:dyDescent="0.25">
      <c r="A726" s="14"/>
      <c r="C726" s="15"/>
      <c r="D726" s="15"/>
      <c r="E726" s="15"/>
      <c r="F726" s="15"/>
      <c r="G726" s="16"/>
      <c r="H726" s="16"/>
      <c r="I726" s="15"/>
      <c r="J726" s="15" t="str">
        <f t="shared" si="11"/>
        <v>yyyy-01</v>
      </c>
      <c r="K726" s="16">
        <f t="shared" si="15"/>
        <v>13417.620000000003</v>
      </c>
    </row>
    <row r="727" spans="1:11" ht="15.75" customHeight="1" x14ac:dyDescent="0.25">
      <c r="A727" s="14"/>
      <c r="C727" s="15"/>
      <c r="D727" s="15"/>
      <c r="E727" s="15"/>
      <c r="F727" s="15"/>
      <c r="G727" s="16"/>
      <c r="H727" s="16"/>
      <c r="I727" s="15"/>
      <c r="J727" s="15" t="str">
        <f t="shared" si="11"/>
        <v>yyyy-01</v>
      </c>
      <c r="K727" s="16">
        <f t="shared" si="15"/>
        <v>13417.620000000003</v>
      </c>
    </row>
    <row r="728" spans="1:11" ht="15.75" customHeight="1" x14ac:dyDescent="0.25">
      <c r="A728" s="14"/>
      <c r="C728" s="15"/>
      <c r="D728" s="15"/>
      <c r="E728" s="15"/>
      <c r="F728" s="15"/>
      <c r="G728" s="16"/>
      <c r="H728" s="16"/>
      <c r="I728" s="15"/>
      <c r="J728" s="15" t="str">
        <f t="shared" si="11"/>
        <v>yyyy-01</v>
      </c>
      <c r="K728" s="16">
        <f t="shared" si="15"/>
        <v>13417.620000000003</v>
      </c>
    </row>
    <row r="729" spans="1:11" ht="15.75" customHeight="1" x14ac:dyDescent="0.25">
      <c r="A729" s="14"/>
      <c r="C729" s="15"/>
      <c r="D729" s="15"/>
      <c r="E729" s="15"/>
      <c r="F729" s="15"/>
      <c r="G729" s="16"/>
      <c r="H729" s="16"/>
      <c r="I729" s="15"/>
      <c r="J729" s="15" t="str">
        <f t="shared" si="11"/>
        <v>yyyy-01</v>
      </c>
      <c r="K729" s="16">
        <f t="shared" si="15"/>
        <v>13417.620000000003</v>
      </c>
    </row>
    <row r="730" spans="1:11" ht="15.75" customHeight="1" x14ac:dyDescent="0.25">
      <c r="A730" s="14"/>
      <c r="C730" s="15"/>
      <c r="D730" s="15"/>
      <c r="E730" s="15"/>
      <c r="F730" s="15"/>
      <c r="G730" s="16"/>
      <c r="H730" s="16"/>
      <c r="I730" s="15"/>
      <c r="J730" s="15" t="str">
        <f t="shared" si="11"/>
        <v>yyyy-01</v>
      </c>
      <c r="K730" s="16">
        <f t="shared" si="15"/>
        <v>13417.620000000003</v>
      </c>
    </row>
    <row r="731" spans="1:11" ht="15.75" customHeight="1" x14ac:dyDescent="0.25">
      <c r="A731" s="14"/>
      <c r="C731" s="15"/>
      <c r="D731" s="15"/>
      <c r="E731" s="15"/>
      <c r="F731" s="15"/>
      <c r="G731" s="16"/>
      <c r="H731" s="16"/>
      <c r="I731" s="15"/>
      <c r="J731" s="15" t="str">
        <f t="shared" si="11"/>
        <v>yyyy-01</v>
      </c>
      <c r="K731" s="16">
        <f t="shared" si="15"/>
        <v>13417.620000000003</v>
      </c>
    </row>
    <row r="732" spans="1:11" ht="15.75" customHeight="1" x14ac:dyDescent="0.25">
      <c r="A732" s="14"/>
      <c r="C732" s="15"/>
      <c r="D732" s="15"/>
      <c r="E732" s="15"/>
      <c r="F732" s="15"/>
      <c r="G732" s="16"/>
      <c r="H732" s="16"/>
      <c r="I732" s="15"/>
      <c r="J732" s="15" t="str">
        <f t="shared" si="11"/>
        <v>yyyy-01</v>
      </c>
      <c r="K732" s="16">
        <f t="shared" si="15"/>
        <v>13417.620000000003</v>
      </c>
    </row>
    <row r="733" spans="1:11" ht="15.75" customHeight="1" x14ac:dyDescent="0.25">
      <c r="A733" s="14"/>
      <c r="C733" s="15"/>
      <c r="D733" s="15"/>
      <c r="E733" s="15"/>
      <c r="F733" s="15"/>
      <c r="G733" s="16"/>
      <c r="H733" s="16"/>
      <c r="I733" s="15"/>
      <c r="J733" s="15" t="str">
        <f t="shared" ref="J733:J987" si="16">TEXT(A733,"yyyy-mm")</f>
        <v>yyyy-01</v>
      </c>
      <c r="K733" s="16">
        <f t="shared" si="15"/>
        <v>13417.620000000003</v>
      </c>
    </row>
    <row r="734" spans="1:11" ht="15.75" customHeight="1" x14ac:dyDescent="0.25">
      <c r="A734" s="14"/>
      <c r="C734" s="15"/>
      <c r="D734" s="15"/>
      <c r="E734" s="15"/>
      <c r="F734" s="15"/>
      <c r="G734" s="16"/>
      <c r="H734" s="16"/>
      <c r="I734" s="15"/>
      <c r="J734" s="15" t="str">
        <f t="shared" si="16"/>
        <v>yyyy-01</v>
      </c>
      <c r="K734" s="16">
        <f t="shared" si="15"/>
        <v>13417.620000000003</v>
      </c>
    </row>
    <row r="735" spans="1:11" ht="15.75" customHeight="1" x14ac:dyDescent="0.25">
      <c r="A735" s="14"/>
      <c r="C735" s="15"/>
      <c r="D735" s="15"/>
      <c r="E735" s="15"/>
      <c r="F735" s="15"/>
      <c r="G735" s="16"/>
      <c r="H735" s="16"/>
      <c r="I735" s="15"/>
      <c r="J735" s="15" t="str">
        <f t="shared" si="16"/>
        <v>yyyy-01</v>
      </c>
      <c r="K735" s="16">
        <f t="shared" ref="K735:K798" si="17">K734 + IF(C735="Entrada", G735, -G735)</f>
        <v>13417.620000000003</v>
      </c>
    </row>
    <row r="736" spans="1:11" ht="15.75" customHeight="1" x14ac:dyDescent="0.25">
      <c r="A736" s="14"/>
      <c r="C736" s="15"/>
      <c r="D736" s="15"/>
      <c r="E736" s="15"/>
      <c r="F736" s="15"/>
      <c r="G736" s="16"/>
      <c r="H736" s="16"/>
      <c r="I736" s="15"/>
      <c r="J736" s="15" t="str">
        <f t="shared" si="16"/>
        <v>yyyy-01</v>
      </c>
      <c r="K736" s="16">
        <f t="shared" si="17"/>
        <v>13417.620000000003</v>
      </c>
    </row>
    <row r="737" spans="1:11" ht="15.75" customHeight="1" x14ac:dyDescent="0.25">
      <c r="A737" s="14"/>
      <c r="C737" s="15"/>
      <c r="D737" s="15"/>
      <c r="E737" s="15"/>
      <c r="F737" s="15"/>
      <c r="G737" s="16"/>
      <c r="H737" s="16"/>
      <c r="I737" s="15"/>
      <c r="J737" s="15" t="str">
        <f t="shared" si="16"/>
        <v>yyyy-01</v>
      </c>
      <c r="K737" s="16">
        <f t="shared" si="17"/>
        <v>13417.620000000003</v>
      </c>
    </row>
    <row r="738" spans="1:11" ht="15.75" customHeight="1" x14ac:dyDescent="0.25">
      <c r="A738" s="14"/>
      <c r="C738" s="15"/>
      <c r="D738" s="15"/>
      <c r="E738" s="15"/>
      <c r="F738" s="15"/>
      <c r="G738" s="16"/>
      <c r="H738" s="16"/>
      <c r="I738" s="15"/>
      <c r="J738" s="15" t="str">
        <f t="shared" si="16"/>
        <v>yyyy-01</v>
      </c>
      <c r="K738" s="16">
        <f t="shared" si="17"/>
        <v>13417.620000000003</v>
      </c>
    </row>
    <row r="739" spans="1:11" ht="15.75" customHeight="1" x14ac:dyDescent="0.25">
      <c r="A739" s="14"/>
      <c r="C739" s="15"/>
      <c r="D739" s="15"/>
      <c r="E739" s="15"/>
      <c r="F739" s="15"/>
      <c r="G739" s="16"/>
      <c r="H739" s="16"/>
      <c r="I739" s="15"/>
      <c r="J739" s="15" t="str">
        <f t="shared" si="16"/>
        <v>yyyy-01</v>
      </c>
      <c r="K739" s="16">
        <f t="shared" si="17"/>
        <v>13417.620000000003</v>
      </c>
    </row>
    <row r="740" spans="1:11" ht="15.75" customHeight="1" x14ac:dyDescent="0.25">
      <c r="A740" s="14"/>
      <c r="C740" s="15"/>
      <c r="D740" s="15"/>
      <c r="E740" s="15"/>
      <c r="F740" s="15"/>
      <c r="G740" s="16"/>
      <c r="H740" s="16"/>
      <c r="I740" s="15"/>
      <c r="J740" s="15" t="str">
        <f t="shared" si="16"/>
        <v>yyyy-01</v>
      </c>
      <c r="K740" s="16">
        <f t="shared" si="17"/>
        <v>13417.620000000003</v>
      </c>
    </row>
    <row r="741" spans="1:11" ht="15.75" customHeight="1" x14ac:dyDescent="0.25">
      <c r="A741" s="14"/>
      <c r="C741" s="15"/>
      <c r="D741" s="15"/>
      <c r="E741" s="15"/>
      <c r="F741" s="15"/>
      <c r="G741" s="16"/>
      <c r="H741" s="16"/>
      <c r="I741" s="15"/>
      <c r="J741" s="15" t="str">
        <f t="shared" si="16"/>
        <v>yyyy-01</v>
      </c>
      <c r="K741" s="16">
        <f t="shared" si="17"/>
        <v>13417.620000000003</v>
      </c>
    </row>
    <row r="742" spans="1:11" ht="15.75" customHeight="1" x14ac:dyDescent="0.25">
      <c r="A742" s="14"/>
      <c r="C742" s="15"/>
      <c r="D742" s="15"/>
      <c r="E742" s="15"/>
      <c r="F742" s="15"/>
      <c r="G742" s="16"/>
      <c r="H742" s="16"/>
      <c r="I742" s="15"/>
      <c r="J742" s="15" t="str">
        <f t="shared" si="16"/>
        <v>yyyy-01</v>
      </c>
      <c r="K742" s="16">
        <f t="shared" si="17"/>
        <v>13417.620000000003</v>
      </c>
    </row>
    <row r="743" spans="1:11" ht="15.75" customHeight="1" x14ac:dyDescent="0.25">
      <c r="A743" s="14"/>
      <c r="C743" s="15"/>
      <c r="D743" s="15"/>
      <c r="E743" s="15"/>
      <c r="F743" s="15"/>
      <c r="G743" s="16"/>
      <c r="H743" s="16"/>
      <c r="I743" s="15"/>
      <c r="J743" s="15" t="str">
        <f t="shared" si="16"/>
        <v>yyyy-01</v>
      </c>
      <c r="K743" s="16">
        <f t="shared" si="17"/>
        <v>13417.620000000003</v>
      </c>
    </row>
    <row r="744" spans="1:11" ht="15.75" customHeight="1" x14ac:dyDescent="0.25">
      <c r="A744" s="14"/>
      <c r="C744" s="15"/>
      <c r="D744" s="15"/>
      <c r="E744" s="15"/>
      <c r="F744" s="15"/>
      <c r="G744" s="16"/>
      <c r="H744" s="16"/>
      <c r="I744" s="15"/>
      <c r="J744" s="15" t="str">
        <f t="shared" si="16"/>
        <v>yyyy-01</v>
      </c>
      <c r="K744" s="16">
        <f t="shared" si="17"/>
        <v>13417.620000000003</v>
      </c>
    </row>
    <row r="745" spans="1:11" ht="15.75" customHeight="1" x14ac:dyDescent="0.25">
      <c r="A745" s="14"/>
      <c r="C745" s="15"/>
      <c r="D745" s="15"/>
      <c r="E745" s="15"/>
      <c r="F745" s="15"/>
      <c r="G745" s="16"/>
      <c r="H745" s="16"/>
      <c r="I745" s="15"/>
      <c r="J745" s="15" t="str">
        <f t="shared" si="16"/>
        <v>yyyy-01</v>
      </c>
      <c r="K745" s="16">
        <f t="shared" si="17"/>
        <v>13417.620000000003</v>
      </c>
    </row>
    <row r="746" spans="1:11" ht="15.75" customHeight="1" x14ac:dyDescent="0.25">
      <c r="A746" s="14"/>
      <c r="C746" s="15"/>
      <c r="D746" s="15"/>
      <c r="E746" s="15"/>
      <c r="F746" s="15"/>
      <c r="G746" s="16"/>
      <c r="H746" s="16"/>
      <c r="I746" s="15"/>
      <c r="J746" s="15" t="str">
        <f t="shared" si="16"/>
        <v>yyyy-01</v>
      </c>
      <c r="K746" s="16">
        <f t="shared" si="17"/>
        <v>13417.620000000003</v>
      </c>
    </row>
    <row r="747" spans="1:11" ht="15.75" customHeight="1" x14ac:dyDescent="0.25">
      <c r="A747" s="14"/>
      <c r="C747" s="15"/>
      <c r="D747" s="15"/>
      <c r="E747" s="15"/>
      <c r="F747" s="15"/>
      <c r="G747" s="16"/>
      <c r="H747" s="16"/>
      <c r="I747" s="15"/>
      <c r="J747" s="15" t="str">
        <f t="shared" si="16"/>
        <v>yyyy-01</v>
      </c>
      <c r="K747" s="16">
        <f t="shared" si="17"/>
        <v>13417.620000000003</v>
      </c>
    </row>
    <row r="748" spans="1:11" ht="15.75" customHeight="1" x14ac:dyDescent="0.25">
      <c r="A748" s="14"/>
      <c r="C748" s="15"/>
      <c r="D748" s="15"/>
      <c r="E748" s="15"/>
      <c r="F748" s="15"/>
      <c r="G748" s="16"/>
      <c r="H748" s="16"/>
      <c r="I748" s="15"/>
      <c r="J748" s="15" t="str">
        <f t="shared" si="16"/>
        <v>yyyy-01</v>
      </c>
      <c r="K748" s="16">
        <f t="shared" si="17"/>
        <v>13417.620000000003</v>
      </c>
    </row>
    <row r="749" spans="1:11" ht="15.75" customHeight="1" x14ac:dyDescent="0.25">
      <c r="A749" s="14"/>
      <c r="C749" s="15"/>
      <c r="D749" s="15"/>
      <c r="E749" s="15"/>
      <c r="F749" s="15"/>
      <c r="G749" s="16"/>
      <c r="H749" s="16"/>
      <c r="I749" s="15"/>
      <c r="J749" s="15" t="str">
        <f t="shared" si="16"/>
        <v>yyyy-01</v>
      </c>
      <c r="K749" s="16">
        <f t="shared" si="17"/>
        <v>13417.620000000003</v>
      </c>
    </row>
    <row r="750" spans="1:11" ht="15.75" customHeight="1" x14ac:dyDescent="0.25">
      <c r="A750" s="14"/>
      <c r="C750" s="15"/>
      <c r="D750" s="15"/>
      <c r="E750" s="15"/>
      <c r="F750" s="15"/>
      <c r="G750" s="16"/>
      <c r="H750" s="16"/>
      <c r="I750" s="15"/>
      <c r="J750" s="15" t="str">
        <f t="shared" si="16"/>
        <v>yyyy-01</v>
      </c>
      <c r="K750" s="16">
        <f t="shared" si="17"/>
        <v>13417.620000000003</v>
      </c>
    </row>
    <row r="751" spans="1:11" ht="15.75" customHeight="1" x14ac:dyDescent="0.25">
      <c r="A751" s="14"/>
      <c r="C751" s="15"/>
      <c r="D751" s="15"/>
      <c r="E751" s="15"/>
      <c r="F751" s="15"/>
      <c r="G751" s="16"/>
      <c r="H751" s="16"/>
      <c r="I751" s="15"/>
      <c r="J751" s="15" t="str">
        <f t="shared" si="16"/>
        <v>yyyy-01</v>
      </c>
      <c r="K751" s="16">
        <f t="shared" si="17"/>
        <v>13417.620000000003</v>
      </c>
    </row>
    <row r="752" spans="1:11" ht="15.75" customHeight="1" x14ac:dyDescent="0.25">
      <c r="A752" s="14"/>
      <c r="C752" s="15"/>
      <c r="D752" s="15"/>
      <c r="E752" s="15"/>
      <c r="F752" s="15"/>
      <c r="G752" s="16"/>
      <c r="H752" s="16"/>
      <c r="I752" s="15"/>
      <c r="J752" s="15" t="str">
        <f t="shared" si="16"/>
        <v>yyyy-01</v>
      </c>
      <c r="K752" s="16">
        <f t="shared" si="17"/>
        <v>13417.620000000003</v>
      </c>
    </row>
    <row r="753" spans="1:11" ht="15.75" customHeight="1" x14ac:dyDescent="0.25">
      <c r="A753" s="14"/>
      <c r="C753" s="15"/>
      <c r="D753" s="15"/>
      <c r="E753" s="15"/>
      <c r="F753" s="15"/>
      <c r="G753" s="16"/>
      <c r="H753" s="16"/>
      <c r="I753" s="15"/>
      <c r="J753" s="15" t="str">
        <f t="shared" si="16"/>
        <v>yyyy-01</v>
      </c>
      <c r="K753" s="16">
        <f t="shared" si="17"/>
        <v>13417.620000000003</v>
      </c>
    </row>
    <row r="754" spans="1:11" ht="15.75" customHeight="1" x14ac:dyDescent="0.25">
      <c r="A754" s="14"/>
      <c r="C754" s="15"/>
      <c r="D754" s="15"/>
      <c r="E754" s="15"/>
      <c r="F754" s="15"/>
      <c r="G754" s="16"/>
      <c r="H754" s="16"/>
      <c r="I754" s="15"/>
      <c r="J754" s="15" t="str">
        <f t="shared" si="16"/>
        <v>yyyy-01</v>
      </c>
      <c r="K754" s="16">
        <f t="shared" si="17"/>
        <v>13417.620000000003</v>
      </c>
    </row>
    <row r="755" spans="1:11" ht="15.75" customHeight="1" x14ac:dyDescent="0.25">
      <c r="A755" s="14"/>
      <c r="C755" s="15"/>
      <c r="D755" s="15"/>
      <c r="E755" s="15"/>
      <c r="F755" s="15"/>
      <c r="G755" s="16"/>
      <c r="H755" s="16"/>
      <c r="I755" s="15"/>
      <c r="J755" s="15" t="str">
        <f t="shared" si="16"/>
        <v>yyyy-01</v>
      </c>
      <c r="K755" s="16">
        <f t="shared" si="17"/>
        <v>13417.620000000003</v>
      </c>
    </row>
    <row r="756" spans="1:11" ht="15.75" customHeight="1" x14ac:dyDescent="0.25">
      <c r="A756" s="14"/>
      <c r="C756" s="15"/>
      <c r="D756" s="15"/>
      <c r="E756" s="15"/>
      <c r="F756" s="15"/>
      <c r="G756" s="16"/>
      <c r="H756" s="16"/>
      <c r="I756" s="15"/>
      <c r="J756" s="15" t="str">
        <f t="shared" si="16"/>
        <v>yyyy-01</v>
      </c>
      <c r="K756" s="16">
        <f t="shared" si="17"/>
        <v>13417.620000000003</v>
      </c>
    </row>
    <row r="757" spans="1:11" ht="15.75" customHeight="1" x14ac:dyDescent="0.25">
      <c r="A757" s="14"/>
      <c r="C757" s="15"/>
      <c r="D757" s="15"/>
      <c r="E757" s="15"/>
      <c r="F757" s="15"/>
      <c r="G757" s="16"/>
      <c r="H757" s="16"/>
      <c r="I757" s="15"/>
      <c r="J757" s="15" t="str">
        <f t="shared" si="16"/>
        <v>yyyy-01</v>
      </c>
      <c r="K757" s="16">
        <f t="shared" si="17"/>
        <v>13417.620000000003</v>
      </c>
    </row>
    <row r="758" spans="1:11" ht="15.75" customHeight="1" x14ac:dyDescent="0.25">
      <c r="A758" s="14"/>
      <c r="C758" s="15"/>
      <c r="D758" s="15"/>
      <c r="E758" s="15"/>
      <c r="F758" s="15"/>
      <c r="G758" s="16"/>
      <c r="H758" s="16"/>
      <c r="I758" s="15"/>
      <c r="J758" s="15" t="str">
        <f t="shared" si="16"/>
        <v>yyyy-01</v>
      </c>
      <c r="K758" s="16">
        <f t="shared" si="17"/>
        <v>13417.620000000003</v>
      </c>
    </row>
    <row r="759" spans="1:11" ht="15.75" customHeight="1" x14ac:dyDescent="0.25">
      <c r="A759" s="14"/>
      <c r="C759" s="15"/>
      <c r="D759" s="15"/>
      <c r="E759" s="15"/>
      <c r="F759" s="15"/>
      <c r="G759" s="16"/>
      <c r="H759" s="16"/>
      <c r="I759" s="15"/>
      <c r="J759" s="15" t="str">
        <f t="shared" si="16"/>
        <v>yyyy-01</v>
      </c>
      <c r="K759" s="16">
        <f t="shared" si="17"/>
        <v>13417.620000000003</v>
      </c>
    </row>
    <row r="760" spans="1:11" ht="15.75" customHeight="1" x14ac:dyDescent="0.25">
      <c r="A760" s="14"/>
      <c r="C760" s="15"/>
      <c r="D760" s="15"/>
      <c r="E760" s="15"/>
      <c r="F760" s="15"/>
      <c r="G760" s="16"/>
      <c r="H760" s="16"/>
      <c r="I760" s="15"/>
      <c r="J760" s="15" t="str">
        <f t="shared" si="16"/>
        <v>yyyy-01</v>
      </c>
      <c r="K760" s="16">
        <f t="shared" si="17"/>
        <v>13417.620000000003</v>
      </c>
    </row>
    <row r="761" spans="1:11" ht="15.75" customHeight="1" x14ac:dyDescent="0.25">
      <c r="A761" s="14"/>
      <c r="C761" s="15"/>
      <c r="D761" s="15"/>
      <c r="E761" s="15"/>
      <c r="F761" s="15"/>
      <c r="G761" s="16"/>
      <c r="H761" s="16"/>
      <c r="I761" s="15"/>
      <c r="J761" s="15" t="str">
        <f t="shared" si="16"/>
        <v>yyyy-01</v>
      </c>
      <c r="K761" s="16">
        <f t="shared" si="17"/>
        <v>13417.620000000003</v>
      </c>
    </row>
    <row r="762" spans="1:11" ht="15.75" customHeight="1" x14ac:dyDescent="0.25">
      <c r="A762" s="14"/>
      <c r="C762" s="15"/>
      <c r="D762" s="15"/>
      <c r="E762" s="15"/>
      <c r="F762" s="15"/>
      <c r="G762" s="16"/>
      <c r="H762" s="16"/>
      <c r="I762" s="15"/>
      <c r="J762" s="15" t="str">
        <f t="shared" si="16"/>
        <v>yyyy-01</v>
      </c>
      <c r="K762" s="16">
        <f t="shared" si="17"/>
        <v>13417.620000000003</v>
      </c>
    </row>
    <row r="763" spans="1:11" ht="15.75" customHeight="1" x14ac:dyDescent="0.25">
      <c r="A763" s="14"/>
      <c r="C763" s="15"/>
      <c r="D763" s="15"/>
      <c r="E763" s="15"/>
      <c r="F763" s="15"/>
      <c r="G763" s="16"/>
      <c r="H763" s="16"/>
      <c r="I763" s="15"/>
      <c r="J763" s="15" t="str">
        <f t="shared" si="16"/>
        <v>yyyy-01</v>
      </c>
      <c r="K763" s="16">
        <f t="shared" si="17"/>
        <v>13417.620000000003</v>
      </c>
    </row>
    <row r="764" spans="1:11" ht="15.75" customHeight="1" x14ac:dyDescent="0.25">
      <c r="A764" s="14"/>
      <c r="C764" s="15"/>
      <c r="D764" s="15"/>
      <c r="E764" s="15"/>
      <c r="F764" s="15"/>
      <c r="G764" s="16"/>
      <c r="H764" s="16"/>
      <c r="I764" s="15"/>
      <c r="J764" s="15" t="str">
        <f t="shared" si="16"/>
        <v>yyyy-01</v>
      </c>
      <c r="K764" s="16">
        <f t="shared" si="17"/>
        <v>13417.620000000003</v>
      </c>
    </row>
    <row r="765" spans="1:11" ht="15.75" customHeight="1" x14ac:dyDescent="0.25">
      <c r="A765" s="14"/>
      <c r="C765" s="15"/>
      <c r="D765" s="15"/>
      <c r="E765" s="15"/>
      <c r="F765" s="15"/>
      <c r="G765" s="16"/>
      <c r="H765" s="16"/>
      <c r="I765" s="15"/>
      <c r="J765" s="15" t="str">
        <f t="shared" si="16"/>
        <v>yyyy-01</v>
      </c>
      <c r="K765" s="16">
        <f t="shared" si="17"/>
        <v>13417.620000000003</v>
      </c>
    </row>
    <row r="766" spans="1:11" ht="15.75" customHeight="1" x14ac:dyDescent="0.25">
      <c r="A766" s="14"/>
      <c r="C766" s="15"/>
      <c r="D766" s="15"/>
      <c r="E766" s="15"/>
      <c r="F766" s="15"/>
      <c r="G766" s="16"/>
      <c r="H766" s="16"/>
      <c r="I766" s="15"/>
      <c r="J766" s="15" t="str">
        <f t="shared" si="16"/>
        <v>yyyy-01</v>
      </c>
      <c r="K766" s="16">
        <f t="shared" si="17"/>
        <v>13417.620000000003</v>
      </c>
    </row>
    <row r="767" spans="1:11" ht="15.75" customHeight="1" x14ac:dyDescent="0.25">
      <c r="A767" s="14"/>
      <c r="C767" s="15"/>
      <c r="D767" s="15"/>
      <c r="E767" s="15"/>
      <c r="F767" s="15"/>
      <c r="G767" s="16"/>
      <c r="H767" s="16"/>
      <c r="I767" s="15"/>
      <c r="J767" s="15" t="str">
        <f t="shared" si="16"/>
        <v>yyyy-01</v>
      </c>
      <c r="K767" s="16">
        <f t="shared" si="17"/>
        <v>13417.620000000003</v>
      </c>
    </row>
    <row r="768" spans="1:11" ht="15.75" customHeight="1" x14ac:dyDescent="0.25">
      <c r="A768" s="14"/>
      <c r="C768" s="15"/>
      <c r="D768" s="15"/>
      <c r="E768" s="15"/>
      <c r="F768" s="15"/>
      <c r="G768" s="16"/>
      <c r="H768" s="16"/>
      <c r="I768" s="15"/>
      <c r="J768" s="15" t="str">
        <f t="shared" si="16"/>
        <v>yyyy-01</v>
      </c>
      <c r="K768" s="16">
        <f t="shared" si="17"/>
        <v>13417.620000000003</v>
      </c>
    </row>
    <row r="769" spans="1:11" ht="15.75" customHeight="1" x14ac:dyDescent="0.25">
      <c r="A769" s="14"/>
      <c r="C769" s="15"/>
      <c r="D769" s="15"/>
      <c r="E769" s="15"/>
      <c r="F769" s="15"/>
      <c r="G769" s="16"/>
      <c r="H769" s="16"/>
      <c r="I769" s="15"/>
      <c r="J769" s="15" t="str">
        <f t="shared" si="16"/>
        <v>yyyy-01</v>
      </c>
      <c r="K769" s="16">
        <f t="shared" si="17"/>
        <v>13417.620000000003</v>
      </c>
    </row>
    <row r="770" spans="1:11" ht="15.75" customHeight="1" x14ac:dyDescent="0.25">
      <c r="A770" s="14"/>
      <c r="C770" s="15"/>
      <c r="D770" s="15"/>
      <c r="E770" s="15"/>
      <c r="F770" s="15"/>
      <c r="G770" s="16"/>
      <c r="H770" s="16"/>
      <c r="I770" s="15"/>
      <c r="J770" s="15" t="str">
        <f t="shared" si="16"/>
        <v>yyyy-01</v>
      </c>
      <c r="K770" s="16">
        <f t="shared" si="17"/>
        <v>13417.620000000003</v>
      </c>
    </row>
    <row r="771" spans="1:11" ht="15.75" customHeight="1" x14ac:dyDescent="0.25">
      <c r="A771" s="14"/>
      <c r="C771" s="15"/>
      <c r="D771" s="15"/>
      <c r="E771" s="15"/>
      <c r="F771" s="15"/>
      <c r="G771" s="16"/>
      <c r="H771" s="16"/>
      <c r="I771" s="15"/>
      <c r="J771" s="15" t="str">
        <f t="shared" si="16"/>
        <v>yyyy-01</v>
      </c>
      <c r="K771" s="16">
        <f t="shared" si="17"/>
        <v>13417.620000000003</v>
      </c>
    </row>
    <row r="772" spans="1:11" ht="15.75" customHeight="1" x14ac:dyDescent="0.25">
      <c r="A772" s="14"/>
      <c r="C772" s="15"/>
      <c r="D772" s="15"/>
      <c r="E772" s="15"/>
      <c r="F772" s="15"/>
      <c r="G772" s="16"/>
      <c r="H772" s="16"/>
      <c r="I772" s="15"/>
      <c r="J772" s="15" t="str">
        <f t="shared" si="16"/>
        <v>yyyy-01</v>
      </c>
      <c r="K772" s="16">
        <f t="shared" si="17"/>
        <v>13417.620000000003</v>
      </c>
    </row>
    <row r="773" spans="1:11" ht="15.75" customHeight="1" x14ac:dyDescent="0.25">
      <c r="A773" s="14"/>
      <c r="C773" s="15"/>
      <c r="D773" s="15"/>
      <c r="E773" s="15"/>
      <c r="F773" s="15"/>
      <c r="G773" s="16"/>
      <c r="H773" s="16"/>
      <c r="I773" s="15"/>
      <c r="J773" s="15" t="str">
        <f t="shared" si="16"/>
        <v>yyyy-01</v>
      </c>
      <c r="K773" s="16">
        <f t="shared" si="17"/>
        <v>13417.620000000003</v>
      </c>
    </row>
    <row r="774" spans="1:11" ht="15.75" customHeight="1" x14ac:dyDescent="0.25">
      <c r="A774" s="14"/>
      <c r="C774" s="15"/>
      <c r="D774" s="15"/>
      <c r="E774" s="15"/>
      <c r="F774" s="15"/>
      <c r="G774" s="16"/>
      <c r="H774" s="16"/>
      <c r="I774" s="15"/>
      <c r="J774" s="15" t="str">
        <f t="shared" si="16"/>
        <v>yyyy-01</v>
      </c>
      <c r="K774" s="16">
        <f t="shared" si="17"/>
        <v>13417.620000000003</v>
      </c>
    </row>
    <row r="775" spans="1:11" ht="15.75" customHeight="1" x14ac:dyDescent="0.25">
      <c r="A775" s="14"/>
      <c r="C775" s="15"/>
      <c r="D775" s="15"/>
      <c r="E775" s="15"/>
      <c r="F775" s="15"/>
      <c r="G775" s="16"/>
      <c r="H775" s="16"/>
      <c r="I775" s="15"/>
      <c r="J775" s="15" t="str">
        <f t="shared" si="16"/>
        <v>yyyy-01</v>
      </c>
      <c r="K775" s="16">
        <f t="shared" si="17"/>
        <v>13417.620000000003</v>
      </c>
    </row>
    <row r="776" spans="1:11" ht="15.75" customHeight="1" x14ac:dyDescent="0.25">
      <c r="A776" s="14"/>
      <c r="C776" s="15"/>
      <c r="D776" s="15"/>
      <c r="E776" s="15"/>
      <c r="F776" s="15"/>
      <c r="G776" s="16"/>
      <c r="H776" s="16"/>
      <c r="I776" s="15"/>
      <c r="J776" s="15" t="str">
        <f t="shared" si="16"/>
        <v>yyyy-01</v>
      </c>
      <c r="K776" s="16">
        <f t="shared" si="17"/>
        <v>13417.620000000003</v>
      </c>
    </row>
    <row r="777" spans="1:11" ht="15.75" customHeight="1" x14ac:dyDescent="0.25">
      <c r="A777" s="14"/>
      <c r="C777" s="15"/>
      <c r="D777" s="15"/>
      <c r="E777" s="15"/>
      <c r="F777" s="15"/>
      <c r="G777" s="16"/>
      <c r="H777" s="16"/>
      <c r="I777" s="15"/>
      <c r="J777" s="15" t="str">
        <f t="shared" si="16"/>
        <v>yyyy-01</v>
      </c>
      <c r="K777" s="16">
        <f t="shared" si="17"/>
        <v>13417.620000000003</v>
      </c>
    </row>
    <row r="778" spans="1:11" ht="15.75" customHeight="1" x14ac:dyDescent="0.25">
      <c r="A778" s="14"/>
      <c r="C778" s="15"/>
      <c r="D778" s="15"/>
      <c r="E778" s="15"/>
      <c r="F778" s="15"/>
      <c r="G778" s="16"/>
      <c r="H778" s="16"/>
      <c r="I778" s="15"/>
      <c r="J778" s="15" t="str">
        <f t="shared" si="16"/>
        <v>yyyy-01</v>
      </c>
      <c r="K778" s="16">
        <f t="shared" si="17"/>
        <v>13417.620000000003</v>
      </c>
    </row>
    <row r="779" spans="1:11" ht="15.75" customHeight="1" x14ac:dyDescent="0.25">
      <c r="A779" s="14"/>
      <c r="C779" s="15"/>
      <c r="D779" s="15"/>
      <c r="E779" s="15"/>
      <c r="F779" s="15"/>
      <c r="G779" s="16"/>
      <c r="H779" s="16"/>
      <c r="I779" s="15"/>
      <c r="J779" s="15" t="str">
        <f t="shared" si="16"/>
        <v>yyyy-01</v>
      </c>
      <c r="K779" s="16">
        <f t="shared" si="17"/>
        <v>13417.620000000003</v>
      </c>
    </row>
    <row r="780" spans="1:11" ht="15.75" customHeight="1" x14ac:dyDescent="0.25">
      <c r="A780" s="14"/>
      <c r="C780" s="15"/>
      <c r="D780" s="15"/>
      <c r="E780" s="15"/>
      <c r="F780" s="15"/>
      <c r="G780" s="16"/>
      <c r="H780" s="16"/>
      <c r="I780" s="15"/>
      <c r="J780" s="15" t="str">
        <f t="shared" si="16"/>
        <v>yyyy-01</v>
      </c>
      <c r="K780" s="16">
        <f t="shared" si="17"/>
        <v>13417.620000000003</v>
      </c>
    </row>
    <row r="781" spans="1:11" ht="15.75" customHeight="1" x14ac:dyDescent="0.25">
      <c r="A781" s="14"/>
      <c r="C781" s="15"/>
      <c r="D781" s="15"/>
      <c r="E781" s="15"/>
      <c r="F781" s="15"/>
      <c r="G781" s="16"/>
      <c r="H781" s="16"/>
      <c r="I781" s="15"/>
      <c r="J781" s="15" t="str">
        <f t="shared" si="16"/>
        <v>yyyy-01</v>
      </c>
      <c r="K781" s="16">
        <f t="shared" si="17"/>
        <v>13417.620000000003</v>
      </c>
    </row>
    <row r="782" spans="1:11" ht="15.75" customHeight="1" x14ac:dyDescent="0.25">
      <c r="A782" s="14"/>
      <c r="C782" s="15"/>
      <c r="D782" s="15"/>
      <c r="E782" s="15"/>
      <c r="F782" s="15"/>
      <c r="G782" s="16"/>
      <c r="H782" s="16"/>
      <c r="I782" s="15"/>
      <c r="J782" s="15" t="str">
        <f t="shared" si="16"/>
        <v>yyyy-01</v>
      </c>
      <c r="K782" s="16">
        <f t="shared" si="17"/>
        <v>13417.620000000003</v>
      </c>
    </row>
    <row r="783" spans="1:11" ht="15.75" customHeight="1" x14ac:dyDescent="0.25">
      <c r="A783" s="14"/>
      <c r="C783" s="15"/>
      <c r="D783" s="15"/>
      <c r="E783" s="15"/>
      <c r="F783" s="15"/>
      <c r="G783" s="16"/>
      <c r="H783" s="16"/>
      <c r="I783" s="15"/>
      <c r="J783" s="15" t="str">
        <f t="shared" si="16"/>
        <v>yyyy-01</v>
      </c>
      <c r="K783" s="16">
        <f t="shared" si="17"/>
        <v>13417.620000000003</v>
      </c>
    </row>
    <row r="784" spans="1:11" ht="15.75" customHeight="1" x14ac:dyDescent="0.25">
      <c r="A784" s="14"/>
      <c r="C784" s="15"/>
      <c r="D784" s="15"/>
      <c r="E784" s="15"/>
      <c r="F784" s="15"/>
      <c r="G784" s="16"/>
      <c r="H784" s="16"/>
      <c r="I784" s="15"/>
      <c r="J784" s="15" t="str">
        <f t="shared" si="16"/>
        <v>yyyy-01</v>
      </c>
      <c r="K784" s="16">
        <f t="shared" si="17"/>
        <v>13417.620000000003</v>
      </c>
    </row>
    <row r="785" spans="1:11" ht="15.75" customHeight="1" x14ac:dyDescent="0.25">
      <c r="A785" s="14"/>
      <c r="C785" s="15"/>
      <c r="D785" s="15"/>
      <c r="E785" s="15"/>
      <c r="F785" s="15"/>
      <c r="G785" s="16"/>
      <c r="H785" s="16"/>
      <c r="I785" s="15"/>
      <c r="J785" s="15" t="str">
        <f t="shared" si="16"/>
        <v>yyyy-01</v>
      </c>
      <c r="K785" s="16">
        <f t="shared" si="17"/>
        <v>13417.620000000003</v>
      </c>
    </row>
    <row r="786" spans="1:11" ht="15.75" customHeight="1" x14ac:dyDescent="0.25">
      <c r="A786" s="14"/>
      <c r="C786" s="15"/>
      <c r="D786" s="15"/>
      <c r="E786" s="15"/>
      <c r="F786" s="15"/>
      <c r="G786" s="16"/>
      <c r="H786" s="16"/>
      <c r="I786" s="15"/>
      <c r="J786" s="15" t="str">
        <f t="shared" si="16"/>
        <v>yyyy-01</v>
      </c>
      <c r="K786" s="16">
        <f t="shared" si="17"/>
        <v>13417.620000000003</v>
      </c>
    </row>
    <row r="787" spans="1:11" ht="15.75" customHeight="1" x14ac:dyDescent="0.25">
      <c r="A787" s="14"/>
      <c r="C787" s="15"/>
      <c r="D787" s="15"/>
      <c r="E787" s="15"/>
      <c r="F787" s="15"/>
      <c r="G787" s="16"/>
      <c r="H787" s="16"/>
      <c r="I787" s="15"/>
      <c r="J787" s="15" t="str">
        <f t="shared" si="16"/>
        <v>yyyy-01</v>
      </c>
      <c r="K787" s="16">
        <f t="shared" si="17"/>
        <v>13417.620000000003</v>
      </c>
    </row>
    <row r="788" spans="1:11" ht="15.75" customHeight="1" x14ac:dyDescent="0.25">
      <c r="A788" s="14"/>
      <c r="C788" s="15"/>
      <c r="D788" s="15"/>
      <c r="E788" s="15"/>
      <c r="F788" s="15"/>
      <c r="G788" s="16"/>
      <c r="H788" s="16"/>
      <c r="I788" s="15"/>
      <c r="J788" s="15" t="str">
        <f t="shared" si="16"/>
        <v>yyyy-01</v>
      </c>
      <c r="K788" s="16">
        <f t="shared" si="17"/>
        <v>13417.620000000003</v>
      </c>
    </row>
    <row r="789" spans="1:11" ht="15.75" customHeight="1" x14ac:dyDescent="0.25">
      <c r="A789" s="14"/>
      <c r="C789" s="15"/>
      <c r="D789" s="15"/>
      <c r="E789" s="15"/>
      <c r="F789" s="15"/>
      <c r="G789" s="16"/>
      <c r="H789" s="16"/>
      <c r="I789" s="15"/>
      <c r="J789" s="15" t="str">
        <f t="shared" si="16"/>
        <v>yyyy-01</v>
      </c>
      <c r="K789" s="16">
        <f t="shared" si="17"/>
        <v>13417.620000000003</v>
      </c>
    </row>
    <row r="790" spans="1:11" ht="15.75" customHeight="1" x14ac:dyDescent="0.25">
      <c r="A790" s="14"/>
      <c r="C790" s="15"/>
      <c r="D790" s="15"/>
      <c r="E790" s="15"/>
      <c r="F790" s="15"/>
      <c r="G790" s="16"/>
      <c r="H790" s="16"/>
      <c r="I790" s="15"/>
      <c r="J790" s="15" t="str">
        <f t="shared" si="16"/>
        <v>yyyy-01</v>
      </c>
      <c r="K790" s="16">
        <f t="shared" si="17"/>
        <v>13417.620000000003</v>
      </c>
    </row>
    <row r="791" spans="1:11" ht="15.75" customHeight="1" x14ac:dyDescent="0.25">
      <c r="A791" s="14"/>
      <c r="C791" s="15"/>
      <c r="D791" s="15"/>
      <c r="E791" s="15"/>
      <c r="F791" s="15"/>
      <c r="G791" s="16"/>
      <c r="H791" s="16"/>
      <c r="I791" s="15"/>
      <c r="J791" s="15" t="str">
        <f t="shared" si="16"/>
        <v>yyyy-01</v>
      </c>
      <c r="K791" s="16">
        <f t="shared" si="17"/>
        <v>13417.620000000003</v>
      </c>
    </row>
    <row r="792" spans="1:11" ht="15.75" customHeight="1" x14ac:dyDescent="0.25">
      <c r="A792" s="14"/>
      <c r="C792" s="15"/>
      <c r="D792" s="15"/>
      <c r="E792" s="15"/>
      <c r="F792" s="15"/>
      <c r="G792" s="16"/>
      <c r="H792" s="16"/>
      <c r="I792" s="15"/>
      <c r="J792" s="15" t="str">
        <f t="shared" si="16"/>
        <v>yyyy-01</v>
      </c>
      <c r="K792" s="16">
        <f t="shared" si="17"/>
        <v>13417.620000000003</v>
      </c>
    </row>
    <row r="793" spans="1:11" ht="15.75" customHeight="1" x14ac:dyDescent="0.25">
      <c r="A793" s="14"/>
      <c r="C793" s="15"/>
      <c r="D793" s="15"/>
      <c r="E793" s="15"/>
      <c r="F793" s="15"/>
      <c r="G793" s="16"/>
      <c r="H793" s="16"/>
      <c r="I793" s="15"/>
      <c r="J793" s="15" t="str">
        <f t="shared" si="16"/>
        <v>yyyy-01</v>
      </c>
      <c r="K793" s="16">
        <f t="shared" si="17"/>
        <v>13417.620000000003</v>
      </c>
    </row>
    <row r="794" spans="1:11" ht="15.75" customHeight="1" x14ac:dyDescent="0.25">
      <c r="A794" s="14"/>
      <c r="C794" s="15"/>
      <c r="D794" s="15"/>
      <c r="E794" s="15"/>
      <c r="F794" s="15"/>
      <c r="G794" s="16"/>
      <c r="H794" s="16"/>
      <c r="I794" s="15"/>
      <c r="J794" s="15" t="str">
        <f t="shared" si="16"/>
        <v>yyyy-01</v>
      </c>
      <c r="K794" s="16">
        <f t="shared" si="17"/>
        <v>13417.620000000003</v>
      </c>
    </row>
    <row r="795" spans="1:11" ht="15.75" customHeight="1" x14ac:dyDescent="0.25">
      <c r="A795" s="14"/>
      <c r="C795" s="15"/>
      <c r="D795" s="15"/>
      <c r="E795" s="15"/>
      <c r="F795" s="15"/>
      <c r="G795" s="16"/>
      <c r="H795" s="16"/>
      <c r="I795" s="15"/>
      <c r="J795" s="15" t="str">
        <f t="shared" si="16"/>
        <v>yyyy-01</v>
      </c>
      <c r="K795" s="16">
        <f t="shared" si="17"/>
        <v>13417.620000000003</v>
      </c>
    </row>
    <row r="796" spans="1:11" ht="15.75" customHeight="1" x14ac:dyDescent="0.25">
      <c r="A796" s="14"/>
      <c r="C796" s="15"/>
      <c r="D796" s="15"/>
      <c r="E796" s="15"/>
      <c r="F796" s="15"/>
      <c r="G796" s="16"/>
      <c r="H796" s="16"/>
      <c r="I796" s="15"/>
      <c r="J796" s="15" t="str">
        <f t="shared" si="16"/>
        <v>yyyy-01</v>
      </c>
      <c r="K796" s="16">
        <f t="shared" si="17"/>
        <v>13417.620000000003</v>
      </c>
    </row>
    <row r="797" spans="1:11" ht="15.75" customHeight="1" x14ac:dyDescent="0.25">
      <c r="A797" s="14"/>
      <c r="C797" s="15"/>
      <c r="D797" s="15"/>
      <c r="E797" s="15"/>
      <c r="F797" s="15"/>
      <c r="G797" s="16"/>
      <c r="H797" s="16"/>
      <c r="I797" s="15"/>
      <c r="J797" s="15" t="str">
        <f t="shared" si="16"/>
        <v>yyyy-01</v>
      </c>
      <c r="K797" s="16">
        <f t="shared" si="17"/>
        <v>13417.620000000003</v>
      </c>
    </row>
    <row r="798" spans="1:11" ht="15.75" customHeight="1" x14ac:dyDescent="0.25">
      <c r="A798" s="14"/>
      <c r="C798" s="15"/>
      <c r="D798" s="15"/>
      <c r="E798" s="15"/>
      <c r="F798" s="15"/>
      <c r="G798" s="16"/>
      <c r="H798" s="16"/>
      <c r="I798" s="15"/>
      <c r="J798" s="15" t="str">
        <f t="shared" si="16"/>
        <v>yyyy-01</v>
      </c>
      <c r="K798" s="16">
        <f t="shared" si="17"/>
        <v>13417.620000000003</v>
      </c>
    </row>
    <row r="799" spans="1:11" ht="15.75" customHeight="1" x14ac:dyDescent="0.25">
      <c r="A799" s="14"/>
      <c r="C799" s="15"/>
      <c r="D799" s="15"/>
      <c r="E799" s="15"/>
      <c r="F799" s="15"/>
      <c r="G799" s="16"/>
      <c r="H799" s="16"/>
      <c r="I799" s="15"/>
      <c r="J799" s="15" t="str">
        <f t="shared" si="16"/>
        <v>yyyy-01</v>
      </c>
      <c r="K799" s="16">
        <f t="shared" ref="K799:K862" si="18">K798 + IF(C799="Entrada", G799, -G799)</f>
        <v>13417.620000000003</v>
      </c>
    </row>
    <row r="800" spans="1:11" ht="15.75" customHeight="1" x14ac:dyDescent="0.25">
      <c r="A800" s="14"/>
      <c r="C800" s="15"/>
      <c r="D800" s="15"/>
      <c r="E800" s="15"/>
      <c r="F800" s="15"/>
      <c r="G800" s="16"/>
      <c r="H800" s="16"/>
      <c r="I800" s="15"/>
      <c r="J800" s="15" t="str">
        <f t="shared" si="16"/>
        <v>yyyy-01</v>
      </c>
      <c r="K800" s="16">
        <f t="shared" si="18"/>
        <v>13417.620000000003</v>
      </c>
    </row>
    <row r="801" spans="1:11" ht="15.75" customHeight="1" x14ac:dyDescent="0.25">
      <c r="A801" s="14"/>
      <c r="C801" s="15"/>
      <c r="D801" s="15"/>
      <c r="E801" s="15"/>
      <c r="F801" s="15"/>
      <c r="G801" s="16"/>
      <c r="H801" s="16"/>
      <c r="I801" s="15"/>
      <c r="J801" s="15" t="str">
        <f t="shared" si="16"/>
        <v>yyyy-01</v>
      </c>
      <c r="K801" s="16">
        <f t="shared" si="18"/>
        <v>13417.620000000003</v>
      </c>
    </row>
    <row r="802" spans="1:11" ht="15.75" customHeight="1" x14ac:dyDescent="0.25">
      <c r="A802" s="14"/>
      <c r="C802" s="15"/>
      <c r="D802" s="15"/>
      <c r="E802" s="15"/>
      <c r="F802" s="15"/>
      <c r="G802" s="16"/>
      <c r="H802" s="16"/>
      <c r="I802" s="15"/>
      <c r="J802" s="15" t="str">
        <f t="shared" si="16"/>
        <v>yyyy-01</v>
      </c>
      <c r="K802" s="16">
        <f t="shared" si="18"/>
        <v>13417.620000000003</v>
      </c>
    </row>
    <row r="803" spans="1:11" ht="15.75" customHeight="1" x14ac:dyDescent="0.25">
      <c r="A803" s="14"/>
      <c r="C803" s="15"/>
      <c r="D803" s="15"/>
      <c r="E803" s="15"/>
      <c r="F803" s="15"/>
      <c r="G803" s="16"/>
      <c r="H803" s="16"/>
      <c r="I803" s="15"/>
      <c r="J803" s="15" t="str">
        <f t="shared" si="16"/>
        <v>yyyy-01</v>
      </c>
      <c r="K803" s="16">
        <f t="shared" si="18"/>
        <v>13417.620000000003</v>
      </c>
    </row>
    <row r="804" spans="1:11" ht="15.75" customHeight="1" x14ac:dyDescent="0.25">
      <c r="A804" s="14"/>
      <c r="C804" s="15"/>
      <c r="D804" s="15"/>
      <c r="E804" s="15"/>
      <c r="F804" s="15"/>
      <c r="G804" s="16"/>
      <c r="H804" s="16"/>
      <c r="I804" s="15"/>
      <c r="J804" s="15" t="str">
        <f t="shared" si="16"/>
        <v>yyyy-01</v>
      </c>
      <c r="K804" s="16">
        <f t="shared" si="18"/>
        <v>13417.620000000003</v>
      </c>
    </row>
    <row r="805" spans="1:11" ht="15.75" customHeight="1" x14ac:dyDescent="0.25">
      <c r="A805" s="14"/>
      <c r="C805" s="15"/>
      <c r="D805" s="15"/>
      <c r="E805" s="15"/>
      <c r="F805" s="15"/>
      <c r="G805" s="16"/>
      <c r="H805" s="16"/>
      <c r="I805" s="15"/>
      <c r="J805" s="15" t="str">
        <f t="shared" si="16"/>
        <v>yyyy-01</v>
      </c>
      <c r="K805" s="16">
        <f t="shared" si="18"/>
        <v>13417.620000000003</v>
      </c>
    </row>
    <row r="806" spans="1:11" ht="15.75" customHeight="1" x14ac:dyDescent="0.25">
      <c r="A806" s="14"/>
      <c r="C806" s="15"/>
      <c r="D806" s="15"/>
      <c r="E806" s="15"/>
      <c r="F806" s="15"/>
      <c r="G806" s="16"/>
      <c r="H806" s="16"/>
      <c r="I806" s="15"/>
      <c r="J806" s="15" t="str">
        <f t="shared" si="16"/>
        <v>yyyy-01</v>
      </c>
      <c r="K806" s="16">
        <f t="shared" si="18"/>
        <v>13417.620000000003</v>
      </c>
    </row>
    <row r="807" spans="1:11" ht="15.75" customHeight="1" x14ac:dyDescent="0.25">
      <c r="A807" s="14"/>
      <c r="C807" s="15"/>
      <c r="D807" s="15"/>
      <c r="E807" s="15"/>
      <c r="F807" s="15"/>
      <c r="G807" s="16"/>
      <c r="H807" s="16"/>
      <c r="I807" s="15"/>
      <c r="J807" s="15" t="str">
        <f t="shared" si="16"/>
        <v>yyyy-01</v>
      </c>
      <c r="K807" s="16">
        <f t="shared" si="18"/>
        <v>13417.620000000003</v>
      </c>
    </row>
    <row r="808" spans="1:11" ht="15.75" customHeight="1" x14ac:dyDescent="0.25">
      <c r="A808" s="14"/>
      <c r="C808" s="15"/>
      <c r="D808" s="15"/>
      <c r="E808" s="15"/>
      <c r="F808" s="15"/>
      <c r="G808" s="16"/>
      <c r="H808" s="16"/>
      <c r="I808" s="15"/>
      <c r="J808" s="15" t="str">
        <f t="shared" si="16"/>
        <v>yyyy-01</v>
      </c>
      <c r="K808" s="16">
        <f t="shared" si="18"/>
        <v>13417.620000000003</v>
      </c>
    </row>
    <row r="809" spans="1:11" ht="15.75" customHeight="1" x14ac:dyDescent="0.25">
      <c r="A809" s="14"/>
      <c r="C809" s="15"/>
      <c r="D809" s="15"/>
      <c r="E809" s="15"/>
      <c r="F809" s="15"/>
      <c r="G809" s="16"/>
      <c r="H809" s="16"/>
      <c r="I809" s="15"/>
      <c r="J809" s="15" t="str">
        <f t="shared" si="16"/>
        <v>yyyy-01</v>
      </c>
      <c r="K809" s="16">
        <f t="shared" si="18"/>
        <v>13417.620000000003</v>
      </c>
    </row>
    <row r="810" spans="1:11" ht="15.75" customHeight="1" x14ac:dyDescent="0.25">
      <c r="A810" s="14"/>
      <c r="C810" s="15"/>
      <c r="D810" s="15"/>
      <c r="E810" s="15"/>
      <c r="F810" s="15"/>
      <c r="G810" s="16"/>
      <c r="H810" s="16"/>
      <c r="I810" s="15"/>
      <c r="J810" s="15" t="str">
        <f t="shared" si="16"/>
        <v>yyyy-01</v>
      </c>
      <c r="K810" s="16">
        <f t="shared" si="18"/>
        <v>13417.620000000003</v>
      </c>
    </row>
    <row r="811" spans="1:11" ht="15.75" customHeight="1" x14ac:dyDescent="0.25">
      <c r="A811" s="14"/>
      <c r="C811" s="15"/>
      <c r="D811" s="15"/>
      <c r="E811" s="15"/>
      <c r="F811" s="15"/>
      <c r="G811" s="16"/>
      <c r="H811" s="16"/>
      <c r="I811" s="15"/>
      <c r="J811" s="15" t="str">
        <f t="shared" si="16"/>
        <v>yyyy-01</v>
      </c>
      <c r="K811" s="16">
        <f t="shared" si="18"/>
        <v>13417.620000000003</v>
      </c>
    </row>
    <row r="812" spans="1:11" ht="15.75" customHeight="1" x14ac:dyDescent="0.25">
      <c r="A812" s="14"/>
      <c r="C812" s="15"/>
      <c r="D812" s="15"/>
      <c r="E812" s="15"/>
      <c r="F812" s="15"/>
      <c r="G812" s="16"/>
      <c r="H812" s="16"/>
      <c r="I812" s="15"/>
      <c r="J812" s="15" t="str">
        <f t="shared" si="16"/>
        <v>yyyy-01</v>
      </c>
      <c r="K812" s="16">
        <f t="shared" si="18"/>
        <v>13417.620000000003</v>
      </c>
    </row>
    <row r="813" spans="1:11" ht="15.75" customHeight="1" x14ac:dyDescent="0.25">
      <c r="A813" s="14"/>
      <c r="C813" s="15"/>
      <c r="D813" s="15"/>
      <c r="E813" s="15"/>
      <c r="F813" s="15"/>
      <c r="G813" s="16"/>
      <c r="H813" s="16"/>
      <c r="I813" s="15"/>
      <c r="J813" s="15" t="str">
        <f t="shared" si="16"/>
        <v>yyyy-01</v>
      </c>
      <c r="K813" s="16">
        <f t="shared" si="18"/>
        <v>13417.620000000003</v>
      </c>
    </row>
    <row r="814" spans="1:11" ht="15.75" customHeight="1" x14ac:dyDescent="0.25">
      <c r="A814" s="14"/>
      <c r="C814" s="15"/>
      <c r="D814" s="15"/>
      <c r="E814" s="15"/>
      <c r="F814" s="15"/>
      <c r="G814" s="16"/>
      <c r="H814" s="16"/>
      <c r="I814" s="15"/>
      <c r="J814" s="15" t="str">
        <f t="shared" si="16"/>
        <v>yyyy-01</v>
      </c>
      <c r="K814" s="16">
        <f t="shared" si="18"/>
        <v>13417.620000000003</v>
      </c>
    </row>
    <row r="815" spans="1:11" ht="15.75" customHeight="1" x14ac:dyDescent="0.25">
      <c r="A815" s="14"/>
      <c r="C815" s="15"/>
      <c r="D815" s="15"/>
      <c r="E815" s="15"/>
      <c r="F815" s="15"/>
      <c r="G815" s="16"/>
      <c r="H815" s="16"/>
      <c r="I815" s="15"/>
      <c r="J815" s="15" t="str">
        <f t="shared" si="16"/>
        <v>yyyy-01</v>
      </c>
      <c r="K815" s="16">
        <f t="shared" si="18"/>
        <v>13417.620000000003</v>
      </c>
    </row>
    <row r="816" spans="1:11" ht="15.75" customHeight="1" x14ac:dyDescent="0.25">
      <c r="A816" s="14"/>
      <c r="C816" s="15"/>
      <c r="D816" s="15"/>
      <c r="E816" s="15"/>
      <c r="F816" s="15"/>
      <c r="G816" s="16"/>
      <c r="H816" s="16"/>
      <c r="I816" s="15"/>
      <c r="J816" s="15" t="str">
        <f t="shared" si="16"/>
        <v>yyyy-01</v>
      </c>
      <c r="K816" s="16">
        <f t="shared" si="18"/>
        <v>13417.620000000003</v>
      </c>
    </row>
    <row r="817" spans="1:11" ht="15.75" customHeight="1" x14ac:dyDescent="0.25">
      <c r="A817" s="14"/>
      <c r="C817" s="15"/>
      <c r="D817" s="15"/>
      <c r="E817" s="15"/>
      <c r="F817" s="15"/>
      <c r="G817" s="16"/>
      <c r="H817" s="16"/>
      <c r="I817" s="15"/>
      <c r="J817" s="15" t="str">
        <f t="shared" si="16"/>
        <v>yyyy-01</v>
      </c>
      <c r="K817" s="16">
        <f t="shared" si="18"/>
        <v>13417.620000000003</v>
      </c>
    </row>
    <row r="818" spans="1:11" ht="15.75" customHeight="1" x14ac:dyDescent="0.25">
      <c r="A818" s="14"/>
      <c r="C818" s="15"/>
      <c r="D818" s="15"/>
      <c r="E818" s="15"/>
      <c r="F818" s="15"/>
      <c r="G818" s="16"/>
      <c r="H818" s="16"/>
      <c r="I818" s="15"/>
      <c r="J818" s="15" t="str">
        <f t="shared" si="16"/>
        <v>yyyy-01</v>
      </c>
      <c r="K818" s="16">
        <f t="shared" si="18"/>
        <v>13417.620000000003</v>
      </c>
    </row>
    <row r="819" spans="1:11" ht="15.75" customHeight="1" x14ac:dyDescent="0.25">
      <c r="A819" s="14"/>
      <c r="C819" s="15"/>
      <c r="D819" s="15"/>
      <c r="E819" s="15"/>
      <c r="F819" s="15"/>
      <c r="G819" s="16"/>
      <c r="H819" s="16"/>
      <c r="I819" s="15"/>
      <c r="J819" s="15" t="str">
        <f t="shared" si="16"/>
        <v>yyyy-01</v>
      </c>
      <c r="K819" s="16">
        <f t="shared" si="18"/>
        <v>13417.620000000003</v>
      </c>
    </row>
    <row r="820" spans="1:11" ht="15.75" customHeight="1" x14ac:dyDescent="0.25">
      <c r="A820" s="14"/>
      <c r="C820" s="15"/>
      <c r="D820" s="15"/>
      <c r="E820" s="15"/>
      <c r="F820" s="15"/>
      <c r="G820" s="16"/>
      <c r="H820" s="16"/>
      <c r="I820" s="15"/>
      <c r="J820" s="15" t="str">
        <f t="shared" si="16"/>
        <v>yyyy-01</v>
      </c>
      <c r="K820" s="16">
        <f t="shared" si="18"/>
        <v>13417.620000000003</v>
      </c>
    </row>
    <row r="821" spans="1:11" ht="15.75" customHeight="1" x14ac:dyDescent="0.25">
      <c r="A821" s="14"/>
      <c r="C821" s="15"/>
      <c r="D821" s="15"/>
      <c r="E821" s="15"/>
      <c r="F821" s="15"/>
      <c r="G821" s="16"/>
      <c r="H821" s="16"/>
      <c r="I821" s="15"/>
      <c r="J821" s="15" t="str">
        <f t="shared" si="16"/>
        <v>yyyy-01</v>
      </c>
      <c r="K821" s="16">
        <f t="shared" si="18"/>
        <v>13417.620000000003</v>
      </c>
    </row>
    <row r="822" spans="1:11" ht="15.75" customHeight="1" x14ac:dyDescent="0.25">
      <c r="A822" s="14"/>
      <c r="C822" s="15"/>
      <c r="D822" s="15"/>
      <c r="E822" s="15"/>
      <c r="F822" s="15"/>
      <c r="G822" s="16"/>
      <c r="H822" s="16"/>
      <c r="I822" s="15"/>
      <c r="J822" s="15" t="str">
        <f t="shared" si="16"/>
        <v>yyyy-01</v>
      </c>
      <c r="K822" s="16">
        <f t="shared" si="18"/>
        <v>13417.620000000003</v>
      </c>
    </row>
    <row r="823" spans="1:11" ht="15.75" customHeight="1" x14ac:dyDescent="0.25">
      <c r="A823" s="14"/>
      <c r="C823" s="15"/>
      <c r="D823" s="15"/>
      <c r="E823" s="15"/>
      <c r="F823" s="15"/>
      <c r="G823" s="16"/>
      <c r="H823" s="16"/>
      <c r="I823" s="15"/>
      <c r="J823" s="15" t="str">
        <f t="shared" si="16"/>
        <v>yyyy-01</v>
      </c>
      <c r="K823" s="16">
        <f t="shared" si="18"/>
        <v>13417.620000000003</v>
      </c>
    </row>
    <row r="824" spans="1:11" ht="15.75" customHeight="1" x14ac:dyDescent="0.25">
      <c r="A824" s="14"/>
      <c r="C824" s="15"/>
      <c r="D824" s="15"/>
      <c r="E824" s="15"/>
      <c r="F824" s="15"/>
      <c r="G824" s="16"/>
      <c r="H824" s="16"/>
      <c r="I824" s="15"/>
      <c r="J824" s="15" t="str">
        <f t="shared" si="16"/>
        <v>yyyy-01</v>
      </c>
      <c r="K824" s="16">
        <f t="shared" si="18"/>
        <v>13417.620000000003</v>
      </c>
    </row>
    <row r="825" spans="1:11" ht="15.75" customHeight="1" x14ac:dyDescent="0.25">
      <c r="A825" s="14"/>
      <c r="C825" s="15"/>
      <c r="D825" s="15"/>
      <c r="E825" s="15"/>
      <c r="F825" s="15"/>
      <c r="G825" s="16"/>
      <c r="H825" s="16"/>
      <c r="I825" s="15"/>
      <c r="J825" s="15" t="str">
        <f t="shared" si="16"/>
        <v>yyyy-01</v>
      </c>
      <c r="K825" s="16">
        <f t="shared" si="18"/>
        <v>13417.620000000003</v>
      </c>
    </row>
    <row r="826" spans="1:11" ht="15.75" customHeight="1" x14ac:dyDescent="0.25">
      <c r="A826" s="14"/>
      <c r="C826" s="15"/>
      <c r="D826" s="15"/>
      <c r="E826" s="15"/>
      <c r="F826" s="15"/>
      <c r="G826" s="16"/>
      <c r="H826" s="16"/>
      <c r="I826" s="15"/>
      <c r="J826" s="15" t="str">
        <f t="shared" si="16"/>
        <v>yyyy-01</v>
      </c>
      <c r="K826" s="16">
        <f t="shared" si="18"/>
        <v>13417.620000000003</v>
      </c>
    </row>
    <row r="827" spans="1:11" ht="15.75" customHeight="1" x14ac:dyDescent="0.25">
      <c r="A827" s="14"/>
      <c r="C827" s="15"/>
      <c r="D827" s="15"/>
      <c r="E827" s="15"/>
      <c r="F827" s="15"/>
      <c r="G827" s="16"/>
      <c r="H827" s="16"/>
      <c r="I827" s="15"/>
      <c r="J827" s="15" t="str">
        <f t="shared" si="16"/>
        <v>yyyy-01</v>
      </c>
      <c r="K827" s="16">
        <f t="shared" si="18"/>
        <v>13417.620000000003</v>
      </c>
    </row>
    <row r="828" spans="1:11" ht="15.75" customHeight="1" x14ac:dyDescent="0.25">
      <c r="A828" s="14"/>
      <c r="C828" s="15"/>
      <c r="D828" s="15"/>
      <c r="E828" s="15"/>
      <c r="F828" s="15"/>
      <c r="G828" s="16"/>
      <c r="H828" s="16"/>
      <c r="I828" s="15"/>
      <c r="J828" s="15" t="str">
        <f t="shared" si="16"/>
        <v>yyyy-01</v>
      </c>
      <c r="K828" s="16">
        <f t="shared" si="18"/>
        <v>13417.620000000003</v>
      </c>
    </row>
    <row r="829" spans="1:11" ht="15.75" customHeight="1" x14ac:dyDescent="0.25">
      <c r="A829" s="14"/>
      <c r="C829" s="15"/>
      <c r="D829" s="15"/>
      <c r="E829" s="15"/>
      <c r="F829" s="15"/>
      <c r="G829" s="16"/>
      <c r="H829" s="16"/>
      <c r="I829" s="15"/>
      <c r="J829" s="15" t="str">
        <f t="shared" si="16"/>
        <v>yyyy-01</v>
      </c>
      <c r="K829" s="16">
        <f t="shared" si="18"/>
        <v>13417.620000000003</v>
      </c>
    </row>
    <row r="830" spans="1:11" ht="15.75" customHeight="1" x14ac:dyDescent="0.25">
      <c r="A830" s="14"/>
      <c r="C830" s="15"/>
      <c r="D830" s="15"/>
      <c r="E830" s="15"/>
      <c r="F830" s="15"/>
      <c r="G830" s="16"/>
      <c r="H830" s="16"/>
      <c r="I830" s="15"/>
      <c r="J830" s="15" t="str">
        <f t="shared" si="16"/>
        <v>yyyy-01</v>
      </c>
      <c r="K830" s="16">
        <f t="shared" si="18"/>
        <v>13417.620000000003</v>
      </c>
    </row>
    <row r="831" spans="1:11" ht="15.75" customHeight="1" x14ac:dyDescent="0.25">
      <c r="A831" s="14"/>
      <c r="C831" s="15"/>
      <c r="D831" s="15"/>
      <c r="E831" s="15"/>
      <c r="F831" s="15"/>
      <c r="G831" s="16"/>
      <c r="H831" s="16"/>
      <c r="I831" s="15"/>
      <c r="J831" s="15" t="str">
        <f t="shared" si="16"/>
        <v>yyyy-01</v>
      </c>
      <c r="K831" s="16">
        <f t="shared" si="18"/>
        <v>13417.620000000003</v>
      </c>
    </row>
    <row r="832" spans="1:11" ht="15.75" customHeight="1" x14ac:dyDescent="0.25">
      <c r="A832" s="14"/>
      <c r="C832" s="15"/>
      <c r="D832" s="15"/>
      <c r="E832" s="15"/>
      <c r="F832" s="15"/>
      <c r="G832" s="16"/>
      <c r="H832" s="16"/>
      <c r="I832" s="15"/>
      <c r="J832" s="15" t="str">
        <f t="shared" si="16"/>
        <v>yyyy-01</v>
      </c>
      <c r="K832" s="16">
        <f t="shared" si="18"/>
        <v>13417.620000000003</v>
      </c>
    </row>
    <row r="833" spans="1:11" ht="15.75" customHeight="1" x14ac:dyDescent="0.25">
      <c r="A833" s="14"/>
      <c r="C833" s="15"/>
      <c r="D833" s="15"/>
      <c r="E833" s="15"/>
      <c r="F833" s="15"/>
      <c r="G833" s="16"/>
      <c r="H833" s="16"/>
      <c r="I833" s="15"/>
      <c r="J833" s="15" t="str">
        <f t="shared" si="16"/>
        <v>yyyy-01</v>
      </c>
      <c r="K833" s="16">
        <f t="shared" si="18"/>
        <v>13417.620000000003</v>
      </c>
    </row>
    <row r="834" spans="1:11" ht="15.75" customHeight="1" x14ac:dyDescent="0.25">
      <c r="A834" s="14"/>
      <c r="C834" s="15"/>
      <c r="D834" s="15"/>
      <c r="E834" s="15"/>
      <c r="F834" s="15"/>
      <c r="G834" s="16"/>
      <c r="H834" s="16"/>
      <c r="I834" s="15"/>
      <c r="J834" s="15" t="str">
        <f t="shared" si="16"/>
        <v>yyyy-01</v>
      </c>
      <c r="K834" s="16">
        <f t="shared" si="18"/>
        <v>13417.620000000003</v>
      </c>
    </row>
    <row r="835" spans="1:11" ht="15.75" customHeight="1" x14ac:dyDescent="0.25">
      <c r="A835" s="14"/>
      <c r="C835" s="15"/>
      <c r="D835" s="15"/>
      <c r="E835" s="15"/>
      <c r="F835" s="15"/>
      <c r="G835" s="16"/>
      <c r="H835" s="16"/>
      <c r="I835" s="15"/>
      <c r="J835" s="15" t="str">
        <f t="shared" si="16"/>
        <v>yyyy-01</v>
      </c>
      <c r="K835" s="16">
        <f t="shared" si="18"/>
        <v>13417.620000000003</v>
      </c>
    </row>
    <row r="836" spans="1:11" ht="15.75" customHeight="1" x14ac:dyDescent="0.25">
      <c r="A836" s="14"/>
      <c r="C836" s="15"/>
      <c r="D836" s="15"/>
      <c r="E836" s="15"/>
      <c r="F836" s="15"/>
      <c r="G836" s="16"/>
      <c r="H836" s="16"/>
      <c r="I836" s="15"/>
      <c r="J836" s="15" t="str">
        <f t="shared" si="16"/>
        <v>yyyy-01</v>
      </c>
      <c r="K836" s="16">
        <f t="shared" si="18"/>
        <v>13417.620000000003</v>
      </c>
    </row>
    <row r="837" spans="1:11" ht="15.75" customHeight="1" x14ac:dyDescent="0.25">
      <c r="A837" s="14"/>
      <c r="C837" s="15"/>
      <c r="D837" s="15"/>
      <c r="E837" s="15"/>
      <c r="F837" s="15"/>
      <c r="G837" s="16"/>
      <c r="H837" s="16"/>
      <c r="I837" s="15"/>
      <c r="J837" s="15" t="str">
        <f t="shared" si="16"/>
        <v>yyyy-01</v>
      </c>
      <c r="K837" s="16">
        <f t="shared" si="18"/>
        <v>13417.620000000003</v>
      </c>
    </row>
    <row r="838" spans="1:11" ht="15.75" customHeight="1" x14ac:dyDescent="0.25">
      <c r="A838" s="14"/>
      <c r="C838" s="15"/>
      <c r="D838" s="15"/>
      <c r="E838" s="15"/>
      <c r="F838" s="15"/>
      <c r="G838" s="16"/>
      <c r="H838" s="16"/>
      <c r="I838" s="15"/>
      <c r="J838" s="15" t="str">
        <f t="shared" si="16"/>
        <v>yyyy-01</v>
      </c>
      <c r="K838" s="16">
        <f t="shared" si="18"/>
        <v>13417.620000000003</v>
      </c>
    </row>
    <row r="839" spans="1:11" ht="15.75" customHeight="1" x14ac:dyDescent="0.25">
      <c r="A839" s="14"/>
      <c r="C839" s="15"/>
      <c r="D839" s="15"/>
      <c r="E839" s="15"/>
      <c r="F839" s="15"/>
      <c r="G839" s="16"/>
      <c r="H839" s="16"/>
      <c r="I839" s="15"/>
      <c r="J839" s="15" t="str">
        <f t="shared" si="16"/>
        <v>yyyy-01</v>
      </c>
      <c r="K839" s="16">
        <f t="shared" si="18"/>
        <v>13417.620000000003</v>
      </c>
    </row>
    <row r="840" spans="1:11" ht="15.75" customHeight="1" x14ac:dyDescent="0.25">
      <c r="A840" s="14"/>
      <c r="C840" s="15"/>
      <c r="D840" s="15"/>
      <c r="E840" s="15"/>
      <c r="F840" s="15"/>
      <c r="G840" s="16"/>
      <c r="H840" s="16"/>
      <c r="I840" s="15"/>
      <c r="J840" s="15" t="str">
        <f t="shared" si="16"/>
        <v>yyyy-01</v>
      </c>
      <c r="K840" s="16">
        <f t="shared" si="18"/>
        <v>13417.620000000003</v>
      </c>
    </row>
    <row r="841" spans="1:11" ht="15.75" customHeight="1" x14ac:dyDescent="0.25">
      <c r="A841" s="14"/>
      <c r="C841" s="15"/>
      <c r="D841" s="15"/>
      <c r="E841" s="15"/>
      <c r="F841" s="15"/>
      <c r="G841" s="16"/>
      <c r="H841" s="16"/>
      <c r="I841" s="15"/>
      <c r="J841" s="15" t="str">
        <f t="shared" si="16"/>
        <v>yyyy-01</v>
      </c>
      <c r="K841" s="16">
        <f t="shared" si="18"/>
        <v>13417.620000000003</v>
      </c>
    </row>
    <row r="842" spans="1:11" ht="15.75" customHeight="1" x14ac:dyDescent="0.25">
      <c r="A842" s="14"/>
      <c r="C842" s="15"/>
      <c r="D842" s="15"/>
      <c r="E842" s="15"/>
      <c r="F842" s="15"/>
      <c r="G842" s="16"/>
      <c r="H842" s="16"/>
      <c r="I842" s="15"/>
      <c r="J842" s="15" t="str">
        <f t="shared" si="16"/>
        <v>yyyy-01</v>
      </c>
      <c r="K842" s="16">
        <f t="shared" si="18"/>
        <v>13417.620000000003</v>
      </c>
    </row>
    <row r="843" spans="1:11" ht="15.75" customHeight="1" x14ac:dyDescent="0.25">
      <c r="A843" s="14"/>
      <c r="C843" s="15"/>
      <c r="D843" s="15"/>
      <c r="E843" s="15"/>
      <c r="F843" s="15"/>
      <c r="G843" s="16"/>
      <c r="H843" s="16"/>
      <c r="I843" s="15"/>
      <c r="J843" s="15" t="str">
        <f t="shared" si="16"/>
        <v>yyyy-01</v>
      </c>
      <c r="K843" s="16">
        <f t="shared" si="18"/>
        <v>13417.620000000003</v>
      </c>
    </row>
    <row r="844" spans="1:11" ht="15.75" customHeight="1" x14ac:dyDescent="0.25">
      <c r="A844" s="14"/>
      <c r="C844" s="15"/>
      <c r="D844" s="15"/>
      <c r="E844" s="15"/>
      <c r="F844" s="15"/>
      <c r="G844" s="16"/>
      <c r="H844" s="16"/>
      <c r="I844" s="15"/>
      <c r="J844" s="15" t="str">
        <f t="shared" si="16"/>
        <v>yyyy-01</v>
      </c>
      <c r="K844" s="16">
        <f t="shared" si="18"/>
        <v>13417.620000000003</v>
      </c>
    </row>
    <row r="845" spans="1:11" ht="15.75" customHeight="1" x14ac:dyDescent="0.25">
      <c r="A845" s="14"/>
      <c r="C845" s="15"/>
      <c r="D845" s="15"/>
      <c r="E845" s="15"/>
      <c r="F845" s="15"/>
      <c r="G845" s="16"/>
      <c r="H845" s="16"/>
      <c r="I845" s="15"/>
      <c r="J845" s="15" t="str">
        <f t="shared" si="16"/>
        <v>yyyy-01</v>
      </c>
      <c r="K845" s="16">
        <f t="shared" si="18"/>
        <v>13417.620000000003</v>
      </c>
    </row>
    <row r="846" spans="1:11" ht="15.75" customHeight="1" x14ac:dyDescent="0.25">
      <c r="A846" s="14"/>
      <c r="C846" s="15"/>
      <c r="D846" s="15"/>
      <c r="E846" s="15"/>
      <c r="F846" s="15"/>
      <c r="G846" s="16"/>
      <c r="H846" s="16"/>
      <c r="I846" s="15"/>
      <c r="J846" s="15" t="str">
        <f t="shared" si="16"/>
        <v>yyyy-01</v>
      </c>
      <c r="K846" s="16">
        <f t="shared" si="18"/>
        <v>13417.620000000003</v>
      </c>
    </row>
    <row r="847" spans="1:11" ht="15.75" customHeight="1" x14ac:dyDescent="0.25">
      <c r="A847" s="14"/>
      <c r="C847" s="15"/>
      <c r="D847" s="15"/>
      <c r="E847" s="15"/>
      <c r="F847" s="15"/>
      <c r="G847" s="16"/>
      <c r="H847" s="16"/>
      <c r="I847" s="15"/>
      <c r="J847" s="15" t="str">
        <f t="shared" si="16"/>
        <v>yyyy-01</v>
      </c>
      <c r="K847" s="16">
        <f t="shared" si="18"/>
        <v>13417.620000000003</v>
      </c>
    </row>
    <row r="848" spans="1:11" ht="15.75" customHeight="1" x14ac:dyDescent="0.25">
      <c r="A848" s="14"/>
      <c r="C848" s="15"/>
      <c r="D848" s="15"/>
      <c r="E848" s="15"/>
      <c r="F848" s="15"/>
      <c r="G848" s="16"/>
      <c r="H848" s="16"/>
      <c r="I848" s="15"/>
      <c r="J848" s="15" t="str">
        <f t="shared" si="16"/>
        <v>yyyy-01</v>
      </c>
      <c r="K848" s="16">
        <f t="shared" si="18"/>
        <v>13417.620000000003</v>
      </c>
    </row>
    <row r="849" spans="1:11" ht="15.75" customHeight="1" x14ac:dyDescent="0.25">
      <c r="A849" s="14"/>
      <c r="C849" s="15"/>
      <c r="D849" s="15"/>
      <c r="E849" s="15"/>
      <c r="F849" s="15"/>
      <c r="G849" s="16"/>
      <c r="H849" s="16"/>
      <c r="I849" s="15"/>
      <c r="J849" s="15" t="str">
        <f t="shared" si="16"/>
        <v>yyyy-01</v>
      </c>
      <c r="K849" s="16">
        <f t="shared" si="18"/>
        <v>13417.620000000003</v>
      </c>
    </row>
    <row r="850" spans="1:11" ht="15.75" customHeight="1" x14ac:dyDescent="0.25">
      <c r="A850" s="14"/>
      <c r="C850" s="15"/>
      <c r="D850" s="15"/>
      <c r="E850" s="15"/>
      <c r="F850" s="15"/>
      <c r="G850" s="16"/>
      <c r="H850" s="16"/>
      <c r="I850" s="15"/>
      <c r="J850" s="15" t="str">
        <f t="shared" si="16"/>
        <v>yyyy-01</v>
      </c>
      <c r="K850" s="16">
        <f t="shared" si="18"/>
        <v>13417.620000000003</v>
      </c>
    </row>
    <row r="851" spans="1:11" ht="15.75" customHeight="1" x14ac:dyDescent="0.25">
      <c r="A851" s="14"/>
      <c r="C851" s="15"/>
      <c r="D851" s="15"/>
      <c r="E851" s="15"/>
      <c r="F851" s="15"/>
      <c r="G851" s="16"/>
      <c r="H851" s="16"/>
      <c r="I851" s="15"/>
      <c r="J851" s="15" t="str">
        <f t="shared" si="16"/>
        <v>yyyy-01</v>
      </c>
      <c r="K851" s="16">
        <f t="shared" si="18"/>
        <v>13417.620000000003</v>
      </c>
    </row>
    <row r="852" spans="1:11" ht="15.75" customHeight="1" x14ac:dyDescent="0.25">
      <c r="A852" s="14"/>
      <c r="C852" s="15"/>
      <c r="D852" s="15"/>
      <c r="E852" s="15"/>
      <c r="F852" s="15"/>
      <c r="G852" s="16"/>
      <c r="H852" s="16"/>
      <c r="I852" s="15"/>
      <c r="J852" s="15" t="str">
        <f t="shared" si="16"/>
        <v>yyyy-01</v>
      </c>
      <c r="K852" s="16">
        <f t="shared" si="18"/>
        <v>13417.620000000003</v>
      </c>
    </row>
    <row r="853" spans="1:11" ht="15.75" customHeight="1" x14ac:dyDescent="0.25">
      <c r="A853" s="14"/>
      <c r="C853" s="15"/>
      <c r="D853" s="15"/>
      <c r="E853" s="15"/>
      <c r="F853" s="15"/>
      <c r="G853" s="16"/>
      <c r="H853" s="16"/>
      <c r="I853" s="15"/>
      <c r="J853" s="15" t="str">
        <f t="shared" si="16"/>
        <v>yyyy-01</v>
      </c>
      <c r="K853" s="16">
        <f t="shared" si="18"/>
        <v>13417.620000000003</v>
      </c>
    </row>
    <row r="854" spans="1:11" ht="15.75" customHeight="1" x14ac:dyDescent="0.25">
      <c r="A854" s="14"/>
      <c r="C854" s="15"/>
      <c r="D854" s="15"/>
      <c r="E854" s="15"/>
      <c r="F854" s="15"/>
      <c r="G854" s="16"/>
      <c r="H854" s="16"/>
      <c r="I854" s="15"/>
      <c r="J854" s="15" t="str">
        <f t="shared" si="16"/>
        <v>yyyy-01</v>
      </c>
      <c r="K854" s="16">
        <f t="shared" si="18"/>
        <v>13417.620000000003</v>
      </c>
    </row>
    <row r="855" spans="1:11" ht="15.75" customHeight="1" x14ac:dyDescent="0.25">
      <c r="A855" s="14"/>
      <c r="C855" s="15"/>
      <c r="D855" s="15"/>
      <c r="E855" s="15"/>
      <c r="F855" s="15"/>
      <c r="G855" s="16"/>
      <c r="H855" s="16"/>
      <c r="I855" s="15"/>
      <c r="J855" s="15" t="str">
        <f t="shared" si="16"/>
        <v>yyyy-01</v>
      </c>
      <c r="K855" s="16">
        <f t="shared" si="18"/>
        <v>13417.620000000003</v>
      </c>
    </row>
    <row r="856" spans="1:11" ht="15.75" customHeight="1" x14ac:dyDescent="0.25">
      <c r="A856" s="14"/>
      <c r="C856" s="15"/>
      <c r="D856" s="15"/>
      <c r="E856" s="15"/>
      <c r="F856" s="15"/>
      <c r="G856" s="16"/>
      <c r="H856" s="16"/>
      <c r="I856" s="15"/>
      <c r="J856" s="15" t="str">
        <f t="shared" si="16"/>
        <v>yyyy-01</v>
      </c>
      <c r="K856" s="16">
        <f t="shared" si="18"/>
        <v>13417.620000000003</v>
      </c>
    </row>
    <row r="857" spans="1:11" ht="15.75" customHeight="1" x14ac:dyDescent="0.25">
      <c r="A857" s="14"/>
      <c r="C857" s="15"/>
      <c r="D857" s="15"/>
      <c r="E857" s="15"/>
      <c r="F857" s="15"/>
      <c r="G857" s="16"/>
      <c r="H857" s="16"/>
      <c r="I857" s="15"/>
      <c r="J857" s="15" t="str">
        <f t="shared" si="16"/>
        <v>yyyy-01</v>
      </c>
      <c r="K857" s="16">
        <f t="shared" si="18"/>
        <v>13417.620000000003</v>
      </c>
    </row>
    <row r="858" spans="1:11" ht="15.75" customHeight="1" x14ac:dyDescent="0.25">
      <c r="A858" s="14"/>
      <c r="C858" s="15"/>
      <c r="D858" s="15"/>
      <c r="E858" s="15"/>
      <c r="F858" s="15"/>
      <c r="G858" s="16"/>
      <c r="H858" s="16"/>
      <c r="I858" s="15"/>
      <c r="J858" s="15" t="str">
        <f t="shared" si="16"/>
        <v>yyyy-01</v>
      </c>
      <c r="K858" s="16">
        <f t="shared" si="18"/>
        <v>13417.620000000003</v>
      </c>
    </row>
    <row r="859" spans="1:11" ht="15.75" customHeight="1" x14ac:dyDescent="0.25">
      <c r="A859" s="14"/>
      <c r="C859" s="15"/>
      <c r="D859" s="15"/>
      <c r="E859" s="15"/>
      <c r="F859" s="15"/>
      <c r="G859" s="16"/>
      <c r="H859" s="16"/>
      <c r="I859" s="15"/>
      <c r="J859" s="15" t="str">
        <f t="shared" si="16"/>
        <v>yyyy-01</v>
      </c>
      <c r="K859" s="16">
        <f t="shared" si="18"/>
        <v>13417.620000000003</v>
      </c>
    </row>
    <row r="860" spans="1:11" ht="15.75" customHeight="1" x14ac:dyDescent="0.25">
      <c r="A860" s="14"/>
      <c r="C860" s="15"/>
      <c r="D860" s="15"/>
      <c r="E860" s="15"/>
      <c r="F860" s="15"/>
      <c r="G860" s="16"/>
      <c r="H860" s="16"/>
      <c r="I860" s="15"/>
      <c r="J860" s="15" t="str">
        <f t="shared" si="16"/>
        <v>yyyy-01</v>
      </c>
      <c r="K860" s="16">
        <f t="shared" si="18"/>
        <v>13417.620000000003</v>
      </c>
    </row>
    <row r="861" spans="1:11" ht="15.75" customHeight="1" x14ac:dyDescent="0.25">
      <c r="A861" s="14"/>
      <c r="C861" s="15"/>
      <c r="D861" s="15"/>
      <c r="E861" s="15"/>
      <c r="F861" s="15"/>
      <c r="G861" s="16"/>
      <c r="H861" s="16"/>
      <c r="I861" s="15"/>
      <c r="J861" s="15" t="str">
        <f t="shared" si="16"/>
        <v>yyyy-01</v>
      </c>
      <c r="K861" s="16">
        <f t="shared" si="18"/>
        <v>13417.620000000003</v>
      </c>
    </row>
    <row r="862" spans="1:11" ht="15.75" customHeight="1" x14ac:dyDescent="0.25">
      <c r="A862" s="14"/>
      <c r="C862" s="15"/>
      <c r="D862" s="15"/>
      <c r="E862" s="15"/>
      <c r="F862" s="15"/>
      <c r="G862" s="16"/>
      <c r="H862" s="16"/>
      <c r="I862" s="15"/>
      <c r="J862" s="15" t="str">
        <f t="shared" si="16"/>
        <v>yyyy-01</v>
      </c>
      <c r="K862" s="16">
        <f t="shared" si="18"/>
        <v>13417.620000000003</v>
      </c>
    </row>
    <row r="863" spans="1:11" ht="15.75" customHeight="1" x14ac:dyDescent="0.25">
      <c r="A863" s="14"/>
      <c r="C863" s="15"/>
      <c r="D863" s="15"/>
      <c r="E863" s="15"/>
      <c r="F863" s="15"/>
      <c r="G863" s="16"/>
      <c r="H863" s="16"/>
      <c r="I863" s="15"/>
      <c r="J863" s="15" t="str">
        <f t="shared" si="16"/>
        <v>yyyy-01</v>
      </c>
      <c r="K863" s="16">
        <f t="shared" ref="K863:K926" si="19">K862 + IF(C863="Entrada", G863, -G863)</f>
        <v>13417.620000000003</v>
      </c>
    </row>
    <row r="864" spans="1:11" ht="15.75" customHeight="1" x14ac:dyDescent="0.25">
      <c r="A864" s="14"/>
      <c r="C864" s="15"/>
      <c r="D864" s="15"/>
      <c r="E864" s="15"/>
      <c r="F864" s="15"/>
      <c r="G864" s="16"/>
      <c r="H864" s="16"/>
      <c r="I864" s="15"/>
      <c r="J864" s="15" t="str">
        <f t="shared" si="16"/>
        <v>yyyy-01</v>
      </c>
      <c r="K864" s="16">
        <f t="shared" si="19"/>
        <v>13417.620000000003</v>
      </c>
    </row>
    <row r="865" spans="1:11" ht="15.75" customHeight="1" x14ac:dyDescent="0.25">
      <c r="A865" s="14"/>
      <c r="C865" s="15"/>
      <c r="D865" s="15"/>
      <c r="E865" s="15"/>
      <c r="F865" s="15"/>
      <c r="G865" s="16"/>
      <c r="H865" s="16"/>
      <c r="I865" s="15"/>
      <c r="J865" s="15" t="str">
        <f t="shared" si="16"/>
        <v>yyyy-01</v>
      </c>
      <c r="K865" s="16">
        <f t="shared" si="19"/>
        <v>13417.620000000003</v>
      </c>
    </row>
    <row r="866" spans="1:11" ht="15.75" customHeight="1" x14ac:dyDescent="0.25">
      <c r="A866" s="14"/>
      <c r="C866" s="15"/>
      <c r="D866" s="15"/>
      <c r="E866" s="15"/>
      <c r="F866" s="15"/>
      <c r="G866" s="16"/>
      <c r="H866" s="16"/>
      <c r="I866" s="15"/>
      <c r="J866" s="15" t="str">
        <f t="shared" si="16"/>
        <v>yyyy-01</v>
      </c>
      <c r="K866" s="16">
        <f t="shared" si="19"/>
        <v>13417.620000000003</v>
      </c>
    </row>
    <row r="867" spans="1:11" ht="15.75" customHeight="1" x14ac:dyDescent="0.25">
      <c r="A867" s="14"/>
      <c r="C867" s="15"/>
      <c r="D867" s="15"/>
      <c r="E867" s="15"/>
      <c r="F867" s="15"/>
      <c r="G867" s="16"/>
      <c r="H867" s="16"/>
      <c r="I867" s="15"/>
      <c r="J867" s="15" t="str">
        <f t="shared" si="16"/>
        <v>yyyy-01</v>
      </c>
      <c r="K867" s="16">
        <f t="shared" si="19"/>
        <v>13417.620000000003</v>
      </c>
    </row>
    <row r="868" spans="1:11" ht="15.75" customHeight="1" x14ac:dyDescent="0.25">
      <c r="A868" s="14"/>
      <c r="C868" s="15"/>
      <c r="D868" s="15"/>
      <c r="E868" s="15"/>
      <c r="F868" s="15"/>
      <c r="G868" s="16"/>
      <c r="H868" s="16"/>
      <c r="I868" s="15"/>
      <c r="J868" s="15" t="str">
        <f t="shared" si="16"/>
        <v>yyyy-01</v>
      </c>
      <c r="K868" s="16">
        <f t="shared" si="19"/>
        <v>13417.620000000003</v>
      </c>
    </row>
    <row r="869" spans="1:11" ht="15.75" customHeight="1" x14ac:dyDescent="0.25">
      <c r="A869" s="14"/>
      <c r="C869" s="15"/>
      <c r="D869" s="15"/>
      <c r="E869" s="15"/>
      <c r="F869" s="15"/>
      <c r="G869" s="16"/>
      <c r="H869" s="16"/>
      <c r="I869" s="15"/>
      <c r="J869" s="15" t="str">
        <f t="shared" si="16"/>
        <v>yyyy-01</v>
      </c>
      <c r="K869" s="16">
        <f t="shared" si="19"/>
        <v>13417.620000000003</v>
      </c>
    </row>
    <row r="870" spans="1:11" ht="15.75" customHeight="1" x14ac:dyDescent="0.25">
      <c r="A870" s="14"/>
      <c r="C870" s="15"/>
      <c r="D870" s="15"/>
      <c r="E870" s="15"/>
      <c r="F870" s="15"/>
      <c r="G870" s="16"/>
      <c r="H870" s="16"/>
      <c r="I870" s="15"/>
      <c r="J870" s="15" t="str">
        <f t="shared" si="16"/>
        <v>yyyy-01</v>
      </c>
      <c r="K870" s="16">
        <f t="shared" si="19"/>
        <v>13417.620000000003</v>
      </c>
    </row>
    <row r="871" spans="1:11" ht="15.75" customHeight="1" x14ac:dyDescent="0.25">
      <c r="A871" s="14"/>
      <c r="C871" s="15"/>
      <c r="D871" s="15"/>
      <c r="E871" s="15"/>
      <c r="F871" s="15"/>
      <c r="G871" s="16"/>
      <c r="H871" s="16"/>
      <c r="I871" s="15"/>
      <c r="J871" s="15" t="str">
        <f t="shared" si="16"/>
        <v>yyyy-01</v>
      </c>
      <c r="K871" s="16">
        <f t="shared" si="19"/>
        <v>13417.620000000003</v>
      </c>
    </row>
    <row r="872" spans="1:11" ht="15.75" customHeight="1" x14ac:dyDescent="0.25">
      <c r="A872" s="14"/>
      <c r="C872" s="15"/>
      <c r="D872" s="15"/>
      <c r="E872" s="15"/>
      <c r="F872" s="15"/>
      <c r="G872" s="16"/>
      <c r="H872" s="16"/>
      <c r="I872" s="15"/>
      <c r="J872" s="15" t="str">
        <f t="shared" si="16"/>
        <v>yyyy-01</v>
      </c>
      <c r="K872" s="16">
        <f t="shared" si="19"/>
        <v>13417.620000000003</v>
      </c>
    </row>
    <row r="873" spans="1:11" ht="15.75" customHeight="1" x14ac:dyDescent="0.25">
      <c r="A873" s="14"/>
      <c r="C873" s="15"/>
      <c r="D873" s="15"/>
      <c r="E873" s="15"/>
      <c r="F873" s="15"/>
      <c r="G873" s="16"/>
      <c r="H873" s="16"/>
      <c r="I873" s="15"/>
      <c r="J873" s="15" t="str">
        <f t="shared" si="16"/>
        <v>yyyy-01</v>
      </c>
      <c r="K873" s="16">
        <f t="shared" si="19"/>
        <v>13417.620000000003</v>
      </c>
    </row>
    <row r="874" spans="1:11" ht="15.75" customHeight="1" x14ac:dyDescent="0.25">
      <c r="A874" s="14"/>
      <c r="C874" s="15"/>
      <c r="D874" s="15"/>
      <c r="E874" s="15"/>
      <c r="F874" s="15"/>
      <c r="G874" s="16"/>
      <c r="H874" s="16"/>
      <c r="I874" s="15"/>
      <c r="J874" s="15" t="str">
        <f t="shared" si="16"/>
        <v>yyyy-01</v>
      </c>
      <c r="K874" s="16">
        <f t="shared" si="19"/>
        <v>13417.620000000003</v>
      </c>
    </row>
    <row r="875" spans="1:11" ht="15.75" customHeight="1" x14ac:dyDescent="0.25">
      <c r="A875" s="14"/>
      <c r="C875" s="15"/>
      <c r="D875" s="15"/>
      <c r="E875" s="15"/>
      <c r="F875" s="15"/>
      <c r="G875" s="16"/>
      <c r="H875" s="16"/>
      <c r="I875" s="15"/>
      <c r="J875" s="15" t="str">
        <f t="shared" si="16"/>
        <v>yyyy-01</v>
      </c>
      <c r="K875" s="16">
        <f t="shared" si="19"/>
        <v>13417.620000000003</v>
      </c>
    </row>
    <row r="876" spans="1:11" ht="15.75" customHeight="1" x14ac:dyDescent="0.25">
      <c r="A876" s="14"/>
      <c r="C876" s="15"/>
      <c r="D876" s="15"/>
      <c r="E876" s="15"/>
      <c r="F876" s="15"/>
      <c r="G876" s="16"/>
      <c r="H876" s="16"/>
      <c r="I876" s="15"/>
      <c r="J876" s="15" t="str">
        <f t="shared" si="16"/>
        <v>yyyy-01</v>
      </c>
      <c r="K876" s="16">
        <f t="shared" si="19"/>
        <v>13417.620000000003</v>
      </c>
    </row>
    <row r="877" spans="1:11" ht="15.75" customHeight="1" x14ac:dyDescent="0.25">
      <c r="A877" s="14"/>
      <c r="C877" s="15"/>
      <c r="D877" s="15"/>
      <c r="E877" s="15"/>
      <c r="F877" s="15"/>
      <c r="G877" s="16"/>
      <c r="H877" s="16"/>
      <c r="I877" s="15"/>
      <c r="J877" s="15" t="str">
        <f t="shared" si="16"/>
        <v>yyyy-01</v>
      </c>
      <c r="K877" s="16">
        <f t="shared" si="19"/>
        <v>13417.620000000003</v>
      </c>
    </row>
    <row r="878" spans="1:11" ht="15.75" customHeight="1" x14ac:dyDescent="0.25">
      <c r="A878" s="14"/>
      <c r="C878" s="15"/>
      <c r="D878" s="15"/>
      <c r="E878" s="15"/>
      <c r="F878" s="15"/>
      <c r="G878" s="16"/>
      <c r="H878" s="16"/>
      <c r="I878" s="15"/>
      <c r="J878" s="15" t="str">
        <f t="shared" si="16"/>
        <v>yyyy-01</v>
      </c>
      <c r="K878" s="16">
        <f t="shared" si="19"/>
        <v>13417.620000000003</v>
      </c>
    </row>
    <row r="879" spans="1:11" ht="15.75" customHeight="1" x14ac:dyDescent="0.25">
      <c r="A879" s="14"/>
      <c r="C879" s="15"/>
      <c r="D879" s="15"/>
      <c r="E879" s="15"/>
      <c r="F879" s="15"/>
      <c r="G879" s="16"/>
      <c r="H879" s="16"/>
      <c r="I879" s="15"/>
      <c r="J879" s="15" t="str">
        <f t="shared" si="16"/>
        <v>yyyy-01</v>
      </c>
      <c r="K879" s="16">
        <f t="shared" si="19"/>
        <v>13417.620000000003</v>
      </c>
    </row>
    <row r="880" spans="1:11" ht="15.75" customHeight="1" x14ac:dyDescent="0.25">
      <c r="A880" s="14"/>
      <c r="C880" s="15"/>
      <c r="D880" s="15"/>
      <c r="E880" s="15"/>
      <c r="F880" s="15"/>
      <c r="G880" s="16"/>
      <c r="H880" s="16"/>
      <c r="I880" s="15"/>
      <c r="J880" s="15" t="str">
        <f t="shared" si="16"/>
        <v>yyyy-01</v>
      </c>
      <c r="K880" s="16">
        <f t="shared" si="19"/>
        <v>13417.620000000003</v>
      </c>
    </row>
    <row r="881" spans="1:11" ht="15.75" customHeight="1" x14ac:dyDescent="0.25">
      <c r="A881" s="14"/>
      <c r="C881" s="15"/>
      <c r="D881" s="15"/>
      <c r="E881" s="15"/>
      <c r="F881" s="15"/>
      <c r="G881" s="16"/>
      <c r="H881" s="16"/>
      <c r="I881" s="15"/>
      <c r="J881" s="15" t="str">
        <f t="shared" si="16"/>
        <v>yyyy-01</v>
      </c>
      <c r="K881" s="16">
        <f t="shared" si="19"/>
        <v>13417.620000000003</v>
      </c>
    </row>
    <row r="882" spans="1:11" ht="15.75" customHeight="1" x14ac:dyDescent="0.25">
      <c r="A882" s="14"/>
      <c r="C882" s="15"/>
      <c r="D882" s="15"/>
      <c r="E882" s="15"/>
      <c r="F882" s="15"/>
      <c r="G882" s="16"/>
      <c r="H882" s="16"/>
      <c r="I882" s="15"/>
      <c r="J882" s="15" t="str">
        <f t="shared" si="16"/>
        <v>yyyy-01</v>
      </c>
      <c r="K882" s="16">
        <f t="shared" si="19"/>
        <v>13417.620000000003</v>
      </c>
    </row>
    <row r="883" spans="1:11" ht="15.75" customHeight="1" x14ac:dyDescent="0.25">
      <c r="A883" s="14"/>
      <c r="C883" s="15"/>
      <c r="D883" s="15"/>
      <c r="E883" s="15"/>
      <c r="F883" s="15"/>
      <c r="G883" s="16"/>
      <c r="H883" s="16"/>
      <c r="I883" s="15"/>
      <c r="J883" s="15" t="str">
        <f t="shared" si="16"/>
        <v>yyyy-01</v>
      </c>
      <c r="K883" s="16">
        <f t="shared" si="19"/>
        <v>13417.620000000003</v>
      </c>
    </row>
    <row r="884" spans="1:11" ht="15.75" customHeight="1" x14ac:dyDescent="0.25">
      <c r="A884" s="14"/>
      <c r="C884" s="15"/>
      <c r="D884" s="15"/>
      <c r="E884" s="15"/>
      <c r="F884" s="15"/>
      <c r="G884" s="16"/>
      <c r="H884" s="16"/>
      <c r="I884" s="15"/>
      <c r="J884" s="15" t="str">
        <f t="shared" si="16"/>
        <v>yyyy-01</v>
      </c>
      <c r="K884" s="16">
        <f t="shared" si="19"/>
        <v>13417.620000000003</v>
      </c>
    </row>
    <row r="885" spans="1:11" ht="15.75" customHeight="1" x14ac:dyDescent="0.25">
      <c r="A885" s="14"/>
      <c r="C885" s="15"/>
      <c r="D885" s="15"/>
      <c r="E885" s="15"/>
      <c r="F885" s="15"/>
      <c r="G885" s="16"/>
      <c r="H885" s="16"/>
      <c r="I885" s="15"/>
      <c r="J885" s="15" t="str">
        <f t="shared" si="16"/>
        <v>yyyy-01</v>
      </c>
      <c r="K885" s="16">
        <f t="shared" si="19"/>
        <v>13417.620000000003</v>
      </c>
    </row>
    <row r="886" spans="1:11" ht="15.75" customHeight="1" x14ac:dyDescent="0.25">
      <c r="A886" s="14"/>
      <c r="C886" s="15"/>
      <c r="D886" s="15"/>
      <c r="E886" s="15"/>
      <c r="F886" s="15"/>
      <c r="G886" s="16"/>
      <c r="H886" s="16"/>
      <c r="I886" s="15"/>
      <c r="J886" s="15" t="str">
        <f t="shared" si="16"/>
        <v>yyyy-01</v>
      </c>
      <c r="K886" s="16">
        <f t="shared" si="19"/>
        <v>13417.620000000003</v>
      </c>
    </row>
    <row r="887" spans="1:11" ht="15.75" customHeight="1" x14ac:dyDescent="0.25">
      <c r="A887" s="14"/>
      <c r="C887" s="15"/>
      <c r="D887" s="15"/>
      <c r="E887" s="15"/>
      <c r="F887" s="15"/>
      <c r="G887" s="16"/>
      <c r="H887" s="16"/>
      <c r="I887" s="15"/>
      <c r="J887" s="15" t="str">
        <f t="shared" si="16"/>
        <v>yyyy-01</v>
      </c>
      <c r="K887" s="16">
        <f t="shared" si="19"/>
        <v>13417.620000000003</v>
      </c>
    </row>
    <row r="888" spans="1:11" ht="15.75" customHeight="1" x14ac:dyDescent="0.25">
      <c r="A888" s="14"/>
      <c r="C888" s="15"/>
      <c r="D888" s="15"/>
      <c r="E888" s="15"/>
      <c r="F888" s="15"/>
      <c r="G888" s="16"/>
      <c r="H888" s="16"/>
      <c r="I888" s="15"/>
      <c r="J888" s="15" t="str">
        <f t="shared" si="16"/>
        <v>yyyy-01</v>
      </c>
      <c r="K888" s="16">
        <f t="shared" si="19"/>
        <v>13417.620000000003</v>
      </c>
    </row>
    <row r="889" spans="1:11" ht="15.75" customHeight="1" x14ac:dyDescent="0.25">
      <c r="A889" s="14"/>
      <c r="C889" s="15"/>
      <c r="D889" s="15"/>
      <c r="E889" s="15"/>
      <c r="F889" s="15"/>
      <c r="G889" s="16"/>
      <c r="H889" s="16"/>
      <c r="I889" s="15"/>
      <c r="J889" s="15" t="str">
        <f t="shared" si="16"/>
        <v>yyyy-01</v>
      </c>
      <c r="K889" s="16">
        <f t="shared" si="19"/>
        <v>13417.620000000003</v>
      </c>
    </row>
    <row r="890" spans="1:11" ht="15.75" customHeight="1" x14ac:dyDescent="0.25">
      <c r="A890" s="14"/>
      <c r="C890" s="15"/>
      <c r="D890" s="15"/>
      <c r="E890" s="15"/>
      <c r="F890" s="15"/>
      <c r="G890" s="16"/>
      <c r="H890" s="16"/>
      <c r="I890" s="15"/>
      <c r="J890" s="15" t="str">
        <f t="shared" si="16"/>
        <v>yyyy-01</v>
      </c>
      <c r="K890" s="16">
        <f t="shared" si="19"/>
        <v>13417.620000000003</v>
      </c>
    </row>
    <row r="891" spans="1:11" ht="15.75" customHeight="1" x14ac:dyDescent="0.25">
      <c r="A891" s="14"/>
      <c r="C891" s="15"/>
      <c r="D891" s="15"/>
      <c r="E891" s="15"/>
      <c r="F891" s="15"/>
      <c r="G891" s="16"/>
      <c r="H891" s="16"/>
      <c r="I891" s="15"/>
      <c r="J891" s="15" t="str">
        <f t="shared" si="16"/>
        <v>yyyy-01</v>
      </c>
      <c r="K891" s="16">
        <f t="shared" si="19"/>
        <v>13417.620000000003</v>
      </c>
    </row>
    <row r="892" spans="1:11" ht="15.75" customHeight="1" x14ac:dyDescent="0.25">
      <c r="A892" s="14"/>
      <c r="C892" s="15"/>
      <c r="D892" s="15"/>
      <c r="E892" s="15"/>
      <c r="F892" s="15"/>
      <c r="G892" s="16"/>
      <c r="H892" s="16"/>
      <c r="I892" s="15"/>
      <c r="J892" s="15" t="str">
        <f t="shared" si="16"/>
        <v>yyyy-01</v>
      </c>
      <c r="K892" s="16">
        <f t="shared" si="19"/>
        <v>13417.620000000003</v>
      </c>
    </row>
    <row r="893" spans="1:11" ht="15.75" customHeight="1" x14ac:dyDescent="0.25">
      <c r="A893" s="14"/>
      <c r="C893" s="15"/>
      <c r="D893" s="15"/>
      <c r="E893" s="15"/>
      <c r="F893" s="15"/>
      <c r="G893" s="16"/>
      <c r="H893" s="16"/>
      <c r="I893" s="15"/>
      <c r="J893" s="15" t="str">
        <f t="shared" si="16"/>
        <v>yyyy-01</v>
      </c>
      <c r="K893" s="16">
        <f t="shared" si="19"/>
        <v>13417.620000000003</v>
      </c>
    </row>
    <row r="894" spans="1:11" ht="15.75" customHeight="1" x14ac:dyDescent="0.25">
      <c r="A894" s="14"/>
      <c r="C894" s="15"/>
      <c r="D894" s="15"/>
      <c r="E894" s="15"/>
      <c r="F894" s="15"/>
      <c r="G894" s="16"/>
      <c r="H894" s="16"/>
      <c r="I894" s="15"/>
      <c r="J894" s="15" t="str">
        <f t="shared" si="16"/>
        <v>yyyy-01</v>
      </c>
      <c r="K894" s="16">
        <f t="shared" si="19"/>
        <v>13417.620000000003</v>
      </c>
    </row>
    <row r="895" spans="1:11" ht="15.75" customHeight="1" x14ac:dyDescent="0.25">
      <c r="A895" s="14"/>
      <c r="C895" s="15"/>
      <c r="D895" s="15"/>
      <c r="E895" s="15"/>
      <c r="F895" s="15"/>
      <c r="G895" s="16"/>
      <c r="H895" s="16"/>
      <c r="I895" s="15"/>
      <c r="J895" s="15" t="str">
        <f t="shared" si="16"/>
        <v>yyyy-01</v>
      </c>
      <c r="K895" s="16">
        <f t="shared" si="19"/>
        <v>13417.620000000003</v>
      </c>
    </row>
    <row r="896" spans="1:11" ht="15.75" customHeight="1" x14ac:dyDescent="0.25">
      <c r="A896" s="14"/>
      <c r="C896" s="15"/>
      <c r="D896" s="15"/>
      <c r="E896" s="15"/>
      <c r="F896" s="15"/>
      <c r="G896" s="16"/>
      <c r="H896" s="16"/>
      <c r="I896" s="15"/>
      <c r="J896" s="15" t="str">
        <f t="shared" si="16"/>
        <v>yyyy-01</v>
      </c>
      <c r="K896" s="16">
        <f t="shared" si="19"/>
        <v>13417.620000000003</v>
      </c>
    </row>
    <row r="897" spans="1:11" ht="15.75" customHeight="1" x14ac:dyDescent="0.25">
      <c r="A897" s="14"/>
      <c r="C897" s="15"/>
      <c r="D897" s="15"/>
      <c r="E897" s="15"/>
      <c r="F897" s="15"/>
      <c r="G897" s="16"/>
      <c r="H897" s="16"/>
      <c r="I897" s="15"/>
      <c r="J897" s="15" t="str">
        <f t="shared" si="16"/>
        <v>yyyy-01</v>
      </c>
      <c r="K897" s="16">
        <f t="shared" si="19"/>
        <v>13417.620000000003</v>
      </c>
    </row>
    <row r="898" spans="1:11" ht="15.75" customHeight="1" x14ac:dyDescent="0.25">
      <c r="A898" s="14"/>
      <c r="C898" s="15"/>
      <c r="D898" s="15"/>
      <c r="E898" s="15"/>
      <c r="F898" s="15"/>
      <c r="G898" s="16"/>
      <c r="H898" s="16"/>
      <c r="I898" s="15"/>
      <c r="J898" s="15" t="str">
        <f t="shared" si="16"/>
        <v>yyyy-01</v>
      </c>
      <c r="K898" s="16">
        <f t="shared" si="19"/>
        <v>13417.620000000003</v>
      </c>
    </row>
    <row r="899" spans="1:11" ht="15.75" customHeight="1" x14ac:dyDescent="0.25">
      <c r="A899" s="14"/>
      <c r="C899" s="15"/>
      <c r="D899" s="15"/>
      <c r="E899" s="15"/>
      <c r="F899" s="15"/>
      <c r="G899" s="16"/>
      <c r="H899" s="16"/>
      <c r="I899" s="15"/>
      <c r="J899" s="15" t="str">
        <f t="shared" si="16"/>
        <v>yyyy-01</v>
      </c>
      <c r="K899" s="16">
        <f t="shared" si="19"/>
        <v>13417.620000000003</v>
      </c>
    </row>
    <row r="900" spans="1:11" ht="15.75" customHeight="1" x14ac:dyDescent="0.25">
      <c r="A900" s="14"/>
      <c r="C900" s="15"/>
      <c r="D900" s="15"/>
      <c r="E900" s="15"/>
      <c r="F900" s="15"/>
      <c r="G900" s="16"/>
      <c r="H900" s="16"/>
      <c r="I900" s="15"/>
      <c r="J900" s="15" t="str">
        <f t="shared" si="16"/>
        <v>yyyy-01</v>
      </c>
      <c r="K900" s="16">
        <f t="shared" si="19"/>
        <v>13417.620000000003</v>
      </c>
    </row>
    <row r="901" spans="1:11" ht="15.75" customHeight="1" x14ac:dyDescent="0.25">
      <c r="A901" s="14"/>
      <c r="C901" s="15"/>
      <c r="D901" s="15"/>
      <c r="E901" s="15"/>
      <c r="F901" s="15"/>
      <c r="G901" s="16"/>
      <c r="H901" s="16"/>
      <c r="I901" s="15"/>
      <c r="J901" s="15" t="str">
        <f t="shared" si="16"/>
        <v>yyyy-01</v>
      </c>
      <c r="K901" s="16">
        <f t="shared" si="19"/>
        <v>13417.620000000003</v>
      </c>
    </row>
    <row r="902" spans="1:11" ht="15.75" customHeight="1" x14ac:dyDescent="0.25">
      <c r="A902" s="14"/>
      <c r="C902" s="15"/>
      <c r="D902" s="15"/>
      <c r="E902" s="15"/>
      <c r="F902" s="15"/>
      <c r="G902" s="16"/>
      <c r="H902" s="16"/>
      <c r="I902" s="15"/>
      <c r="J902" s="15" t="str">
        <f t="shared" si="16"/>
        <v>yyyy-01</v>
      </c>
      <c r="K902" s="16">
        <f t="shared" si="19"/>
        <v>13417.620000000003</v>
      </c>
    </row>
    <row r="903" spans="1:11" ht="15.75" customHeight="1" x14ac:dyDescent="0.25">
      <c r="A903" s="14"/>
      <c r="C903" s="15"/>
      <c r="D903" s="15"/>
      <c r="E903" s="15"/>
      <c r="F903" s="15"/>
      <c r="G903" s="16"/>
      <c r="H903" s="16"/>
      <c r="I903" s="15"/>
      <c r="J903" s="15" t="str">
        <f t="shared" si="16"/>
        <v>yyyy-01</v>
      </c>
      <c r="K903" s="16">
        <f t="shared" si="19"/>
        <v>13417.620000000003</v>
      </c>
    </row>
    <row r="904" spans="1:11" ht="15.75" customHeight="1" x14ac:dyDescent="0.25">
      <c r="A904" s="14"/>
      <c r="C904" s="15"/>
      <c r="D904" s="15"/>
      <c r="E904" s="15"/>
      <c r="F904" s="15"/>
      <c r="G904" s="16"/>
      <c r="H904" s="16"/>
      <c r="I904" s="15"/>
      <c r="J904" s="15" t="str">
        <f t="shared" si="16"/>
        <v>yyyy-01</v>
      </c>
      <c r="K904" s="16">
        <f t="shared" si="19"/>
        <v>13417.620000000003</v>
      </c>
    </row>
    <row r="905" spans="1:11" ht="15.75" customHeight="1" x14ac:dyDescent="0.25">
      <c r="A905" s="14"/>
      <c r="C905" s="15"/>
      <c r="D905" s="15"/>
      <c r="E905" s="15"/>
      <c r="F905" s="15"/>
      <c r="G905" s="16"/>
      <c r="H905" s="16"/>
      <c r="I905" s="15"/>
      <c r="J905" s="15" t="str">
        <f t="shared" si="16"/>
        <v>yyyy-01</v>
      </c>
      <c r="K905" s="16">
        <f t="shared" si="19"/>
        <v>13417.620000000003</v>
      </c>
    </row>
    <row r="906" spans="1:11" ht="15.75" customHeight="1" x14ac:dyDescent="0.25">
      <c r="A906" s="14"/>
      <c r="C906" s="15"/>
      <c r="D906" s="15"/>
      <c r="E906" s="15"/>
      <c r="F906" s="15"/>
      <c r="G906" s="16"/>
      <c r="H906" s="16"/>
      <c r="I906" s="15"/>
      <c r="J906" s="15" t="str">
        <f t="shared" si="16"/>
        <v>yyyy-01</v>
      </c>
      <c r="K906" s="16">
        <f t="shared" si="19"/>
        <v>13417.620000000003</v>
      </c>
    </row>
    <row r="907" spans="1:11" ht="15.75" customHeight="1" x14ac:dyDescent="0.25">
      <c r="A907" s="14"/>
      <c r="C907" s="15"/>
      <c r="D907" s="15"/>
      <c r="E907" s="15"/>
      <c r="F907" s="15"/>
      <c r="G907" s="16"/>
      <c r="H907" s="16"/>
      <c r="I907" s="15"/>
      <c r="J907" s="15" t="str">
        <f t="shared" si="16"/>
        <v>yyyy-01</v>
      </c>
      <c r="K907" s="16">
        <f t="shared" si="19"/>
        <v>13417.620000000003</v>
      </c>
    </row>
    <row r="908" spans="1:11" ht="15.75" customHeight="1" x14ac:dyDescent="0.25">
      <c r="A908" s="14"/>
      <c r="C908" s="15"/>
      <c r="D908" s="15"/>
      <c r="E908" s="15"/>
      <c r="F908" s="15"/>
      <c r="G908" s="16"/>
      <c r="H908" s="16"/>
      <c r="I908" s="15"/>
      <c r="J908" s="15" t="str">
        <f t="shared" si="16"/>
        <v>yyyy-01</v>
      </c>
      <c r="K908" s="16">
        <f t="shared" si="19"/>
        <v>13417.620000000003</v>
      </c>
    </row>
    <row r="909" spans="1:11" ht="15.75" customHeight="1" x14ac:dyDescent="0.25">
      <c r="A909" s="14"/>
      <c r="C909" s="15"/>
      <c r="D909" s="15"/>
      <c r="E909" s="15"/>
      <c r="F909" s="15"/>
      <c r="G909" s="16"/>
      <c r="H909" s="16"/>
      <c r="I909" s="15"/>
      <c r="J909" s="15" t="str">
        <f t="shared" si="16"/>
        <v>yyyy-01</v>
      </c>
      <c r="K909" s="16">
        <f t="shared" si="19"/>
        <v>13417.620000000003</v>
      </c>
    </row>
    <row r="910" spans="1:11" ht="15.75" customHeight="1" x14ac:dyDescent="0.25">
      <c r="A910" s="14"/>
      <c r="C910" s="15"/>
      <c r="D910" s="15"/>
      <c r="E910" s="15"/>
      <c r="F910" s="15"/>
      <c r="G910" s="16"/>
      <c r="H910" s="16"/>
      <c r="I910" s="15"/>
      <c r="J910" s="15" t="str">
        <f t="shared" si="16"/>
        <v>yyyy-01</v>
      </c>
      <c r="K910" s="16">
        <f t="shared" si="19"/>
        <v>13417.620000000003</v>
      </c>
    </row>
    <row r="911" spans="1:11" ht="15.75" customHeight="1" x14ac:dyDescent="0.25">
      <c r="A911" s="14"/>
      <c r="C911" s="15"/>
      <c r="D911" s="15"/>
      <c r="E911" s="15"/>
      <c r="F911" s="15"/>
      <c r="G911" s="16"/>
      <c r="H911" s="16"/>
      <c r="I911" s="15"/>
      <c r="J911" s="15" t="str">
        <f t="shared" si="16"/>
        <v>yyyy-01</v>
      </c>
      <c r="K911" s="16">
        <f t="shared" si="19"/>
        <v>13417.620000000003</v>
      </c>
    </row>
    <row r="912" spans="1:11" ht="15.75" customHeight="1" x14ac:dyDescent="0.25">
      <c r="A912" s="14"/>
      <c r="C912" s="15"/>
      <c r="D912" s="15"/>
      <c r="E912" s="15"/>
      <c r="F912" s="15"/>
      <c r="G912" s="16"/>
      <c r="H912" s="16"/>
      <c r="I912" s="15"/>
      <c r="J912" s="15" t="str">
        <f t="shared" si="16"/>
        <v>yyyy-01</v>
      </c>
      <c r="K912" s="16">
        <f t="shared" si="19"/>
        <v>13417.620000000003</v>
      </c>
    </row>
    <row r="913" spans="1:11" ht="15.75" customHeight="1" x14ac:dyDescent="0.25">
      <c r="A913" s="14"/>
      <c r="C913" s="15"/>
      <c r="D913" s="15"/>
      <c r="E913" s="15"/>
      <c r="F913" s="15"/>
      <c r="G913" s="16"/>
      <c r="H913" s="16"/>
      <c r="I913" s="15"/>
      <c r="J913" s="15" t="str">
        <f t="shared" si="16"/>
        <v>yyyy-01</v>
      </c>
      <c r="K913" s="16">
        <f t="shared" si="19"/>
        <v>13417.620000000003</v>
      </c>
    </row>
    <row r="914" spans="1:11" ht="15.75" customHeight="1" x14ac:dyDescent="0.25">
      <c r="A914" s="14"/>
      <c r="C914" s="15"/>
      <c r="D914" s="15"/>
      <c r="E914" s="15"/>
      <c r="F914" s="15"/>
      <c r="G914" s="16"/>
      <c r="H914" s="16"/>
      <c r="I914" s="15"/>
      <c r="J914" s="15" t="str">
        <f t="shared" si="16"/>
        <v>yyyy-01</v>
      </c>
      <c r="K914" s="16">
        <f t="shared" si="19"/>
        <v>13417.620000000003</v>
      </c>
    </row>
    <row r="915" spans="1:11" ht="15.75" customHeight="1" x14ac:dyDescent="0.25">
      <c r="A915" s="14"/>
      <c r="C915" s="15"/>
      <c r="D915" s="15"/>
      <c r="E915" s="15"/>
      <c r="F915" s="15"/>
      <c r="G915" s="16"/>
      <c r="H915" s="16"/>
      <c r="I915" s="15"/>
      <c r="J915" s="15" t="str">
        <f t="shared" si="16"/>
        <v>yyyy-01</v>
      </c>
      <c r="K915" s="16">
        <f t="shared" si="19"/>
        <v>13417.620000000003</v>
      </c>
    </row>
    <row r="916" spans="1:11" ht="15.75" customHeight="1" x14ac:dyDescent="0.25">
      <c r="A916" s="14"/>
      <c r="C916" s="15"/>
      <c r="D916" s="15"/>
      <c r="E916" s="15"/>
      <c r="F916" s="15"/>
      <c r="G916" s="16"/>
      <c r="H916" s="16"/>
      <c r="I916" s="15"/>
      <c r="J916" s="15" t="str">
        <f t="shared" si="16"/>
        <v>yyyy-01</v>
      </c>
      <c r="K916" s="16">
        <f t="shared" si="19"/>
        <v>13417.620000000003</v>
      </c>
    </row>
    <row r="917" spans="1:11" ht="15.75" customHeight="1" x14ac:dyDescent="0.25">
      <c r="A917" s="14"/>
      <c r="C917" s="15"/>
      <c r="D917" s="15"/>
      <c r="E917" s="15"/>
      <c r="F917" s="15"/>
      <c r="G917" s="16"/>
      <c r="H917" s="16"/>
      <c r="I917" s="15"/>
      <c r="J917" s="15" t="str">
        <f t="shared" si="16"/>
        <v>yyyy-01</v>
      </c>
      <c r="K917" s="16">
        <f t="shared" si="19"/>
        <v>13417.620000000003</v>
      </c>
    </row>
    <row r="918" spans="1:11" ht="15.75" customHeight="1" x14ac:dyDescent="0.25">
      <c r="A918" s="14"/>
      <c r="C918" s="15"/>
      <c r="D918" s="15"/>
      <c r="E918" s="15"/>
      <c r="F918" s="15"/>
      <c r="G918" s="16"/>
      <c r="H918" s="16"/>
      <c r="I918" s="15"/>
      <c r="J918" s="15" t="str">
        <f t="shared" si="16"/>
        <v>yyyy-01</v>
      </c>
      <c r="K918" s="16">
        <f t="shared" si="19"/>
        <v>13417.620000000003</v>
      </c>
    </row>
    <row r="919" spans="1:11" ht="15.75" customHeight="1" x14ac:dyDescent="0.25">
      <c r="A919" s="14"/>
      <c r="C919" s="15"/>
      <c r="D919" s="15"/>
      <c r="E919" s="15"/>
      <c r="F919" s="15"/>
      <c r="G919" s="16"/>
      <c r="H919" s="16"/>
      <c r="I919" s="15"/>
      <c r="J919" s="15" t="str">
        <f t="shared" si="16"/>
        <v>yyyy-01</v>
      </c>
      <c r="K919" s="16">
        <f t="shared" si="19"/>
        <v>13417.620000000003</v>
      </c>
    </row>
    <row r="920" spans="1:11" ht="15.75" customHeight="1" x14ac:dyDescent="0.25">
      <c r="A920" s="14"/>
      <c r="C920" s="15"/>
      <c r="D920" s="15"/>
      <c r="E920" s="15"/>
      <c r="F920" s="15"/>
      <c r="G920" s="16"/>
      <c r="H920" s="16"/>
      <c r="I920" s="15"/>
      <c r="J920" s="15" t="str">
        <f t="shared" si="16"/>
        <v>yyyy-01</v>
      </c>
      <c r="K920" s="16">
        <f t="shared" si="19"/>
        <v>13417.620000000003</v>
      </c>
    </row>
    <row r="921" spans="1:11" ht="15.75" customHeight="1" x14ac:dyDescent="0.25">
      <c r="A921" s="14"/>
      <c r="C921" s="15"/>
      <c r="D921" s="15"/>
      <c r="E921" s="15"/>
      <c r="F921" s="15"/>
      <c r="G921" s="16"/>
      <c r="H921" s="16"/>
      <c r="I921" s="15"/>
      <c r="J921" s="15" t="str">
        <f t="shared" si="16"/>
        <v>yyyy-01</v>
      </c>
      <c r="K921" s="16">
        <f t="shared" si="19"/>
        <v>13417.620000000003</v>
      </c>
    </row>
    <row r="922" spans="1:11" ht="15.75" customHeight="1" x14ac:dyDescent="0.25">
      <c r="A922" s="14"/>
      <c r="C922" s="15"/>
      <c r="D922" s="15"/>
      <c r="E922" s="15"/>
      <c r="F922" s="15"/>
      <c r="G922" s="16"/>
      <c r="H922" s="16"/>
      <c r="I922" s="15"/>
      <c r="J922" s="15" t="str">
        <f t="shared" si="16"/>
        <v>yyyy-01</v>
      </c>
      <c r="K922" s="16">
        <f t="shared" si="19"/>
        <v>13417.620000000003</v>
      </c>
    </row>
    <row r="923" spans="1:11" ht="15.75" customHeight="1" x14ac:dyDescent="0.25">
      <c r="A923" s="14"/>
      <c r="C923" s="15"/>
      <c r="D923" s="15"/>
      <c r="E923" s="15"/>
      <c r="F923" s="15"/>
      <c r="G923" s="16"/>
      <c r="H923" s="16"/>
      <c r="I923" s="15"/>
      <c r="J923" s="15" t="str">
        <f t="shared" si="16"/>
        <v>yyyy-01</v>
      </c>
      <c r="K923" s="16">
        <f t="shared" si="19"/>
        <v>13417.620000000003</v>
      </c>
    </row>
    <row r="924" spans="1:11" ht="15.75" customHeight="1" x14ac:dyDescent="0.25">
      <c r="A924" s="14"/>
      <c r="C924" s="15"/>
      <c r="D924" s="15"/>
      <c r="E924" s="15"/>
      <c r="F924" s="15"/>
      <c r="G924" s="16"/>
      <c r="H924" s="16"/>
      <c r="I924" s="15"/>
      <c r="J924" s="15" t="str">
        <f t="shared" si="16"/>
        <v>yyyy-01</v>
      </c>
      <c r="K924" s="16">
        <f t="shared" si="19"/>
        <v>13417.620000000003</v>
      </c>
    </row>
    <row r="925" spans="1:11" ht="15.75" customHeight="1" x14ac:dyDescent="0.25">
      <c r="A925" s="14"/>
      <c r="C925" s="15"/>
      <c r="D925" s="15"/>
      <c r="E925" s="15"/>
      <c r="F925" s="15"/>
      <c r="G925" s="16"/>
      <c r="H925" s="16"/>
      <c r="I925" s="15"/>
      <c r="J925" s="15" t="str">
        <f t="shared" si="16"/>
        <v>yyyy-01</v>
      </c>
      <c r="K925" s="16">
        <f t="shared" si="19"/>
        <v>13417.620000000003</v>
      </c>
    </row>
    <row r="926" spans="1:11" ht="15.75" customHeight="1" x14ac:dyDescent="0.25">
      <c r="A926" s="14"/>
      <c r="C926" s="15"/>
      <c r="D926" s="15"/>
      <c r="E926" s="15"/>
      <c r="F926" s="15"/>
      <c r="G926" s="16"/>
      <c r="H926" s="16"/>
      <c r="I926" s="15"/>
      <c r="J926" s="15" t="str">
        <f t="shared" si="16"/>
        <v>yyyy-01</v>
      </c>
      <c r="K926" s="16">
        <f t="shared" si="19"/>
        <v>13417.620000000003</v>
      </c>
    </row>
    <row r="927" spans="1:11" ht="15.75" customHeight="1" x14ac:dyDescent="0.25">
      <c r="A927" s="14"/>
      <c r="C927" s="15"/>
      <c r="D927" s="15"/>
      <c r="E927" s="15"/>
      <c r="F927" s="15"/>
      <c r="G927" s="16"/>
      <c r="H927" s="16"/>
      <c r="I927" s="15"/>
      <c r="J927" s="15" t="str">
        <f t="shared" si="16"/>
        <v>yyyy-01</v>
      </c>
      <c r="K927" s="16">
        <f t="shared" ref="K927:K990" si="20">K926 + IF(C927="Entrada", G927, -G927)</f>
        <v>13417.620000000003</v>
      </c>
    </row>
    <row r="928" spans="1:11" ht="15.75" customHeight="1" x14ac:dyDescent="0.25">
      <c r="A928" s="14"/>
      <c r="C928" s="15"/>
      <c r="D928" s="15"/>
      <c r="E928" s="15"/>
      <c r="F928" s="15"/>
      <c r="G928" s="16"/>
      <c r="H928" s="16"/>
      <c r="I928" s="15"/>
      <c r="J928" s="15" t="str">
        <f t="shared" si="16"/>
        <v>yyyy-01</v>
      </c>
      <c r="K928" s="16">
        <f t="shared" si="20"/>
        <v>13417.620000000003</v>
      </c>
    </row>
    <row r="929" spans="1:11" ht="15.75" customHeight="1" x14ac:dyDescent="0.25">
      <c r="A929" s="14"/>
      <c r="C929" s="15"/>
      <c r="D929" s="15"/>
      <c r="E929" s="15"/>
      <c r="F929" s="15"/>
      <c r="G929" s="16"/>
      <c r="H929" s="16"/>
      <c r="I929" s="15"/>
      <c r="J929" s="15" t="str">
        <f t="shared" si="16"/>
        <v>yyyy-01</v>
      </c>
      <c r="K929" s="16">
        <f t="shared" si="20"/>
        <v>13417.620000000003</v>
      </c>
    </row>
    <row r="930" spans="1:11" ht="15.75" customHeight="1" x14ac:dyDescent="0.25">
      <c r="A930" s="14"/>
      <c r="C930" s="15"/>
      <c r="D930" s="15"/>
      <c r="E930" s="15"/>
      <c r="F930" s="15"/>
      <c r="G930" s="16"/>
      <c r="H930" s="16"/>
      <c r="I930" s="15"/>
      <c r="J930" s="15" t="str">
        <f t="shared" si="16"/>
        <v>yyyy-01</v>
      </c>
      <c r="K930" s="16">
        <f t="shared" si="20"/>
        <v>13417.620000000003</v>
      </c>
    </row>
    <row r="931" spans="1:11" ht="15.75" customHeight="1" x14ac:dyDescent="0.25">
      <c r="A931" s="14"/>
      <c r="C931" s="15"/>
      <c r="D931" s="15"/>
      <c r="E931" s="15"/>
      <c r="F931" s="15"/>
      <c r="G931" s="16"/>
      <c r="H931" s="16"/>
      <c r="I931" s="15"/>
      <c r="J931" s="15" t="str">
        <f t="shared" si="16"/>
        <v>yyyy-01</v>
      </c>
      <c r="K931" s="16">
        <f t="shared" si="20"/>
        <v>13417.620000000003</v>
      </c>
    </row>
    <row r="932" spans="1:11" ht="15.75" customHeight="1" x14ac:dyDescent="0.25">
      <c r="A932" s="14"/>
      <c r="C932" s="15"/>
      <c r="D932" s="15"/>
      <c r="E932" s="15"/>
      <c r="F932" s="15"/>
      <c r="G932" s="16"/>
      <c r="H932" s="16"/>
      <c r="I932" s="15"/>
      <c r="J932" s="15" t="str">
        <f t="shared" si="16"/>
        <v>yyyy-01</v>
      </c>
      <c r="K932" s="16">
        <f t="shared" si="20"/>
        <v>13417.620000000003</v>
      </c>
    </row>
    <row r="933" spans="1:11" ht="15.75" customHeight="1" x14ac:dyDescent="0.25">
      <c r="A933" s="14"/>
      <c r="C933" s="15"/>
      <c r="D933" s="15"/>
      <c r="E933" s="15"/>
      <c r="F933" s="15"/>
      <c r="G933" s="16"/>
      <c r="H933" s="16"/>
      <c r="I933" s="15"/>
      <c r="J933" s="15" t="str">
        <f t="shared" si="16"/>
        <v>yyyy-01</v>
      </c>
      <c r="K933" s="16">
        <f t="shared" si="20"/>
        <v>13417.620000000003</v>
      </c>
    </row>
    <row r="934" spans="1:11" ht="15.75" customHeight="1" x14ac:dyDescent="0.25">
      <c r="A934" s="14"/>
      <c r="C934" s="15"/>
      <c r="D934" s="15"/>
      <c r="E934" s="15"/>
      <c r="F934" s="15"/>
      <c r="G934" s="16"/>
      <c r="H934" s="16"/>
      <c r="I934" s="15"/>
      <c r="J934" s="15" t="str">
        <f t="shared" si="16"/>
        <v>yyyy-01</v>
      </c>
      <c r="K934" s="16">
        <f t="shared" si="20"/>
        <v>13417.620000000003</v>
      </c>
    </row>
    <row r="935" spans="1:11" ht="15.75" customHeight="1" x14ac:dyDescent="0.25">
      <c r="A935" s="14"/>
      <c r="C935" s="15"/>
      <c r="D935" s="15"/>
      <c r="E935" s="15"/>
      <c r="F935" s="15"/>
      <c r="G935" s="16"/>
      <c r="H935" s="16"/>
      <c r="I935" s="15"/>
      <c r="J935" s="15" t="str">
        <f t="shared" si="16"/>
        <v>yyyy-01</v>
      </c>
      <c r="K935" s="16">
        <f t="shared" si="20"/>
        <v>13417.620000000003</v>
      </c>
    </row>
    <row r="936" spans="1:11" ht="15.75" customHeight="1" x14ac:dyDescent="0.25">
      <c r="A936" s="14"/>
      <c r="C936" s="15"/>
      <c r="D936" s="15"/>
      <c r="E936" s="15"/>
      <c r="F936" s="15"/>
      <c r="G936" s="16"/>
      <c r="H936" s="16"/>
      <c r="I936" s="15"/>
      <c r="J936" s="15" t="str">
        <f t="shared" si="16"/>
        <v>yyyy-01</v>
      </c>
      <c r="K936" s="16">
        <f t="shared" si="20"/>
        <v>13417.620000000003</v>
      </c>
    </row>
    <row r="937" spans="1:11" ht="15.75" customHeight="1" x14ac:dyDescent="0.25">
      <c r="A937" s="14"/>
      <c r="C937" s="15"/>
      <c r="D937" s="15"/>
      <c r="E937" s="15"/>
      <c r="F937" s="15"/>
      <c r="G937" s="16"/>
      <c r="H937" s="16"/>
      <c r="I937" s="15"/>
      <c r="J937" s="15" t="str">
        <f t="shared" si="16"/>
        <v>yyyy-01</v>
      </c>
      <c r="K937" s="16">
        <f t="shared" si="20"/>
        <v>13417.620000000003</v>
      </c>
    </row>
    <row r="938" spans="1:11" ht="15.75" customHeight="1" x14ac:dyDescent="0.25">
      <c r="A938" s="14"/>
      <c r="C938" s="15"/>
      <c r="D938" s="15"/>
      <c r="E938" s="15"/>
      <c r="F938" s="15"/>
      <c r="G938" s="16"/>
      <c r="H938" s="16"/>
      <c r="I938" s="15"/>
      <c r="J938" s="15" t="str">
        <f t="shared" si="16"/>
        <v>yyyy-01</v>
      </c>
      <c r="K938" s="16">
        <f t="shared" si="20"/>
        <v>13417.620000000003</v>
      </c>
    </row>
    <row r="939" spans="1:11" ht="15.75" customHeight="1" x14ac:dyDescent="0.25">
      <c r="A939" s="14"/>
      <c r="C939" s="15"/>
      <c r="D939" s="15"/>
      <c r="E939" s="15"/>
      <c r="F939" s="15"/>
      <c r="G939" s="16"/>
      <c r="H939" s="16"/>
      <c r="I939" s="15"/>
      <c r="J939" s="15" t="str">
        <f t="shared" si="16"/>
        <v>yyyy-01</v>
      </c>
      <c r="K939" s="16">
        <f t="shared" si="20"/>
        <v>13417.620000000003</v>
      </c>
    </row>
    <row r="940" spans="1:11" ht="15.75" customHeight="1" x14ac:dyDescent="0.25">
      <c r="A940" s="14"/>
      <c r="C940" s="15"/>
      <c r="D940" s="15"/>
      <c r="E940" s="15"/>
      <c r="F940" s="15"/>
      <c r="G940" s="16"/>
      <c r="H940" s="16"/>
      <c r="I940" s="15"/>
      <c r="J940" s="15" t="str">
        <f t="shared" si="16"/>
        <v>yyyy-01</v>
      </c>
      <c r="K940" s="16">
        <f t="shared" si="20"/>
        <v>13417.620000000003</v>
      </c>
    </row>
    <row r="941" spans="1:11" ht="15.75" customHeight="1" x14ac:dyDescent="0.25">
      <c r="A941" s="14"/>
      <c r="C941" s="15"/>
      <c r="D941" s="15"/>
      <c r="E941" s="15"/>
      <c r="F941" s="15"/>
      <c r="G941" s="16"/>
      <c r="H941" s="16"/>
      <c r="I941" s="15"/>
      <c r="J941" s="15" t="str">
        <f t="shared" si="16"/>
        <v>yyyy-01</v>
      </c>
      <c r="K941" s="16">
        <f t="shared" si="20"/>
        <v>13417.620000000003</v>
      </c>
    </row>
    <row r="942" spans="1:11" ht="15.75" customHeight="1" x14ac:dyDescent="0.25">
      <c r="A942" s="14"/>
      <c r="C942" s="15"/>
      <c r="D942" s="15"/>
      <c r="E942" s="15"/>
      <c r="F942" s="15"/>
      <c r="G942" s="16"/>
      <c r="H942" s="16"/>
      <c r="I942" s="15"/>
      <c r="J942" s="15" t="str">
        <f t="shared" si="16"/>
        <v>yyyy-01</v>
      </c>
      <c r="K942" s="16">
        <f t="shared" si="20"/>
        <v>13417.620000000003</v>
      </c>
    </row>
    <row r="943" spans="1:11" ht="15.75" customHeight="1" x14ac:dyDescent="0.25">
      <c r="A943" s="14"/>
      <c r="C943" s="15"/>
      <c r="D943" s="15"/>
      <c r="E943" s="15"/>
      <c r="F943" s="15"/>
      <c r="G943" s="16"/>
      <c r="H943" s="16"/>
      <c r="I943" s="15"/>
      <c r="J943" s="15" t="str">
        <f t="shared" si="16"/>
        <v>yyyy-01</v>
      </c>
      <c r="K943" s="16">
        <f t="shared" si="20"/>
        <v>13417.620000000003</v>
      </c>
    </row>
    <row r="944" spans="1:11" ht="15.75" customHeight="1" x14ac:dyDescent="0.25">
      <c r="A944" s="14"/>
      <c r="C944" s="15"/>
      <c r="D944" s="15"/>
      <c r="E944" s="15"/>
      <c r="F944" s="15"/>
      <c r="G944" s="16"/>
      <c r="H944" s="16"/>
      <c r="I944" s="15"/>
      <c r="J944" s="15" t="str">
        <f t="shared" si="16"/>
        <v>yyyy-01</v>
      </c>
      <c r="K944" s="16">
        <f t="shared" si="20"/>
        <v>13417.620000000003</v>
      </c>
    </row>
    <row r="945" spans="1:11" ht="15.75" customHeight="1" x14ac:dyDescent="0.25">
      <c r="A945" s="14"/>
      <c r="C945" s="15"/>
      <c r="D945" s="15"/>
      <c r="E945" s="15"/>
      <c r="F945" s="15"/>
      <c r="G945" s="16"/>
      <c r="H945" s="16"/>
      <c r="I945" s="15"/>
      <c r="J945" s="15" t="str">
        <f t="shared" si="16"/>
        <v>yyyy-01</v>
      </c>
      <c r="K945" s="16">
        <f t="shared" si="20"/>
        <v>13417.620000000003</v>
      </c>
    </row>
    <row r="946" spans="1:11" ht="15.75" customHeight="1" x14ac:dyDescent="0.25">
      <c r="A946" s="14"/>
      <c r="C946" s="15"/>
      <c r="D946" s="15"/>
      <c r="E946" s="15"/>
      <c r="F946" s="15"/>
      <c r="G946" s="16"/>
      <c r="H946" s="16"/>
      <c r="I946" s="15"/>
      <c r="J946" s="15" t="str">
        <f t="shared" si="16"/>
        <v>yyyy-01</v>
      </c>
      <c r="K946" s="16">
        <f t="shared" si="20"/>
        <v>13417.620000000003</v>
      </c>
    </row>
    <row r="947" spans="1:11" ht="15.75" customHeight="1" x14ac:dyDescent="0.25">
      <c r="A947" s="14"/>
      <c r="C947" s="15"/>
      <c r="D947" s="15"/>
      <c r="E947" s="15"/>
      <c r="F947" s="15"/>
      <c r="G947" s="16"/>
      <c r="H947" s="16"/>
      <c r="I947" s="15"/>
      <c r="J947" s="15" t="str">
        <f t="shared" si="16"/>
        <v>yyyy-01</v>
      </c>
      <c r="K947" s="16">
        <f t="shared" si="20"/>
        <v>13417.620000000003</v>
      </c>
    </row>
    <row r="948" spans="1:11" ht="15.75" customHeight="1" x14ac:dyDescent="0.25">
      <c r="A948" s="14"/>
      <c r="C948" s="15"/>
      <c r="D948" s="15"/>
      <c r="E948" s="15"/>
      <c r="F948" s="15"/>
      <c r="G948" s="16"/>
      <c r="H948" s="16"/>
      <c r="I948" s="15"/>
      <c r="J948" s="15" t="str">
        <f t="shared" si="16"/>
        <v>yyyy-01</v>
      </c>
      <c r="K948" s="16">
        <f t="shared" si="20"/>
        <v>13417.620000000003</v>
      </c>
    </row>
    <row r="949" spans="1:11" ht="15.75" customHeight="1" x14ac:dyDescent="0.25">
      <c r="A949" s="14"/>
      <c r="C949" s="15"/>
      <c r="D949" s="15"/>
      <c r="E949" s="15"/>
      <c r="F949" s="15"/>
      <c r="G949" s="16"/>
      <c r="H949" s="16"/>
      <c r="I949" s="15"/>
      <c r="J949" s="15" t="str">
        <f t="shared" si="16"/>
        <v>yyyy-01</v>
      </c>
      <c r="K949" s="16">
        <f t="shared" si="20"/>
        <v>13417.620000000003</v>
      </c>
    </row>
    <row r="950" spans="1:11" ht="15.75" customHeight="1" x14ac:dyDescent="0.25">
      <c r="A950" s="14"/>
      <c r="C950" s="15"/>
      <c r="D950" s="15"/>
      <c r="E950" s="15"/>
      <c r="F950" s="15"/>
      <c r="G950" s="16"/>
      <c r="H950" s="16"/>
      <c r="I950" s="15"/>
      <c r="J950" s="15" t="str">
        <f t="shared" si="16"/>
        <v>yyyy-01</v>
      </c>
      <c r="K950" s="16">
        <f t="shared" si="20"/>
        <v>13417.620000000003</v>
      </c>
    </row>
    <row r="951" spans="1:11" ht="15.75" customHeight="1" x14ac:dyDescent="0.25">
      <c r="A951" s="14"/>
      <c r="C951" s="15"/>
      <c r="D951" s="15"/>
      <c r="E951" s="15"/>
      <c r="F951" s="15"/>
      <c r="G951" s="16"/>
      <c r="H951" s="16"/>
      <c r="I951" s="15"/>
      <c r="J951" s="15" t="str">
        <f t="shared" si="16"/>
        <v>yyyy-01</v>
      </c>
      <c r="K951" s="16">
        <f t="shared" si="20"/>
        <v>13417.620000000003</v>
      </c>
    </row>
    <row r="952" spans="1:11" ht="15.75" customHeight="1" x14ac:dyDescent="0.25">
      <c r="A952" s="14"/>
      <c r="C952" s="15"/>
      <c r="D952" s="15"/>
      <c r="E952" s="15"/>
      <c r="F952" s="15"/>
      <c r="G952" s="16"/>
      <c r="H952" s="16"/>
      <c r="I952" s="15"/>
      <c r="J952" s="15" t="str">
        <f t="shared" si="16"/>
        <v>yyyy-01</v>
      </c>
      <c r="K952" s="16">
        <f t="shared" si="20"/>
        <v>13417.620000000003</v>
      </c>
    </row>
    <row r="953" spans="1:11" ht="15.75" customHeight="1" x14ac:dyDescent="0.25">
      <c r="A953" s="14"/>
      <c r="C953" s="15"/>
      <c r="D953" s="15"/>
      <c r="E953" s="15"/>
      <c r="F953" s="15"/>
      <c r="G953" s="16"/>
      <c r="H953" s="16"/>
      <c r="I953" s="15"/>
      <c r="J953" s="15" t="str">
        <f t="shared" si="16"/>
        <v>yyyy-01</v>
      </c>
      <c r="K953" s="16">
        <f t="shared" si="20"/>
        <v>13417.620000000003</v>
      </c>
    </row>
    <row r="954" spans="1:11" ht="15.75" customHeight="1" x14ac:dyDescent="0.25">
      <c r="A954" s="14"/>
      <c r="C954" s="15"/>
      <c r="D954" s="15"/>
      <c r="E954" s="15"/>
      <c r="F954" s="15"/>
      <c r="G954" s="16"/>
      <c r="H954" s="16"/>
      <c r="I954" s="15"/>
      <c r="J954" s="15" t="str">
        <f t="shared" si="16"/>
        <v>yyyy-01</v>
      </c>
      <c r="K954" s="16">
        <f t="shared" si="20"/>
        <v>13417.620000000003</v>
      </c>
    </row>
    <row r="955" spans="1:11" ht="15.75" customHeight="1" x14ac:dyDescent="0.25">
      <c r="A955" s="14"/>
      <c r="C955" s="15"/>
      <c r="D955" s="15"/>
      <c r="E955" s="15"/>
      <c r="F955" s="15"/>
      <c r="G955" s="16"/>
      <c r="H955" s="16"/>
      <c r="I955" s="15"/>
      <c r="J955" s="15" t="str">
        <f t="shared" si="16"/>
        <v>yyyy-01</v>
      </c>
      <c r="K955" s="16">
        <f t="shared" si="20"/>
        <v>13417.620000000003</v>
      </c>
    </row>
    <row r="956" spans="1:11" ht="15.75" customHeight="1" x14ac:dyDescent="0.25">
      <c r="A956" s="14"/>
      <c r="C956" s="15"/>
      <c r="D956" s="15"/>
      <c r="E956" s="15"/>
      <c r="F956" s="15"/>
      <c r="G956" s="16"/>
      <c r="H956" s="16"/>
      <c r="I956" s="15"/>
      <c r="J956" s="15" t="str">
        <f t="shared" si="16"/>
        <v>yyyy-01</v>
      </c>
      <c r="K956" s="16">
        <f t="shared" si="20"/>
        <v>13417.620000000003</v>
      </c>
    </row>
    <row r="957" spans="1:11" ht="15.75" customHeight="1" x14ac:dyDescent="0.25">
      <c r="A957" s="14"/>
      <c r="C957" s="15"/>
      <c r="D957" s="15"/>
      <c r="E957" s="15"/>
      <c r="F957" s="15"/>
      <c r="G957" s="16"/>
      <c r="H957" s="16"/>
      <c r="I957" s="15"/>
      <c r="J957" s="15" t="str">
        <f t="shared" si="16"/>
        <v>yyyy-01</v>
      </c>
      <c r="K957" s="16">
        <f t="shared" si="20"/>
        <v>13417.620000000003</v>
      </c>
    </row>
    <row r="958" spans="1:11" ht="15.75" customHeight="1" x14ac:dyDescent="0.25">
      <c r="A958" s="14"/>
      <c r="C958" s="15"/>
      <c r="D958" s="15"/>
      <c r="E958" s="15"/>
      <c r="F958" s="15"/>
      <c r="G958" s="16"/>
      <c r="H958" s="16"/>
      <c r="I958" s="15"/>
      <c r="J958" s="15" t="str">
        <f t="shared" si="16"/>
        <v>yyyy-01</v>
      </c>
      <c r="K958" s="16">
        <f t="shared" si="20"/>
        <v>13417.620000000003</v>
      </c>
    </row>
    <row r="959" spans="1:11" ht="15.75" customHeight="1" x14ac:dyDescent="0.25">
      <c r="A959" s="14"/>
      <c r="C959" s="15"/>
      <c r="D959" s="15"/>
      <c r="E959" s="15"/>
      <c r="F959" s="15"/>
      <c r="G959" s="16"/>
      <c r="H959" s="16"/>
      <c r="I959" s="15"/>
      <c r="J959" s="15" t="str">
        <f t="shared" si="16"/>
        <v>yyyy-01</v>
      </c>
      <c r="K959" s="16">
        <f t="shared" si="20"/>
        <v>13417.620000000003</v>
      </c>
    </row>
    <row r="960" spans="1:11" ht="15.75" customHeight="1" x14ac:dyDescent="0.25">
      <c r="A960" s="14"/>
      <c r="C960" s="15"/>
      <c r="D960" s="15"/>
      <c r="E960" s="15"/>
      <c r="F960" s="15"/>
      <c r="G960" s="16"/>
      <c r="H960" s="16"/>
      <c r="I960" s="15"/>
      <c r="J960" s="15" t="str">
        <f t="shared" si="16"/>
        <v>yyyy-01</v>
      </c>
      <c r="K960" s="16">
        <f t="shared" si="20"/>
        <v>13417.620000000003</v>
      </c>
    </row>
    <row r="961" spans="1:11" ht="15.75" customHeight="1" x14ac:dyDescent="0.25">
      <c r="A961" s="14"/>
      <c r="C961" s="15"/>
      <c r="D961" s="15"/>
      <c r="E961" s="15"/>
      <c r="F961" s="15"/>
      <c r="G961" s="16"/>
      <c r="H961" s="16"/>
      <c r="I961" s="15"/>
      <c r="J961" s="15" t="str">
        <f t="shared" si="16"/>
        <v>yyyy-01</v>
      </c>
      <c r="K961" s="16">
        <f t="shared" si="20"/>
        <v>13417.620000000003</v>
      </c>
    </row>
    <row r="962" spans="1:11" ht="15.75" customHeight="1" x14ac:dyDescent="0.25">
      <c r="A962" s="14"/>
      <c r="C962" s="15"/>
      <c r="D962" s="15"/>
      <c r="E962" s="15"/>
      <c r="F962" s="15"/>
      <c r="G962" s="16"/>
      <c r="H962" s="16"/>
      <c r="I962" s="15"/>
      <c r="J962" s="15" t="str">
        <f t="shared" si="16"/>
        <v>yyyy-01</v>
      </c>
      <c r="K962" s="16">
        <f t="shared" si="20"/>
        <v>13417.620000000003</v>
      </c>
    </row>
    <row r="963" spans="1:11" ht="15.75" customHeight="1" x14ac:dyDescent="0.25">
      <c r="A963" s="14"/>
      <c r="C963" s="15"/>
      <c r="D963" s="15"/>
      <c r="E963" s="15"/>
      <c r="F963" s="15"/>
      <c r="G963" s="16"/>
      <c r="H963" s="16"/>
      <c r="I963" s="15"/>
      <c r="J963" s="15" t="str">
        <f t="shared" si="16"/>
        <v>yyyy-01</v>
      </c>
      <c r="K963" s="16">
        <f t="shared" si="20"/>
        <v>13417.620000000003</v>
      </c>
    </row>
    <row r="964" spans="1:11" ht="15.75" customHeight="1" x14ac:dyDescent="0.25">
      <c r="A964" s="14"/>
      <c r="C964" s="15"/>
      <c r="D964" s="15"/>
      <c r="E964" s="15"/>
      <c r="F964" s="15"/>
      <c r="G964" s="16"/>
      <c r="H964" s="16"/>
      <c r="I964" s="15"/>
      <c r="J964" s="15" t="str">
        <f t="shared" si="16"/>
        <v>yyyy-01</v>
      </c>
      <c r="K964" s="16">
        <f t="shared" si="20"/>
        <v>13417.620000000003</v>
      </c>
    </row>
    <row r="965" spans="1:11" ht="15.75" customHeight="1" x14ac:dyDescent="0.25">
      <c r="A965" s="14"/>
      <c r="C965" s="15"/>
      <c r="D965" s="15"/>
      <c r="E965" s="15"/>
      <c r="F965" s="15"/>
      <c r="G965" s="16"/>
      <c r="H965" s="16"/>
      <c r="I965" s="15"/>
      <c r="J965" s="15" t="str">
        <f t="shared" si="16"/>
        <v>yyyy-01</v>
      </c>
      <c r="K965" s="16">
        <f t="shared" si="20"/>
        <v>13417.620000000003</v>
      </c>
    </row>
    <row r="966" spans="1:11" ht="15.75" customHeight="1" x14ac:dyDescent="0.25">
      <c r="A966" s="14"/>
      <c r="C966" s="15"/>
      <c r="D966" s="15"/>
      <c r="E966" s="15"/>
      <c r="F966" s="15"/>
      <c r="G966" s="16"/>
      <c r="H966" s="16"/>
      <c r="I966" s="15"/>
      <c r="J966" s="15" t="str">
        <f t="shared" si="16"/>
        <v>yyyy-01</v>
      </c>
      <c r="K966" s="16">
        <f t="shared" si="20"/>
        <v>13417.620000000003</v>
      </c>
    </row>
    <row r="967" spans="1:11" ht="15.75" customHeight="1" x14ac:dyDescent="0.25">
      <c r="A967" s="14"/>
      <c r="C967" s="15"/>
      <c r="D967" s="15"/>
      <c r="E967" s="15"/>
      <c r="F967" s="15"/>
      <c r="G967" s="16"/>
      <c r="H967" s="16"/>
      <c r="I967" s="15"/>
      <c r="J967" s="15" t="str">
        <f t="shared" si="16"/>
        <v>yyyy-01</v>
      </c>
      <c r="K967" s="16">
        <f t="shared" si="20"/>
        <v>13417.620000000003</v>
      </c>
    </row>
    <row r="968" spans="1:11" ht="15.75" customHeight="1" x14ac:dyDescent="0.25">
      <c r="A968" s="14"/>
      <c r="C968" s="15"/>
      <c r="D968" s="15"/>
      <c r="E968" s="15"/>
      <c r="F968" s="15"/>
      <c r="G968" s="16"/>
      <c r="H968" s="16"/>
      <c r="I968" s="15"/>
      <c r="J968" s="15" t="str">
        <f t="shared" si="16"/>
        <v>yyyy-01</v>
      </c>
      <c r="K968" s="16">
        <f t="shared" si="20"/>
        <v>13417.620000000003</v>
      </c>
    </row>
    <row r="969" spans="1:11" ht="15.75" customHeight="1" x14ac:dyDescent="0.25">
      <c r="A969" s="14"/>
      <c r="C969" s="15"/>
      <c r="D969" s="15"/>
      <c r="E969" s="15"/>
      <c r="F969" s="15"/>
      <c r="G969" s="16"/>
      <c r="H969" s="16"/>
      <c r="I969" s="15"/>
      <c r="J969" s="15" t="str">
        <f t="shared" si="16"/>
        <v>yyyy-01</v>
      </c>
      <c r="K969" s="16">
        <f t="shared" si="20"/>
        <v>13417.620000000003</v>
      </c>
    </row>
    <row r="970" spans="1:11" ht="15.75" customHeight="1" x14ac:dyDescent="0.25">
      <c r="A970" s="14"/>
      <c r="C970" s="15"/>
      <c r="D970" s="15"/>
      <c r="E970" s="15"/>
      <c r="F970" s="15"/>
      <c r="G970" s="16"/>
      <c r="H970" s="16"/>
      <c r="I970" s="15"/>
      <c r="J970" s="15" t="str">
        <f t="shared" si="16"/>
        <v>yyyy-01</v>
      </c>
      <c r="K970" s="16">
        <f t="shared" si="20"/>
        <v>13417.620000000003</v>
      </c>
    </row>
    <row r="971" spans="1:11" ht="15.75" customHeight="1" x14ac:dyDescent="0.25">
      <c r="A971" s="14"/>
      <c r="C971" s="15"/>
      <c r="D971" s="15"/>
      <c r="E971" s="15"/>
      <c r="F971" s="15"/>
      <c r="G971" s="16"/>
      <c r="H971" s="16"/>
      <c r="I971" s="15"/>
      <c r="J971" s="15" t="str">
        <f t="shared" si="16"/>
        <v>yyyy-01</v>
      </c>
      <c r="K971" s="16">
        <f t="shared" si="20"/>
        <v>13417.620000000003</v>
      </c>
    </row>
    <row r="972" spans="1:11" ht="15.75" customHeight="1" x14ac:dyDescent="0.25">
      <c r="A972" s="14"/>
      <c r="C972" s="15"/>
      <c r="D972" s="15"/>
      <c r="E972" s="15"/>
      <c r="F972" s="15"/>
      <c r="G972" s="16"/>
      <c r="H972" s="16"/>
      <c r="I972" s="15"/>
      <c r="J972" s="15" t="str">
        <f t="shared" si="16"/>
        <v>yyyy-01</v>
      </c>
      <c r="K972" s="16">
        <f t="shared" si="20"/>
        <v>13417.620000000003</v>
      </c>
    </row>
    <row r="973" spans="1:11" ht="15.75" customHeight="1" x14ac:dyDescent="0.25">
      <c r="A973" s="14"/>
      <c r="C973" s="15"/>
      <c r="D973" s="15"/>
      <c r="E973" s="15"/>
      <c r="F973" s="15"/>
      <c r="G973" s="16"/>
      <c r="H973" s="16"/>
      <c r="I973" s="15"/>
      <c r="J973" s="15" t="str">
        <f t="shared" si="16"/>
        <v>yyyy-01</v>
      </c>
      <c r="K973" s="16">
        <f t="shared" si="20"/>
        <v>13417.620000000003</v>
      </c>
    </row>
    <row r="974" spans="1:11" ht="15.75" customHeight="1" x14ac:dyDescent="0.25">
      <c r="A974" s="14"/>
      <c r="C974" s="15"/>
      <c r="D974" s="15"/>
      <c r="E974" s="15"/>
      <c r="F974" s="15"/>
      <c r="G974" s="16"/>
      <c r="H974" s="16"/>
      <c r="I974" s="15"/>
      <c r="J974" s="15" t="str">
        <f t="shared" si="16"/>
        <v>yyyy-01</v>
      </c>
      <c r="K974" s="16">
        <f t="shared" si="20"/>
        <v>13417.620000000003</v>
      </c>
    </row>
    <row r="975" spans="1:11" ht="15.75" customHeight="1" x14ac:dyDescent="0.25">
      <c r="A975" s="14"/>
      <c r="C975" s="15"/>
      <c r="D975" s="15"/>
      <c r="E975" s="15"/>
      <c r="F975" s="15"/>
      <c r="G975" s="16"/>
      <c r="H975" s="16"/>
      <c r="I975" s="15"/>
      <c r="J975" s="15" t="str">
        <f t="shared" si="16"/>
        <v>yyyy-01</v>
      </c>
      <c r="K975" s="16">
        <f t="shared" si="20"/>
        <v>13417.620000000003</v>
      </c>
    </row>
    <row r="976" spans="1:11" ht="15.75" customHeight="1" x14ac:dyDescent="0.25">
      <c r="A976" s="14"/>
      <c r="C976" s="15"/>
      <c r="D976" s="15"/>
      <c r="E976" s="15"/>
      <c r="F976" s="15"/>
      <c r="G976" s="16"/>
      <c r="H976" s="16"/>
      <c r="I976" s="15"/>
      <c r="J976" s="15" t="str">
        <f t="shared" si="16"/>
        <v>yyyy-01</v>
      </c>
      <c r="K976" s="16">
        <f t="shared" si="20"/>
        <v>13417.620000000003</v>
      </c>
    </row>
    <row r="977" spans="1:11" ht="15.75" customHeight="1" x14ac:dyDescent="0.25">
      <c r="A977" s="14"/>
      <c r="C977" s="15"/>
      <c r="D977" s="15"/>
      <c r="E977" s="15"/>
      <c r="F977" s="15"/>
      <c r="G977" s="16"/>
      <c r="H977" s="16"/>
      <c r="I977" s="15"/>
      <c r="J977" s="15" t="str">
        <f t="shared" si="16"/>
        <v>yyyy-01</v>
      </c>
      <c r="K977" s="16">
        <f t="shared" si="20"/>
        <v>13417.620000000003</v>
      </c>
    </row>
    <row r="978" spans="1:11" ht="15.75" customHeight="1" x14ac:dyDescent="0.25">
      <c r="A978" s="14"/>
      <c r="C978" s="15"/>
      <c r="D978" s="15"/>
      <c r="E978" s="15"/>
      <c r="F978" s="15"/>
      <c r="G978" s="16"/>
      <c r="H978" s="16"/>
      <c r="I978" s="15"/>
      <c r="J978" s="15" t="str">
        <f t="shared" si="16"/>
        <v>yyyy-01</v>
      </c>
      <c r="K978" s="16">
        <f t="shared" si="20"/>
        <v>13417.620000000003</v>
      </c>
    </row>
    <row r="979" spans="1:11" ht="15.75" customHeight="1" x14ac:dyDescent="0.25">
      <c r="A979" s="14"/>
      <c r="C979" s="15"/>
      <c r="D979" s="15"/>
      <c r="E979" s="15"/>
      <c r="F979" s="15"/>
      <c r="G979" s="16"/>
      <c r="H979" s="16"/>
      <c r="I979" s="15"/>
      <c r="J979" s="15" t="str">
        <f t="shared" si="16"/>
        <v>yyyy-01</v>
      </c>
      <c r="K979" s="16">
        <f t="shared" si="20"/>
        <v>13417.620000000003</v>
      </c>
    </row>
    <row r="980" spans="1:11" ht="15.75" customHeight="1" x14ac:dyDescent="0.25">
      <c r="A980" s="14"/>
      <c r="C980" s="15"/>
      <c r="D980" s="15"/>
      <c r="E980" s="15"/>
      <c r="F980" s="15"/>
      <c r="G980" s="16"/>
      <c r="H980" s="16"/>
      <c r="I980" s="15"/>
      <c r="J980" s="15" t="str">
        <f t="shared" si="16"/>
        <v>yyyy-01</v>
      </c>
      <c r="K980" s="16">
        <f t="shared" si="20"/>
        <v>13417.620000000003</v>
      </c>
    </row>
    <row r="981" spans="1:11" ht="15.75" customHeight="1" x14ac:dyDescent="0.25">
      <c r="A981" s="14"/>
      <c r="C981" s="15"/>
      <c r="D981" s="15"/>
      <c r="E981" s="15"/>
      <c r="F981" s="15"/>
      <c r="G981" s="16"/>
      <c r="H981" s="16"/>
      <c r="I981" s="15"/>
      <c r="J981" s="15" t="str">
        <f t="shared" si="16"/>
        <v>yyyy-01</v>
      </c>
      <c r="K981" s="16">
        <f t="shared" si="20"/>
        <v>13417.620000000003</v>
      </c>
    </row>
    <row r="982" spans="1:11" ht="15.75" customHeight="1" x14ac:dyDescent="0.25">
      <c r="A982" s="14"/>
      <c r="C982" s="15"/>
      <c r="D982" s="15"/>
      <c r="E982" s="15"/>
      <c r="F982" s="15"/>
      <c r="G982" s="16"/>
      <c r="H982" s="16"/>
      <c r="I982" s="15"/>
      <c r="J982" s="15" t="str">
        <f t="shared" si="16"/>
        <v>yyyy-01</v>
      </c>
      <c r="K982" s="16">
        <f t="shared" si="20"/>
        <v>13417.620000000003</v>
      </c>
    </row>
    <row r="983" spans="1:11" ht="15.75" customHeight="1" x14ac:dyDescent="0.25">
      <c r="A983" s="14"/>
      <c r="C983" s="15"/>
      <c r="D983" s="15"/>
      <c r="E983" s="15"/>
      <c r="F983" s="15"/>
      <c r="G983" s="16"/>
      <c r="H983" s="16"/>
      <c r="I983" s="15"/>
      <c r="J983" s="15" t="str">
        <f t="shared" si="16"/>
        <v>yyyy-01</v>
      </c>
      <c r="K983" s="16">
        <f t="shared" si="20"/>
        <v>13417.620000000003</v>
      </c>
    </row>
    <row r="984" spans="1:11" ht="15.75" customHeight="1" x14ac:dyDescent="0.25">
      <c r="A984" s="14"/>
      <c r="C984" s="15"/>
      <c r="D984" s="15"/>
      <c r="E984" s="15"/>
      <c r="F984" s="15"/>
      <c r="G984" s="16"/>
      <c r="H984" s="16"/>
      <c r="I984" s="15"/>
      <c r="J984" s="15" t="str">
        <f t="shared" si="16"/>
        <v>yyyy-01</v>
      </c>
      <c r="K984" s="16">
        <f t="shared" si="20"/>
        <v>13417.620000000003</v>
      </c>
    </row>
    <row r="985" spans="1:11" ht="15.75" customHeight="1" x14ac:dyDescent="0.25">
      <c r="A985" s="14"/>
      <c r="C985" s="15"/>
      <c r="D985" s="15"/>
      <c r="E985" s="15"/>
      <c r="F985" s="15"/>
      <c r="G985" s="16"/>
      <c r="H985" s="16"/>
      <c r="I985" s="15"/>
      <c r="J985" s="15" t="str">
        <f t="shared" si="16"/>
        <v>yyyy-01</v>
      </c>
      <c r="K985" s="16">
        <f t="shared" si="20"/>
        <v>13417.620000000003</v>
      </c>
    </row>
    <row r="986" spans="1:11" ht="15.75" customHeight="1" x14ac:dyDescent="0.25">
      <c r="A986" s="14"/>
      <c r="C986" s="15"/>
      <c r="D986" s="15"/>
      <c r="E986" s="15"/>
      <c r="F986" s="15"/>
      <c r="G986" s="16"/>
      <c r="H986" s="16"/>
      <c r="I986" s="15"/>
      <c r="J986" s="15" t="str">
        <f t="shared" si="16"/>
        <v>yyyy-01</v>
      </c>
      <c r="K986" s="16">
        <f t="shared" si="20"/>
        <v>13417.620000000003</v>
      </c>
    </row>
    <row r="987" spans="1:11" ht="15.75" customHeight="1" x14ac:dyDescent="0.25">
      <c r="A987" s="14"/>
      <c r="C987" s="15"/>
      <c r="D987" s="15"/>
      <c r="E987" s="15"/>
      <c r="F987" s="15"/>
      <c r="G987" s="16"/>
      <c r="H987" s="16"/>
      <c r="I987" s="15"/>
      <c r="J987" s="15" t="str">
        <f t="shared" si="16"/>
        <v>yyyy-01</v>
      </c>
      <c r="K987" s="16">
        <f t="shared" si="20"/>
        <v>13417.620000000003</v>
      </c>
    </row>
    <row r="988" spans="1:11" ht="15.75" customHeight="1" x14ac:dyDescent="0.25">
      <c r="A988" s="14"/>
      <c r="C988" s="15"/>
      <c r="D988" s="15"/>
      <c r="E988" s="15"/>
      <c r="F988" s="15"/>
      <c r="G988" s="16"/>
      <c r="H988" s="16"/>
      <c r="I988" s="15"/>
      <c r="J988" s="15" t="str">
        <f t="shared" ref="J988:J995" si="21">TEXT(A988,"yyyy-mm")</f>
        <v>yyyy-01</v>
      </c>
      <c r="K988" s="16">
        <f t="shared" si="20"/>
        <v>13417.620000000003</v>
      </c>
    </row>
    <row r="989" spans="1:11" ht="15.75" customHeight="1" x14ac:dyDescent="0.25">
      <c r="A989" s="14"/>
      <c r="C989" s="15"/>
      <c r="D989" s="15"/>
      <c r="E989" s="15"/>
      <c r="F989" s="15"/>
      <c r="G989" s="16"/>
      <c r="H989" s="16"/>
      <c r="I989" s="15"/>
      <c r="J989" s="15" t="str">
        <f t="shared" si="21"/>
        <v>yyyy-01</v>
      </c>
      <c r="K989" s="16">
        <f t="shared" si="20"/>
        <v>13417.620000000003</v>
      </c>
    </row>
    <row r="990" spans="1:11" ht="15.75" customHeight="1" x14ac:dyDescent="0.25">
      <c r="A990" s="14"/>
      <c r="C990" s="15"/>
      <c r="D990" s="15"/>
      <c r="E990" s="15"/>
      <c r="F990" s="15"/>
      <c r="G990" s="16"/>
      <c r="H990" s="16"/>
      <c r="I990" s="15"/>
      <c r="J990" s="15" t="str">
        <f t="shared" si="21"/>
        <v>yyyy-01</v>
      </c>
      <c r="K990" s="16">
        <f t="shared" si="20"/>
        <v>13417.620000000003</v>
      </c>
    </row>
    <row r="991" spans="1:11" ht="15.75" customHeight="1" x14ac:dyDescent="0.25">
      <c r="A991" s="14"/>
      <c r="C991" s="15"/>
      <c r="D991" s="15"/>
      <c r="E991" s="15"/>
      <c r="F991" s="15"/>
      <c r="G991" s="16"/>
      <c r="H991" s="16"/>
      <c r="I991" s="15"/>
      <c r="J991" s="15" t="str">
        <f t="shared" si="21"/>
        <v>yyyy-01</v>
      </c>
      <c r="K991" s="16">
        <f t="shared" ref="K991:K995" si="22">K990 + IF(C991="Entrada", G991, -G991)</f>
        <v>13417.620000000003</v>
      </c>
    </row>
    <row r="992" spans="1:11" ht="15.75" customHeight="1" x14ac:dyDescent="0.25">
      <c r="A992" s="14"/>
      <c r="C992" s="15"/>
      <c r="D992" s="15"/>
      <c r="E992" s="15"/>
      <c r="F992" s="15"/>
      <c r="G992" s="16"/>
      <c r="H992" s="16"/>
      <c r="I992" s="15"/>
      <c r="J992" s="15" t="str">
        <f t="shared" si="21"/>
        <v>yyyy-01</v>
      </c>
      <c r="K992" s="16">
        <f t="shared" si="22"/>
        <v>13417.620000000003</v>
      </c>
    </row>
    <row r="993" spans="1:11" ht="15.75" customHeight="1" x14ac:dyDescent="0.25">
      <c r="A993" s="14"/>
      <c r="C993" s="15"/>
      <c r="D993" s="15"/>
      <c r="E993" s="15"/>
      <c r="F993" s="15"/>
      <c r="G993" s="16"/>
      <c r="H993" s="16"/>
      <c r="I993" s="15"/>
      <c r="J993" s="15" t="str">
        <f t="shared" si="21"/>
        <v>yyyy-01</v>
      </c>
      <c r="K993" s="16">
        <f t="shared" si="22"/>
        <v>13417.620000000003</v>
      </c>
    </row>
    <row r="994" spans="1:11" ht="15.75" customHeight="1" x14ac:dyDescent="0.25">
      <c r="A994" s="14"/>
      <c r="C994" s="15"/>
      <c r="D994" s="15"/>
      <c r="E994" s="15"/>
      <c r="F994" s="15"/>
      <c r="G994" s="16"/>
      <c r="H994" s="16"/>
      <c r="I994" s="15"/>
      <c r="J994" s="15" t="str">
        <f t="shared" si="21"/>
        <v>yyyy-01</v>
      </c>
      <c r="K994" s="16">
        <f t="shared" si="22"/>
        <v>13417.620000000003</v>
      </c>
    </row>
    <row r="995" spans="1:11" ht="15.75" customHeight="1" x14ac:dyDescent="0.25">
      <c r="A995" s="14"/>
      <c r="C995" s="15"/>
      <c r="D995" s="15"/>
      <c r="E995" s="15"/>
      <c r="F995" s="15"/>
      <c r="G995" s="16"/>
      <c r="H995" s="16"/>
      <c r="I995" s="15"/>
      <c r="J995" s="15" t="str">
        <f t="shared" si="21"/>
        <v>yyyy-01</v>
      </c>
      <c r="K995" s="16">
        <f t="shared" si="22"/>
        <v>13417.620000000003</v>
      </c>
    </row>
  </sheetData>
  <autoFilter ref="A2:K995" xr:uid="{00000000-0009-0000-0000-000000000000}"/>
  <dataValidations count="5">
    <dataValidation type="list" allowBlank="1" showErrorMessage="1" sqref="E3:E182 E223:E244" xr:uid="{F750032C-BA21-4ABF-90B8-7BAD8ED045EF}">
      <formula1>"Caixa,Banco Principal"</formula1>
    </dataValidation>
    <dataValidation type="list" allowBlank="1" showErrorMessage="1" sqref="F3:F182 F223:F244" xr:uid="{EC12BE78-EE76-4CA6-BD20-3FE89B0DBEAC}">
      <formula1>"Pix,Dinheiro,Débito,Crédito"</formula1>
    </dataValidation>
    <dataValidation type="list" allowBlank="1" showErrorMessage="1" sqref="D147" xr:uid="{DC287542-B5B8-4121-BD03-2AFDD7F89EC3}">
      <formula1>"Vendas,Vendas iFood,Matéria Prima,CustoFixo,iFood,Papelaria,Frete,Mat Consumo,Salário,Freelancer,Impostos,Contabilidade,Marketing,Demissão,Royalt,Cartao de Credito,Caixa_mes_anterior,Manutenção,Tortelli,Celso"</formula1>
    </dataValidation>
    <dataValidation type="list" allowBlank="1" showErrorMessage="1" sqref="D3:D146 D148:D182 D223:D244" xr:uid="{B0D73C12-9A14-4BC2-9690-BE2D13743486}">
      <formula1>"Vendas,Vendas iFood,Matéria Prima,CustoFixo,iFood,Papelaria,Frete,Mat Consumo,Salário,Freelancer,Impostos,Contabilidade,Marketing,Demissão,Royalt,Cartao de Credito,Caixa_mes_anterior,Tortelli,Celso,Manutenção"</formula1>
    </dataValidation>
    <dataValidation type="list" allowBlank="1" showInputMessage="1" showErrorMessage="1" prompt="Clique e digite um valor da lista de itens" sqref="C3:C182 C223:C995" xr:uid="{BF313107-8872-44CA-AE2A-2D5707BFCD51}">
      <formula1>"Entrada,Saída"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38D1E-1B11-4C8B-99DE-366FBBCDECD9}">
  <dimension ref="A1:L1043"/>
  <sheetViews>
    <sheetView workbookViewId="0">
      <selection activeCell="B3" sqref="B3"/>
    </sheetView>
  </sheetViews>
  <sheetFormatPr defaultColWidth="14.42578125" defaultRowHeight="15" customHeight="1" x14ac:dyDescent="0.25"/>
  <cols>
    <col min="1" max="1" width="17" customWidth="1"/>
    <col min="2" max="3" width="18" customWidth="1"/>
    <col min="4" max="4" width="16" customWidth="1"/>
    <col min="5" max="5" width="7.140625" customWidth="1"/>
    <col min="6" max="6" width="8.7109375" customWidth="1"/>
    <col min="7" max="7" width="16.140625" customWidth="1"/>
    <col min="8" max="8" width="15.28515625" customWidth="1"/>
    <col min="9" max="9" width="13.42578125" customWidth="1"/>
    <col min="10" max="10" width="12.42578125" customWidth="1"/>
    <col min="11" max="11" width="14.85546875" customWidth="1"/>
    <col min="12" max="12" width="15.7109375" customWidth="1"/>
    <col min="13" max="26" width="8.7109375" customWidth="1"/>
  </cols>
  <sheetData>
    <row r="1" spans="1:10" ht="18.75" x14ac:dyDescent="0.3">
      <c r="A1" s="109" t="s">
        <v>46</v>
      </c>
      <c r="B1" s="110"/>
      <c r="C1" s="110"/>
      <c r="D1" s="111"/>
    </row>
    <row r="3" spans="1:10" x14ac:dyDescent="0.25">
      <c r="A3" s="19" t="s">
        <v>47</v>
      </c>
      <c r="B3" s="10">
        <f>SUMIF(Lançamentos!C:C,"Entrada",Lançamentos!G:G)</f>
        <v>76707</v>
      </c>
    </row>
    <row r="4" spans="1:10" x14ac:dyDescent="0.25">
      <c r="A4" s="19" t="s">
        <v>48</v>
      </c>
      <c r="B4" s="10">
        <f>SUMIF(Lançamentos!C:C,"Saída",Lançamentos!G:G)</f>
        <v>61836.2</v>
      </c>
    </row>
    <row r="5" spans="1:10" x14ac:dyDescent="0.25">
      <c r="A5" s="19" t="s">
        <v>49</v>
      </c>
      <c r="B5" s="10">
        <f>B3-B4</f>
        <v>14870.800000000003</v>
      </c>
    </row>
    <row r="7" spans="1:10" x14ac:dyDescent="0.25">
      <c r="A7" s="20" t="s">
        <v>9</v>
      </c>
      <c r="B7" s="20" t="s">
        <v>50</v>
      </c>
      <c r="C7" s="20" t="s">
        <v>51</v>
      </c>
      <c r="D7" s="20" t="s">
        <v>52</v>
      </c>
      <c r="E7" s="106" t="s">
        <v>53</v>
      </c>
      <c r="G7" s="21"/>
      <c r="H7" s="21"/>
      <c r="I7" s="21"/>
      <c r="J7" s="21"/>
    </row>
    <row r="8" spans="1:10" x14ac:dyDescent="0.25">
      <c r="A8" s="22" t="s">
        <v>54</v>
      </c>
      <c r="B8" s="23">
        <v>133749.59000000003</v>
      </c>
      <c r="C8" s="23">
        <v>99338.319999999978</v>
      </c>
      <c r="D8" s="23">
        <v>34411.270000000048</v>
      </c>
      <c r="E8" s="107"/>
      <c r="H8" s="24"/>
      <c r="I8" s="24"/>
      <c r="J8" s="24"/>
    </row>
    <row r="9" spans="1:10" x14ac:dyDescent="0.25">
      <c r="A9" s="25" t="s">
        <v>13</v>
      </c>
      <c r="B9" s="26">
        <v>128337.2</v>
      </c>
      <c r="C9" s="26"/>
      <c r="D9" s="26"/>
      <c r="E9" s="107"/>
      <c r="H9" s="24"/>
      <c r="I9" s="24"/>
      <c r="J9" s="24"/>
    </row>
    <row r="10" spans="1:10" x14ac:dyDescent="0.25">
      <c r="A10" s="22" t="s">
        <v>55</v>
      </c>
      <c r="B10" s="23">
        <v>5470.7900000000009</v>
      </c>
      <c r="C10" s="23"/>
      <c r="D10" s="23"/>
      <c r="E10" s="107"/>
      <c r="H10" s="24"/>
      <c r="I10" s="24"/>
      <c r="J10" s="24"/>
    </row>
    <row r="11" spans="1:10" x14ac:dyDescent="0.25">
      <c r="A11" s="25" t="s">
        <v>56</v>
      </c>
      <c r="B11" s="26"/>
      <c r="C11" s="26">
        <v>20849.989999999998</v>
      </c>
      <c r="D11" s="26"/>
      <c r="E11" s="107"/>
      <c r="H11" s="24"/>
      <c r="I11" s="24"/>
      <c r="J11" s="24"/>
    </row>
    <row r="12" spans="1:10" x14ac:dyDescent="0.25">
      <c r="A12" s="22" t="s">
        <v>57</v>
      </c>
      <c r="B12" s="23"/>
      <c r="C12" s="23">
        <v>10960.75</v>
      </c>
      <c r="D12" s="23"/>
      <c r="E12" s="107"/>
      <c r="H12" s="24"/>
      <c r="I12" s="24"/>
      <c r="J12" s="24"/>
    </row>
    <row r="13" spans="1:10" x14ac:dyDescent="0.25">
      <c r="A13" s="25" t="s">
        <v>58</v>
      </c>
      <c r="B13" s="26"/>
      <c r="C13" s="26">
        <v>13106.57</v>
      </c>
      <c r="D13" s="26"/>
      <c r="E13" s="107"/>
      <c r="H13" s="24"/>
      <c r="I13" s="24"/>
      <c r="J13" s="24"/>
    </row>
    <row r="14" spans="1:10" x14ac:dyDescent="0.25">
      <c r="A14" s="22" t="s">
        <v>59</v>
      </c>
      <c r="B14" s="23"/>
      <c r="C14" s="23">
        <v>32119.400000000005</v>
      </c>
      <c r="D14" s="23"/>
      <c r="E14" s="107"/>
      <c r="H14" s="24"/>
      <c r="I14" s="24"/>
      <c r="J14" s="24"/>
    </row>
    <row r="15" spans="1:10" x14ac:dyDescent="0.25">
      <c r="A15" s="25" t="s">
        <v>60</v>
      </c>
      <c r="B15" s="26"/>
      <c r="C15" s="26">
        <v>736.5200000000001</v>
      </c>
      <c r="D15" s="26"/>
      <c r="E15" s="107"/>
      <c r="H15" s="24"/>
      <c r="I15" s="24"/>
      <c r="J15" s="24"/>
    </row>
    <row r="16" spans="1:10" x14ac:dyDescent="0.25">
      <c r="A16" s="22" t="s">
        <v>61</v>
      </c>
      <c r="B16" s="23"/>
      <c r="C16" s="23">
        <v>4478.1899999999996</v>
      </c>
      <c r="D16" s="23"/>
      <c r="E16" s="107"/>
      <c r="H16" s="24"/>
      <c r="I16" s="24"/>
      <c r="J16" s="24"/>
    </row>
    <row r="17" spans="1:10" x14ac:dyDescent="0.25">
      <c r="A17" s="25" t="s">
        <v>62</v>
      </c>
      <c r="B17" s="26"/>
      <c r="C17" s="26">
        <v>4744.17</v>
      </c>
      <c r="D17" s="26"/>
      <c r="E17" s="107"/>
      <c r="H17" s="24"/>
      <c r="I17" s="24"/>
      <c r="J17" s="24"/>
    </row>
    <row r="18" spans="1:10" x14ac:dyDescent="0.25">
      <c r="A18" s="22" t="s">
        <v>63</v>
      </c>
      <c r="B18" s="23"/>
      <c r="C18" s="23">
        <v>880</v>
      </c>
      <c r="D18" s="23"/>
      <c r="E18" s="107"/>
      <c r="H18" s="24"/>
      <c r="I18" s="24"/>
      <c r="J18" s="24"/>
    </row>
    <row r="19" spans="1:10" x14ac:dyDescent="0.25">
      <c r="A19" s="25" t="s">
        <v>64</v>
      </c>
      <c r="B19" s="26"/>
      <c r="C19" s="26">
        <v>730</v>
      </c>
      <c r="D19" s="26"/>
      <c r="E19" s="107"/>
      <c r="H19" s="24"/>
      <c r="I19" s="24"/>
      <c r="J19" s="24"/>
    </row>
    <row r="20" spans="1:10" x14ac:dyDescent="0.25">
      <c r="A20" s="22" t="s">
        <v>65</v>
      </c>
      <c r="B20" s="23"/>
      <c r="C20" s="23">
        <v>3260.25</v>
      </c>
      <c r="D20" s="23"/>
      <c r="E20" s="107"/>
      <c r="H20" s="24"/>
      <c r="I20" s="24"/>
      <c r="J20" s="24"/>
    </row>
    <row r="21" spans="1:10" x14ac:dyDescent="0.25">
      <c r="A21" s="25" t="s">
        <v>66</v>
      </c>
      <c r="B21" s="26"/>
      <c r="C21" s="26">
        <v>7726.31</v>
      </c>
      <c r="D21" s="26"/>
      <c r="E21" s="107"/>
      <c r="H21" s="24"/>
      <c r="I21" s="24"/>
      <c r="J21" s="24"/>
    </row>
    <row r="22" spans="1:10" x14ac:dyDescent="0.25">
      <c r="A22" s="22" t="s">
        <v>67</v>
      </c>
      <c r="B22" s="23"/>
      <c r="C22" s="23">
        <v>3.5</v>
      </c>
      <c r="D22" s="23"/>
      <c r="E22" s="107"/>
      <c r="H22" s="24"/>
      <c r="I22" s="24"/>
      <c r="J22" s="24"/>
    </row>
    <row r="23" spans="1:10" x14ac:dyDescent="0.25">
      <c r="A23" s="25" t="s">
        <v>33</v>
      </c>
      <c r="B23" s="26"/>
      <c r="C23" s="26">
        <v>1243.5</v>
      </c>
      <c r="D23" s="26"/>
      <c r="E23" s="107"/>
      <c r="H23" s="24"/>
      <c r="I23" s="24"/>
      <c r="J23" s="24"/>
    </row>
    <row r="24" spans="1:10" x14ac:dyDescent="0.25">
      <c r="A24" s="22" t="s">
        <v>68</v>
      </c>
      <c r="B24" s="23"/>
      <c r="C24" s="23">
        <v>2000</v>
      </c>
      <c r="D24" s="23"/>
      <c r="E24" s="107"/>
      <c r="H24" s="24"/>
      <c r="I24" s="24"/>
      <c r="J24" s="24"/>
    </row>
    <row r="25" spans="1:10" x14ac:dyDescent="0.25">
      <c r="A25" s="25" t="s">
        <v>69</v>
      </c>
      <c r="B25" s="26">
        <v>133807.99</v>
      </c>
      <c r="C25" s="26">
        <v>102839.15000000001</v>
      </c>
      <c r="D25" s="26"/>
      <c r="E25" s="108"/>
      <c r="H25" s="24"/>
      <c r="I25" s="24"/>
      <c r="J25" s="24"/>
    </row>
    <row r="26" spans="1:10" x14ac:dyDescent="0.25">
      <c r="B26" s="27"/>
      <c r="C26" s="27"/>
      <c r="D26" s="27"/>
    </row>
    <row r="27" spans="1:10" x14ac:dyDescent="0.25">
      <c r="A27" s="20" t="s">
        <v>9</v>
      </c>
      <c r="B27" s="20" t="s">
        <v>50</v>
      </c>
      <c r="C27" s="20" t="s">
        <v>51</v>
      </c>
      <c r="D27" s="20" t="s">
        <v>52</v>
      </c>
      <c r="E27" s="106" t="s">
        <v>70</v>
      </c>
    </row>
    <row r="28" spans="1:10" x14ac:dyDescent="0.25">
      <c r="A28" s="5" t="s">
        <v>71</v>
      </c>
      <c r="B28" s="26">
        <v>178658.54</v>
      </c>
      <c r="C28" s="26">
        <v>118968.96000000002</v>
      </c>
      <c r="D28" s="26">
        <v>59689.579999999987</v>
      </c>
      <c r="E28" s="107"/>
      <c r="G28" s="24"/>
      <c r="H28" s="24"/>
      <c r="I28" s="24"/>
    </row>
    <row r="29" spans="1:10" x14ac:dyDescent="0.25">
      <c r="A29" s="28" t="s">
        <v>13</v>
      </c>
      <c r="B29" s="29">
        <v>150151.28999999998</v>
      </c>
      <c r="C29" s="29"/>
      <c r="D29" s="29"/>
      <c r="E29" s="107"/>
      <c r="G29" s="24"/>
      <c r="H29" s="24"/>
      <c r="I29" s="24"/>
    </row>
    <row r="30" spans="1:10" x14ac:dyDescent="0.25">
      <c r="A30" s="30" t="s">
        <v>55</v>
      </c>
      <c r="B30" s="26">
        <v>4338.7999999999993</v>
      </c>
      <c r="C30" s="26"/>
      <c r="D30" s="26"/>
      <c r="E30" s="107"/>
      <c r="G30" s="24"/>
      <c r="H30" s="24"/>
      <c r="I30" s="24"/>
    </row>
    <row r="31" spans="1:10" x14ac:dyDescent="0.25">
      <c r="A31" s="28" t="s">
        <v>56</v>
      </c>
      <c r="B31" s="29"/>
      <c r="C31" s="29">
        <v>26328.019999999997</v>
      </c>
      <c r="D31" s="29"/>
      <c r="E31" s="107"/>
      <c r="G31" s="24"/>
      <c r="H31" s="24"/>
      <c r="I31" s="24"/>
    </row>
    <row r="32" spans="1:10" x14ac:dyDescent="0.25">
      <c r="A32" s="30" t="s">
        <v>57</v>
      </c>
      <c r="B32" s="26"/>
      <c r="C32" s="26">
        <v>15407.56</v>
      </c>
      <c r="D32" s="26"/>
      <c r="E32" s="107"/>
      <c r="G32" s="24"/>
      <c r="H32" s="24"/>
      <c r="I32" s="24"/>
    </row>
    <row r="33" spans="1:9" x14ac:dyDescent="0.25">
      <c r="A33" s="28" t="s">
        <v>58</v>
      </c>
      <c r="B33" s="29"/>
      <c r="C33" s="29">
        <v>14160.93</v>
      </c>
      <c r="D33" s="29"/>
      <c r="E33" s="107"/>
      <c r="G33" s="24"/>
      <c r="H33" s="24"/>
      <c r="I33" s="24"/>
    </row>
    <row r="34" spans="1:9" x14ac:dyDescent="0.25">
      <c r="A34" s="30" t="s">
        <v>59</v>
      </c>
      <c r="B34" s="26"/>
      <c r="C34" s="26">
        <v>47686.139999999992</v>
      </c>
      <c r="D34" s="26"/>
      <c r="E34" s="107"/>
      <c r="G34" s="24"/>
      <c r="H34" s="24"/>
      <c r="I34" s="24"/>
    </row>
    <row r="35" spans="1:9" x14ac:dyDescent="0.25">
      <c r="A35" s="28" t="s">
        <v>60</v>
      </c>
      <c r="B35" s="29"/>
      <c r="C35" s="29">
        <v>0</v>
      </c>
      <c r="D35" s="29"/>
      <c r="E35" s="107"/>
      <c r="G35" s="24"/>
      <c r="H35" s="24"/>
      <c r="I35" s="24"/>
    </row>
    <row r="36" spans="1:9" x14ac:dyDescent="0.25">
      <c r="A36" s="30" t="s">
        <v>61</v>
      </c>
      <c r="B36" s="26"/>
      <c r="C36" s="26">
        <v>3898.85</v>
      </c>
      <c r="D36" s="26"/>
      <c r="E36" s="107"/>
      <c r="G36" s="24"/>
      <c r="H36" s="24"/>
      <c r="I36" s="24"/>
    </row>
    <row r="37" spans="1:9" x14ac:dyDescent="0.25">
      <c r="A37" s="28" t="s">
        <v>62</v>
      </c>
      <c r="B37" s="29"/>
      <c r="C37" s="29">
        <v>387.65</v>
      </c>
      <c r="D37" s="29"/>
      <c r="E37" s="107"/>
      <c r="G37" s="24"/>
      <c r="H37" s="24"/>
      <c r="I37" s="24"/>
    </row>
    <row r="38" spans="1:9" x14ac:dyDescent="0.25">
      <c r="A38" s="30" t="s">
        <v>63</v>
      </c>
      <c r="B38" s="26"/>
      <c r="C38" s="26">
        <v>724</v>
      </c>
      <c r="D38" s="26"/>
      <c r="E38" s="107"/>
      <c r="G38" s="24"/>
      <c r="H38" s="24"/>
      <c r="I38" s="24"/>
    </row>
    <row r="39" spans="1:9" x14ac:dyDescent="0.25">
      <c r="A39" s="28" t="s">
        <v>64</v>
      </c>
      <c r="B39" s="29"/>
      <c r="C39" s="29">
        <v>1166.74</v>
      </c>
      <c r="D39" s="29"/>
      <c r="E39" s="107"/>
      <c r="G39" s="24"/>
      <c r="H39" s="24"/>
      <c r="I39" s="24"/>
    </row>
    <row r="40" spans="1:9" x14ac:dyDescent="0.25">
      <c r="A40" s="30" t="s">
        <v>65</v>
      </c>
      <c r="B40" s="26"/>
      <c r="C40" s="26">
        <v>0</v>
      </c>
      <c r="D40" s="26"/>
      <c r="E40" s="107"/>
      <c r="G40" s="24"/>
      <c r="H40" s="24"/>
      <c r="I40" s="24"/>
    </row>
    <row r="41" spans="1:9" x14ac:dyDescent="0.25">
      <c r="A41" s="28" t="s">
        <v>66</v>
      </c>
      <c r="B41" s="29"/>
      <c r="C41" s="29">
        <v>8013.92</v>
      </c>
      <c r="D41" s="29"/>
      <c r="E41" s="107"/>
      <c r="G41" s="24"/>
      <c r="H41" s="24"/>
      <c r="I41" s="24"/>
    </row>
    <row r="42" spans="1:9" x14ac:dyDescent="0.25">
      <c r="A42" s="30" t="s">
        <v>67</v>
      </c>
      <c r="B42" s="26"/>
      <c r="C42" s="26">
        <v>0</v>
      </c>
      <c r="D42" s="26"/>
      <c r="E42" s="107"/>
      <c r="G42" s="24"/>
      <c r="H42" s="24"/>
      <c r="I42" s="24"/>
    </row>
    <row r="43" spans="1:9" x14ac:dyDescent="0.25">
      <c r="A43" s="28" t="s">
        <v>16</v>
      </c>
      <c r="B43" s="29"/>
      <c r="C43" s="29">
        <v>13185</v>
      </c>
      <c r="D43" s="29"/>
      <c r="E43" s="107"/>
      <c r="G43" s="24"/>
      <c r="H43" s="24"/>
      <c r="I43" s="24"/>
    </row>
    <row r="44" spans="1:9" x14ac:dyDescent="0.25">
      <c r="A44" s="30" t="s">
        <v>33</v>
      </c>
      <c r="B44" s="26"/>
      <c r="C44" s="26">
        <v>1091</v>
      </c>
      <c r="D44" s="26"/>
      <c r="E44" s="107"/>
      <c r="G44" s="24"/>
      <c r="H44" s="24"/>
      <c r="I44" s="24"/>
    </row>
    <row r="45" spans="1:9" x14ac:dyDescent="0.25">
      <c r="A45" s="28" t="s">
        <v>68</v>
      </c>
      <c r="B45" s="29"/>
      <c r="C45" s="29">
        <v>2650</v>
      </c>
      <c r="D45" s="29"/>
      <c r="E45" s="107"/>
      <c r="G45" s="24"/>
      <c r="H45" s="24"/>
      <c r="I45" s="24"/>
    </row>
    <row r="46" spans="1:9" x14ac:dyDescent="0.25">
      <c r="A46" s="31" t="s">
        <v>69</v>
      </c>
      <c r="B46" s="32">
        <f t="shared" ref="B46:C46" si="0">SUM(B29:B45)</f>
        <v>154490.08999999997</v>
      </c>
      <c r="C46" s="32">
        <f t="shared" si="0"/>
        <v>134699.81</v>
      </c>
      <c r="D46" s="32"/>
      <c r="E46" s="108"/>
    </row>
    <row r="47" spans="1:9" x14ac:dyDescent="0.25">
      <c r="B47" s="27"/>
      <c r="C47" s="27"/>
      <c r="D47" s="27"/>
    </row>
    <row r="48" spans="1:9" x14ac:dyDescent="0.25">
      <c r="A48" s="20" t="s">
        <v>9</v>
      </c>
      <c r="B48" s="20" t="s">
        <v>50</v>
      </c>
      <c r="C48" s="20" t="s">
        <v>51</v>
      </c>
      <c r="D48" s="20" t="s">
        <v>52</v>
      </c>
      <c r="E48" s="106" t="s">
        <v>72</v>
      </c>
    </row>
    <row r="49" spans="1:10" x14ac:dyDescent="0.25">
      <c r="A49" s="33">
        <v>46023</v>
      </c>
      <c r="B49" s="7">
        <f>SUMIFS(Lançamentos!G:G,Lançamentos!C:C,"Entrada",Lançamentos!J:J,A49)</f>
        <v>0</v>
      </c>
      <c r="C49" s="7">
        <f>SUMIFS(Lançamentos!G:G,Lançamentos!C:C,"Saída",Lançamentos!J:J,A49)</f>
        <v>0</v>
      </c>
      <c r="D49" s="7">
        <f>B49-C49</f>
        <v>0</v>
      </c>
      <c r="E49" s="107"/>
    </row>
    <row r="50" spans="1:10" x14ac:dyDescent="0.25">
      <c r="A50" s="34" t="s">
        <v>13</v>
      </c>
      <c r="B50" s="35">
        <f>171115.5-5836</f>
        <v>165279.5</v>
      </c>
      <c r="C50" s="35"/>
      <c r="D50" s="36"/>
      <c r="E50" s="107"/>
      <c r="H50" s="24"/>
      <c r="I50" s="24"/>
      <c r="J50" s="24"/>
    </row>
    <row r="51" spans="1:10" x14ac:dyDescent="0.25">
      <c r="A51" s="30" t="s">
        <v>55</v>
      </c>
      <c r="B51" s="26">
        <f>4818.6-387.11</f>
        <v>4431.4900000000007</v>
      </c>
      <c r="C51" s="26"/>
      <c r="D51" s="37"/>
      <c r="E51" s="107"/>
      <c r="H51" s="24"/>
      <c r="I51" s="24"/>
      <c r="J51" s="24"/>
    </row>
    <row r="52" spans="1:10" x14ac:dyDescent="0.25">
      <c r="A52" s="34" t="s">
        <v>56</v>
      </c>
      <c r="B52" s="35"/>
      <c r="C52" s="35">
        <v>18632.36</v>
      </c>
      <c r="D52" s="38"/>
      <c r="E52" s="107"/>
      <c r="H52" s="24"/>
      <c r="I52" s="24"/>
      <c r="J52" s="24"/>
    </row>
    <row r="53" spans="1:10" x14ac:dyDescent="0.25">
      <c r="A53" s="30" t="s">
        <v>57</v>
      </c>
      <c r="B53" s="26"/>
      <c r="C53" s="26">
        <v>15132.1</v>
      </c>
      <c r="D53" s="37"/>
      <c r="E53" s="107"/>
      <c r="H53" s="24"/>
      <c r="I53" s="24"/>
      <c r="J53" s="24"/>
    </row>
    <row r="54" spans="1:10" x14ac:dyDescent="0.25">
      <c r="A54" s="34" t="s">
        <v>58</v>
      </c>
      <c r="B54" s="35"/>
      <c r="C54" s="35">
        <v>19998.870000000003</v>
      </c>
      <c r="D54" s="38"/>
      <c r="E54" s="107"/>
      <c r="H54" s="24"/>
      <c r="I54" s="24"/>
      <c r="J54" s="24"/>
    </row>
    <row r="55" spans="1:10" x14ac:dyDescent="0.25">
      <c r="A55" s="30" t="s">
        <v>59</v>
      </c>
      <c r="B55" s="26"/>
      <c r="C55" s="26">
        <v>46256.520000000004</v>
      </c>
      <c r="D55" s="37"/>
      <c r="E55" s="107"/>
      <c r="H55" s="24"/>
      <c r="I55" s="24"/>
      <c r="J55" s="24"/>
    </row>
    <row r="56" spans="1:10" x14ac:dyDescent="0.25">
      <c r="A56" s="34" t="s">
        <v>60</v>
      </c>
      <c r="B56" s="35"/>
      <c r="C56" s="35">
        <v>523.17999999999995</v>
      </c>
      <c r="D56" s="38"/>
      <c r="E56" s="107"/>
      <c r="H56" s="24"/>
      <c r="I56" s="24"/>
      <c r="J56" s="24"/>
    </row>
    <row r="57" spans="1:10" x14ac:dyDescent="0.25">
      <c r="A57" s="30" t="s">
        <v>61</v>
      </c>
      <c r="B57" s="26"/>
      <c r="C57" s="26">
        <v>5371.8</v>
      </c>
      <c r="D57" s="37"/>
      <c r="E57" s="107"/>
      <c r="H57" s="24"/>
      <c r="I57" s="24"/>
      <c r="J57" s="24"/>
    </row>
    <row r="58" spans="1:10" x14ac:dyDescent="0.25">
      <c r="A58" s="34" t="s">
        <v>62</v>
      </c>
      <c r="B58" s="35"/>
      <c r="C58" s="35">
        <v>5378.68</v>
      </c>
      <c r="D58" s="38"/>
      <c r="E58" s="107"/>
      <c r="H58" s="24"/>
      <c r="I58" s="24"/>
      <c r="J58" s="24"/>
    </row>
    <row r="59" spans="1:10" ht="15.75" customHeight="1" x14ac:dyDescent="0.25">
      <c r="A59" s="30" t="s">
        <v>63</v>
      </c>
      <c r="B59" s="26"/>
      <c r="C59" s="26">
        <f>785-54</f>
        <v>731</v>
      </c>
      <c r="D59" s="37"/>
      <c r="E59" s="107"/>
      <c r="H59" s="24"/>
      <c r="I59" s="24"/>
      <c r="J59" s="24"/>
    </row>
    <row r="60" spans="1:10" ht="15.75" customHeight="1" x14ac:dyDescent="0.25">
      <c r="A60" s="34" t="s">
        <v>64</v>
      </c>
      <c r="B60" s="35"/>
      <c r="C60" s="35">
        <v>45</v>
      </c>
      <c r="D60" s="38"/>
      <c r="E60" s="107"/>
      <c r="H60" s="24"/>
      <c r="I60" s="24"/>
      <c r="J60" s="24"/>
    </row>
    <row r="61" spans="1:10" ht="15.75" customHeight="1" x14ac:dyDescent="0.25">
      <c r="A61" s="30" t="s">
        <v>65</v>
      </c>
      <c r="B61" s="26"/>
      <c r="C61" s="26">
        <v>554.46</v>
      </c>
      <c r="D61" s="37"/>
      <c r="E61" s="107"/>
      <c r="H61" s="24"/>
      <c r="I61" s="24"/>
      <c r="J61" s="24"/>
    </row>
    <row r="62" spans="1:10" ht="15.75" customHeight="1" x14ac:dyDescent="0.25">
      <c r="A62" s="34" t="s">
        <v>66</v>
      </c>
      <c r="B62" s="35"/>
      <c r="C62" s="35">
        <v>9629.0499999999993</v>
      </c>
      <c r="D62" s="38"/>
      <c r="E62" s="107"/>
      <c r="H62" s="24"/>
      <c r="I62" s="24"/>
      <c r="J62" s="24"/>
    </row>
    <row r="63" spans="1:10" ht="15.75" customHeight="1" x14ac:dyDescent="0.25">
      <c r="A63" s="30" t="s">
        <v>67</v>
      </c>
      <c r="B63" s="26"/>
      <c r="C63" s="26">
        <v>0</v>
      </c>
      <c r="D63" s="37"/>
      <c r="E63" s="107"/>
      <c r="H63" s="24"/>
      <c r="I63" s="24"/>
      <c r="J63" s="24"/>
    </row>
    <row r="64" spans="1:10" ht="15.75" customHeight="1" x14ac:dyDescent="0.25">
      <c r="A64" s="34" t="s">
        <v>16</v>
      </c>
      <c r="B64" s="35"/>
      <c r="C64" s="35">
        <v>13185</v>
      </c>
      <c r="D64" s="38"/>
      <c r="E64" s="107"/>
      <c r="H64" s="24"/>
      <c r="I64" s="24"/>
      <c r="J64" s="24"/>
    </row>
    <row r="65" spans="1:10" ht="15.75" customHeight="1" x14ac:dyDescent="0.25">
      <c r="A65" s="30" t="s">
        <v>33</v>
      </c>
      <c r="B65" s="39"/>
      <c r="C65" s="39">
        <f>2242-390</f>
        <v>1852</v>
      </c>
      <c r="D65" s="37"/>
      <c r="E65" s="107"/>
      <c r="H65" s="24"/>
      <c r="I65" s="24"/>
      <c r="J65" s="24"/>
    </row>
    <row r="66" spans="1:10" ht="15.75" customHeight="1" x14ac:dyDescent="0.25">
      <c r="A66" s="34" t="s">
        <v>68</v>
      </c>
      <c r="B66" s="35"/>
      <c r="C66" s="35">
        <v>2150</v>
      </c>
      <c r="D66" s="38"/>
      <c r="E66" s="107"/>
      <c r="H66" s="24"/>
      <c r="I66" s="24"/>
      <c r="J66" s="24"/>
    </row>
    <row r="67" spans="1:10" ht="15.75" customHeight="1" x14ac:dyDescent="0.25">
      <c r="A67" s="30" t="s">
        <v>73</v>
      </c>
      <c r="B67" s="26"/>
      <c r="C67" s="26">
        <v>13554.32</v>
      </c>
      <c r="D67" s="40"/>
      <c r="E67" s="107"/>
      <c r="H67" s="24"/>
      <c r="I67" s="24"/>
      <c r="J67" s="24"/>
    </row>
    <row r="68" spans="1:10" ht="15.75" customHeight="1" x14ac:dyDescent="0.25">
      <c r="A68" s="31" t="s">
        <v>69</v>
      </c>
      <c r="B68" s="32">
        <f>SUM(B50:B66)</f>
        <v>169710.99</v>
      </c>
      <c r="C68" s="32">
        <f>SUM(C50:C67)</f>
        <v>152994.34000000003</v>
      </c>
      <c r="D68" s="32"/>
      <c r="E68" s="108"/>
    </row>
    <row r="69" spans="1:10" ht="15.75" customHeight="1" x14ac:dyDescent="0.25"/>
    <row r="70" spans="1:10" ht="15.75" customHeight="1" x14ac:dyDescent="0.25">
      <c r="A70" s="20" t="s">
        <v>9</v>
      </c>
      <c r="B70" s="20" t="s">
        <v>50</v>
      </c>
      <c r="C70" s="20" t="s">
        <v>51</v>
      </c>
      <c r="D70" s="20" t="s">
        <v>52</v>
      </c>
      <c r="E70" s="106" t="s">
        <v>74</v>
      </c>
      <c r="G70" s="21"/>
      <c r="H70" s="21"/>
      <c r="I70" s="21"/>
      <c r="J70" s="21"/>
    </row>
    <row r="71" spans="1:10" ht="15.75" customHeight="1" x14ac:dyDescent="0.25">
      <c r="A71" s="33">
        <v>46054</v>
      </c>
      <c r="B71" s="26">
        <v>122551.38</v>
      </c>
      <c r="C71" s="26">
        <v>102298.93</v>
      </c>
      <c r="D71" s="26">
        <v>20252.450000000012</v>
      </c>
      <c r="E71" s="107"/>
      <c r="G71" s="41"/>
      <c r="H71" s="24"/>
      <c r="I71" s="24"/>
      <c r="J71" s="24"/>
    </row>
    <row r="72" spans="1:10" ht="15.75" customHeight="1" x14ac:dyDescent="0.25">
      <c r="A72" s="22" t="s">
        <v>13</v>
      </c>
      <c r="B72" s="23">
        <v>127109.6</v>
      </c>
      <c r="C72" s="23"/>
      <c r="D72" s="23"/>
      <c r="E72" s="107"/>
      <c r="H72" s="24"/>
      <c r="I72" s="24"/>
      <c r="J72" s="24"/>
    </row>
    <row r="73" spans="1:10" ht="15.75" customHeight="1" x14ac:dyDescent="0.25">
      <c r="A73" s="30" t="s">
        <v>55</v>
      </c>
      <c r="B73" s="26">
        <v>5097.08</v>
      </c>
      <c r="C73" s="26"/>
      <c r="D73" s="26"/>
      <c r="E73" s="107"/>
      <c r="H73" s="24"/>
      <c r="I73" s="24"/>
      <c r="J73" s="24"/>
    </row>
    <row r="74" spans="1:10" ht="15.75" customHeight="1" x14ac:dyDescent="0.25">
      <c r="A74" s="22" t="s">
        <v>56</v>
      </c>
      <c r="B74" s="23"/>
      <c r="C74" s="23">
        <v>15298.470000000001</v>
      </c>
      <c r="D74" s="23"/>
      <c r="E74" s="107"/>
      <c r="H74" s="24"/>
      <c r="I74" s="24"/>
      <c r="J74" s="24"/>
    </row>
    <row r="75" spans="1:10" ht="15.75" customHeight="1" x14ac:dyDescent="0.25">
      <c r="A75" s="30" t="s">
        <v>57</v>
      </c>
      <c r="B75" s="26"/>
      <c r="C75" s="26">
        <v>13355</v>
      </c>
      <c r="D75" s="26"/>
      <c r="E75" s="107"/>
      <c r="H75" s="24"/>
      <c r="I75" s="24"/>
      <c r="J75" s="24"/>
    </row>
    <row r="76" spans="1:10" ht="15.75" customHeight="1" x14ac:dyDescent="0.25">
      <c r="A76" s="22" t="s">
        <v>58</v>
      </c>
      <c r="B76" s="23"/>
      <c r="C76" s="23">
        <v>5859.01</v>
      </c>
      <c r="D76" s="23"/>
      <c r="E76" s="107"/>
      <c r="H76" s="24"/>
      <c r="I76" s="24"/>
      <c r="J76" s="24"/>
    </row>
    <row r="77" spans="1:10" ht="15.75" customHeight="1" x14ac:dyDescent="0.25">
      <c r="A77" s="30" t="s">
        <v>59</v>
      </c>
      <c r="B77" s="26"/>
      <c r="C77" s="26">
        <v>50433.540000000008</v>
      </c>
      <c r="D77" s="26"/>
      <c r="E77" s="107"/>
      <c r="H77" s="24"/>
      <c r="I77" s="24"/>
      <c r="J77" s="24"/>
    </row>
    <row r="78" spans="1:10" ht="15.75" customHeight="1" x14ac:dyDescent="0.25">
      <c r="A78" s="22" t="s">
        <v>60</v>
      </c>
      <c r="B78" s="23"/>
      <c r="C78" s="23">
        <v>0</v>
      </c>
      <c r="D78" s="23"/>
      <c r="E78" s="107"/>
      <c r="H78" s="24"/>
      <c r="I78" s="24"/>
      <c r="J78" s="24"/>
    </row>
    <row r="79" spans="1:10" ht="15.75" customHeight="1" x14ac:dyDescent="0.25">
      <c r="A79" s="30" t="s">
        <v>61</v>
      </c>
      <c r="B79" s="26"/>
      <c r="C79" s="26">
        <v>6212.3700000000008</v>
      </c>
      <c r="D79" s="26"/>
      <c r="E79" s="107"/>
      <c r="H79" s="24"/>
      <c r="I79" s="24"/>
      <c r="J79" s="24"/>
    </row>
    <row r="80" spans="1:10" ht="15.75" customHeight="1" x14ac:dyDescent="0.25">
      <c r="A80" s="22" t="s">
        <v>62</v>
      </c>
      <c r="B80" s="23"/>
      <c r="C80" s="23">
        <v>1758.4</v>
      </c>
      <c r="D80" s="23"/>
      <c r="E80" s="107"/>
      <c r="H80" s="24"/>
      <c r="I80" s="24"/>
      <c r="J80" s="24"/>
    </row>
    <row r="81" spans="1:10" ht="15.75" customHeight="1" x14ac:dyDescent="0.25">
      <c r="A81" s="30" t="s">
        <v>63</v>
      </c>
      <c r="B81" s="26"/>
      <c r="C81" s="26">
        <v>920</v>
      </c>
      <c r="D81" s="26"/>
      <c r="E81" s="107"/>
      <c r="H81" s="24"/>
      <c r="I81" s="24"/>
      <c r="J81" s="24"/>
    </row>
    <row r="82" spans="1:10" ht="15.75" customHeight="1" x14ac:dyDescent="0.25">
      <c r="A82" s="22" t="s">
        <v>64</v>
      </c>
      <c r="B82" s="23"/>
      <c r="C82" s="23">
        <v>777</v>
      </c>
      <c r="D82" s="23"/>
      <c r="E82" s="107"/>
      <c r="H82" s="24"/>
      <c r="I82" s="24"/>
      <c r="J82" s="24"/>
    </row>
    <row r="83" spans="1:10" ht="15.75" customHeight="1" x14ac:dyDescent="0.25">
      <c r="A83" s="30" t="s">
        <v>65</v>
      </c>
      <c r="B83" s="26"/>
      <c r="C83" s="26">
        <v>0</v>
      </c>
      <c r="D83" s="26"/>
      <c r="E83" s="107"/>
      <c r="H83" s="24"/>
      <c r="I83" s="24"/>
      <c r="J83" s="24"/>
    </row>
    <row r="84" spans="1:10" ht="15.75" customHeight="1" x14ac:dyDescent="0.25">
      <c r="A84" s="22" t="s">
        <v>66</v>
      </c>
      <c r="B84" s="23"/>
      <c r="C84" s="23">
        <v>10172.6</v>
      </c>
      <c r="D84" s="23"/>
      <c r="E84" s="107"/>
      <c r="H84" s="24"/>
      <c r="I84" s="24"/>
      <c r="J84" s="24"/>
    </row>
    <row r="85" spans="1:10" ht="15.75" customHeight="1" x14ac:dyDescent="0.25">
      <c r="A85" s="30" t="s">
        <v>67</v>
      </c>
      <c r="B85" s="26"/>
      <c r="C85" s="26">
        <v>33</v>
      </c>
      <c r="D85" s="26"/>
      <c r="E85" s="107"/>
      <c r="H85" s="24"/>
      <c r="I85" s="24"/>
      <c r="J85" s="24"/>
    </row>
    <row r="86" spans="1:10" ht="15.75" customHeight="1" x14ac:dyDescent="0.25">
      <c r="A86" s="22" t="s">
        <v>16</v>
      </c>
      <c r="B86" s="23"/>
      <c r="C86" s="23">
        <v>13185</v>
      </c>
      <c r="D86" s="23"/>
      <c r="E86" s="107"/>
      <c r="H86" s="24"/>
      <c r="I86" s="24"/>
      <c r="J86" s="24"/>
    </row>
    <row r="87" spans="1:10" ht="15.75" customHeight="1" x14ac:dyDescent="0.25">
      <c r="A87" s="30" t="s">
        <v>33</v>
      </c>
      <c r="B87" s="26"/>
      <c r="C87" s="26">
        <v>1650</v>
      </c>
      <c r="D87" s="26"/>
      <c r="E87" s="107"/>
      <c r="H87" s="24"/>
      <c r="I87" s="24"/>
      <c r="J87" s="24"/>
    </row>
    <row r="88" spans="1:10" ht="15.75" customHeight="1" x14ac:dyDescent="0.25">
      <c r="A88" s="22" t="s">
        <v>29</v>
      </c>
      <c r="B88" s="23"/>
      <c r="C88" s="23">
        <v>2665</v>
      </c>
      <c r="D88" s="23"/>
      <c r="E88" s="107"/>
      <c r="H88" s="24"/>
      <c r="I88" s="24"/>
      <c r="J88" s="24"/>
    </row>
    <row r="89" spans="1:10" ht="15.75" customHeight="1" x14ac:dyDescent="0.25">
      <c r="A89" s="30" t="s">
        <v>68</v>
      </c>
      <c r="B89" s="26"/>
      <c r="C89" s="26">
        <v>3222.5</v>
      </c>
      <c r="D89" s="26"/>
      <c r="E89" s="107"/>
      <c r="H89" s="24"/>
      <c r="I89" s="24"/>
      <c r="J89" s="24"/>
    </row>
    <row r="90" spans="1:10" ht="15.75" customHeight="1" x14ac:dyDescent="0.25">
      <c r="A90" s="22" t="s">
        <v>73</v>
      </c>
      <c r="B90" s="23"/>
      <c r="C90" s="23">
        <v>0</v>
      </c>
      <c r="D90" s="23"/>
      <c r="E90" s="107"/>
      <c r="H90" s="24"/>
      <c r="I90" s="24"/>
      <c r="J90" s="24"/>
    </row>
    <row r="91" spans="1:10" ht="15.75" customHeight="1" x14ac:dyDescent="0.25">
      <c r="A91" s="31" t="s">
        <v>69</v>
      </c>
      <c r="B91" s="42">
        <v>132206.68</v>
      </c>
      <c r="C91" s="42">
        <v>125541.89000000001</v>
      </c>
      <c r="D91" s="42"/>
      <c r="E91" s="108"/>
      <c r="H91" s="24"/>
      <c r="I91" s="24"/>
      <c r="J91" s="24"/>
    </row>
    <row r="92" spans="1:10" ht="15.75" customHeight="1" x14ac:dyDescent="0.25">
      <c r="B92" s="27"/>
      <c r="C92" s="27"/>
      <c r="D92" s="27"/>
    </row>
    <row r="93" spans="1:10" ht="15.75" customHeight="1" x14ac:dyDescent="0.25">
      <c r="A93" s="20" t="s">
        <v>9</v>
      </c>
      <c r="B93" s="20" t="s">
        <v>50</v>
      </c>
      <c r="C93" s="20" t="s">
        <v>51</v>
      </c>
      <c r="D93" s="20" t="s">
        <v>52</v>
      </c>
      <c r="E93" s="106" t="s">
        <v>75</v>
      </c>
    </row>
    <row r="94" spans="1:10" ht="15.75" customHeight="1" x14ac:dyDescent="0.25">
      <c r="A94" s="33">
        <v>46082</v>
      </c>
      <c r="B94" s="7">
        <f>SUMIFS(Lançamentos!G:G,Lançamentos!C:C,"Entrada",Lançamentos!J:J,A94)</f>
        <v>0</v>
      </c>
      <c r="C94" s="7">
        <f>SUMIFS(Lançamentos!G:G,Lançamentos!C:C,"Saída",Lançamentos!J:J,A94)</f>
        <v>0</v>
      </c>
      <c r="D94" s="7">
        <f>B94-C94</f>
        <v>0</v>
      </c>
      <c r="E94" s="107"/>
      <c r="G94" s="24"/>
      <c r="H94" s="24"/>
      <c r="I94" s="24"/>
    </row>
    <row r="95" spans="1:10" ht="15.75" customHeight="1" x14ac:dyDescent="0.25">
      <c r="A95" s="22" t="s">
        <v>13</v>
      </c>
      <c r="B95" s="23">
        <v>108054.29999999999</v>
      </c>
      <c r="C95" s="23"/>
      <c r="D95" s="36"/>
      <c r="E95" s="107"/>
      <c r="G95" s="24"/>
      <c r="H95" s="24"/>
      <c r="I95" s="24"/>
    </row>
    <row r="96" spans="1:10" ht="15.75" customHeight="1" x14ac:dyDescent="0.25">
      <c r="A96" s="30" t="s">
        <v>55</v>
      </c>
      <c r="B96" s="26">
        <v>6374.1000000000013</v>
      </c>
      <c r="C96" s="26"/>
      <c r="D96" s="37"/>
      <c r="E96" s="107"/>
      <c r="G96" s="24"/>
      <c r="H96" s="24"/>
      <c r="I96" s="24"/>
    </row>
    <row r="97" spans="1:12" ht="15.75" customHeight="1" x14ac:dyDescent="0.25">
      <c r="A97" s="22" t="s">
        <v>56</v>
      </c>
      <c r="B97" s="23"/>
      <c r="C97" s="23">
        <v>20384.82</v>
      </c>
      <c r="D97" s="36"/>
      <c r="E97" s="107"/>
      <c r="G97" s="24"/>
      <c r="H97" s="24"/>
      <c r="I97" s="24"/>
    </row>
    <row r="98" spans="1:12" ht="15.75" customHeight="1" x14ac:dyDescent="0.25">
      <c r="A98" s="30" t="s">
        <v>57</v>
      </c>
      <c r="B98" s="26"/>
      <c r="C98" s="26">
        <v>16349.609999999999</v>
      </c>
      <c r="D98" s="37"/>
      <c r="E98" s="107"/>
      <c r="G98" s="24"/>
      <c r="H98" s="24"/>
      <c r="I98" s="24"/>
    </row>
    <row r="99" spans="1:12" ht="15.75" customHeight="1" x14ac:dyDescent="0.25">
      <c r="A99" s="22" t="s">
        <v>58</v>
      </c>
      <c r="B99" s="23"/>
      <c r="C99" s="23">
        <v>21144.749999999996</v>
      </c>
      <c r="D99" s="36"/>
      <c r="E99" s="107"/>
      <c r="G99" s="24"/>
      <c r="H99" s="24"/>
      <c r="I99" s="24"/>
      <c r="L99" s="24"/>
    </row>
    <row r="100" spans="1:12" ht="15.75" customHeight="1" x14ac:dyDescent="0.25">
      <c r="A100" s="30" t="s">
        <v>59</v>
      </c>
      <c r="B100" s="26"/>
      <c r="C100" s="26">
        <v>32719.780000000002</v>
      </c>
      <c r="D100" s="37"/>
      <c r="E100" s="107"/>
      <c r="G100" s="24"/>
      <c r="H100" s="24"/>
      <c r="I100" s="24"/>
    </row>
    <row r="101" spans="1:12" ht="15.75" customHeight="1" x14ac:dyDescent="0.25">
      <c r="A101" s="22" t="s">
        <v>60</v>
      </c>
      <c r="B101" s="23"/>
      <c r="C101" s="23">
        <v>1050.8899999999999</v>
      </c>
      <c r="D101" s="36"/>
      <c r="E101" s="107"/>
      <c r="G101" s="24"/>
      <c r="H101" s="24"/>
      <c r="I101" s="24"/>
      <c r="L101" s="24"/>
    </row>
    <row r="102" spans="1:12" ht="15.75" customHeight="1" x14ac:dyDescent="0.25">
      <c r="A102" s="30" t="s">
        <v>61</v>
      </c>
      <c r="B102" s="26"/>
      <c r="C102" s="26">
        <v>2862.64</v>
      </c>
      <c r="D102" s="37"/>
      <c r="E102" s="107"/>
      <c r="G102" s="24"/>
      <c r="H102" s="24"/>
      <c r="I102" s="24"/>
      <c r="L102" s="24"/>
    </row>
    <row r="103" spans="1:12" ht="15.75" customHeight="1" x14ac:dyDescent="0.25">
      <c r="A103" s="22" t="s">
        <v>62</v>
      </c>
      <c r="B103" s="23"/>
      <c r="C103" s="23">
        <v>1399.5100000000002</v>
      </c>
      <c r="D103" s="36"/>
      <c r="E103" s="107"/>
      <c r="G103" s="24"/>
      <c r="H103" s="24"/>
      <c r="I103" s="24"/>
    </row>
    <row r="104" spans="1:12" ht="15.75" customHeight="1" x14ac:dyDescent="0.25">
      <c r="A104" s="30" t="s">
        <v>63</v>
      </c>
      <c r="B104" s="26"/>
      <c r="C104" s="26">
        <v>1026</v>
      </c>
      <c r="D104" s="37"/>
      <c r="E104" s="107"/>
      <c r="G104" s="24"/>
      <c r="H104" s="24"/>
      <c r="I104" s="24"/>
    </row>
    <row r="105" spans="1:12" ht="15.75" customHeight="1" x14ac:dyDescent="0.25">
      <c r="A105" s="22" t="s">
        <v>64</v>
      </c>
      <c r="B105" s="23"/>
      <c r="C105" s="23">
        <v>972</v>
      </c>
      <c r="D105" s="36"/>
      <c r="E105" s="107"/>
      <c r="G105" s="24"/>
      <c r="H105" s="24"/>
      <c r="I105" s="24"/>
      <c r="L105" s="24"/>
    </row>
    <row r="106" spans="1:12" ht="15.75" customHeight="1" x14ac:dyDescent="0.25">
      <c r="A106" s="30" t="s">
        <v>65</v>
      </c>
      <c r="B106" s="26"/>
      <c r="C106" s="26">
        <v>0</v>
      </c>
      <c r="D106" s="37"/>
      <c r="E106" s="107"/>
      <c r="G106" s="24"/>
      <c r="H106" s="24"/>
      <c r="I106" s="24"/>
      <c r="L106" s="24"/>
    </row>
    <row r="107" spans="1:12" ht="15.75" customHeight="1" x14ac:dyDescent="0.25">
      <c r="A107" s="22" t="s">
        <v>66</v>
      </c>
      <c r="B107" s="23"/>
      <c r="C107" s="23">
        <v>7563.28</v>
      </c>
      <c r="D107" s="36"/>
      <c r="E107" s="107"/>
      <c r="G107" s="24"/>
      <c r="H107" s="24"/>
      <c r="I107" s="24"/>
      <c r="L107" s="24"/>
    </row>
    <row r="108" spans="1:12" ht="15.75" customHeight="1" x14ac:dyDescent="0.25">
      <c r="A108" s="30" t="s">
        <v>67</v>
      </c>
      <c r="B108" s="26"/>
      <c r="C108" s="26">
        <v>0</v>
      </c>
      <c r="D108" s="37"/>
      <c r="E108" s="107"/>
      <c r="G108" s="24"/>
      <c r="H108" s="24"/>
      <c r="I108" s="24"/>
      <c r="L108" s="24"/>
    </row>
    <row r="109" spans="1:12" ht="15.75" customHeight="1" x14ac:dyDescent="0.25">
      <c r="A109" s="22" t="s">
        <v>16</v>
      </c>
      <c r="B109" s="23"/>
      <c r="C109" s="23">
        <v>13185</v>
      </c>
      <c r="D109" s="36"/>
      <c r="E109" s="107"/>
      <c r="G109" s="24"/>
      <c r="H109" s="24"/>
      <c r="I109" s="24"/>
      <c r="L109" s="24"/>
    </row>
    <row r="110" spans="1:12" ht="15.75" customHeight="1" x14ac:dyDescent="0.25">
      <c r="A110" s="30" t="s">
        <v>33</v>
      </c>
      <c r="B110" s="26"/>
      <c r="C110" s="26">
        <v>0</v>
      </c>
      <c r="D110" s="37"/>
      <c r="E110" s="107"/>
      <c r="G110" s="24"/>
      <c r="H110" s="24"/>
      <c r="I110" s="24"/>
      <c r="L110" s="24"/>
    </row>
    <row r="111" spans="1:12" ht="15.75" customHeight="1" x14ac:dyDescent="0.25">
      <c r="A111" s="22" t="s">
        <v>29</v>
      </c>
      <c r="B111" s="23"/>
      <c r="C111" s="23">
        <v>219</v>
      </c>
      <c r="D111" s="36"/>
      <c r="E111" s="107"/>
      <c r="G111" s="24"/>
      <c r="H111" s="24"/>
      <c r="I111" s="24"/>
      <c r="L111" s="24"/>
    </row>
    <row r="112" spans="1:12" ht="15.75" customHeight="1" x14ac:dyDescent="0.25">
      <c r="A112" s="30" t="s">
        <v>68</v>
      </c>
      <c r="B112" s="26"/>
      <c r="C112" s="26">
        <v>2065</v>
      </c>
      <c r="D112" s="37"/>
      <c r="E112" s="107"/>
      <c r="G112" s="24"/>
      <c r="H112" s="24"/>
      <c r="I112" s="24"/>
      <c r="L112" s="24"/>
    </row>
    <row r="113" spans="1:12" ht="15.75" customHeight="1" x14ac:dyDescent="0.25">
      <c r="A113" s="22" t="s">
        <v>73</v>
      </c>
      <c r="B113" s="23"/>
      <c r="C113" s="23">
        <v>0</v>
      </c>
      <c r="D113" s="43"/>
      <c r="E113" s="107"/>
      <c r="G113" s="24"/>
      <c r="H113" s="24"/>
      <c r="I113" s="24"/>
      <c r="L113" s="24"/>
    </row>
    <row r="114" spans="1:12" ht="15.75" customHeight="1" x14ac:dyDescent="0.25">
      <c r="A114" s="31" t="s">
        <v>69</v>
      </c>
      <c r="B114" s="32">
        <f>SUM(B95:B112)</f>
        <v>114428.4</v>
      </c>
      <c r="C114" s="32">
        <f>SUM(C95:C113)</f>
        <v>120942.27999999998</v>
      </c>
      <c r="D114" s="32"/>
      <c r="E114" s="108"/>
    </row>
    <row r="115" spans="1:12" ht="15.75" customHeight="1" x14ac:dyDescent="0.25"/>
    <row r="116" spans="1:12" ht="15.75" customHeight="1" x14ac:dyDescent="0.25">
      <c r="A116" s="20" t="s">
        <v>9</v>
      </c>
      <c r="B116" s="20" t="s">
        <v>50</v>
      </c>
      <c r="C116" s="20" t="s">
        <v>51</v>
      </c>
      <c r="D116" s="20" t="s">
        <v>52</v>
      </c>
      <c r="E116" s="106" t="s">
        <v>76</v>
      </c>
    </row>
    <row r="117" spans="1:12" ht="15.75" customHeight="1" x14ac:dyDescent="0.25">
      <c r="A117" s="33">
        <v>46082</v>
      </c>
      <c r="B117" s="26">
        <v>0</v>
      </c>
      <c r="C117" s="26">
        <v>0</v>
      </c>
      <c r="D117" s="26">
        <v>0</v>
      </c>
      <c r="E117" s="107"/>
      <c r="G117" s="24"/>
      <c r="H117" s="24"/>
      <c r="I117" s="24"/>
    </row>
    <row r="118" spans="1:12" ht="15.75" customHeight="1" x14ac:dyDescent="0.25">
      <c r="A118" s="22" t="s">
        <v>13</v>
      </c>
      <c r="B118" s="23">
        <v>127830</v>
      </c>
      <c r="C118" s="23"/>
      <c r="D118" s="23"/>
      <c r="E118" s="107"/>
      <c r="G118" s="24"/>
      <c r="H118" s="24"/>
      <c r="I118" s="24"/>
    </row>
    <row r="119" spans="1:12" ht="15.75" customHeight="1" x14ac:dyDescent="0.25">
      <c r="A119" s="30" t="s">
        <v>55</v>
      </c>
      <c r="B119" s="26">
        <v>3005.6</v>
      </c>
      <c r="C119" s="26"/>
      <c r="D119" s="26"/>
      <c r="E119" s="107"/>
      <c r="G119" s="24"/>
      <c r="H119" s="24"/>
      <c r="I119" s="24"/>
    </row>
    <row r="120" spans="1:12" ht="15.75" customHeight="1" x14ac:dyDescent="0.25">
      <c r="A120" s="22" t="s">
        <v>56</v>
      </c>
      <c r="B120" s="23"/>
      <c r="C120" s="23">
        <v>19187.510000000002</v>
      </c>
      <c r="D120" s="23"/>
      <c r="E120" s="107"/>
      <c r="G120" s="24"/>
      <c r="H120" s="24"/>
      <c r="I120" s="24"/>
    </row>
    <row r="121" spans="1:12" ht="15.75" customHeight="1" x14ac:dyDescent="0.25">
      <c r="A121" s="30" t="s">
        <v>57</v>
      </c>
      <c r="B121" s="26"/>
      <c r="C121" s="26">
        <v>9583.14</v>
      </c>
      <c r="D121" s="26"/>
      <c r="E121" s="107"/>
      <c r="G121" s="24"/>
      <c r="H121" s="24"/>
      <c r="I121" s="24"/>
    </row>
    <row r="122" spans="1:12" ht="15.75" customHeight="1" x14ac:dyDescent="0.25">
      <c r="A122" s="22" t="s">
        <v>58</v>
      </c>
      <c r="B122" s="23"/>
      <c r="C122" s="23">
        <v>8510.5</v>
      </c>
      <c r="D122" s="23"/>
      <c r="E122" s="107"/>
      <c r="G122" s="24"/>
      <c r="H122" s="24"/>
      <c r="I122" s="24"/>
    </row>
    <row r="123" spans="1:12" ht="15.75" customHeight="1" x14ac:dyDescent="0.25">
      <c r="A123" s="30" t="s">
        <v>59</v>
      </c>
      <c r="B123" s="26"/>
      <c r="C123" s="26">
        <v>34565.839999999997</v>
      </c>
      <c r="D123" s="26"/>
      <c r="E123" s="107"/>
      <c r="G123" s="24"/>
      <c r="H123" s="24"/>
      <c r="I123" s="24"/>
    </row>
    <row r="124" spans="1:12" ht="15.75" customHeight="1" x14ac:dyDescent="0.25">
      <c r="A124" s="22" t="s">
        <v>60</v>
      </c>
      <c r="B124" s="23"/>
      <c r="C124" s="23">
        <v>218.41</v>
      </c>
      <c r="D124" s="23"/>
      <c r="E124" s="107"/>
      <c r="G124" s="24"/>
      <c r="H124" s="24"/>
      <c r="I124" s="24"/>
    </row>
    <row r="125" spans="1:12" ht="15.75" customHeight="1" x14ac:dyDescent="0.25">
      <c r="A125" s="30" t="s">
        <v>61</v>
      </c>
      <c r="B125" s="26"/>
      <c r="C125" s="26">
        <v>3016.13</v>
      </c>
      <c r="D125" s="26"/>
      <c r="E125" s="107"/>
      <c r="G125" s="24"/>
      <c r="H125" s="24"/>
      <c r="I125" s="24"/>
    </row>
    <row r="126" spans="1:12" ht="15.75" customHeight="1" x14ac:dyDescent="0.25">
      <c r="A126" s="22" t="s">
        <v>62</v>
      </c>
      <c r="B126" s="23"/>
      <c r="C126" s="23">
        <v>2652.87</v>
      </c>
      <c r="D126" s="23"/>
      <c r="E126" s="107"/>
      <c r="G126" s="24"/>
      <c r="H126" s="24"/>
      <c r="I126" s="24"/>
    </row>
    <row r="127" spans="1:12" ht="15.75" customHeight="1" x14ac:dyDescent="0.25">
      <c r="A127" s="30" t="s">
        <v>63</v>
      </c>
      <c r="B127" s="26"/>
      <c r="C127" s="26">
        <v>504</v>
      </c>
      <c r="D127" s="26"/>
      <c r="E127" s="107"/>
      <c r="G127" s="24"/>
      <c r="H127" s="24"/>
      <c r="I127" s="24"/>
    </row>
    <row r="128" spans="1:12" ht="15.75" customHeight="1" x14ac:dyDescent="0.25">
      <c r="A128" s="22" t="s">
        <v>64</v>
      </c>
      <c r="B128" s="23"/>
      <c r="C128" s="23">
        <v>800</v>
      </c>
      <c r="D128" s="23"/>
      <c r="E128" s="107"/>
      <c r="G128" s="24"/>
      <c r="H128" s="24"/>
      <c r="I128" s="24"/>
    </row>
    <row r="129" spans="1:9" ht="15.75" customHeight="1" x14ac:dyDescent="0.25">
      <c r="A129" s="30" t="s">
        <v>65</v>
      </c>
      <c r="B129" s="26"/>
      <c r="C129" s="26">
        <v>1185.28</v>
      </c>
      <c r="D129" s="26"/>
      <c r="E129" s="107"/>
      <c r="G129" s="24"/>
      <c r="H129" s="24"/>
      <c r="I129" s="24"/>
    </row>
    <row r="130" spans="1:9" ht="15.75" customHeight="1" x14ac:dyDescent="0.25">
      <c r="A130" s="22" t="s">
        <v>66</v>
      </c>
      <c r="B130" s="23"/>
      <c r="C130" s="23">
        <v>6853.92</v>
      </c>
      <c r="D130" s="23"/>
      <c r="E130" s="107"/>
      <c r="G130" s="24"/>
      <c r="H130" s="24"/>
      <c r="I130" s="24"/>
    </row>
    <row r="131" spans="1:9" ht="15.75" customHeight="1" x14ac:dyDescent="0.25">
      <c r="A131" s="30" t="s">
        <v>67</v>
      </c>
      <c r="B131" s="26"/>
      <c r="C131" s="26">
        <v>0</v>
      </c>
      <c r="D131" s="26"/>
      <c r="E131" s="107"/>
      <c r="G131" s="24"/>
      <c r="H131" s="24"/>
      <c r="I131" s="24"/>
    </row>
    <row r="132" spans="1:9" ht="15.75" customHeight="1" x14ac:dyDescent="0.25">
      <c r="A132" s="22" t="s">
        <v>16</v>
      </c>
      <c r="B132" s="23"/>
      <c r="C132" s="23">
        <v>13185</v>
      </c>
      <c r="D132" s="23"/>
      <c r="E132" s="107"/>
      <c r="G132" s="24"/>
      <c r="H132" s="24"/>
      <c r="I132" s="24"/>
    </row>
    <row r="133" spans="1:9" ht="15.75" customHeight="1" x14ac:dyDescent="0.25">
      <c r="A133" s="30" t="s">
        <v>33</v>
      </c>
      <c r="B133" s="26"/>
      <c r="C133" s="26">
        <v>965</v>
      </c>
      <c r="D133" s="26"/>
      <c r="E133" s="107"/>
      <c r="G133" s="24"/>
      <c r="H133" s="24"/>
      <c r="I133" s="24"/>
    </row>
    <row r="134" spans="1:9" ht="15.75" customHeight="1" x14ac:dyDescent="0.25">
      <c r="A134" s="22" t="s">
        <v>29</v>
      </c>
      <c r="B134" s="23"/>
      <c r="C134" s="23">
        <v>0</v>
      </c>
      <c r="D134" s="23"/>
      <c r="E134" s="107"/>
      <c r="G134" s="24"/>
      <c r="H134" s="24"/>
      <c r="I134" s="24"/>
    </row>
    <row r="135" spans="1:9" ht="15.75" customHeight="1" x14ac:dyDescent="0.25">
      <c r="A135" s="30" t="s">
        <v>68</v>
      </c>
      <c r="B135" s="26"/>
      <c r="C135" s="26">
        <v>2050</v>
      </c>
      <c r="D135" s="26"/>
      <c r="E135" s="107"/>
      <c r="G135" s="24"/>
      <c r="H135" s="24"/>
      <c r="I135" s="24"/>
    </row>
    <row r="136" spans="1:9" ht="15.75" customHeight="1" x14ac:dyDescent="0.25">
      <c r="A136" s="22" t="s">
        <v>73</v>
      </c>
      <c r="B136" s="23"/>
      <c r="C136" s="23">
        <v>0</v>
      </c>
      <c r="D136" s="23"/>
      <c r="E136" s="107"/>
      <c r="G136" s="24"/>
      <c r="H136" s="24"/>
      <c r="I136" s="24"/>
    </row>
    <row r="137" spans="1:9" ht="15.75" customHeight="1" x14ac:dyDescent="0.25">
      <c r="A137" s="31" t="s">
        <v>69</v>
      </c>
      <c r="B137" s="32">
        <f>SUM(B118:B135)</f>
        <v>130835.6</v>
      </c>
      <c r="C137" s="32">
        <f>SUM(C118:C136)</f>
        <v>103277.59999999999</v>
      </c>
      <c r="D137" s="32"/>
      <c r="E137" s="108"/>
    </row>
    <row r="138" spans="1:9" ht="15.75" customHeight="1" x14ac:dyDescent="0.25"/>
    <row r="139" spans="1:9" ht="15.75" customHeight="1" x14ac:dyDescent="0.25">
      <c r="A139" s="20" t="s">
        <v>9</v>
      </c>
      <c r="B139" s="20" t="s">
        <v>50</v>
      </c>
      <c r="C139" s="20" t="s">
        <v>51</v>
      </c>
      <c r="D139" s="20" t="s">
        <v>52</v>
      </c>
      <c r="E139" s="106" t="s">
        <v>77</v>
      </c>
    </row>
    <row r="140" spans="1:9" ht="15.75" customHeight="1" x14ac:dyDescent="0.25">
      <c r="A140" s="33">
        <v>46143</v>
      </c>
      <c r="B140" s="37"/>
      <c r="C140" s="37"/>
      <c r="D140" s="37"/>
      <c r="E140" s="107"/>
      <c r="G140" s="24"/>
      <c r="H140" s="24"/>
      <c r="I140" s="24"/>
    </row>
    <row r="141" spans="1:9" ht="15.75" customHeight="1" x14ac:dyDescent="0.25">
      <c r="A141" s="22" t="s">
        <v>13</v>
      </c>
      <c r="B141" s="23">
        <v>110052</v>
      </c>
      <c r="C141" s="23"/>
      <c r="D141" s="23"/>
      <c r="E141" s="107"/>
      <c r="G141" s="24"/>
      <c r="H141" s="24"/>
      <c r="I141" s="24"/>
    </row>
    <row r="142" spans="1:9" ht="15.75" customHeight="1" x14ac:dyDescent="0.25">
      <c r="A142" s="30" t="s">
        <v>55</v>
      </c>
      <c r="B142" s="39">
        <v>4223</v>
      </c>
      <c r="C142" s="39"/>
      <c r="D142" s="39"/>
      <c r="E142" s="107"/>
      <c r="G142" s="24"/>
      <c r="H142" s="24"/>
      <c r="I142" s="24"/>
    </row>
    <row r="143" spans="1:9" ht="15.75" customHeight="1" x14ac:dyDescent="0.25">
      <c r="A143" s="22" t="s">
        <v>56</v>
      </c>
      <c r="B143" s="44"/>
      <c r="C143" s="23">
        <v>17692.13</v>
      </c>
      <c r="D143" s="23"/>
      <c r="E143" s="107"/>
      <c r="G143" s="24"/>
      <c r="H143" s="24"/>
      <c r="I143" s="24"/>
    </row>
    <row r="144" spans="1:9" ht="15.75" customHeight="1" x14ac:dyDescent="0.25">
      <c r="A144" s="30" t="s">
        <v>57</v>
      </c>
      <c r="B144" s="39"/>
      <c r="C144" s="39">
        <v>12199.979999999998</v>
      </c>
      <c r="D144" s="39"/>
      <c r="E144" s="107"/>
      <c r="G144" s="24"/>
      <c r="H144" s="24"/>
      <c r="I144" s="24"/>
    </row>
    <row r="145" spans="1:9" ht="15.75" customHeight="1" x14ac:dyDescent="0.25">
      <c r="A145" s="22" t="s">
        <v>58</v>
      </c>
      <c r="B145" s="23"/>
      <c r="C145" s="23">
        <v>11000.95</v>
      </c>
      <c r="D145" s="23"/>
      <c r="E145" s="107"/>
      <c r="G145" s="24"/>
      <c r="H145" s="24"/>
      <c r="I145" s="24"/>
    </row>
    <row r="146" spans="1:9" ht="15.75" customHeight="1" x14ac:dyDescent="0.25">
      <c r="A146" s="30" t="s">
        <v>59</v>
      </c>
      <c r="B146" s="39"/>
      <c r="C146" s="39">
        <v>30241.590000000004</v>
      </c>
      <c r="D146" s="39"/>
      <c r="E146" s="107"/>
      <c r="G146" s="24"/>
      <c r="H146" s="24"/>
      <c r="I146" s="24"/>
    </row>
    <row r="147" spans="1:9" ht="15.75" customHeight="1" x14ac:dyDescent="0.25">
      <c r="A147" s="22" t="s">
        <v>60</v>
      </c>
      <c r="B147" s="23"/>
      <c r="C147" s="23">
        <v>438.4</v>
      </c>
      <c r="D147" s="23"/>
      <c r="E147" s="107"/>
      <c r="G147" s="24"/>
      <c r="H147" s="24"/>
      <c r="I147" s="24"/>
    </row>
    <row r="148" spans="1:9" ht="15.75" customHeight="1" x14ac:dyDescent="0.25">
      <c r="A148" s="30" t="s">
        <v>61</v>
      </c>
      <c r="B148" s="39"/>
      <c r="C148" s="39">
        <v>0</v>
      </c>
      <c r="D148" s="39"/>
      <c r="E148" s="107"/>
      <c r="G148" s="24"/>
      <c r="H148" s="24"/>
      <c r="I148" s="24"/>
    </row>
    <row r="149" spans="1:9" ht="15.75" customHeight="1" x14ac:dyDescent="0.25">
      <c r="A149" s="22" t="s">
        <v>62</v>
      </c>
      <c r="B149" s="23"/>
      <c r="C149" s="23">
        <v>447.35999999999996</v>
      </c>
      <c r="D149" s="23"/>
      <c r="E149" s="107"/>
      <c r="G149" s="24"/>
      <c r="H149" s="24"/>
      <c r="I149" s="24"/>
    </row>
    <row r="150" spans="1:9" ht="15.75" customHeight="1" x14ac:dyDescent="0.25">
      <c r="A150" s="30" t="s">
        <v>63</v>
      </c>
      <c r="B150" s="39"/>
      <c r="C150" s="39">
        <v>542</v>
      </c>
      <c r="D150" s="39"/>
      <c r="E150" s="107"/>
      <c r="G150" s="24"/>
      <c r="H150" s="24"/>
      <c r="I150" s="24"/>
    </row>
    <row r="151" spans="1:9" ht="15.75" customHeight="1" x14ac:dyDescent="0.25">
      <c r="A151" s="22" t="s">
        <v>64</v>
      </c>
      <c r="B151" s="23"/>
      <c r="C151" s="23">
        <v>800</v>
      </c>
      <c r="D151" s="23"/>
      <c r="E151" s="107"/>
      <c r="G151" s="24"/>
      <c r="H151" s="24"/>
      <c r="I151" s="24"/>
    </row>
    <row r="152" spans="1:9" ht="15.75" customHeight="1" x14ac:dyDescent="0.25">
      <c r="A152" s="30" t="s">
        <v>65</v>
      </c>
      <c r="B152" s="39"/>
      <c r="C152" s="39">
        <v>467.25</v>
      </c>
      <c r="D152" s="39"/>
      <c r="E152" s="107"/>
      <c r="G152" s="24"/>
      <c r="H152" s="24"/>
      <c r="I152" s="24"/>
    </row>
    <row r="153" spans="1:9" ht="15.75" customHeight="1" x14ac:dyDescent="0.25">
      <c r="A153" s="22" t="s">
        <v>66</v>
      </c>
      <c r="B153" s="23"/>
      <c r="C153" s="23">
        <v>7834.23</v>
      </c>
      <c r="D153" s="23"/>
      <c r="E153" s="107"/>
      <c r="G153" s="24"/>
      <c r="H153" s="24"/>
      <c r="I153" s="24"/>
    </row>
    <row r="154" spans="1:9" ht="15.75" customHeight="1" x14ac:dyDescent="0.25">
      <c r="A154" s="30" t="s">
        <v>67</v>
      </c>
      <c r="B154" s="39"/>
      <c r="C154" s="39">
        <v>28</v>
      </c>
      <c r="D154" s="39"/>
      <c r="E154" s="107"/>
      <c r="G154" s="24"/>
      <c r="H154" s="24"/>
      <c r="I154" s="24"/>
    </row>
    <row r="155" spans="1:9" ht="15.75" customHeight="1" x14ac:dyDescent="0.25">
      <c r="A155" s="22" t="s">
        <v>16</v>
      </c>
      <c r="B155" s="23"/>
      <c r="C155" s="23">
        <v>0</v>
      </c>
      <c r="D155" s="23"/>
      <c r="E155" s="107"/>
      <c r="G155" s="24"/>
      <c r="H155" s="24"/>
      <c r="I155" s="24"/>
    </row>
    <row r="156" spans="1:9" ht="15.75" customHeight="1" x14ac:dyDescent="0.25">
      <c r="A156" s="30" t="s">
        <v>33</v>
      </c>
      <c r="B156" s="39"/>
      <c r="C156" s="39">
        <v>900</v>
      </c>
      <c r="D156" s="39"/>
      <c r="E156" s="107"/>
      <c r="G156" s="24"/>
      <c r="H156" s="24"/>
      <c r="I156" s="24"/>
    </row>
    <row r="157" spans="1:9" ht="15.75" customHeight="1" x14ac:dyDescent="0.25">
      <c r="A157" s="22" t="s">
        <v>29</v>
      </c>
      <c r="B157" s="23"/>
      <c r="C157" s="23">
        <v>102</v>
      </c>
      <c r="D157" s="23"/>
      <c r="E157" s="107"/>
      <c r="G157" s="24"/>
      <c r="H157" s="24"/>
      <c r="I157" s="24"/>
    </row>
    <row r="158" spans="1:9" ht="15.75" customHeight="1" x14ac:dyDescent="0.25">
      <c r="A158" s="30" t="s">
        <v>68</v>
      </c>
      <c r="B158" s="39"/>
      <c r="C158" s="39">
        <v>562.68000000000006</v>
      </c>
      <c r="D158" s="39"/>
      <c r="E158" s="107"/>
      <c r="G158" s="24"/>
      <c r="H158" s="24"/>
      <c r="I158" s="24"/>
    </row>
    <row r="159" spans="1:9" ht="15.75" customHeight="1" x14ac:dyDescent="0.25">
      <c r="A159" s="22" t="s">
        <v>73</v>
      </c>
      <c r="B159" s="23"/>
      <c r="C159" s="44"/>
      <c r="D159" s="23"/>
      <c r="E159" s="107"/>
      <c r="G159" s="24"/>
      <c r="H159" s="24"/>
      <c r="I159" s="24"/>
    </row>
    <row r="160" spans="1:9" ht="15.75" customHeight="1" x14ac:dyDescent="0.25">
      <c r="A160" s="31" t="s">
        <v>69</v>
      </c>
      <c r="B160" s="39">
        <f>SUM(B141:B159)</f>
        <v>114275</v>
      </c>
      <c r="C160" s="39">
        <f>SUM(C141:C158)</f>
        <v>83256.569999999978</v>
      </c>
      <c r="D160" s="39"/>
      <c r="E160" s="108"/>
    </row>
    <row r="161" spans="1:9" ht="15.75" customHeight="1" x14ac:dyDescent="0.25"/>
    <row r="162" spans="1:9" ht="15.75" customHeight="1" x14ac:dyDescent="0.25">
      <c r="A162" s="20" t="s">
        <v>9</v>
      </c>
      <c r="B162" s="20" t="s">
        <v>50</v>
      </c>
      <c r="C162" s="20" t="s">
        <v>51</v>
      </c>
      <c r="D162" s="20" t="s">
        <v>52</v>
      </c>
      <c r="E162" s="106" t="s">
        <v>78</v>
      </c>
    </row>
    <row r="163" spans="1:9" ht="15.75" customHeight="1" x14ac:dyDescent="0.25">
      <c r="A163" s="33">
        <v>46174</v>
      </c>
      <c r="B163" s="26">
        <v>0</v>
      </c>
      <c r="C163" s="26">
        <v>0</v>
      </c>
      <c r="D163" s="26">
        <v>0</v>
      </c>
      <c r="E163" s="107"/>
      <c r="G163" s="24"/>
      <c r="H163" s="24"/>
      <c r="I163" s="24"/>
    </row>
    <row r="164" spans="1:9" ht="15.75" customHeight="1" x14ac:dyDescent="0.25">
      <c r="A164" s="22" t="s">
        <v>13</v>
      </c>
      <c r="B164" s="23">
        <v>76873.399999999994</v>
      </c>
      <c r="C164" s="23"/>
      <c r="D164" s="23"/>
      <c r="E164" s="107"/>
      <c r="G164" s="24"/>
      <c r="H164" s="24"/>
      <c r="I164" s="24"/>
    </row>
    <row r="165" spans="1:9" ht="15.75" customHeight="1" x14ac:dyDescent="0.25">
      <c r="A165" s="30" t="s">
        <v>55</v>
      </c>
      <c r="B165" s="26">
        <v>2552</v>
      </c>
      <c r="C165" s="26"/>
      <c r="D165" s="26"/>
      <c r="E165" s="107"/>
      <c r="G165" s="24"/>
      <c r="H165" s="24"/>
      <c r="I165" s="24"/>
    </row>
    <row r="166" spans="1:9" ht="15.75" customHeight="1" x14ac:dyDescent="0.25">
      <c r="A166" s="22" t="s">
        <v>56</v>
      </c>
      <c r="B166" s="23"/>
      <c r="C166" s="23">
        <v>17754.989999999998</v>
      </c>
      <c r="D166" s="23"/>
      <c r="E166" s="107"/>
      <c r="G166" s="24"/>
      <c r="H166" s="24"/>
      <c r="I166" s="24"/>
    </row>
    <row r="167" spans="1:9" ht="15.75" customHeight="1" x14ac:dyDescent="0.25">
      <c r="A167" s="30" t="s">
        <v>57</v>
      </c>
      <c r="B167" s="26"/>
      <c r="C167" s="26">
        <v>12701.789999999999</v>
      </c>
      <c r="D167" s="26"/>
      <c r="E167" s="107"/>
      <c r="G167" s="24"/>
      <c r="H167" s="24"/>
      <c r="I167" s="24"/>
    </row>
    <row r="168" spans="1:9" ht="15.75" customHeight="1" x14ac:dyDescent="0.25">
      <c r="A168" s="22" t="s">
        <v>58</v>
      </c>
      <c r="B168" s="23"/>
      <c r="C168" s="23">
        <v>9286.630000000001</v>
      </c>
      <c r="D168" s="23"/>
      <c r="E168" s="107"/>
      <c r="G168" s="24"/>
      <c r="H168" s="24"/>
      <c r="I168" s="24"/>
    </row>
    <row r="169" spans="1:9" ht="15.75" customHeight="1" x14ac:dyDescent="0.25">
      <c r="A169" s="30" t="s">
        <v>59</v>
      </c>
      <c r="B169" s="26"/>
      <c r="C169" s="26">
        <v>27449.079999999998</v>
      </c>
      <c r="D169" s="26"/>
      <c r="E169" s="107"/>
      <c r="G169" s="24"/>
      <c r="H169" s="24"/>
      <c r="I169" s="24"/>
    </row>
    <row r="170" spans="1:9" ht="15.75" customHeight="1" x14ac:dyDescent="0.25">
      <c r="A170" s="22" t="s">
        <v>60</v>
      </c>
      <c r="B170" s="23"/>
      <c r="C170" s="23">
        <v>0</v>
      </c>
      <c r="D170" s="23"/>
      <c r="E170" s="107"/>
      <c r="G170" s="24"/>
      <c r="H170" s="24"/>
      <c r="I170" s="24"/>
    </row>
    <row r="171" spans="1:9" ht="15.75" customHeight="1" x14ac:dyDescent="0.25">
      <c r="A171" s="30" t="s">
        <v>61</v>
      </c>
      <c r="B171" s="26"/>
      <c r="C171" s="26">
        <v>2570.7600000000002</v>
      </c>
      <c r="D171" s="26"/>
      <c r="E171" s="107"/>
      <c r="G171" s="24"/>
      <c r="H171" s="24"/>
      <c r="I171" s="24"/>
    </row>
    <row r="172" spans="1:9" ht="15.75" customHeight="1" x14ac:dyDescent="0.25">
      <c r="A172" s="22" t="s">
        <v>62</v>
      </c>
      <c r="B172" s="23"/>
      <c r="C172" s="23">
        <v>1108.9000000000001</v>
      </c>
      <c r="D172" s="23"/>
      <c r="E172" s="107"/>
      <c r="G172" s="24"/>
      <c r="H172" s="24"/>
      <c r="I172" s="24"/>
    </row>
    <row r="173" spans="1:9" ht="15.75" customHeight="1" x14ac:dyDescent="0.25">
      <c r="A173" s="30" t="s">
        <v>63</v>
      </c>
      <c r="B173" s="26"/>
      <c r="C173" s="26">
        <v>402</v>
      </c>
      <c r="D173" s="26"/>
      <c r="E173" s="107"/>
      <c r="G173" s="24"/>
      <c r="H173" s="24"/>
      <c r="I173" s="24"/>
    </row>
    <row r="174" spans="1:9" ht="15.75" customHeight="1" x14ac:dyDescent="0.25">
      <c r="A174" s="22" t="s">
        <v>64</v>
      </c>
      <c r="B174" s="23"/>
      <c r="C174" s="23">
        <v>800</v>
      </c>
      <c r="D174" s="23"/>
      <c r="E174" s="107"/>
      <c r="G174" s="24"/>
      <c r="H174" s="24"/>
      <c r="I174" s="24"/>
    </row>
    <row r="175" spans="1:9" ht="15.75" customHeight="1" x14ac:dyDescent="0.25">
      <c r="A175" s="30" t="s">
        <v>65</v>
      </c>
      <c r="B175" s="26"/>
      <c r="C175" s="26">
        <v>3473.21</v>
      </c>
      <c r="D175" s="26"/>
      <c r="E175" s="107"/>
      <c r="G175" s="24"/>
      <c r="H175" s="24"/>
      <c r="I175" s="24"/>
    </row>
    <row r="176" spans="1:9" ht="15.75" customHeight="1" x14ac:dyDescent="0.25">
      <c r="A176" s="22" t="s">
        <v>66</v>
      </c>
      <c r="B176" s="23"/>
      <c r="C176" s="23">
        <v>7228.96</v>
      </c>
      <c r="D176" s="23"/>
      <c r="E176" s="107"/>
      <c r="G176" s="24"/>
      <c r="H176" s="24"/>
      <c r="I176" s="24"/>
    </row>
    <row r="177" spans="1:9" ht="15.75" customHeight="1" x14ac:dyDescent="0.25">
      <c r="A177" s="30" t="s">
        <v>67</v>
      </c>
      <c r="B177" s="26"/>
      <c r="C177" s="26">
        <v>50</v>
      </c>
      <c r="D177" s="26"/>
      <c r="E177" s="107"/>
      <c r="G177" s="24"/>
      <c r="H177" s="24"/>
      <c r="I177" s="24"/>
    </row>
    <row r="178" spans="1:9" ht="15.75" customHeight="1" x14ac:dyDescent="0.25">
      <c r="A178" s="22" t="s">
        <v>16</v>
      </c>
      <c r="B178" s="23"/>
      <c r="C178" s="23">
        <v>26370</v>
      </c>
      <c r="D178" s="23"/>
      <c r="E178" s="107"/>
      <c r="G178" s="24"/>
      <c r="H178" s="24"/>
      <c r="I178" s="24"/>
    </row>
    <row r="179" spans="1:9" ht="15.75" customHeight="1" x14ac:dyDescent="0.25">
      <c r="A179" s="30" t="s">
        <v>33</v>
      </c>
      <c r="B179" s="26"/>
      <c r="C179" s="26">
        <v>1020</v>
      </c>
      <c r="D179" s="26"/>
      <c r="E179" s="107"/>
      <c r="G179" s="24"/>
      <c r="H179" s="24"/>
      <c r="I179" s="24"/>
    </row>
    <row r="180" spans="1:9" ht="15.75" customHeight="1" x14ac:dyDescent="0.25">
      <c r="A180" s="22" t="s">
        <v>29</v>
      </c>
      <c r="B180" s="23"/>
      <c r="C180" s="23">
        <v>855.62000000000012</v>
      </c>
      <c r="D180" s="23"/>
      <c r="E180" s="107"/>
      <c r="G180" s="24"/>
      <c r="H180" s="24"/>
      <c r="I180" s="24"/>
    </row>
    <row r="181" spans="1:9" ht="15.75" customHeight="1" x14ac:dyDescent="0.25">
      <c r="A181" s="30" t="s">
        <v>68</v>
      </c>
      <c r="B181" s="26"/>
      <c r="C181" s="26">
        <v>3195</v>
      </c>
      <c r="D181" s="26"/>
      <c r="E181" s="107"/>
      <c r="G181" s="24"/>
      <c r="H181" s="24"/>
      <c r="I181" s="24"/>
    </row>
    <row r="182" spans="1:9" ht="15.75" customHeight="1" x14ac:dyDescent="0.25">
      <c r="A182" s="22" t="s">
        <v>73</v>
      </c>
      <c r="B182" s="23"/>
      <c r="C182" s="23">
        <v>0</v>
      </c>
      <c r="D182" s="23"/>
      <c r="E182" s="107"/>
      <c r="G182" s="24"/>
      <c r="H182" s="24"/>
      <c r="I182" s="24"/>
    </row>
    <row r="183" spans="1:9" ht="15.75" customHeight="1" x14ac:dyDescent="0.25">
      <c r="A183" s="31" t="s">
        <v>69</v>
      </c>
      <c r="B183" s="32">
        <f>SUM(B164:B181)</f>
        <v>79425.399999999994</v>
      </c>
      <c r="C183" s="32">
        <f>SUM(C164:C182)</f>
        <v>114266.94</v>
      </c>
      <c r="D183" s="32"/>
      <c r="E183" s="108"/>
    </row>
    <row r="184" spans="1:9" ht="15.75" customHeight="1" x14ac:dyDescent="0.25"/>
    <row r="185" spans="1:9" ht="15.75" customHeight="1" x14ac:dyDescent="0.25">
      <c r="A185" s="20" t="s">
        <v>9</v>
      </c>
      <c r="B185" s="20" t="s">
        <v>50</v>
      </c>
      <c r="C185" s="20" t="s">
        <v>51</v>
      </c>
      <c r="D185" s="20" t="s">
        <v>52</v>
      </c>
      <c r="E185" s="106" t="s">
        <v>79</v>
      </c>
    </row>
    <row r="186" spans="1:9" ht="15.75" customHeight="1" x14ac:dyDescent="0.25">
      <c r="A186" s="33">
        <v>46204</v>
      </c>
      <c r="B186" s="7">
        <f>SUMIFS(Lançamentos!G:G,Lançamentos!C:C,"Entrada",Lançamentos!J:J,A186)</f>
        <v>0</v>
      </c>
      <c r="C186" s="7">
        <f>SUMIFS(Lançamentos!G:G,Lançamentos!C:C,"Saída",Lançamentos!J:J,A186)</f>
        <v>0</v>
      </c>
      <c r="D186" s="7">
        <f>B186-C186</f>
        <v>0</v>
      </c>
      <c r="E186" s="107"/>
    </row>
    <row r="187" spans="1:9" ht="15.75" customHeight="1" x14ac:dyDescent="0.25">
      <c r="A187" s="22" t="s">
        <v>13</v>
      </c>
      <c r="B187" s="36">
        <f>SUMIF(Lançamentos!D:D,"Vendas",Lançamentos!G:G)</f>
        <v>74250</v>
      </c>
      <c r="C187" s="36"/>
      <c r="D187" s="36"/>
      <c r="E187" s="107"/>
    </row>
    <row r="188" spans="1:9" ht="15.75" customHeight="1" x14ac:dyDescent="0.25">
      <c r="A188" s="30" t="s">
        <v>55</v>
      </c>
      <c r="B188" s="37">
        <f>SUMIF(Lançamentos!D:D,"Vendas iFood",Lançamentos!G:G)</f>
        <v>2457</v>
      </c>
      <c r="C188" s="37"/>
      <c r="D188" s="37"/>
      <c r="E188" s="107"/>
    </row>
    <row r="189" spans="1:9" ht="15.75" customHeight="1" x14ac:dyDescent="0.25">
      <c r="A189" s="22" t="s">
        <v>56</v>
      </c>
      <c r="B189" s="36"/>
      <c r="C189" s="36">
        <f>SUMIF(Lançamentos!D:D,"Salário",Lançamentos!G:G)</f>
        <v>15298.810000000001</v>
      </c>
      <c r="D189" s="36"/>
      <c r="E189" s="107"/>
    </row>
    <row r="190" spans="1:9" ht="15.75" customHeight="1" x14ac:dyDescent="0.25">
      <c r="A190" s="30" t="s">
        <v>57</v>
      </c>
      <c r="B190" s="37"/>
      <c r="C190" s="37">
        <f>SUMIF(Lançamentos!D:D,"CustoFixo",Lançamentos!G:G)</f>
        <v>9213.4399999999987</v>
      </c>
      <c r="D190" s="37"/>
      <c r="E190" s="107"/>
    </row>
    <row r="191" spans="1:9" ht="15.75" customHeight="1" x14ac:dyDescent="0.25">
      <c r="A191" s="22" t="s">
        <v>58</v>
      </c>
      <c r="B191" s="36"/>
      <c r="C191" s="36">
        <f>SUMIF(Lançamentos!D:D,"Impostos",Lançamentos!G:G)</f>
        <v>7859.09</v>
      </c>
      <c r="D191" s="36"/>
      <c r="E191" s="107"/>
    </row>
    <row r="192" spans="1:9" ht="15.75" customHeight="1" x14ac:dyDescent="0.25">
      <c r="A192" s="30" t="s">
        <v>59</v>
      </c>
      <c r="B192" s="37"/>
      <c r="C192" s="37">
        <f>SUMIF(Lançamentos!D:D,"Matéria Prima",Lançamentos!G:G)</f>
        <v>13201.830000000002</v>
      </c>
      <c r="D192" s="37"/>
      <c r="E192" s="107"/>
    </row>
    <row r="193" spans="1:5" ht="15.75" customHeight="1" x14ac:dyDescent="0.25">
      <c r="A193" s="22" t="s">
        <v>60</v>
      </c>
      <c r="B193" s="36"/>
      <c r="C193" s="36">
        <f>SUMIF(Lançamentos!D:D,"Frete",Lançamentos!G:G)</f>
        <v>193.18</v>
      </c>
      <c r="D193" s="36"/>
      <c r="E193" s="107"/>
    </row>
    <row r="194" spans="1:5" ht="15.75" customHeight="1" x14ac:dyDescent="0.25">
      <c r="A194" s="30" t="s">
        <v>61</v>
      </c>
      <c r="B194" s="37"/>
      <c r="C194" s="37">
        <f>SUMIF(Lançamentos!D:D,"Cartao de Credito",Lançamentos!G:G)</f>
        <v>1899.95</v>
      </c>
      <c r="D194" s="37"/>
      <c r="E194" s="107"/>
    </row>
    <row r="195" spans="1:5" ht="15.75" customHeight="1" x14ac:dyDescent="0.25">
      <c r="A195" s="22" t="s">
        <v>62</v>
      </c>
      <c r="B195" s="36"/>
      <c r="C195" s="36">
        <f>SUMIF(Lançamentos!D:D,"Mat Consumo",Lançamentos!G:G)</f>
        <v>1972.15</v>
      </c>
      <c r="D195" s="36"/>
      <c r="E195" s="107"/>
    </row>
    <row r="196" spans="1:5" ht="15.75" customHeight="1" x14ac:dyDescent="0.25">
      <c r="A196" s="30" t="s">
        <v>63</v>
      </c>
      <c r="B196" s="37"/>
      <c r="C196" s="37">
        <f>SUMIF(Lançamentos!D:D,"IFood",Lançamentos!G:G)</f>
        <v>354</v>
      </c>
      <c r="D196" s="37"/>
      <c r="E196" s="107"/>
    </row>
    <row r="197" spans="1:5" ht="15.75" customHeight="1" x14ac:dyDescent="0.25">
      <c r="A197" s="22" t="s">
        <v>64</v>
      </c>
      <c r="B197" s="36"/>
      <c r="C197" s="36">
        <f>SUMIF(Lançamentos!D:D,"Contabilidade",Lançamentos!G:G)</f>
        <v>800</v>
      </c>
      <c r="D197" s="36"/>
      <c r="E197" s="107"/>
    </row>
    <row r="198" spans="1:5" ht="15.75" customHeight="1" x14ac:dyDescent="0.25">
      <c r="A198" s="30" t="s">
        <v>65</v>
      </c>
      <c r="B198" s="37"/>
      <c r="C198" s="37">
        <f>SUMIF(Lançamentos!D:D,"Demissão",Lançamentos!G:G)</f>
        <v>0</v>
      </c>
      <c r="D198" s="37"/>
      <c r="E198" s="107"/>
    </row>
    <row r="199" spans="1:5" ht="15.75" customHeight="1" x14ac:dyDescent="0.25">
      <c r="A199" s="22" t="s">
        <v>66</v>
      </c>
      <c r="B199" s="36"/>
      <c r="C199" s="36">
        <f>SUMIF(Lançamentos!D:D,"Royalt",Lançamentos!G:G)</f>
        <v>4757.25</v>
      </c>
      <c r="D199" s="36"/>
      <c r="E199" s="107"/>
    </row>
    <row r="200" spans="1:5" ht="15.75" customHeight="1" x14ac:dyDescent="0.25">
      <c r="A200" s="30" t="s">
        <v>67</v>
      </c>
      <c r="B200" s="37"/>
      <c r="C200" s="37">
        <f>SUMIF(Lançamentos!D:D,"Papelaria",Lançamentos!G:G)</f>
        <v>0</v>
      </c>
      <c r="D200" s="37"/>
      <c r="E200" s="107"/>
    </row>
    <row r="201" spans="1:5" ht="15.75" customHeight="1" x14ac:dyDescent="0.25">
      <c r="A201" s="22" t="s">
        <v>16</v>
      </c>
      <c r="B201" s="36"/>
      <c r="C201" s="36">
        <f>SUMIF(Lançamentos!D:D,"Tortelli",Lançamentos!G:G)</f>
        <v>0</v>
      </c>
      <c r="D201" s="36"/>
      <c r="E201" s="107"/>
    </row>
    <row r="202" spans="1:5" ht="15.75" customHeight="1" x14ac:dyDescent="0.25">
      <c r="A202" s="30" t="s">
        <v>33</v>
      </c>
      <c r="B202" s="37"/>
      <c r="C202" s="37">
        <f>SUMIF(Lançamentos!D:D,"Freelancer",Lançamentos!G:G)</f>
        <v>2070</v>
      </c>
      <c r="D202" s="37"/>
      <c r="E202" s="107"/>
    </row>
    <row r="203" spans="1:5" ht="15.75" customHeight="1" x14ac:dyDescent="0.25">
      <c r="A203" s="22" t="s">
        <v>29</v>
      </c>
      <c r="B203" s="36"/>
      <c r="C203" s="36">
        <f>SUMIF(Lançamentos!D:D,"Manutenção",Lançamentos!G:G)</f>
        <v>616.5</v>
      </c>
      <c r="D203" s="36"/>
      <c r="E203" s="107"/>
    </row>
    <row r="204" spans="1:5" ht="15.75" customHeight="1" x14ac:dyDescent="0.25">
      <c r="A204" s="30" t="s">
        <v>68</v>
      </c>
      <c r="B204" s="37"/>
      <c r="C204" s="37">
        <f>SUMIF(Lançamentos!D:D,"Marketing",Lançamentos!G:G)</f>
        <v>1950</v>
      </c>
      <c r="D204" s="37"/>
      <c r="E204" s="107"/>
    </row>
    <row r="205" spans="1:5" ht="15.75" customHeight="1" x14ac:dyDescent="0.25">
      <c r="A205" s="22" t="s">
        <v>73</v>
      </c>
      <c r="B205" s="43"/>
      <c r="C205" s="43">
        <f>SUMIF(Lançamentos!D:D,"Celso",Lançamentos!G:G)</f>
        <v>0</v>
      </c>
      <c r="D205" s="43"/>
      <c r="E205" s="107"/>
    </row>
    <row r="206" spans="1:5" ht="15.75" customHeight="1" x14ac:dyDescent="0.25">
      <c r="A206" s="31" t="s">
        <v>69</v>
      </c>
      <c r="B206" s="32">
        <f>SUM(B187:B204)</f>
        <v>76707</v>
      </c>
      <c r="C206" s="32">
        <f>SUM(C187:C205)</f>
        <v>60186.2</v>
      </c>
      <c r="D206" s="32"/>
      <c r="E206" s="108"/>
    </row>
    <row r="207" spans="1:5" ht="15.75" customHeight="1" x14ac:dyDescent="0.25"/>
    <row r="208" spans="1:5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</sheetData>
  <mergeCells count="10">
    <mergeCell ref="E116:E137"/>
    <mergeCell ref="E139:E160"/>
    <mergeCell ref="E162:E183"/>
    <mergeCell ref="E185:E206"/>
    <mergeCell ref="A1:D1"/>
    <mergeCell ref="E7:E25"/>
    <mergeCell ref="E27:E46"/>
    <mergeCell ref="E48:E68"/>
    <mergeCell ref="E70:E91"/>
    <mergeCell ref="E93:E114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105AC-A5C3-4BF4-A946-1465574A8C05}">
  <sheetPr>
    <outlinePr summaryBelow="0" summaryRight="0"/>
  </sheetPr>
  <dimension ref="A1:P1016"/>
  <sheetViews>
    <sheetView workbookViewId="0">
      <selection activeCell="B3" sqref="B3"/>
    </sheetView>
  </sheetViews>
  <sheetFormatPr defaultColWidth="14.42578125" defaultRowHeight="15" customHeight="1" x14ac:dyDescent="0.25"/>
  <cols>
    <col min="1" max="1" width="13.5703125" customWidth="1"/>
    <col min="2" max="2" width="25.28515625" customWidth="1"/>
    <col min="3" max="3" width="9" customWidth="1"/>
    <col min="4" max="4" width="5.140625" customWidth="1"/>
    <col min="5" max="5" width="18.140625" customWidth="1"/>
    <col min="6" max="6" width="19.42578125" customWidth="1"/>
    <col min="7" max="7" width="12.28515625" customWidth="1"/>
    <col min="8" max="8" width="4.28515625" customWidth="1"/>
    <col min="9" max="9" width="14.7109375" customWidth="1"/>
    <col min="10" max="10" width="22.7109375" customWidth="1"/>
    <col min="11" max="11" width="6.28515625" customWidth="1"/>
    <col min="12" max="12" width="3.28515625" customWidth="1"/>
    <col min="14" max="14" width="19.42578125" customWidth="1"/>
    <col min="15" max="15" width="3.42578125" customWidth="1"/>
  </cols>
  <sheetData>
    <row r="1" spans="1:16" x14ac:dyDescent="0.25">
      <c r="A1" s="45" t="s">
        <v>4</v>
      </c>
      <c r="B1" s="45" t="s">
        <v>80</v>
      </c>
      <c r="C1" s="45" t="s">
        <v>81</v>
      </c>
      <c r="E1" s="45" t="s">
        <v>4</v>
      </c>
      <c r="F1" s="45" t="s">
        <v>80</v>
      </c>
      <c r="G1" s="45" t="s">
        <v>81</v>
      </c>
      <c r="I1" s="45" t="s">
        <v>4</v>
      </c>
      <c r="J1" s="45" t="s">
        <v>80</v>
      </c>
      <c r="K1" s="45" t="s">
        <v>81</v>
      </c>
      <c r="M1" s="45" t="s">
        <v>4</v>
      </c>
      <c r="N1" s="45" t="s">
        <v>80</v>
      </c>
      <c r="O1" s="45" t="s">
        <v>81</v>
      </c>
      <c r="P1" s="45" t="s">
        <v>8</v>
      </c>
    </row>
    <row r="2" spans="1:16" x14ac:dyDescent="0.25">
      <c r="A2" s="46" t="s">
        <v>82</v>
      </c>
      <c r="B2" s="46" t="s">
        <v>83</v>
      </c>
      <c r="C2" s="47">
        <v>1.5</v>
      </c>
      <c r="E2" s="48"/>
      <c r="F2" s="48"/>
      <c r="G2" s="49"/>
      <c r="H2" s="50"/>
      <c r="I2" s="51"/>
      <c r="J2" s="51"/>
      <c r="K2" s="52"/>
      <c r="M2" s="53"/>
      <c r="N2" s="53"/>
      <c r="O2" s="54"/>
      <c r="P2" s="54"/>
    </row>
    <row r="3" spans="1:16" x14ac:dyDescent="0.25">
      <c r="A3" s="46" t="s">
        <v>82</v>
      </c>
      <c r="B3" s="46" t="s">
        <v>84</v>
      </c>
      <c r="C3" s="47">
        <v>3</v>
      </c>
      <c r="E3" s="48" t="s">
        <v>85</v>
      </c>
      <c r="F3" s="48" t="s">
        <v>86</v>
      </c>
      <c r="G3" s="49"/>
      <c r="H3" s="50"/>
      <c r="I3" s="51" t="s">
        <v>87</v>
      </c>
      <c r="J3" s="51" t="s">
        <v>88</v>
      </c>
      <c r="K3" s="52">
        <v>4</v>
      </c>
      <c r="M3" s="53" t="s">
        <v>89</v>
      </c>
      <c r="N3" s="53" t="s">
        <v>90</v>
      </c>
      <c r="O3" s="54">
        <v>3</v>
      </c>
      <c r="P3" s="54" t="s">
        <v>91</v>
      </c>
    </row>
    <row r="4" spans="1:16" x14ac:dyDescent="0.25">
      <c r="A4" s="46" t="s">
        <v>82</v>
      </c>
      <c r="B4" s="46" t="s">
        <v>92</v>
      </c>
      <c r="C4" s="47">
        <v>0</v>
      </c>
      <c r="E4" s="48" t="s">
        <v>85</v>
      </c>
      <c r="F4" s="48" t="s">
        <v>93</v>
      </c>
      <c r="G4" s="49"/>
      <c r="H4" s="50"/>
      <c r="I4" s="51" t="s">
        <v>87</v>
      </c>
      <c r="J4" s="51" t="s">
        <v>94</v>
      </c>
      <c r="K4" s="52">
        <v>7</v>
      </c>
      <c r="M4" s="53" t="s">
        <v>89</v>
      </c>
      <c r="N4" s="53" t="s">
        <v>90</v>
      </c>
      <c r="O4" s="54">
        <v>1</v>
      </c>
      <c r="P4" s="54" t="s">
        <v>95</v>
      </c>
    </row>
    <row r="5" spans="1:16" x14ac:dyDescent="0.25">
      <c r="A5" s="46" t="s">
        <v>82</v>
      </c>
      <c r="B5" s="46" t="s">
        <v>96</v>
      </c>
      <c r="C5" s="47">
        <v>1</v>
      </c>
      <c r="E5" s="48" t="s">
        <v>85</v>
      </c>
      <c r="F5" s="48" t="s">
        <v>97</v>
      </c>
      <c r="G5" s="49">
        <v>15</v>
      </c>
      <c r="H5" s="50"/>
      <c r="I5" s="51" t="s">
        <v>87</v>
      </c>
      <c r="J5" s="51" t="s">
        <v>98</v>
      </c>
      <c r="K5" s="52">
        <v>21</v>
      </c>
      <c r="M5" s="53" t="s">
        <v>89</v>
      </c>
      <c r="N5" s="53" t="s">
        <v>99</v>
      </c>
      <c r="O5" s="54">
        <v>2</v>
      </c>
      <c r="P5" s="54" t="s">
        <v>91</v>
      </c>
    </row>
    <row r="6" spans="1:16" x14ac:dyDescent="0.25">
      <c r="A6" s="46" t="s">
        <v>82</v>
      </c>
      <c r="B6" s="46" t="s">
        <v>100</v>
      </c>
      <c r="C6" s="47">
        <v>1</v>
      </c>
      <c r="E6" s="48" t="s">
        <v>85</v>
      </c>
      <c r="F6" s="48" t="s">
        <v>101</v>
      </c>
      <c r="G6" s="49" t="s">
        <v>102</v>
      </c>
      <c r="H6" s="50"/>
      <c r="I6" s="51" t="s">
        <v>87</v>
      </c>
      <c r="J6" s="51" t="s">
        <v>103</v>
      </c>
      <c r="K6" s="52">
        <v>19</v>
      </c>
      <c r="M6" s="53" t="s">
        <v>89</v>
      </c>
      <c r="N6" s="53" t="s">
        <v>99</v>
      </c>
      <c r="O6" s="54">
        <v>1</v>
      </c>
      <c r="P6" s="54" t="s">
        <v>95</v>
      </c>
    </row>
    <row r="7" spans="1:16" x14ac:dyDescent="0.25">
      <c r="A7" s="46" t="s">
        <v>82</v>
      </c>
      <c r="B7" s="46" t="s">
        <v>104</v>
      </c>
      <c r="C7" s="47">
        <v>5</v>
      </c>
      <c r="E7" s="48" t="s">
        <v>85</v>
      </c>
      <c r="F7" s="48" t="s">
        <v>105</v>
      </c>
      <c r="G7" s="49">
        <v>2</v>
      </c>
      <c r="H7" s="50"/>
      <c r="I7" s="51" t="s">
        <v>87</v>
      </c>
      <c r="J7" s="51" t="s">
        <v>106</v>
      </c>
      <c r="K7" s="52">
        <v>35</v>
      </c>
      <c r="M7" s="53" t="s">
        <v>89</v>
      </c>
      <c r="N7" s="53" t="s">
        <v>107</v>
      </c>
      <c r="O7" s="54">
        <v>3</v>
      </c>
      <c r="P7" s="54" t="s">
        <v>91</v>
      </c>
    </row>
    <row r="8" spans="1:16" x14ac:dyDescent="0.25">
      <c r="A8" s="46" t="s">
        <v>82</v>
      </c>
      <c r="B8" s="46" t="s">
        <v>108</v>
      </c>
      <c r="C8" s="47">
        <v>3</v>
      </c>
      <c r="E8" s="48" t="s">
        <v>85</v>
      </c>
      <c r="F8" s="48" t="s">
        <v>109</v>
      </c>
      <c r="G8" s="49">
        <v>3</v>
      </c>
      <c r="H8" s="50"/>
      <c r="I8" s="51" t="s">
        <v>87</v>
      </c>
      <c r="J8" s="51" t="s">
        <v>110</v>
      </c>
      <c r="K8" s="52">
        <v>11</v>
      </c>
      <c r="M8" s="53" t="s">
        <v>89</v>
      </c>
      <c r="N8" s="53" t="s">
        <v>107</v>
      </c>
      <c r="O8" s="54">
        <v>1</v>
      </c>
      <c r="P8" s="54" t="s">
        <v>95</v>
      </c>
    </row>
    <row r="9" spans="1:16" x14ac:dyDescent="0.25">
      <c r="A9" s="46" t="s">
        <v>82</v>
      </c>
      <c r="B9" s="46" t="s">
        <v>111</v>
      </c>
      <c r="C9" s="47">
        <v>49</v>
      </c>
      <c r="E9" s="48" t="s">
        <v>85</v>
      </c>
      <c r="F9" s="48" t="s">
        <v>112</v>
      </c>
      <c r="G9" s="49">
        <v>4</v>
      </c>
      <c r="H9" s="50"/>
      <c r="I9" s="51" t="s">
        <v>87</v>
      </c>
      <c r="J9" s="51" t="s">
        <v>113</v>
      </c>
      <c r="K9" s="52">
        <v>3</v>
      </c>
      <c r="M9" s="53" t="s">
        <v>89</v>
      </c>
      <c r="N9" s="53" t="s">
        <v>114</v>
      </c>
      <c r="O9" s="54">
        <v>1</v>
      </c>
      <c r="P9" s="54" t="s">
        <v>115</v>
      </c>
    </row>
    <row r="10" spans="1:16" x14ac:dyDescent="0.25">
      <c r="A10" s="46" t="s">
        <v>82</v>
      </c>
      <c r="B10" s="46" t="s">
        <v>116</v>
      </c>
      <c r="C10" s="47">
        <v>26</v>
      </c>
      <c r="E10" s="48" t="s">
        <v>85</v>
      </c>
      <c r="F10" s="48" t="s">
        <v>112</v>
      </c>
      <c r="G10" s="49" t="s">
        <v>117</v>
      </c>
      <c r="H10" s="50"/>
      <c r="I10" s="51" t="s">
        <v>87</v>
      </c>
      <c r="J10" s="51" t="s">
        <v>118</v>
      </c>
      <c r="K10" s="52">
        <v>1</v>
      </c>
      <c r="M10" s="53" t="s">
        <v>89</v>
      </c>
      <c r="N10" s="53" t="s">
        <v>114</v>
      </c>
      <c r="O10" s="54">
        <v>0</v>
      </c>
      <c r="P10" s="54" t="s">
        <v>119</v>
      </c>
    </row>
    <row r="11" spans="1:16" x14ac:dyDescent="0.25">
      <c r="A11" s="46" t="s">
        <v>82</v>
      </c>
      <c r="B11" s="46" t="s">
        <v>120</v>
      </c>
      <c r="C11" s="47">
        <v>0</v>
      </c>
      <c r="E11" s="48"/>
      <c r="F11" s="48"/>
      <c r="G11" s="49"/>
      <c r="H11" s="50"/>
      <c r="K11" s="15"/>
      <c r="M11" s="53"/>
      <c r="N11" s="53"/>
      <c r="O11" s="54"/>
      <c r="P11" s="54"/>
    </row>
    <row r="12" spans="1:16" x14ac:dyDescent="0.25">
      <c r="A12" s="46" t="s">
        <v>82</v>
      </c>
      <c r="B12" s="46" t="s">
        <v>121</v>
      </c>
      <c r="C12" s="47">
        <v>0</v>
      </c>
      <c r="E12" s="48"/>
      <c r="F12" s="48"/>
      <c r="G12" s="49"/>
      <c r="H12" s="50"/>
      <c r="K12" s="15"/>
      <c r="M12" s="53"/>
      <c r="N12" s="53"/>
      <c r="O12" s="54"/>
      <c r="P12" s="54"/>
    </row>
    <row r="13" spans="1:16" x14ac:dyDescent="0.25">
      <c r="A13" s="46" t="s">
        <v>82</v>
      </c>
      <c r="B13" s="46" t="s">
        <v>122</v>
      </c>
      <c r="C13" s="47">
        <v>1</v>
      </c>
      <c r="E13" s="48" t="s">
        <v>85</v>
      </c>
      <c r="F13" s="48" t="s">
        <v>123</v>
      </c>
      <c r="G13" s="49">
        <v>3</v>
      </c>
      <c r="H13" s="50"/>
      <c r="K13" s="15"/>
      <c r="M13" s="53" t="s">
        <v>89</v>
      </c>
      <c r="N13" s="53" t="s">
        <v>124</v>
      </c>
      <c r="O13" s="54">
        <v>1</v>
      </c>
      <c r="P13" s="54" t="s">
        <v>115</v>
      </c>
    </row>
    <row r="14" spans="1:16" x14ac:dyDescent="0.25">
      <c r="A14" s="46" t="s">
        <v>82</v>
      </c>
      <c r="B14" s="46" t="s">
        <v>125</v>
      </c>
      <c r="C14" s="47">
        <v>0</v>
      </c>
      <c r="E14" s="48"/>
      <c r="F14" s="48"/>
      <c r="G14" s="49"/>
      <c r="H14" s="50"/>
      <c r="K14" s="15"/>
      <c r="M14" s="53"/>
      <c r="N14" s="53"/>
      <c r="O14" s="54"/>
      <c r="P14" s="54"/>
    </row>
    <row r="15" spans="1:16" x14ac:dyDescent="0.25">
      <c r="A15" s="46" t="s">
        <v>82</v>
      </c>
      <c r="B15" s="46" t="s">
        <v>126</v>
      </c>
      <c r="C15" s="47">
        <v>1</v>
      </c>
      <c r="E15" s="48"/>
      <c r="F15" s="48"/>
      <c r="G15" s="49"/>
      <c r="H15" s="50"/>
      <c r="K15" s="15"/>
      <c r="M15" s="53"/>
      <c r="N15" s="53"/>
      <c r="O15" s="54"/>
      <c r="P15" s="54"/>
    </row>
    <row r="16" spans="1:16" x14ac:dyDescent="0.25">
      <c r="A16" s="46" t="s">
        <v>82</v>
      </c>
      <c r="B16" s="46" t="s">
        <v>127</v>
      </c>
      <c r="C16" s="47">
        <v>9</v>
      </c>
      <c r="E16" s="48" t="s">
        <v>85</v>
      </c>
      <c r="F16" s="48" t="s">
        <v>128</v>
      </c>
      <c r="G16" s="49">
        <v>1</v>
      </c>
      <c r="H16" s="50"/>
      <c r="K16" s="15"/>
      <c r="M16" s="53" t="s">
        <v>89</v>
      </c>
      <c r="N16" s="53" t="s">
        <v>129</v>
      </c>
      <c r="O16" s="54">
        <v>1</v>
      </c>
      <c r="P16" s="54" t="s">
        <v>115</v>
      </c>
    </row>
    <row r="17" spans="1:16" x14ac:dyDescent="0.25">
      <c r="A17" s="46" t="s">
        <v>82</v>
      </c>
      <c r="B17" s="46" t="s">
        <v>130</v>
      </c>
      <c r="C17" s="47">
        <v>1</v>
      </c>
      <c r="E17" s="48" t="s">
        <v>85</v>
      </c>
      <c r="F17" s="48" t="s">
        <v>131</v>
      </c>
      <c r="G17" s="49"/>
      <c r="H17" s="55"/>
      <c r="K17" s="15"/>
      <c r="M17" s="53" t="s">
        <v>89</v>
      </c>
      <c r="N17" s="53" t="s">
        <v>129</v>
      </c>
      <c r="O17" s="54">
        <v>1</v>
      </c>
      <c r="P17" s="54" t="s">
        <v>119</v>
      </c>
    </row>
    <row r="18" spans="1:16" x14ac:dyDescent="0.25">
      <c r="A18" s="46" t="s">
        <v>82</v>
      </c>
      <c r="B18" s="46" t="s">
        <v>132</v>
      </c>
      <c r="C18" s="47">
        <v>0</v>
      </c>
      <c r="E18" s="48" t="s">
        <v>85</v>
      </c>
      <c r="F18" s="48" t="s">
        <v>131</v>
      </c>
      <c r="G18" s="49"/>
      <c r="H18" s="56"/>
      <c r="K18" s="15"/>
      <c r="M18" s="53" t="s">
        <v>89</v>
      </c>
      <c r="N18" s="53" t="s">
        <v>133</v>
      </c>
      <c r="O18" s="54">
        <v>1</v>
      </c>
      <c r="P18" s="54" t="s">
        <v>115</v>
      </c>
    </row>
    <row r="19" spans="1:16" x14ac:dyDescent="0.25">
      <c r="A19" s="46" t="s">
        <v>82</v>
      </c>
      <c r="B19" s="46" t="s">
        <v>134</v>
      </c>
      <c r="C19" s="47">
        <v>0</v>
      </c>
      <c r="E19" s="48" t="s">
        <v>85</v>
      </c>
      <c r="F19" s="48" t="s">
        <v>135</v>
      </c>
      <c r="G19" s="49"/>
      <c r="H19" s="56"/>
      <c r="K19" s="15"/>
      <c r="M19" s="53" t="s">
        <v>89</v>
      </c>
      <c r="N19" s="53" t="s">
        <v>136</v>
      </c>
      <c r="O19" s="54">
        <v>1</v>
      </c>
      <c r="P19" s="54" t="s">
        <v>115</v>
      </c>
    </row>
    <row r="20" spans="1:16" x14ac:dyDescent="0.25">
      <c r="A20" s="46" t="s">
        <v>82</v>
      </c>
      <c r="B20" s="46" t="s">
        <v>137</v>
      </c>
      <c r="C20" s="47">
        <v>1</v>
      </c>
      <c r="E20" s="48" t="s">
        <v>85</v>
      </c>
      <c r="F20" s="48" t="s">
        <v>135</v>
      </c>
      <c r="G20" s="49"/>
      <c r="H20" s="56"/>
      <c r="K20" s="15"/>
      <c r="M20" s="53" t="s">
        <v>89</v>
      </c>
      <c r="N20" s="53" t="s">
        <v>138</v>
      </c>
      <c r="O20" s="54">
        <v>8</v>
      </c>
      <c r="P20" s="54"/>
    </row>
    <row r="21" spans="1:16" x14ac:dyDescent="0.25">
      <c r="A21" s="46" t="s">
        <v>82</v>
      </c>
      <c r="B21" s="46" t="s">
        <v>139</v>
      </c>
      <c r="C21" s="47">
        <v>1</v>
      </c>
      <c r="E21" s="48" t="s">
        <v>85</v>
      </c>
      <c r="F21" s="48" t="s">
        <v>140</v>
      </c>
      <c r="G21" s="49"/>
      <c r="H21" s="56"/>
      <c r="K21" s="15"/>
      <c r="M21" s="53" t="s">
        <v>89</v>
      </c>
      <c r="N21" s="53" t="s">
        <v>141</v>
      </c>
      <c r="O21" s="54">
        <v>6</v>
      </c>
      <c r="P21" s="54"/>
    </row>
    <row r="22" spans="1:16" x14ac:dyDescent="0.25">
      <c r="A22" s="46" t="s">
        <v>82</v>
      </c>
      <c r="B22" s="46" t="s">
        <v>1215</v>
      </c>
      <c r="C22" s="47">
        <v>1</v>
      </c>
      <c r="K22" s="15"/>
      <c r="M22" s="57"/>
      <c r="N22" s="57"/>
      <c r="O22" s="58"/>
      <c r="P22" s="58"/>
    </row>
    <row r="23" spans="1:16" x14ac:dyDescent="0.25">
      <c r="A23" s="46" t="s">
        <v>82</v>
      </c>
      <c r="B23" s="46" t="s">
        <v>1216</v>
      </c>
      <c r="C23" s="47">
        <v>1</v>
      </c>
      <c r="K23" s="15"/>
      <c r="M23" s="57" t="s">
        <v>89</v>
      </c>
      <c r="N23" s="57"/>
      <c r="O23" s="58"/>
      <c r="P23" s="58"/>
    </row>
    <row r="24" spans="1:16" x14ac:dyDescent="0.25">
      <c r="A24" s="46" t="s">
        <v>82</v>
      </c>
      <c r="B24" s="46" t="s">
        <v>142</v>
      </c>
      <c r="C24" s="47">
        <v>1</v>
      </c>
      <c r="G24" s="15"/>
      <c r="K24" s="15"/>
      <c r="M24" s="59"/>
      <c r="N24" s="59"/>
      <c r="O24" s="56"/>
      <c r="P24" s="56"/>
    </row>
    <row r="25" spans="1:16" x14ac:dyDescent="0.25">
      <c r="A25" s="46" t="s">
        <v>82</v>
      </c>
      <c r="B25" s="46" t="s">
        <v>143</v>
      </c>
      <c r="C25" s="47">
        <v>0</v>
      </c>
      <c r="G25" s="15"/>
      <c r="K25" s="15"/>
    </row>
    <row r="26" spans="1:16" x14ac:dyDescent="0.25">
      <c r="A26" s="46" t="s">
        <v>82</v>
      </c>
      <c r="B26" s="46" t="s">
        <v>144</v>
      </c>
      <c r="C26" s="47">
        <v>0</v>
      </c>
      <c r="G26" s="15"/>
      <c r="K26" s="15"/>
    </row>
    <row r="27" spans="1:16" x14ac:dyDescent="0.25">
      <c r="A27" s="46" t="s">
        <v>82</v>
      </c>
      <c r="B27" s="46" t="s">
        <v>145</v>
      </c>
      <c r="C27" s="47">
        <v>3</v>
      </c>
      <c r="G27" s="15"/>
      <c r="K27" s="15"/>
    </row>
    <row r="28" spans="1:16" x14ac:dyDescent="0.25">
      <c r="A28" s="46" t="s">
        <v>82</v>
      </c>
      <c r="B28" s="46" t="s">
        <v>146</v>
      </c>
      <c r="C28" s="47"/>
      <c r="G28" s="15"/>
      <c r="K28" s="15"/>
    </row>
    <row r="29" spans="1:16" x14ac:dyDescent="0.25">
      <c r="A29" s="46" t="s">
        <v>82</v>
      </c>
      <c r="B29" s="46" t="s">
        <v>147</v>
      </c>
      <c r="C29" s="47">
        <v>1</v>
      </c>
      <c r="G29" s="15"/>
      <c r="K29" s="15"/>
    </row>
    <row r="30" spans="1:16" x14ac:dyDescent="0.25">
      <c r="A30" s="46" t="s">
        <v>82</v>
      </c>
      <c r="B30" s="46" t="s">
        <v>148</v>
      </c>
      <c r="C30" s="47">
        <v>8</v>
      </c>
      <c r="G30" s="15"/>
      <c r="K30" s="15"/>
      <c r="O30" s="15"/>
      <c r="P30" s="15"/>
    </row>
    <row r="31" spans="1:16" x14ac:dyDescent="0.25">
      <c r="A31" s="46" t="s">
        <v>82</v>
      </c>
      <c r="B31" s="46" t="s">
        <v>149</v>
      </c>
      <c r="C31" s="47">
        <v>1.5</v>
      </c>
      <c r="G31" s="15"/>
      <c r="K31" s="15"/>
      <c r="O31" s="15"/>
      <c r="P31" s="15"/>
    </row>
    <row r="32" spans="1:16" x14ac:dyDescent="0.25">
      <c r="A32" s="46" t="s">
        <v>82</v>
      </c>
      <c r="B32" s="46" t="s">
        <v>150</v>
      </c>
      <c r="C32" s="47">
        <v>3</v>
      </c>
      <c r="G32" s="15"/>
      <c r="K32" s="15"/>
      <c r="O32" s="15"/>
      <c r="P32" s="15"/>
    </row>
    <row r="33" spans="1:16" x14ac:dyDescent="0.25">
      <c r="A33" s="46" t="s">
        <v>82</v>
      </c>
      <c r="B33" s="46" t="s">
        <v>151</v>
      </c>
      <c r="C33" s="47">
        <v>0</v>
      </c>
      <c r="G33" s="15"/>
      <c r="K33" s="15"/>
      <c r="O33" s="15"/>
      <c r="P33" s="15"/>
    </row>
    <row r="34" spans="1:16" x14ac:dyDescent="0.25">
      <c r="A34" s="46" t="s">
        <v>82</v>
      </c>
      <c r="B34" s="46" t="s">
        <v>152</v>
      </c>
      <c r="C34" s="47">
        <v>1</v>
      </c>
      <c r="G34" s="15"/>
      <c r="K34" s="15"/>
      <c r="O34" s="15"/>
      <c r="P34" s="15"/>
    </row>
    <row r="35" spans="1:16" x14ac:dyDescent="0.25">
      <c r="A35" s="46" t="s">
        <v>82</v>
      </c>
      <c r="B35" s="46" t="s">
        <v>153</v>
      </c>
      <c r="C35" s="47">
        <v>3</v>
      </c>
      <c r="G35" s="15"/>
      <c r="K35" s="15"/>
      <c r="O35" s="15"/>
      <c r="P35" s="15"/>
    </row>
    <row r="36" spans="1:16" x14ac:dyDescent="0.25">
      <c r="A36" s="46" t="s">
        <v>82</v>
      </c>
      <c r="B36" s="46" t="s">
        <v>154</v>
      </c>
      <c r="C36" s="47">
        <v>0</v>
      </c>
      <c r="G36" s="15"/>
      <c r="K36" s="15"/>
      <c r="O36" s="15"/>
      <c r="P36" s="15"/>
    </row>
    <row r="37" spans="1:16" x14ac:dyDescent="0.25">
      <c r="A37" s="46" t="s">
        <v>82</v>
      </c>
      <c r="B37" s="46" t="s">
        <v>155</v>
      </c>
      <c r="C37" s="47">
        <v>2</v>
      </c>
      <c r="G37" s="15"/>
      <c r="K37" s="15"/>
      <c r="O37" s="15"/>
      <c r="P37" s="15"/>
    </row>
    <row r="38" spans="1:16" x14ac:dyDescent="0.25">
      <c r="A38" s="46" t="s">
        <v>82</v>
      </c>
      <c r="B38" s="46" t="s">
        <v>156</v>
      </c>
      <c r="C38" s="47">
        <v>2</v>
      </c>
      <c r="G38" s="15"/>
      <c r="K38" s="15"/>
      <c r="O38" s="15"/>
      <c r="P38" s="15"/>
    </row>
    <row r="39" spans="1:16" x14ac:dyDescent="0.25">
      <c r="A39" s="46" t="s">
        <v>82</v>
      </c>
      <c r="B39" s="46" t="s">
        <v>157</v>
      </c>
      <c r="C39" s="47">
        <v>2</v>
      </c>
      <c r="G39" s="15"/>
      <c r="K39" s="15"/>
      <c r="O39" s="15"/>
      <c r="P39" s="15"/>
    </row>
    <row r="40" spans="1:16" x14ac:dyDescent="0.25">
      <c r="A40" s="46" t="s">
        <v>82</v>
      </c>
      <c r="B40" s="46" t="s">
        <v>158</v>
      </c>
      <c r="C40" s="47">
        <v>2</v>
      </c>
      <c r="G40" s="15"/>
      <c r="K40" s="15"/>
      <c r="O40" s="15"/>
      <c r="P40" s="15"/>
    </row>
    <row r="41" spans="1:16" x14ac:dyDescent="0.25">
      <c r="A41" s="46" t="s">
        <v>82</v>
      </c>
      <c r="B41" s="46" t="s">
        <v>159</v>
      </c>
      <c r="C41" s="47">
        <v>2</v>
      </c>
      <c r="G41" s="15"/>
      <c r="K41" s="15"/>
      <c r="O41" s="15"/>
      <c r="P41" s="15"/>
    </row>
    <row r="42" spans="1:16" x14ac:dyDescent="0.25">
      <c r="A42" s="46" t="s">
        <v>82</v>
      </c>
      <c r="B42" s="46" t="s">
        <v>160</v>
      </c>
      <c r="C42" s="47">
        <v>1</v>
      </c>
      <c r="G42" s="15"/>
      <c r="K42" s="15"/>
      <c r="O42" s="15"/>
      <c r="P42" s="15"/>
    </row>
    <row r="43" spans="1:16" x14ac:dyDescent="0.25">
      <c r="A43" s="46" t="s">
        <v>82</v>
      </c>
      <c r="B43" s="46" t="s">
        <v>161</v>
      </c>
      <c r="C43" s="47">
        <v>0</v>
      </c>
      <c r="G43" s="15"/>
      <c r="K43" s="15"/>
      <c r="O43" s="15"/>
      <c r="P43" s="15"/>
    </row>
    <row r="44" spans="1:16" x14ac:dyDescent="0.25">
      <c r="A44" s="46" t="s">
        <v>82</v>
      </c>
      <c r="B44" s="46" t="s">
        <v>162</v>
      </c>
      <c r="C44" s="47">
        <v>0</v>
      </c>
      <c r="G44" s="15"/>
      <c r="K44" s="15"/>
      <c r="O44" s="15"/>
      <c r="P44" s="15"/>
    </row>
    <row r="45" spans="1:16" x14ac:dyDescent="0.25">
      <c r="A45" s="46" t="s">
        <v>82</v>
      </c>
      <c r="B45" s="46" t="s">
        <v>163</v>
      </c>
      <c r="C45" s="47">
        <v>1</v>
      </c>
      <c r="G45" s="15"/>
      <c r="K45" s="15"/>
      <c r="O45" s="15"/>
      <c r="P45" s="15"/>
    </row>
    <row r="46" spans="1:16" x14ac:dyDescent="0.25">
      <c r="A46" s="46" t="s">
        <v>82</v>
      </c>
      <c r="B46" s="46" t="s">
        <v>164</v>
      </c>
      <c r="C46" s="47">
        <v>1</v>
      </c>
      <c r="G46" s="15"/>
      <c r="K46" s="15"/>
      <c r="O46" s="15"/>
      <c r="P46" s="15"/>
    </row>
    <row r="47" spans="1:16" x14ac:dyDescent="0.25">
      <c r="A47" s="46" t="s">
        <v>82</v>
      </c>
      <c r="B47" s="46" t="s">
        <v>165</v>
      </c>
      <c r="C47" s="47">
        <v>1.5</v>
      </c>
      <c r="G47" s="15"/>
      <c r="K47" s="15"/>
      <c r="O47" s="15"/>
      <c r="P47" s="15"/>
    </row>
    <row r="48" spans="1:16" x14ac:dyDescent="0.25">
      <c r="A48" s="46" t="s">
        <v>82</v>
      </c>
      <c r="B48" s="46" t="s">
        <v>166</v>
      </c>
      <c r="C48" s="47">
        <v>0</v>
      </c>
      <c r="G48" s="15"/>
      <c r="K48" s="15"/>
      <c r="O48" s="15"/>
      <c r="P48" s="15"/>
    </row>
    <row r="49" spans="1:16" x14ac:dyDescent="0.25">
      <c r="A49" s="46" t="s">
        <v>82</v>
      </c>
      <c r="B49" s="46" t="s">
        <v>167</v>
      </c>
      <c r="C49" s="47">
        <v>0</v>
      </c>
      <c r="G49" s="15"/>
      <c r="K49" s="15"/>
      <c r="O49" s="15"/>
      <c r="P49" s="15"/>
    </row>
    <row r="50" spans="1:16" x14ac:dyDescent="0.25">
      <c r="A50" s="46" t="s">
        <v>82</v>
      </c>
      <c r="B50" s="46" t="s">
        <v>168</v>
      </c>
      <c r="C50" s="47">
        <v>0</v>
      </c>
      <c r="G50" s="15"/>
      <c r="K50" s="15"/>
      <c r="O50" s="15"/>
      <c r="P50" s="15"/>
    </row>
    <row r="51" spans="1:16" x14ac:dyDescent="0.25">
      <c r="A51" s="46" t="s">
        <v>82</v>
      </c>
      <c r="B51" s="46" t="s">
        <v>169</v>
      </c>
      <c r="C51" s="47">
        <v>3</v>
      </c>
      <c r="D51" s="21" t="s">
        <v>1217</v>
      </c>
      <c r="G51" s="15"/>
      <c r="K51" s="15"/>
      <c r="O51" s="15"/>
      <c r="P51" s="15"/>
    </row>
    <row r="52" spans="1:16" x14ac:dyDescent="0.25">
      <c r="A52" s="46" t="s">
        <v>82</v>
      </c>
      <c r="B52" s="46" t="s">
        <v>170</v>
      </c>
      <c r="C52" s="47">
        <v>1</v>
      </c>
      <c r="G52" s="15"/>
      <c r="K52" s="15"/>
      <c r="O52" s="15"/>
      <c r="P52" s="15"/>
    </row>
    <row r="53" spans="1:16" x14ac:dyDescent="0.25">
      <c r="A53" s="46" t="s">
        <v>82</v>
      </c>
      <c r="B53" s="46" t="s">
        <v>171</v>
      </c>
      <c r="C53" s="47">
        <v>1.5</v>
      </c>
      <c r="G53" s="15"/>
      <c r="K53" s="15"/>
      <c r="O53" s="15"/>
      <c r="P53" s="15"/>
    </row>
    <row r="54" spans="1:16" x14ac:dyDescent="0.25">
      <c r="A54" s="46" t="s">
        <v>82</v>
      </c>
      <c r="B54" s="46" t="s">
        <v>172</v>
      </c>
      <c r="C54" s="47">
        <v>2</v>
      </c>
      <c r="G54" s="15"/>
      <c r="K54" s="15"/>
      <c r="O54" s="15"/>
      <c r="P54" s="15"/>
    </row>
    <row r="55" spans="1:16" x14ac:dyDescent="0.25">
      <c r="A55" s="46" t="s">
        <v>82</v>
      </c>
      <c r="B55" s="46" t="s">
        <v>173</v>
      </c>
      <c r="C55" s="47">
        <v>0</v>
      </c>
      <c r="G55" s="15"/>
      <c r="K55" s="15"/>
      <c r="O55" s="15"/>
      <c r="P55" s="15"/>
    </row>
    <row r="56" spans="1:16" x14ac:dyDescent="0.25">
      <c r="A56" s="46" t="s">
        <v>82</v>
      </c>
      <c r="B56" s="46" t="s">
        <v>174</v>
      </c>
      <c r="C56" s="47">
        <v>1</v>
      </c>
      <c r="G56" s="15"/>
      <c r="K56" s="15"/>
      <c r="O56" s="15"/>
      <c r="P56" s="15"/>
    </row>
    <row r="57" spans="1:16" x14ac:dyDescent="0.25">
      <c r="A57" s="46" t="s">
        <v>82</v>
      </c>
      <c r="B57" s="46" t="s">
        <v>175</v>
      </c>
      <c r="C57" s="47">
        <v>1</v>
      </c>
      <c r="G57" s="15"/>
      <c r="K57" s="15"/>
      <c r="O57" s="15"/>
      <c r="P57" s="15"/>
    </row>
    <row r="58" spans="1:16" x14ac:dyDescent="0.25">
      <c r="A58" s="46" t="s">
        <v>82</v>
      </c>
      <c r="B58" s="46" t="s">
        <v>176</v>
      </c>
      <c r="C58" s="47">
        <v>1</v>
      </c>
      <c r="G58" s="15"/>
      <c r="K58" s="15"/>
      <c r="O58" s="15"/>
      <c r="P58" s="15"/>
    </row>
    <row r="59" spans="1:16" x14ac:dyDescent="0.25">
      <c r="A59" s="46" t="s">
        <v>82</v>
      </c>
      <c r="B59" s="46" t="s">
        <v>177</v>
      </c>
      <c r="C59" s="47">
        <v>9</v>
      </c>
      <c r="G59" s="15"/>
      <c r="K59" s="15"/>
      <c r="O59" s="15"/>
      <c r="P59" s="15"/>
    </row>
    <row r="60" spans="1:16" x14ac:dyDescent="0.25">
      <c r="A60" s="46" t="s">
        <v>82</v>
      </c>
      <c r="B60" s="46" t="s">
        <v>178</v>
      </c>
      <c r="C60" s="47">
        <v>2</v>
      </c>
      <c r="G60" s="15"/>
      <c r="K60" s="15"/>
      <c r="O60" s="15"/>
      <c r="P60" s="15"/>
    </row>
    <row r="61" spans="1:16" x14ac:dyDescent="0.25">
      <c r="A61" s="46" t="s">
        <v>82</v>
      </c>
      <c r="B61" s="46" t="s">
        <v>179</v>
      </c>
      <c r="C61" s="47">
        <v>1</v>
      </c>
      <c r="G61" s="15"/>
      <c r="K61" s="15"/>
      <c r="O61" s="15"/>
      <c r="P61" s="15"/>
    </row>
    <row r="62" spans="1:16" x14ac:dyDescent="0.25">
      <c r="A62" s="46" t="s">
        <v>82</v>
      </c>
      <c r="B62" s="46" t="s">
        <v>180</v>
      </c>
      <c r="C62" s="47">
        <v>1</v>
      </c>
      <c r="G62" s="15"/>
      <c r="K62" s="15"/>
      <c r="O62" s="15"/>
      <c r="P62" s="15"/>
    </row>
    <row r="63" spans="1:16" x14ac:dyDescent="0.25">
      <c r="A63" s="46" t="s">
        <v>82</v>
      </c>
      <c r="B63" s="46" t="s">
        <v>181</v>
      </c>
      <c r="C63" s="47">
        <v>2</v>
      </c>
      <c r="G63" s="15"/>
      <c r="K63" s="15"/>
      <c r="O63" s="15"/>
      <c r="P63" s="15"/>
    </row>
    <row r="64" spans="1:16" x14ac:dyDescent="0.25">
      <c r="A64" s="46" t="s">
        <v>82</v>
      </c>
      <c r="B64" s="46" t="s">
        <v>182</v>
      </c>
      <c r="C64" s="47">
        <v>4</v>
      </c>
      <c r="G64" s="15"/>
      <c r="K64" s="15"/>
      <c r="O64" s="15"/>
      <c r="P64" s="15"/>
    </row>
    <row r="65" spans="3:16" x14ac:dyDescent="0.25">
      <c r="C65" s="15"/>
      <c r="G65" s="15"/>
      <c r="K65" s="15"/>
      <c r="O65" s="15"/>
      <c r="P65" s="15"/>
    </row>
    <row r="66" spans="3:16" x14ac:dyDescent="0.25">
      <c r="C66" s="15"/>
      <c r="G66" s="15"/>
      <c r="K66" s="15"/>
      <c r="O66" s="15"/>
      <c r="P66" s="15"/>
    </row>
    <row r="67" spans="3:16" x14ac:dyDescent="0.25">
      <c r="C67" s="15"/>
      <c r="G67" s="15"/>
      <c r="K67" s="15"/>
      <c r="O67" s="15"/>
      <c r="P67" s="15"/>
    </row>
    <row r="68" spans="3:16" x14ac:dyDescent="0.25">
      <c r="C68" s="15"/>
      <c r="G68" s="15"/>
      <c r="K68" s="15"/>
      <c r="O68" s="15"/>
      <c r="P68" s="15"/>
    </row>
    <row r="69" spans="3:16" x14ac:dyDescent="0.25">
      <c r="C69" s="15"/>
      <c r="G69" s="15"/>
      <c r="K69" s="15"/>
      <c r="O69" s="15"/>
      <c r="P69" s="15"/>
    </row>
    <row r="70" spans="3:16" x14ac:dyDescent="0.25">
      <c r="C70" s="15"/>
      <c r="G70" s="15"/>
      <c r="K70" s="15"/>
      <c r="O70" s="15"/>
      <c r="P70" s="15"/>
    </row>
    <row r="71" spans="3:16" x14ac:dyDescent="0.25">
      <c r="C71" s="15"/>
      <c r="G71" s="15"/>
      <c r="K71" s="15"/>
      <c r="O71" s="15"/>
      <c r="P71" s="15"/>
    </row>
    <row r="72" spans="3:16" x14ac:dyDescent="0.25">
      <c r="C72" s="15"/>
      <c r="G72" s="15"/>
      <c r="K72" s="15"/>
      <c r="O72" s="15"/>
      <c r="P72" s="15"/>
    </row>
    <row r="73" spans="3:16" x14ac:dyDescent="0.25">
      <c r="C73" s="15"/>
      <c r="G73" s="15"/>
      <c r="K73" s="15"/>
      <c r="O73" s="15"/>
      <c r="P73" s="15"/>
    </row>
    <row r="74" spans="3:16" x14ac:dyDescent="0.25">
      <c r="C74" s="15"/>
      <c r="G74" s="15"/>
      <c r="K74" s="15"/>
      <c r="O74" s="15"/>
      <c r="P74" s="15"/>
    </row>
    <row r="75" spans="3:16" x14ac:dyDescent="0.25">
      <c r="C75" s="15"/>
      <c r="G75" s="15"/>
      <c r="K75" s="15"/>
      <c r="O75" s="15"/>
      <c r="P75" s="15"/>
    </row>
    <row r="76" spans="3:16" x14ac:dyDescent="0.25">
      <c r="C76" s="15"/>
      <c r="G76" s="15"/>
      <c r="K76" s="15"/>
      <c r="O76" s="15"/>
      <c r="P76" s="15"/>
    </row>
    <row r="77" spans="3:16" x14ac:dyDescent="0.25">
      <c r="C77" s="15"/>
      <c r="G77" s="15"/>
      <c r="K77" s="15"/>
      <c r="O77" s="15"/>
      <c r="P77" s="15"/>
    </row>
    <row r="78" spans="3:16" x14ac:dyDescent="0.25">
      <c r="C78" s="15"/>
      <c r="G78" s="15"/>
      <c r="K78" s="15"/>
      <c r="O78" s="15"/>
      <c r="P78" s="15"/>
    </row>
    <row r="79" spans="3:16" x14ac:dyDescent="0.25">
      <c r="C79" s="15"/>
      <c r="G79" s="15"/>
      <c r="K79" s="15"/>
      <c r="O79" s="15"/>
      <c r="P79" s="15"/>
    </row>
    <row r="80" spans="3:16" x14ac:dyDescent="0.25">
      <c r="C80" s="15"/>
      <c r="G80" s="15"/>
      <c r="K80" s="15"/>
      <c r="O80" s="15"/>
      <c r="P80" s="15"/>
    </row>
    <row r="81" spans="3:16" x14ac:dyDescent="0.25">
      <c r="C81" s="15"/>
      <c r="G81" s="15"/>
      <c r="K81" s="15"/>
      <c r="O81" s="15"/>
      <c r="P81" s="15"/>
    </row>
    <row r="82" spans="3:16" x14ac:dyDescent="0.25">
      <c r="C82" s="15"/>
      <c r="G82" s="15"/>
      <c r="K82" s="15"/>
      <c r="O82" s="15"/>
      <c r="P82" s="15"/>
    </row>
    <row r="83" spans="3:16" x14ac:dyDescent="0.25">
      <c r="C83" s="15"/>
      <c r="G83" s="15"/>
      <c r="K83" s="15"/>
      <c r="O83" s="15"/>
      <c r="P83" s="15"/>
    </row>
    <row r="84" spans="3:16" x14ac:dyDescent="0.25">
      <c r="C84" s="15"/>
      <c r="G84" s="15"/>
      <c r="K84" s="15"/>
      <c r="O84" s="15"/>
      <c r="P84" s="15"/>
    </row>
    <row r="85" spans="3:16" x14ac:dyDescent="0.25">
      <c r="C85" s="15"/>
      <c r="G85" s="15"/>
      <c r="K85" s="15"/>
      <c r="O85" s="15"/>
      <c r="P85" s="15"/>
    </row>
    <row r="86" spans="3:16" x14ac:dyDescent="0.25">
      <c r="C86" s="15"/>
      <c r="G86" s="15"/>
      <c r="K86" s="15"/>
      <c r="O86" s="15"/>
      <c r="P86" s="15"/>
    </row>
    <row r="87" spans="3:16" x14ac:dyDescent="0.25">
      <c r="C87" s="15"/>
      <c r="G87" s="15"/>
      <c r="K87" s="15"/>
      <c r="O87" s="15"/>
      <c r="P87" s="15"/>
    </row>
    <row r="88" spans="3:16" x14ac:dyDescent="0.25">
      <c r="C88" s="15"/>
      <c r="G88" s="15"/>
      <c r="K88" s="15"/>
      <c r="O88" s="15"/>
      <c r="P88" s="15"/>
    </row>
    <row r="89" spans="3:16" x14ac:dyDescent="0.25">
      <c r="C89" s="15"/>
      <c r="G89" s="15"/>
      <c r="K89" s="15"/>
      <c r="O89" s="15"/>
      <c r="P89" s="15"/>
    </row>
    <row r="90" spans="3:16" x14ac:dyDescent="0.25">
      <c r="C90" s="15"/>
      <c r="G90" s="15"/>
      <c r="K90" s="15"/>
      <c r="O90" s="15"/>
      <c r="P90" s="15"/>
    </row>
    <row r="91" spans="3:16" x14ac:dyDescent="0.25">
      <c r="C91" s="15"/>
      <c r="G91" s="15"/>
      <c r="K91" s="15"/>
      <c r="O91" s="15"/>
      <c r="P91" s="15"/>
    </row>
    <row r="92" spans="3:16" x14ac:dyDescent="0.25">
      <c r="C92" s="15"/>
      <c r="G92" s="15"/>
      <c r="K92" s="15"/>
      <c r="O92" s="15"/>
      <c r="P92" s="15"/>
    </row>
    <row r="93" spans="3:16" x14ac:dyDescent="0.25">
      <c r="C93" s="15"/>
      <c r="G93" s="15"/>
      <c r="K93" s="15"/>
      <c r="O93" s="15"/>
      <c r="P93" s="15"/>
    </row>
    <row r="94" spans="3:16" x14ac:dyDescent="0.25">
      <c r="C94" s="15"/>
      <c r="G94" s="15"/>
      <c r="K94" s="15"/>
      <c r="O94" s="15"/>
      <c r="P94" s="15"/>
    </row>
    <row r="95" spans="3:16" x14ac:dyDescent="0.25">
      <c r="C95" s="15"/>
      <c r="G95" s="15"/>
      <c r="K95" s="15"/>
      <c r="O95" s="15"/>
      <c r="P95" s="15"/>
    </row>
    <row r="96" spans="3:16" x14ac:dyDescent="0.25">
      <c r="C96" s="15"/>
      <c r="G96" s="15"/>
      <c r="K96" s="15"/>
      <c r="O96" s="15"/>
      <c r="P96" s="15"/>
    </row>
    <row r="97" spans="3:16" x14ac:dyDescent="0.25">
      <c r="C97" s="15"/>
      <c r="G97" s="15"/>
      <c r="K97" s="15"/>
      <c r="O97" s="15"/>
      <c r="P97" s="15"/>
    </row>
    <row r="98" spans="3:16" x14ac:dyDescent="0.25">
      <c r="C98" s="15"/>
      <c r="G98" s="15"/>
      <c r="K98" s="15"/>
      <c r="O98" s="15"/>
      <c r="P98" s="15"/>
    </row>
    <row r="99" spans="3:16" x14ac:dyDescent="0.25">
      <c r="C99" s="15"/>
      <c r="G99" s="15"/>
      <c r="K99" s="15"/>
      <c r="O99" s="15"/>
      <c r="P99" s="15"/>
    </row>
    <row r="100" spans="3:16" x14ac:dyDescent="0.25">
      <c r="C100" s="15"/>
      <c r="G100" s="15"/>
      <c r="K100" s="15"/>
      <c r="O100" s="15"/>
      <c r="P100" s="15"/>
    </row>
    <row r="101" spans="3:16" x14ac:dyDescent="0.25">
      <c r="C101" s="15"/>
      <c r="G101" s="15"/>
      <c r="K101" s="15"/>
      <c r="O101" s="15"/>
      <c r="P101" s="15"/>
    </row>
    <row r="102" spans="3:16" x14ac:dyDescent="0.25">
      <c r="C102" s="15"/>
      <c r="G102" s="15"/>
      <c r="K102" s="15"/>
      <c r="O102" s="15"/>
      <c r="P102" s="15"/>
    </row>
    <row r="103" spans="3:16" x14ac:dyDescent="0.25">
      <c r="C103" s="15"/>
      <c r="G103" s="15"/>
      <c r="K103" s="15"/>
      <c r="O103" s="15"/>
      <c r="P103" s="15"/>
    </row>
    <row r="104" spans="3:16" x14ac:dyDescent="0.25">
      <c r="C104" s="15"/>
      <c r="G104" s="15"/>
      <c r="K104" s="15"/>
      <c r="O104" s="15"/>
      <c r="P104" s="15"/>
    </row>
    <row r="105" spans="3:16" x14ac:dyDescent="0.25">
      <c r="C105" s="15"/>
      <c r="G105" s="15"/>
      <c r="K105" s="15"/>
      <c r="O105" s="15"/>
      <c r="P105" s="15"/>
    </row>
    <row r="106" spans="3:16" x14ac:dyDescent="0.25">
      <c r="C106" s="15"/>
      <c r="G106" s="15"/>
      <c r="K106" s="15"/>
      <c r="O106" s="15"/>
      <c r="P106" s="15"/>
    </row>
    <row r="107" spans="3:16" x14ac:dyDescent="0.25">
      <c r="C107" s="15"/>
      <c r="G107" s="15"/>
      <c r="K107" s="15"/>
      <c r="O107" s="15"/>
      <c r="P107" s="15"/>
    </row>
    <row r="108" spans="3:16" x14ac:dyDescent="0.25">
      <c r="C108" s="15"/>
      <c r="G108" s="15"/>
      <c r="K108" s="15"/>
      <c r="O108" s="15"/>
      <c r="P108" s="15"/>
    </row>
    <row r="109" spans="3:16" x14ac:dyDescent="0.25">
      <c r="C109" s="15"/>
      <c r="G109" s="15"/>
      <c r="K109" s="15"/>
      <c r="O109" s="15"/>
      <c r="P109" s="15"/>
    </row>
    <row r="110" spans="3:16" x14ac:dyDescent="0.25">
      <c r="C110" s="15"/>
      <c r="G110" s="15"/>
      <c r="K110" s="15"/>
      <c r="O110" s="15"/>
      <c r="P110" s="15"/>
    </row>
    <row r="111" spans="3:16" x14ac:dyDescent="0.25">
      <c r="C111" s="15"/>
      <c r="G111" s="15"/>
      <c r="K111" s="15"/>
      <c r="O111" s="15"/>
      <c r="P111" s="15"/>
    </row>
    <row r="112" spans="3:16" x14ac:dyDescent="0.25">
      <c r="C112" s="15"/>
      <c r="G112" s="15"/>
      <c r="K112" s="15"/>
      <c r="O112" s="15"/>
      <c r="P112" s="15"/>
    </row>
    <row r="113" spans="3:16" x14ac:dyDescent="0.25">
      <c r="C113" s="15"/>
      <c r="G113" s="15"/>
      <c r="K113" s="15"/>
      <c r="O113" s="15"/>
      <c r="P113" s="15"/>
    </row>
    <row r="114" spans="3:16" x14ac:dyDescent="0.25">
      <c r="C114" s="15"/>
      <c r="G114" s="15"/>
      <c r="K114" s="15"/>
      <c r="O114" s="15"/>
      <c r="P114" s="15"/>
    </row>
    <row r="115" spans="3:16" x14ac:dyDescent="0.25">
      <c r="C115" s="15"/>
      <c r="G115" s="15"/>
      <c r="K115" s="15"/>
      <c r="O115" s="15"/>
      <c r="P115" s="15"/>
    </row>
    <row r="116" spans="3:16" x14ac:dyDescent="0.25">
      <c r="C116" s="15"/>
      <c r="G116" s="15"/>
      <c r="K116" s="15"/>
      <c r="O116" s="15"/>
      <c r="P116" s="15"/>
    </row>
    <row r="117" spans="3:16" x14ac:dyDescent="0.25">
      <c r="C117" s="15"/>
      <c r="G117" s="15"/>
      <c r="K117" s="15"/>
      <c r="O117" s="15"/>
      <c r="P117" s="15"/>
    </row>
    <row r="118" spans="3:16" x14ac:dyDescent="0.25">
      <c r="C118" s="15"/>
      <c r="G118" s="15"/>
      <c r="K118" s="15"/>
      <c r="O118" s="15"/>
      <c r="P118" s="15"/>
    </row>
    <row r="119" spans="3:16" x14ac:dyDescent="0.25">
      <c r="C119" s="15"/>
      <c r="G119" s="15"/>
      <c r="K119" s="15"/>
      <c r="O119" s="15"/>
      <c r="P119" s="15"/>
    </row>
    <row r="120" spans="3:16" x14ac:dyDescent="0.25">
      <c r="C120" s="15"/>
      <c r="G120" s="15"/>
      <c r="K120" s="15"/>
      <c r="O120" s="15"/>
      <c r="P120" s="15"/>
    </row>
    <row r="121" spans="3:16" x14ac:dyDescent="0.25">
      <c r="C121" s="15"/>
      <c r="G121" s="15"/>
      <c r="K121" s="15"/>
      <c r="O121" s="15"/>
      <c r="P121" s="15"/>
    </row>
    <row r="122" spans="3:16" x14ac:dyDescent="0.25">
      <c r="C122" s="15"/>
      <c r="G122" s="15"/>
      <c r="K122" s="15"/>
      <c r="O122" s="15"/>
      <c r="P122" s="15"/>
    </row>
    <row r="123" spans="3:16" x14ac:dyDescent="0.25">
      <c r="C123" s="15"/>
      <c r="G123" s="15"/>
      <c r="K123" s="15"/>
      <c r="O123" s="15"/>
      <c r="P123" s="15"/>
    </row>
    <row r="124" spans="3:16" x14ac:dyDescent="0.25">
      <c r="C124" s="15"/>
      <c r="G124" s="15"/>
      <c r="K124" s="15"/>
      <c r="O124" s="15"/>
      <c r="P124" s="15"/>
    </row>
    <row r="125" spans="3:16" x14ac:dyDescent="0.25">
      <c r="C125" s="15"/>
      <c r="G125" s="15"/>
      <c r="K125" s="15"/>
      <c r="O125" s="15"/>
      <c r="P125" s="15"/>
    </row>
    <row r="126" spans="3:16" x14ac:dyDescent="0.25">
      <c r="C126" s="15"/>
      <c r="G126" s="15"/>
      <c r="K126" s="15"/>
      <c r="O126" s="15"/>
      <c r="P126" s="15"/>
    </row>
    <row r="127" spans="3:16" x14ac:dyDescent="0.25">
      <c r="C127" s="15"/>
      <c r="G127" s="15"/>
      <c r="K127" s="15"/>
      <c r="O127" s="15"/>
      <c r="P127" s="15"/>
    </row>
    <row r="128" spans="3:16" x14ac:dyDescent="0.25">
      <c r="C128" s="15"/>
      <c r="G128" s="15"/>
      <c r="K128" s="15"/>
      <c r="O128" s="15"/>
      <c r="P128" s="15"/>
    </row>
    <row r="129" spans="3:16" x14ac:dyDescent="0.25">
      <c r="C129" s="15"/>
      <c r="G129" s="15"/>
      <c r="K129" s="15"/>
      <c r="O129" s="15"/>
      <c r="P129" s="15"/>
    </row>
    <row r="130" spans="3:16" x14ac:dyDescent="0.25">
      <c r="C130" s="15"/>
      <c r="G130" s="15"/>
      <c r="K130" s="15"/>
      <c r="O130" s="15"/>
      <c r="P130" s="15"/>
    </row>
    <row r="131" spans="3:16" x14ac:dyDescent="0.25">
      <c r="C131" s="15"/>
      <c r="G131" s="15"/>
      <c r="K131" s="15"/>
      <c r="O131" s="15"/>
      <c r="P131" s="15"/>
    </row>
    <row r="132" spans="3:16" x14ac:dyDescent="0.25">
      <c r="C132" s="15"/>
      <c r="G132" s="15"/>
      <c r="K132" s="15"/>
      <c r="O132" s="15"/>
      <c r="P132" s="15"/>
    </row>
    <row r="133" spans="3:16" x14ac:dyDescent="0.25">
      <c r="C133" s="15"/>
      <c r="G133" s="15"/>
      <c r="K133" s="15"/>
      <c r="O133" s="15"/>
      <c r="P133" s="15"/>
    </row>
    <row r="134" spans="3:16" x14ac:dyDescent="0.25">
      <c r="C134" s="15"/>
      <c r="G134" s="15"/>
      <c r="K134" s="15"/>
      <c r="O134" s="15"/>
      <c r="P134" s="15"/>
    </row>
    <row r="135" spans="3:16" x14ac:dyDescent="0.25">
      <c r="C135" s="15"/>
      <c r="G135" s="15"/>
      <c r="K135" s="15"/>
      <c r="O135" s="15"/>
      <c r="P135" s="15"/>
    </row>
    <row r="136" spans="3:16" x14ac:dyDescent="0.25">
      <c r="C136" s="15"/>
      <c r="G136" s="15"/>
      <c r="K136" s="15"/>
      <c r="O136" s="15"/>
      <c r="P136" s="15"/>
    </row>
    <row r="137" spans="3:16" x14ac:dyDescent="0.25">
      <c r="C137" s="15"/>
      <c r="G137" s="15"/>
      <c r="K137" s="15"/>
      <c r="O137" s="15"/>
      <c r="P137" s="15"/>
    </row>
    <row r="138" spans="3:16" x14ac:dyDescent="0.25">
      <c r="C138" s="15"/>
      <c r="G138" s="15"/>
      <c r="K138" s="15"/>
      <c r="O138" s="15"/>
      <c r="P138" s="15"/>
    </row>
    <row r="139" spans="3:16" x14ac:dyDescent="0.25">
      <c r="C139" s="15"/>
      <c r="G139" s="15"/>
      <c r="K139" s="15"/>
      <c r="O139" s="15"/>
      <c r="P139" s="15"/>
    </row>
    <row r="140" spans="3:16" x14ac:dyDescent="0.25">
      <c r="C140" s="15"/>
      <c r="G140" s="15"/>
      <c r="K140" s="15"/>
      <c r="O140" s="15"/>
      <c r="P140" s="15"/>
    </row>
    <row r="141" spans="3:16" x14ac:dyDescent="0.25">
      <c r="C141" s="15"/>
      <c r="G141" s="15"/>
      <c r="K141" s="15"/>
      <c r="O141" s="15"/>
      <c r="P141" s="15"/>
    </row>
    <row r="142" spans="3:16" x14ac:dyDescent="0.25">
      <c r="C142" s="15"/>
      <c r="G142" s="15"/>
      <c r="K142" s="15"/>
      <c r="O142" s="15"/>
      <c r="P142" s="15"/>
    </row>
    <row r="143" spans="3:16" x14ac:dyDescent="0.25">
      <c r="C143" s="15"/>
      <c r="G143" s="15"/>
      <c r="K143" s="15"/>
      <c r="O143" s="15"/>
      <c r="P143" s="15"/>
    </row>
    <row r="144" spans="3:16" x14ac:dyDescent="0.25">
      <c r="C144" s="15"/>
      <c r="G144" s="15"/>
      <c r="K144" s="15"/>
      <c r="O144" s="15"/>
      <c r="P144" s="15"/>
    </row>
    <row r="145" spans="3:16" x14ac:dyDescent="0.25">
      <c r="C145" s="15"/>
      <c r="G145" s="15"/>
      <c r="K145" s="15"/>
      <c r="O145" s="15"/>
      <c r="P145" s="15"/>
    </row>
    <row r="146" spans="3:16" x14ac:dyDescent="0.25">
      <c r="C146" s="15"/>
      <c r="G146" s="15"/>
      <c r="K146" s="15"/>
      <c r="O146" s="15"/>
      <c r="P146" s="15"/>
    </row>
    <row r="147" spans="3:16" x14ac:dyDescent="0.25">
      <c r="C147" s="15"/>
      <c r="G147" s="15"/>
      <c r="K147" s="15"/>
      <c r="O147" s="15"/>
      <c r="P147" s="15"/>
    </row>
    <row r="148" spans="3:16" x14ac:dyDescent="0.25">
      <c r="C148" s="15"/>
      <c r="G148" s="15"/>
      <c r="K148" s="15"/>
      <c r="O148" s="15"/>
      <c r="P148" s="15"/>
    </row>
    <row r="149" spans="3:16" x14ac:dyDescent="0.25">
      <c r="C149" s="15"/>
      <c r="G149" s="15"/>
      <c r="K149" s="15"/>
      <c r="O149" s="15"/>
      <c r="P149" s="15"/>
    </row>
    <row r="150" spans="3:16" x14ac:dyDescent="0.25">
      <c r="C150" s="15"/>
      <c r="G150" s="15"/>
      <c r="K150" s="15"/>
      <c r="O150" s="15"/>
      <c r="P150" s="15"/>
    </row>
    <row r="151" spans="3:16" x14ac:dyDescent="0.25">
      <c r="C151" s="15"/>
      <c r="G151" s="15"/>
      <c r="K151" s="15"/>
      <c r="O151" s="15"/>
      <c r="P151" s="15"/>
    </row>
    <row r="152" spans="3:16" x14ac:dyDescent="0.25">
      <c r="C152" s="15"/>
      <c r="G152" s="15"/>
      <c r="K152" s="15"/>
      <c r="O152" s="15"/>
      <c r="P152" s="15"/>
    </row>
    <row r="153" spans="3:16" x14ac:dyDescent="0.25">
      <c r="C153" s="15"/>
      <c r="G153" s="15"/>
      <c r="K153" s="15"/>
      <c r="O153" s="15"/>
      <c r="P153" s="15"/>
    </row>
    <row r="154" spans="3:16" x14ac:dyDescent="0.25">
      <c r="C154" s="15"/>
      <c r="G154" s="15"/>
      <c r="K154" s="15"/>
      <c r="O154" s="15"/>
      <c r="P154" s="15"/>
    </row>
    <row r="155" spans="3:16" x14ac:dyDescent="0.25">
      <c r="C155" s="15"/>
      <c r="G155" s="15"/>
      <c r="K155" s="15"/>
      <c r="O155" s="15"/>
      <c r="P155" s="15"/>
    </row>
    <row r="156" spans="3:16" x14ac:dyDescent="0.25">
      <c r="C156" s="15"/>
      <c r="G156" s="15"/>
      <c r="K156" s="15"/>
      <c r="O156" s="15"/>
      <c r="P156" s="15"/>
    </row>
    <row r="157" spans="3:16" x14ac:dyDescent="0.25">
      <c r="C157" s="15"/>
      <c r="G157" s="15"/>
      <c r="K157" s="15"/>
      <c r="O157" s="15"/>
      <c r="P157" s="15"/>
    </row>
    <row r="158" spans="3:16" x14ac:dyDescent="0.25">
      <c r="C158" s="15"/>
      <c r="G158" s="15"/>
      <c r="K158" s="15"/>
      <c r="O158" s="15"/>
      <c r="P158" s="15"/>
    </row>
    <row r="159" spans="3:16" x14ac:dyDescent="0.25">
      <c r="C159" s="15"/>
      <c r="G159" s="15"/>
      <c r="K159" s="15"/>
      <c r="O159" s="15"/>
      <c r="P159" s="15"/>
    </row>
    <row r="160" spans="3:16" x14ac:dyDescent="0.25">
      <c r="C160" s="15"/>
      <c r="G160" s="15"/>
      <c r="K160" s="15"/>
      <c r="O160" s="15"/>
      <c r="P160" s="15"/>
    </row>
    <row r="161" spans="3:16" x14ac:dyDescent="0.25">
      <c r="C161" s="15"/>
      <c r="G161" s="15"/>
      <c r="K161" s="15"/>
      <c r="O161" s="15"/>
      <c r="P161" s="15"/>
    </row>
    <row r="162" spans="3:16" x14ac:dyDescent="0.25">
      <c r="C162" s="15"/>
      <c r="G162" s="15"/>
      <c r="K162" s="15"/>
      <c r="O162" s="15"/>
      <c r="P162" s="15"/>
    </row>
    <row r="163" spans="3:16" x14ac:dyDescent="0.25">
      <c r="C163" s="15"/>
      <c r="G163" s="15"/>
      <c r="K163" s="15"/>
      <c r="O163" s="15"/>
      <c r="P163" s="15"/>
    </row>
    <row r="164" spans="3:16" x14ac:dyDescent="0.25">
      <c r="C164" s="15"/>
      <c r="G164" s="15"/>
      <c r="K164" s="15"/>
      <c r="O164" s="15"/>
      <c r="P164" s="15"/>
    </row>
    <row r="165" spans="3:16" x14ac:dyDescent="0.25">
      <c r="C165" s="15"/>
      <c r="G165" s="15"/>
      <c r="K165" s="15"/>
      <c r="O165" s="15"/>
      <c r="P165" s="15"/>
    </row>
    <row r="166" spans="3:16" x14ac:dyDescent="0.25">
      <c r="C166" s="15"/>
      <c r="G166" s="15"/>
      <c r="K166" s="15"/>
      <c r="O166" s="15"/>
      <c r="P166" s="15"/>
    </row>
    <row r="167" spans="3:16" x14ac:dyDescent="0.25">
      <c r="C167" s="15"/>
      <c r="G167" s="15"/>
      <c r="K167" s="15"/>
      <c r="O167" s="15"/>
      <c r="P167" s="15"/>
    </row>
    <row r="168" spans="3:16" x14ac:dyDescent="0.25">
      <c r="C168" s="15"/>
      <c r="G168" s="15"/>
      <c r="K168" s="15"/>
      <c r="O168" s="15"/>
      <c r="P168" s="15"/>
    </row>
    <row r="169" spans="3:16" x14ac:dyDescent="0.25">
      <c r="C169" s="15"/>
      <c r="G169" s="15"/>
      <c r="K169" s="15"/>
      <c r="O169" s="15"/>
      <c r="P169" s="15"/>
    </row>
    <row r="170" spans="3:16" x14ac:dyDescent="0.25">
      <c r="C170" s="15"/>
      <c r="G170" s="15"/>
      <c r="K170" s="15"/>
      <c r="O170" s="15"/>
      <c r="P170" s="15"/>
    </row>
    <row r="171" spans="3:16" x14ac:dyDescent="0.25">
      <c r="C171" s="15"/>
      <c r="G171" s="15"/>
      <c r="K171" s="15"/>
      <c r="O171" s="15"/>
      <c r="P171" s="15"/>
    </row>
    <row r="172" spans="3:16" x14ac:dyDescent="0.25">
      <c r="C172" s="15"/>
      <c r="G172" s="15"/>
      <c r="K172" s="15"/>
      <c r="O172" s="15"/>
      <c r="P172" s="15"/>
    </row>
    <row r="173" spans="3:16" x14ac:dyDescent="0.25">
      <c r="C173" s="15"/>
      <c r="G173" s="15"/>
      <c r="K173" s="15"/>
      <c r="O173" s="15"/>
      <c r="P173" s="15"/>
    </row>
    <row r="174" spans="3:16" x14ac:dyDescent="0.25">
      <c r="C174" s="15"/>
      <c r="G174" s="15"/>
      <c r="K174" s="15"/>
      <c r="O174" s="15"/>
      <c r="P174" s="15"/>
    </row>
    <row r="175" spans="3:16" x14ac:dyDescent="0.25">
      <c r="C175" s="15"/>
      <c r="G175" s="15"/>
      <c r="K175" s="15"/>
      <c r="O175" s="15"/>
      <c r="P175" s="15"/>
    </row>
    <row r="176" spans="3:16" x14ac:dyDescent="0.25">
      <c r="C176" s="15"/>
      <c r="G176" s="15"/>
      <c r="K176" s="15"/>
      <c r="O176" s="15"/>
      <c r="P176" s="15"/>
    </row>
    <row r="177" spans="3:16" x14ac:dyDescent="0.25">
      <c r="C177" s="15"/>
      <c r="G177" s="15"/>
      <c r="K177" s="15"/>
      <c r="O177" s="15"/>
      <c r="P177" s="15"/>
    </row>
    <row r="178" spans="3:16" x14ac:dyDescent="0.25">
      <c r="C178" s="15"/>
      <c r="G178" s="15"/>
      <c r="K178" s="15"/>
      <c r="O178" s="15"/>
      <c r="P178" s="15"/>
    </row>
    <row r="179" spans="3:16" x14ac:dyDescent="0.25">
      <c r="C179" s="15"/>
      <c r="G179" s="15"/>
      <c r="K179" s="15"/>
      <c r="O179" s="15"/>
      <c r="P179" s="15"/>
    </row>
    <row r="180" spans="3:16" x14ac:dyDescent="0.25">
      <c r="C180" s="15"/>
      <c r="G180" s="15"/>
      <c r="K180" s="15"/>
      <c r="O180" s="15"/>
      <c r="P180" s="15"/>
    </row>
    <row r="181" spans="3:16" x14ac:dyDescent="0.25">
      <c r="C181" s="15"/>
      <c r="G181" s="15"/>
      <c r="K181" s="15"/>
      <c r="O181" s="15"/>
      <c r="P181" s="15"/>
    </row>
    <row r="182" spans="3:16" x14ac:dyDescent="0.25">
      <c r="C182" s="15"/>
      <c r="G182" s="15"/>
      <c r="K182" s="15"/>
      <c r="O182" s="15"/>
      <c r="P182" s="15"/>
    </row>
    <row r="183" spans="3:16" x14ac:dyDescent="0.25">
      <c r="C183" s="15"/>
      <c r="G183" s="15"/>
      <c r="K183" s="15"/>
      <c r="O183" s="15"/>
      <c r="P183" s="15"/>
    </row>
    <row r="184" spans="3:16" x14ac:dyDescent="0.25">
      <c r="C184" s="15"/>
      <c r="G184" s="15"/>
      <c r="K184" s="15"/>
      <c r="O184" s="15"/>
      <c r="P184" s="15"/>
    </row>
    <row r="185" spans="3:16" x14ac:dyDescent="0.25">
      <c r="C185" s="15"/>
      <c r="G185" s="15"/>
      <c r="K185" s="15"/>
      <c r="O185" s="15"/>
      <c r="P185" s="15"/>
    </row>
    <row r="186" spans="3:16" x14ac:dyDescent="0.25">
      <c r="C186" s="15"/>
      <c r="G186" s="15"/>
      <c r="K186" s="15"/>
      <c r="O186" s="15"/>
      <c r="P186" s="15"/>
    </row>
    <row r="187" spans="3:16" x14ac:dyDescent="0.25">
      <c r="C187" s="15"/>
      <c r="G187" s="15"/>
      <c r="K187" s="15"/>
      <c r="O187" s="15"/>
      <c r="P187" s="15"/>
    </row>
    <row r="188" spans="3:16" x14ac:dyDescent="0.25">
      <c r="C188" s="15"/>
      <c r="G188" s="15"/>
      <c r="K188" s="15"/>
      <c r="O188" s="15"/>
      <c r="P188" s="15"/>
    </row>
    <row r="189" spans="3:16" x14ac:dyDescent="0.25">
      <c r="C189" s="15"/>
      <c r="G189" s="15"/>
      <c r="K189" s="15"/>
      <c r="O189" s="15"/>
      <c r="P189" s="15"/>
    </row>
    <row r="190" spans="3:16" x14ac:dyDescent="0.25">
      <c r="C190" s="15"/>
      <c r="G190" s="15"/>
      <c r="K190" s="15"/>
      <c r="O190" s="15"/>
      <c r="P190" s="15"/>
    </row>
    <row r="191" spans="3:16" x14ac:dyDescent="0.25">
      <c r="C191" s="15"/>
      <c r="G191" s="15"/>
      <c r="K191" s="15"/>
      <c r="O191" s="15"/>
      <c r="P191" s="15"/>
    </row>
    <row r="192" spans="3:16" x14ac:dyDescent="0.25">
      <c r="C192" s="15"/>
      <c r="G192" s="15"/>
      <c r="K192" s="15"/>
      <c r="O192" s="15"/>
      <c r="P192" s="15"/>
    </row>
    <row r="193" spans="3:16" x14ac:dyDescent="0.25">
      <c r="C193" s="15"/>
      <c r="G193" s="15"/>
      <c r="K193" s="15"/>
      <c r="O193" s="15"/>
      <c r="P193" s="15"/>
    </row>
    <row r="194" spans="3:16" x14ac:dyDescent="0.25">
      <c r="C194" s="15"/>
      <c r="G194" s="15"/>
      <c r="K194" s="15"/>
      <c r="O194" s="15"/>
      <c r="P194" s="15"/>
    </row>
    <row r="195" spans="3:16" x14ac:dyDescent="0.25">
      <c r="C195" s="15"/>
      <c r="G195" s="15"/>
      <c r="K195" s="15"/>
      <c r="O195" s="15"/>
      <c r="P195" s="15"/>
    </row>
    <row r="196" spans="3:16" x14ac:dyDescent="0.25">
      <c r="C196" s="15"/>
      <c r="G196" s="15"/>
      <c r="K196" s="15"/>
      <c r="O196" s="15"/>
      <c r="P196" s="15"/>
    </row>
    <row r="197" spans="3:16" x14ac:dyDescent="0.25">
      <c r="C197" s="15"/>
      <c r="G197" s="15"/>
      <c r="K197" s="15"/>
      <c r="O197" s="15"/>
      <c r="P197" s="15"/>
    </row>
    <row r="198" spans="3:16" x14ac:dyDescent="0.25">
      <c r="C198" s="15"/>
      <c r="G198" s="15"/>
      <c r="K198" s="15"/>
      <c r="O198" s="15"/>
      <c r="P198" s="15"/>
    </row>
    <row r="199" spans="3:16" x14ac:dyDescent="0.25">
      <c r="C199" s="15"/>
      <c r="G199" s="15"/>
      <c r="K199" s="15"/>
      <c r="O199" s="15"/>
      <c r="P199" s="15"/>
    </row>
    <row r="200" spans="3:16" x14ac:dyDescent="0.25">
      <c r="C200" s="15"/>
      <c r="G200" s="15"/>
      <c r="K200" s="15"/>
      <c r="O200" s="15"/>
      <c r="P200" s="15"/>
    </row>
    <row r="201" spans="3:16" x14ac:dyDescent="0.25">
      <c r="C201" s="15"/>
      <c r="G201" s="15"/>
      <c r="K201" s="15"/>
      <c r="O201" s="15"/>
      <c r="P201" s="15"/>
    </row>
    <row r="202" spans="3:16" x14ac:dyDescent="0.25">
      <c r="C202" s="15"/>
      <c r="G202" s="15"/>
      <c r="K202" s="15"/>
      <c r="O202" s="15"/>
      <c r="P202" s="15"/>
    </row>
    <row r="203" spans="3:16" x14ac:dyDescent="0.25">
      <c r="C203" s="15"/>
      <c r="G203" s="15"/>
      <c r="K203" s="15"/>
      <c r="O203" s="15"/>
      <c r="P203" s="15"/>
    </row>
    <row r="204" spans="3:16" x14ac:dyDescent="0.25">
      <c r="C204" s="15"/>
      <c r="G204" s="15"/>
      <c r="K204" s="15"/>
      <c r="O204" s="15"/>
      <c r="P204" s="15"/>
    </row>
    <row r="205" spans="3:16" x14ac:dyDescent="0.25">
      <c r="C205" s="15"/>
      <c r="G205" s="15"/>
      <c r="K205" s="15"/>
      <c r="O205" s="15"/>
      <c r="P205" s="15"/>
    </row>
    <row r="206" spans="3:16" x14ac:dyDescent="0.25">
      <c r="C206" s="15"/>
      <c r="G206" s="15"/>
      <c r="K206" s="15"/>
      <c r="O206" s="15"/>
      <c r="P206" s="15"/>
    </row>
    <row r="207" spans="3:16" x14ac:dyDescent="0.25">
      <c r="C207" s="15"/>
      <c r="G207" s="15"/>
      <c r="K207" s="15"/>
      <c r="O207" s="15"/>
      <c r="P207" s="15"/>
    </row>
    <row r="208" spans="3:16" x14ac:dyDescent="0.25">
      <c r="C208" s="15"/>
      <c r="G208" s="15"/>
      <c r="K208" s="15"/>
      <c r="O208" s="15"/>
      <c r="P208" s="15"/>
    </row>
    <row r="209" spans="3:16" x14ac:dyDescent="0.25">
      <c r="C209" s="15"/>
      <c r="G209" s="15"/>
      <c r="K209" s="15"/>
      <c r="O209" s="15"/>
      <c r="P209" s="15"/>
    </row>
    <row r="210" spans="3:16" x14ac:dyDescent="0.25">
      <c r="C210" s="15"/>
      <c r="G210" s="15"/>
      <c r="K210" s="15"/>
      <c r="O210" s="15"/>
      <c r="P210" s="15"/>
    </row>
    <row r="211" spans="3:16" x14ac:dyDescent="0.25">
      <c r="C211" s="15"/>
      <c r="G211" s="15"/>
      <c r="K211" s="15"/>
      <c r="O211" s="15"/>
      <c r="P211" s="15"/>
    </row>
    <row r="212" spans="3:16" x14ac:dyDescent="0.25">
      <c r="C212" s="15"/>
      <c r="G212" s="15"/>
      <c r="K212" s="15"/>
      <c r="O212" s="15"/>
      <c r="P212" s="15"/>
    </row>
    <row r="213" spans="3:16" x14ac:dyDescent="0.25">
      <c r="C213" s="15"/>
      <c r="G213" s="15"/>
      <c r="K213" s="15"/>
      <c r="O213" s="15"/>
      <c r="P213" s="15"/>
    </row>
    <row r="214" spans="3:16" x14ac:dyDescent="0.25">
      <c r="C214" s="15"/>
      <c r="G214" s="15"/>
      <c r="K214" s="15"/>
      <c r="O214" s="15"/>
      <c r="P214" s="15"/>
    </row>
    <row r="215" spans="3:16" x14ac:dyDescent="0.25">
      <c r="C215" s="15"/>
      <c r="G215" s="15"/>
      <c r="K215" s="15"/>
      <c r="O215" s="15"/>
      <c r="P215" s="15"/>
    </row>
    <row r="216" spans="3:16" x14ac:dyDescent="0.25">
      <c r="C216" s="15"/>
      <c r="G216" s="15"/>
      <c r="K216" s="15"/>
      <c r="O216" s="15"/>
      <c r="P216" s="15"/>
    </row>
    <row r="217" spans="3:16" x14ac:dyDescent="0.25">
      <c r="C217" s="15"/>
      <c r="G217" s="15"/>
      <c r="K217" s="15"/>
      <c r="O217" s="15"/>
      <c r="P217" s="15"/>
    </row>
    <row r="218" spans="3:16" x14ac:dyDescent="0.25">
      <c r="C218" s="15"/>
      <c r="G218" s="15"/>
      <c r="K218" s="15"/>
      <c r="O218" s="15"/>
      <c r="P218" s="15"/>
    </row>
    <row r="219" spans="3:16" x14ac:dyDescent="0.25">
      <c r="C219" s="15"/>
      <c r="G219" s="15"/>
      <c r="K219" s="15"/>
      <c r="O219" s="15"/>
      <c r="P219" s="15"/>
    </row>
    <row r="220" spans="3:16" x14ac:dyDescent="0.25">
      <c r="C220" s="15"/>
      <c r="G220" s="15"/>
      <c r="K220" s="15"/>
      <c r="O220" s="15"/>
      <c r="P220" s="15"/>
    </row>
    <row r="221" spans="3:16" x14ac:dyDescent="0.25">
      <c r="C221" s="15"/>
      <c r="G221" s="15"/>
      <c r="K221" s="15"/>
      <c r="O221" s="15"/>
      <c r="P221" s="15"/>
    </row>
    <row r="222" spans="3:16" x14ac:dyDescent="0.25">
      <c r="C222" s="15"/>
      <c r="G222" s="15"/>
      <c r="K222" s="15"/>
      <c r="O222" s="15"/>
      <c r="P222" s="15"/>
    </row>
    <row r="223" spans="3:16" x14ac:dyDescent="0.25">
      <c r="C223" s="15"/>
      <c r="G223" s="15"/>
      <c r="K223" s="15"/>
      <c r="O223" s="15"/>
      <c r="P223" s="15"/>
    </row>
    <row r="224" spans="3:16" x14ac:dyDescent="0.25">
      <c r="C224" s="15"/>
      <c r="G224" s="15"/>
      <c r="K224" s="15"/>
      <c r="O224" s="15"/>
      <c r="P224" s="15"/>
    </row>
    <row r="225" spans="3:16" x14ac:dyDescent="0.25">
      <c r="C225" s="15"/>
      <c r="G225" s="15"/>
      <c r="K225" s="15"/>
      <c r="O225" s="15"/>
      <c r="P225" s="15"/>
    </row>
    <row r="226" spans="3:16" x14ac:dyDescent="0.25">
      <c r="C226" s="15"/>
      <c r="G226" s="15"/>
      <c r="K226" s="15"/>
      <c r="O226" s="15"/>
      <c r="P226" s="15"/>
    </row>
    <row r="227" spans="3:16" x14ac:dyDescent="0.25">
      <c r="C227" s="15"/>
      <c r="G227" s="15"/>
      <c r="K227" s="15"/>
      <c r="O227" s="15"/>
      <c r="P227" s="15"/>
    </row>
    <row r="228" spans="3:16" x14ac:dyDescent="0.25">
      <c r="C228" s="15"/>
      <c r="G228" s="15"/>
      <c r="K228" s="15"/>
      <c r="O228" s="15"/>
      <c r="P228" s="15"/>
    </row>
    <row r="229" spans="3:16" x14ac:dyDescent="0.25">
      <c r="C229" s="15"/>
      <c r="G229" s="15"/>
      <c r="K229" s="15"/>
      <c r="O229" s="15"/>
      <c r="P229" s="15"/>
    </row>
    <row r="230" spans="3:16" x14ac:dyDescent="0.25">
      <c r="C230" s="15"/>
      <c r="G230" s="15"/>
      <c r="K230" s="15"/>
      <c r="O230" s="15"/>
      <c r="P230" s="15"/>
    </row>
    <row r="231" spans="3:16" x14ac:dyDescent="0.25">
      <c r="C231" s="15"/>
      <c r="G231" s="15"/>
      <c r="K231" s="15"/>
      <c r="O231" s="15"/>
      <c r="P231" s="15"/>
    </row>
    <row r="232" spans="3:16" x14ac:dyDescent="0.25">
      <c r="C232" s="15"/>
      <c r="G232" s="15"/>
      <c r="K232" s="15"/>
      <c r="O232" s="15"/>
      <c r="P232" s="15"/>
    </row>
    <row r="233" spans="3:16" x14ac:dyDescent="0.25">
      <c r="C233" s="15"/>
      <c r="G233" s="15"/>
      <c r="K233" s="15"/>
      <c r="O233" s="15"/>
      <c r="P233" s="15"/>
    </row>
    <row r="234" spans="3:16" x14ac:dyDescent="0.25">
      <c r="C234" s="15"/>
      <c r="G234" s="15"/>
      <c r="K234" s="15"/>
      <c r="O234" s="15"/>
      <c r="P234" s="15"/>
    </row>
    <row r="235" spans="3:16" x14ac:dyDescent="0.25">
      <c r="C235" s="15"/>
      <c r="G235" s="15"/>
      <c r="K235" s="15"/>
      <c r="O235" s="15"/>
      <c r="P235" s="15"/>
    </row>
    <row r="236" spans="3:16" x14ac:dyDescent="0.25">
      <c r="C236" s="15"/>
      <c r="G236" s="15"/>
      <c r="K236" s="15"/>
      <c r="O236" s="15"/>
      <c r="P236" s="15"/>
    </row>
    <row r="237" spans="3:16" x14ac:dyDescent="0.25">
      <c r="C237" s="15"/>
      <c r="G237" s="15"/>
      <c r="K237" s="15"/>
      <c r="O237" s="15"/>
      <c r="P237" s="15"/>
    </row>
    <row r="238" spans="3:16" x14ac:dyDescent="0.25">
      <c r="C238" s="15"/>
      <c r="G238" s="15"/>
      <c r="K238" s="15"/>
      <c r="O238" s="15"/>
      <c r="P238" s="15"/>
    </row>
    <row r="239" spans="3:16" x14ac:dyDescent="0.25">
      <c r="C239" s="15"/>
      <c r="G239" s="15"/>
      <c r="K239" s="15"/>
      <c r="O239" s="15"/>
      <c r="P239" s="15"/>
    </row>
    <row r="240" spans="3:16" x14ac:dyDescent="0.25">
      <c r="C240" s="15"/>
      <c r="G240" s="15"/>
      <c r="K240" s="15"/>
      <c r="O240" s="15"/>
      <c r="P240" s="15"/>
    </row>
    <row r="241" spans="3:16" x14ac:dyDescent="0.25">
      <c r="C241" s="15"/>
      <c r="G241" s="15"/>
      <c r="K241" s="15"/>
      <c r="O241" s="15"/>
      <c r="P241" s="15"/>
    </row>
    <row r="242" spans="3:16" x14ac:dyDescent="0.25">
      <c r="C242" s="15"/>
      <c r="G242" s="15"/>
      <c r="K242" s="15"/>
      <c r="O242" s="15"/>
      <c r="P242" s="15"/>
    </row>
    <row r="243" spans="3:16" x14ac:dyDescent="0.25">
      <c r="C243" s="15"/>
      <c r="G243" s="15"/>
      <c r="K243" s="15"/>
      <c r="O243" s="15"/>
      <c r="P243" s="15"/>
    </row>
    <row r="244" spans="3:16" x14ac:dyDescent="0.25">
      <c r="C244" s="15"/>
      <c r="G244" s="15"/>
      <c r="K244" s="15"/>
      <c r="O244" s="15"/>
      <c r="P244" s="15"/>
    </row>
    <row r="245" spans="3:16" x14ac:dyDescent="0.25">
      <c r="C245" s="15"/>
      <c r="G245" s="15"/>
      <c r="K245" s="15"/>
      <c r="O245" s="15"/>
      <c r="P245" s="15"/>
    </row>
    <row r="246" spans="3:16" x14ac:dyDescent="0.25">
      <c r="C246" s="15"/>
      <c r="G246" s="15"/>
      <c r="K246" s="15"/>
      <c r="O246" s="15"/>
      <c r="P246" s="15"/>
    </row>
    <row r="247" spans="3:16" x14ac:dyDescent="0.25">
      <c r="C247" s="15"/>
      <c r="G247" s="15"/>
      <c r="K247" s="15"/>
      <c r="O247" s="15"/>
      <c r="P247" s="15"/>
    </row>
    <row r="248" spans="3:16" x14ac:dyDescent="0.25">
      <c r="C248" s="15"/>
      <c r="G248" s="15"/>
      <c r="K248" s="15"/>
      <c r="O248" s="15"/>
      <c r="P248" s="15"/>
    </row>
    <row r="249" spans="3:16" x14ac:dyDescent="0.25">
      <c r="C249" s="15"/>
      <c r="G249" s="15"/>
      <c r="K249" s="15"/>
      <c r="O249" s="15"/>
      <c r="P249" s="15"/>
    </row>
    <row r="250" spans="3:16" x14ac:dyDescent="0.25">
      <c r="C250" s="15"/>
      <c r="G250" s="15"/>
      <c r="K250" s="15"/>
      <c r="O250" s="15"/>
      <c r="P250" s="15"/>
    </row>
    <row r="251" spans="3:16" x14ac:dyDescent="0.25">
      <c r="C251" s="15"/>
      <c r="G251" s="15"/>
      <c r="K251" s="15"/>
      <c r="O251" s="15"/>
      <c r="P251" s="15"/>
    </row>
    <row r="252" spans="3:16" x14ac:dyDescent="0.25">
      <c r="C252" s="15"/>
      <c r="G252" s="15"/>
      <c r="K252" s="15"/>
      <c r="O252" s="15"/>
      <c r="P252" s="15"/>
    </row>
    <row r="253" spans="3:16" x14ac:dyDescent="0.25">
      <c r="C253" s="15"/>
      <c r="G253" s="15"/>
      <c r="K253" s="15"/>
      <c r="O253" s="15"/>
      <c r="P253" s="15"/>
    </row>
    <row r="254" spans="3:16" x14ac:dyDescent="0.25">
      <c r="C254" s="15"/>
      <c r="G254" s="15"/>
      <c r="K254" s="15"/>
      <c r="O254" s="15"/>
      <c r="P254" s="15"/>
    </row>
    <row r="255" spans="3:16" x14ac:dyDescent="0.25">
      <c r="C255" s="15"/>
      <c r="G255" s="15"/>
      <c r="K255" s="15"/>
      <c r="O255" s="15"/>
      <c r="P255" s="15"/>
    </row>
    <row r="256" spans="3:16" x14ac:dyDescent="0.25">
      <c r="C256" s="15"/>
      <c r="G256" s="15"/>
      <c r="K256" s="15"/>
      <c r="O256" s="15"/>
      <c r="P256" s="15"/>
    </row>
    <row r="257" spans="3:16" x14ac:dyDescent="0.25">
      <c r="C257" s="15"/>
      <c r="G257" s="15"/>
      <c r="K257" s="15"/>
      <c r="O257" s="15"/>
      <c r="P257" s="15"/>
    </row>
    <row r="258" spans="3:16" x14ac:dyDescent="0.25">
      <c r="C258" s="15"/>
      <c r="G258" s="15"/>
      <c r="K258" s="15"/>
      <c r="O258" s="15"/>
      <c r="P258" s="15"/>
    </row>
    <row r="259" spans="3:16" x14ac:dyDescent="0.25">
      <c r="C259" s="15"/>
      <c r="G259" s="15"/>
      <c r="K259" s="15"/>
      <c r="O259" s="15"/>
      <c r="P259" s="15"/>
    </row>
    <row r="260" spans="3:16" x14ac:dyDescent="0.25">
      <c r="C260" s="15"/>
      <c r="G260" s="15"/>
      <c r="K260" s="15"/>
      <c r="O260" s="15"/>
      <c r="P260" s="15"/>
    </row>
    <row r="261" spans="3:16" x14ac:dyDescent="0.25">
      <c r="C261" s="15"/>
      <c r="G261" s="15"/>
      <c r="K261" s="15"/>
      <c r="O261" s="15"/>
      <c r="P261" s="15"/>
    </row>
    <row r="262" spans="3:16" x14ac:dyDescent="0.25">
      <c r="C262" s="15"/>
      <c r="G262" s="15"/>
      <c r="K262" s="15"/>
      <c r="O262" s="15"/>
      <c r="P262" s="15"/>
    </row>
    <row r="263" spans="3:16" x14ac:dyDescent="0.25">
      <c r="C263" s="15"/>
      <c r="G263" s="15"/>
      <c r="K263" s="15"/>
      <c r="O263" s="15"/>
      <c r="P263" s="15"/>
    </row>
    <row r="264" spans="3:16" x14ac:dyDescent="0.25">
      <c r="C264" s="15"/>
      <c r="G264" s="15"/>
      <c r="K264" s="15"/>
      <c r="O264" s="15"/>
      <c r="P264" s="15"/>
    </row>
    <row r="265" spans="3:16" x14ac:dyDescent="0.25">
      <c r="C265" s="15"/>
      <c r="G265" s="15"/>
      <c r="K265" s="15"/>
      <c r="O265" s="15"/>
      <c r="P265" s="15"/>
    </row>
    <row r="266" spans="3:16" x14ac:dyDescent="0.25">
      <c r="C266" s="15"/>
      <c r="G266" s="15"/>
      <c r="K266" s="15"/>
      <c r="O266" s="15"/>
      <c r="P266" s="15"/>
    </row>
    <row r="267" spans="3:16" x14ac:dyDescent="0.25">
      <c r="C267" s="15"/>
      <c r="G267" s="15"/>
      <c r="K267" s="15"/>
      <c r="O267" s="15"/>
      <c r="P267" s="15"/>
    </row>
    <row r="268" spans="3:16" x14ac:dyDescent="0.25">
      <c r="C268" s="15"/>
      <c r="G268" s="15"/>
      <c r="K268" s="15"/>
      <c r="O268" s="15"/>
      <c r="P268" s="15"/>
    </row>
    <row r="269" spans="3:16" x14ac:dyDescent="0.25">
      <c r="C269" s="15"/>
      <c r="G269" s="15"/>
      <c r="K269" s="15"/>
      <c r="O269" s="15"/>
      <c r="P269" s="15"/>
    </row>
    <row r="270" spans="3:16" x14ac:dyDescent="0.25">
      <c r="C270" s="15"/>
      <c r="G270" s="15"/>
      <c r="K270" s="15"/>
      <c r="O270" s="15"/>
      <c r="P270" s="15"/>
    </row>
    <row r="271" spans="3:16" x14ac:dyDescent="0.25">
      <c r="C271" s="15"/>
      <c r="G271" s="15"/>
      <c r="K271" s="15"/>
      <c r="O271" s="15"/>
      <c r="P271" s="15"/>
    </row>
    <row r="272" spans="3:16" x14ac:dyDescent="0.25">
      <c r="C272" s="15"/>
      <c r="G272" s="15"/>
      <c r="K272" s="15"/>
      <c r="O272" s="15"/>
      <c r="P272" s="15"/>
    </row>
    <row r="273" spans="3:16" x14ac:dyDescent="0.25">
      <c r="C273" s="15"/>
      <c r="G273" s="15"/>
      <c r="K273" s="15"/>
      <c r="O273" s="15"/>
      <c r="P273" s="15"/>
    </row>
    <row r="274" spans="3:16" x14ac:dyDescent="0.25">
      <c r="C274" s="15"/>
      <c r="G274" s="15"/>
      <c r="K274" s="15"/>
      <c r="O274" s="15"/>
      <c r="P274" s="15"/>
    </row>
    <row r="275" spans="3:16" x14ac:dyDescent="0.25">
      <c r="C275" s="15"/>
      <c r="G275" s="15"/>
      <c r="K275" s="15"/>
      <c r="O275" s="15"/>
      <c r="P275" s="15"/>
    </row>
    <row r="276" spans="3:16" x14ac:dyDescent="0.25">
      <c r="C276" s="15"/>
      <c r="G276" s="15"/>
      <c r="K276" s="15"/>
      <c r="O276" s="15"/>
      <c r="P276" s="15"/>
    </row>
    <row r="277" spans="3:16" x14ac:dyDescent="0.25">
      <c r="C277" s="15"/>
      <c r="G277" s="15"/>
      <c r="K277" s="15"/>
      <c r="O277" s="15"/>
      <c r="P277" s="15"/>
    </row>
    <row r="278" spans="3:16" x14ac:dyDescent="0.25">
      <c r="C278" s="15"/>
      <c r="G278" s="15"/>
      <c r="K278" s="15"/>
      <c r="O278" s="15"/>
      <c r="P278" s="15"/>
    </row>
    <row r="279" spans="3:16" x14ac:dyDescent="0.25">
      <c r="C279" s="15"/>
      <c r="G279" s="15"/>
      <c r="K279" s="15"/>
      <c r="O279" s="15"/>
      <c r="P279" s="15"/>
    </row>
    <row r="280" spans="3:16" x14ac:dyDescent="0.25">
      <c r="C280" s="15"/>
      <c r="G280" s="15"/>
      <c r="K280" s="15"/>
      <c r="O280" s="15"/>
      <c r="P280" s="15"/>
    </row>
    <row r="281" spans="3:16" x14ac:dyDescent="0.25">
      <c r="C281" s="15"/>
      <c r="G281" s="15"/>
      <c r="K281" s="15"/>
      <c r="O281" s="15"/>
      <c r="P281" s="15"/>
    </row>
    <row r="282" spans="3:16" x14ac:dyDescent="0.25">
      <c r="C282" s="15"/>
      <c r="G282" s="15"/>
      <c r="K282" s="15"/>
      <c r="O282" s="15"/>
      <c r="P282" s="15"/>
    </row>
    <row r="283" spans="3:16" x14ac:dyDescent="0.25">
      <c r="C283" s="15"/>
      <c r="G283" s="15"/>
      <c r="K283" s="15"/>
      <c r="O283" s="15"/>
      <c r="P283" s="15"/>
    </row>
    <row r="284" spans="3:16" x14ac:dyDescent="0.25">
      <c r="C284" s="15"/>
      <c r="G284" s="15"/>
      <c r="K284" s="15"/>
      <c r="O284" s="15"/>
      <c r="P284" s="15"/>
    </row>
    <row r="285" spans="3:16" x14ac:dyDescent="0.25">
      <c r="C285" s="15"/>
      <c r="G285" s="15"/>
      <c r="K285" s="15"/>
      <c r="O285" s="15"/>
      <c r="P285" s="15"/>
    </row>
    <row r="286" spans="3:16" x14ac:dyDescent="0.25">
      <c r="C286" s="15"/>
      <c r="G286" s="15"/>
      <c r="K286" s="15"/>
      <c r="O286" s="15"/>
      <c r="P286" s="15"/>
    </row>
    <row r="287" spans="3:16" x14ac:dyDescent="0.25">
      <c r="C287" s="15"/>
      <c r="G287" s="15"/>
      <c r="K287" s="15"/>
      <c r="O287" s="15"/>
      <c r="P287" s="15"/>
    </row>
    <row r="288" spans="3:16" x14ac:dyDescent="0.25">
      <c r="C288" s="15"/>
      <c r="G288" s="15"/>
      <c r="K288" s="15"/>
      <c r="O288" s="15"/>
      <c r="P288" s="15"/>
    </row>
    <row r="289" spans="3:16" x14ac:dyDescent="0.25">
      <c r="C289" s="15"/>
      <c r="G289" s="15"/>
      <c r="K289" s="15"/>
      <c r="O289" s="15"/>
      <c r="P289" s="15"/>
    </row>
    <row r="290" spans="3:16" x14ac:dyDescent="0.25">
      <c r="C290" s="15"/>
      <c r="G290" s="15"/>
      <c r="K290" s="15"/>
      <c r="O290" s="15"/>
      <c r="P290" s="15"/>
    </row>
    <row r="291" spans="3:16" x14ac:dyDescent="0.25">
      <c r="C291" s="15"/>
      <c r="G291" s="15"/>
      <c r="K291" s="15"/>
      <c r="O291" s="15"/>
      <c r="P291" s="15"/>
    </row>
    <row r="292" spans="3:16" x14ac:dyDescent="0.25">
      <c r="C292" s="15"/>
      <c r="G292" s="15"/>
      <c r="K292" s="15"/>
      <c r="O292" s="15"/>
      <c r="P292" s="15"/>
    </row>
    <row r="293" spans="3:16" x14ac:dyDescent="0.25">
      <c r="C293" s="15"/>
      <c r="G293" s="15"/>
      <c r="K293" s="15"/>
      <c r="O293" s="15"/>
      <c r="P293" s="15"/>
    </row>
    <row r="294" spans="3:16" x14ac:dyDescent="0.25">
      <c r="C294" s="15"/>
      <c r="G294" s="15"/>
      <c r="K294" s="15"/>
      <c r="O294" s="15"/>
      <c r="P294" s="15"/>
    </row>
    <row r="295" spans="3:16" x14ac:dyDescent="0.25">
      <c r="C295" s="15"/>
      <c r="G295" s="15"/>
      <c r="K295" s="15"/>
      <c r="O295" s="15"/>
      <c r="P295" s="15"/>
    </row>
    <row r="296" spans="3:16" x14ac:dyDescent="0.25">
      <c r="C296" s="15"/>
      <c r="G296" s="15"/>
      <c r="K296" s="15"/>
      <c r="O296" s="15"/>
      <c r="P296" s="15"/>
    </row>
    <row r="297" spans="3:16" x14ac:dyDescent="0.25">
      <c r="C297" s="15"/>
      <c r="G297" s="15"/>
      <c r="K297" s="15"/>
      <c r="O297" s="15"/>
      <c r="P297" s="15"/>
    </row>
    <row r="298" spans="3:16" x14ac:dyDescent="0.25">
      <c r="C298" s="15"/>
      <c r="G298" s="15"/>
      <c r="K298" s="15"/>
      <c r="O298" s="15"/>
      <c r="P298" s="15"/>
    </row>
    <row r="299" spans="3:16" x14ac:dyDescent="0.25">
      <c r="C299" s="15"/>
      <c r="G299" s="15"/>
      <c r="K299" s="15"/>
      <c r="O299" s="15"/>
      <c r="P299" s="15"/>
    </row>
    <row r="300" spans="3:16" x14ac:dyDescent="0.25">
      <c r="C300" s="15"/>
      <c r="G300" s="15"/>
      <c r="K300" s="15"/>
      <c r="O300" s="15"/>
      <c r="P300" s="15"/>
    </row>
    <row r="301" spans="3:16" x14ac:dyDescent="0.25">
      <c r="C301" s="15"/>
      <c r="G301" s="15"/>
      <c r="K301" s="15"/>
      <c r="O301" s="15"/>
      <c r="P301" s="15"/>
    </row>
    <row r="302" spans="3:16" x14ac:dyDescent="0.25">
      <c r="C302" s="15"/>
      <c r="G302" s="15"/>
      <c r="K302" s="15"/>
      <c r="O302" s="15"/>
      <c r="P302" s="15"/>
    </row>
    <row r="303" spans="3:16" x14ac:dyDescent="0.25">
      <c r="C303" s="15"/>
      <c r="G303" s="15"/>
      <c r="K303" s="15"/>
      <c r="O303" s="15"/>
      <c r="P303" s="15"/>
    </row>
    <row r="304" spans="3:16" x14ac:dyDescent="0.25">
      <c r="C304" s="15"/>
      <c r="G304" s="15"/>
      <c r="K304" s="15"/>
      <c r="O304" s="15"/>
      <c r="P304" s="15"/>
    </row>
    <row r="305" spans="3:16" x14ac:dyDescent="0.25">
      <c r="C305" s="15"/>
      <c r="G305" s="15"/>
      <c r="K305" s="15"/>
      <c r="O305" s="15"/>
      <c r="P305" s="15"/>
    </row>
    <row r="306" spans="3:16" x14ac:dyDescent="0.25">
      <c r="C306" s="15"/>
      <c r="G306" s="15"/>
      <c r="K306" s="15"/>
      <c r="O306" s="15"/>
      <c r="P306" s="15"/>
    </row>
    <row r="307" spans="3:16" x14ac:dyDescent="0.25">
      <c r="C307" s="15"/>
      <c r="G307" s="15"/>
      <c r="K307" s="15"/>
      <c r="O307" s="15"/>
      <c r="P307" s="15"/>
    </row>
    <row r="308" spans="3:16" x14ac:dyDescent="0.25">
      <c r="C308" s="15"/>
      <c r="G308" s="15"/>
      <c r="K308" s="15"/>
      <c r="O308" s="15"/>
      <c r="P308" s="15"/>
    </row>
    <row r="309" spans="3:16" x14ac:dyDescent="0.25">
      <c r="C309" s="15"/>
      <c r="G309" s="15"/>
      <c r="K309" s="15"/>
      <c r="O309" s="15"/>
      <c r="P309" s="15"/>
    </row>
    <row r="310" spans="3:16" x14ac:dyDescent="0.25">
      <c r="C310" s="15"/>
      <c r="G310" s="15"/>
      <c r="K310" s="15"/>
      <c r="O310" s="15"/>
      <c r="P310" s="15"/>
    </row>
    <row r="311" spans="3:16" x14ac:dyDescent="0.25">
      <c r="C311" s="15"/>
      <c r="G311" s="15"/>
      <c r="K311" s="15"/>
      <c r="O311" s="15"/>
      <c r="P311" s="15"/>
    </row>
    <row r="312" spans="3:16" x14ac:dyDescent="0.25">
      <c r="C312" s="15"/>
      <c r="G312" s="15"/>
      <c r="K312" s="15"/>
      <c r="O312" s="15"/>
      <c r="P312" s="15"/>
    </row>
    <row r="313" spans="3:16" x14ac:dyDescent="0.25">
      <c r="C313" s="15"/>
      <c r="G313" s="15"/>
      <c r="K313" s="15"/>
      <c r="O313" s="15"/>
      <c r="P313" s="15"/>
    </row>
    <row r="314" spans="3:16" x14ac:dyDescent="0.25">
      <c r="C314" s="15"/>
      <c r="G314" s="15"/>
      <c r="K314" s="15"/>
      <c r="O314" s="15"/>
      <c r="P314" s="15"/>
    </row>
    <row r="315" spans="3:16" x14ac:dyDescent="0.25">
      <c r="C315" s="15"/>
      <c r="G315" s="15"/>
      <c r="K315" s="15"/>
      <c r="O315" s="15"/>
      <c r="P315" s="15"/>
    </row>
    <row r="316" spans="3:16" x14ac:dyDescent="0.25">
      <c r="C316" s="15"/>
      <c r="G316" s="15"/>
      <c r="K316" s="15"/>
      <c r="O316" s="15"/>
      <c r="P316" s="15"/>
    </row>
    <row r="317" spans="3:16" x14ac:dyDescent="0.25">
      <c r="C317" s="15"/>
      <c r="G317" s="15"/>
      <c r="K317" s="15"/>
      <c r="O317" s="15"/>
      <c r="P317" s="15"/>
    </row>
    <row r="318" spans="3:16" x14ac:dyDescent="0.25">
      <c r="C318" s="15"/>
      <c r="G318" s="15"/>
      <c r="K318" s="15"/>
      <c r="O318" s="15"/>
      <c r="P318" s="15"/>
    </row>
    <row r="319" spans="3:16" x14ac:dyDescent="0.25">
      <c r="C319" s="15"/>
      <c r="G319" s="15"/>
      <c r="K319" s="15"/>
      <c r="O319" s="15"/>
      <c r="P319" s="15"/>
    </row>
    <row r="320" spans="3:16" x14ac:dyDescent="0.25">
      <c r="C320" s="15"/>
      <c r="G320" s="15"/>
      <c r="K320" s="15"/>
      <c r="O320" s="15"/>
      <c r="P320" s="15"/>
    </row>
    <row r="321" spans="3:16" x14ac:dyDescent="0.25">
      <c r="C321" s="15"/>
      <c r="G321" s="15"/>
      <c r="K321" s="15"/>
      <c r="O321" s="15"/>
      <c r="P321" s="15"/>
    </row>
    <row r="322" spans="3:16" x14ac:dyDescent="0.25">
      <c r="C322" s="15"/>
      <c r="G322" s="15"/>
      <c r="K322" s="15"/>
      <c r="O322" s="15"/>
      <c r="P322" s="15"/>
    </row>
    <row r="323" spans="3:16" x14ac:dyDescent="0.25">
      <c r="C323" s="15"/>
      <c r="G323" s="15"/>
      <c r="K323" s="15"/>
      <c r="O323" s="15"/>
      <c r="P323" s="15"/>
    </row>
    <row r="324" spans="3:16" x14ac:dyDescent="0.25">
      <c r="C324" s="15"/>
      <c r="G324" s="15"/>
      <c r="K324" s="15"/>
      <c r="O324" s="15"/>
      <c r="P324" s="15"/>
    </row>
    <row r="325" spans="3:16" x14ac:dyDescent="0.25">
      <c r="C325" s="15"/>
      <c r="G325" s="15"/>
      <c r="K325" s="15"/>
      <c r="O325" s="15"/>
      <c r="P325" s="15"/>
    </row>
    <row r="326" spans="3:16" x14ac:dyDescent="0.25">
      <c r="C326" s="15"/>
      <c r="G326" s="15"/>
      <c r="K326" s="15"/>
      <c r="O326" s="15"/>
      <c r="P326" s="15"/>
    </row>
    <row r="327" spans="3:16" x14ac:dyDescent="0.25">
      <c r="C327" s="15"/>
      <c r="G327" s="15"/>
      <c r="K327" s="15"/>
      <c r="O327" s="15"/>
      <c r="P327" s="15"/>
    </row>
    <row r="328" spans="3:16" x14ac:dyDescent="0.25">
      <c r="C328" s="15"/>
      <c r="G328" s="15"/>
      <c r="K328" s="15"/>
      <c r="O328" s="15"/>
      <c r="P328" s="15"/>
    </row>
    <row r="329" spans="3:16" x14ac:dyDescent="0.25">
      <c r="C329" s="15"/>
      <c r="G329" s="15"/>
      <c r="K329" s="15"/>
      <c r="O329" s="15"/>
      <c r="P329" s="15"/>
    </row>
    <row r="330" spans="3:16" x14ac:dyDescent="0.25">
      <c r="C330" s="15"/>
      <c r="G330" s="15"/>
      <c r="K330" s="15"/>
      <c r="O330" s="15"/>
      <c r="P330" s="15"/>
    </row>
    <row r="331" spans="3:16" x14ac:dyDescent="0.25">
      <c r="C331" s="15"/>
      <c r="G331" s="15"/>
      <c r="K331" s="15"/>
      <c r="O331" s="15"/>
      <c r="P331" s="15"/>
    </row>
    <row r="332" spans="3:16" x14ac:dyDescent="0.25">
      <c r="C332" s="15"/>
      <c r="G332" s="15"/>
      <c r="K332" s="15"/>
      <c r="O332" s="15"/>
      <c r="P332" s="15"/>
    </row>
    <row r="333" spans="3:16" x14ac:dyDescent="0.25">
      <c r="C333" s="15"/>
      <c r="G333" s="15"/>
      <c r="K333" s="15"/>
      <c r="O333" s="15"/>
      <c r="P333" s="15"/>
    </row>
    <row r="334" spans="3:16" x14ac:dyDescent="0.25">
      <c r="C334" s="15"/>
      <c r="G334" s="15"/>
      <c r="K334" s="15"/>
      <c r="O334" s="15"/>
      <c r="P334" s="15"/>
    </row>
    <row r="335" spans="3:16" x14ac:dyDescent="0.25">
      <c r="C335" s="15"/>
      <c r="G335" s="15"/>
      <c r="K335" s="15"/>
      <c r="O335" s="15"/>
      <c r="P335" s="15"/>
    </row>
    <row r="336" spans="3:16" x14ac:dyDescent="0.25">
      <c r="C336" s="15"/>
      <c r="G336" s="15"/>
      <c r="K336" s="15"/>
      <c r="O336" s="15"/>
      <c r="P336" s="15"/>
    </row>
    <row r="337" spans="3:16" x14ac:dyDescent="0.25">
      <c r="C337" s="15"/>
      <c r="G337" s="15"/>
      <c r="K337" s="15"/>
      <c r="O337" s="15"/>
      <c r="P337" s="15"/>
    </row>
    <row r="338" spans="3:16" x14ac:dyDescent="0.25">
      <c r="C338" s="15"/>
      <c r="G338" s="15"/>
      <c r="K338" s="15"/>
      <c r="O338" s="15"/>
      <c r="P338" s="15"/>
    </row>
    <row r="339" spans="3:16" x14ac:dyDescent="0.25">
      <c r="C339" s="15"/>
      <c r="G339" s="15"/>
      <c r="K339" s="15"/>
      <c r="O339" s="15"/>
      <c r="P339" s="15"/>
    </row>
    <row r="340" spans="3:16" x14ac:dyDescent="0.25">
      <c r="C340" s="15"/>
      <c r="G340" s="15"/>
      <c r="K340" s="15"/>
      <c r="O340" s="15"/>
      <c r="P340" s="15"/>
    </row>
    <row r="341" spans="3:16" x14ac:dyDescent="0.25">
      <c r="C341" s="15"/>
      <c r="G341" s="15"/>
      <c r="K341" s="15"/>
      <c r="O341" s="15"/>
      <c r="P341" s="15"/>
    </row>
    <row r="342" spans="3:16" x14ac:dyDescent="0.25">
      <c r="C342" s="15"/>
      <c r="G342" s="15"/>
      <c r="K342" s="15"/>
      <c r="O342" s="15"/>
      <c r="P342" s="15"/>
    </row>
    <row r="343" spans="3:16" x14ac:dyDescent="0.25">
      <c r="C343" s="15"/>
      <c r="G343" s="15"/>
      <c r="K343" s="15"/>
      <c r="O343" s="15"/>
      <c r="P343" s="15"/>
    </row>
    <row r="344" spans="3:16" x14ac:dyDescent="0.25">
      <c r="C344" s="15"/>
      <c r="G344" s="15"/>
      <c r="K344" s="15"/>
      <c r="O344" s="15"/>
      <c r="P344" s="15"/>
    </row>
    <row r="345" spans="3:16" x14ac:dyDescent="0.25">
      <c r="C345" s="15"/>
      <c r="G345" s="15"/>
      <c r="K345" s="15"/>
      <c r="O345" s="15"/>
      <c r="P345" s="15"/>
    </row>
    <row r="346" spans="3:16" x14ac:dyDescent="0.25">
      <c r="C346" s="15"/>
      <c r="G346" s="15"/>
      <c r="K346" s="15"/>
      <c r="O346" s="15"/>
      <c r="P346" s="15"/>
    </row>
    <row r="347" spans="3:16" x14ac:dyDescent="0.25">
      <c r="C347" s="15"/>
      <c r="G347" s="15"/>
      <c r="K347" s="15"/>
      <c r="O347" s="15"/>
      <c r="P347" s="15"/>
    </row>
    <row r="348" spans="3:16" x14ac:dyDescent="0.25">
      <c r="C348" s="15"/>
      <c r="G348" s="15"/>
      <c r="K348" s="15"/>
      <c r="O348" s="15"/>
      <c r="P348" s="15"/>
    </row>
    <row r="349" spans="3:16" x14ac:dyDescent="0.25">
      <c r="C349" s="15"/>
      <c r="G349" s="15"/>
      <c r="K349" s="15"/>
      <c r="O349" s="15"/>
      <c r="P349" s="15"/>
    </row>
    <row r="350" spans="3:16" x14ac:dyDescent="0.25">
      <c r="C350" s="15"/>
      <c r="G350" s="15"/>
      <c r="K350" s="15"/>
      <c r="O350" s="15"/>
      <c r="P350" s="15"/>
    </row>
    <row r="351" spans="3:16" x14ac:dyDescent="0.25">
      <c r="C351" s="15"/>
      <c r="G351" s="15"/>
      <c r="K351" s="15"/>
      <c r="O351" s="15"/>
      <c r="P351" s="15"/>
    </row>
    <row r="352" spans="3:16" x14ac:dyDescent="0.25">
      <c r="C352" s="15"/>
      <c r="G352" s="15"/>
      <c r="K352" s="15"/>
      <c r="O352" s="15"/>
      <c r="P352" s="15"/>
    </row>
    <row r="353" spans="3:16" x14ac:dyDescent="0.25">
      <c r="C353" s="15"/>
      <c r="G353" s="15"/>
      <c r="K353" s="15"/>
      <c r="O353" s="15"/>
      <c r="P353" s="15"/>
    </row>
    <row r="354" spans="3:16" x14ac:dyDescent="0.25">
      <c r="C354" s="15"/>
      <c r="G354" s="15"/>
      <c r="K354" s="15"/>
      <c r="O354" s="15"/>
      <c r="P354" s="15"/>
    </row>
    <row r="355" spans="3:16" x14ac:dyDescent="0.25">
      <c r="C355" s="15"/>
      <c r="G355" s="15"/>
      <c r="K355" s="15"/>
      <c r="O355" s="15"/>
      <c r="P355" s="15"/>
    </row>
    <row r="356" spans="3:16" x14ac:dyDescent="0.25">
      <c r="C356" s="15"/>
      <c r="G356" s="15"/>
      <c r="K356" s="15"/>
      <c r="O356" s="15"/>
      <c r="P356" s="15"/>
    </row>
    <row r="357" spans="3:16" x14ac:dyDescent="0.25">
      <c r="C357" s="15"/>
      <c r="G357" s="15"/>
      <c r="K357" s="15"/>
      <c r="O357" s="15"/>
      <c r="P357" s="15"/>
    </row>
    <row r="358" spans="3:16" x14ac:dyDescent="0.25">
      <c r="C358" s="15"/>
      <c r="G358" s="15"/>
      <c r="K358" s="15"/>
      <c r="O358" s="15"/>
      <c r="P358" s="15"/>
    </row>
    <row r="359" spans="3:16" x14ac:dyDescent="0.25">
      <c r="C359" s="15"/>
      <c r="G359" s="15"/>
      <c r="K359" s="15"/>
      <c r="O359" s="15"/>
      <c r="P359" s="15"/>
    </row>
    <row r="360" spans="3:16" x14ac:dyDescent="0.25">
      <c r="C360" s="15"/>
      <c r="G360" s="15"/>
      <c r="K360" s="15"/>
      <c r="O360" s="15"/>
      <c r="P360" s="15"/>
    </row>
    <row r="361" spans="3:16" x14ac:dyDescent="0.25">
      <c r="C361" s="15"/>
      <c r="G361" s="15"/>
      <c r="K361" s="15"/>
      <c r="O361" s="15"/>
      <c r="P361" s="15"/>
    </row>
    <row r="362" spans="3:16" x14ac:dyDescent="0.25">
      <c r="C362" s="15"/>
      <c r="G362" s="15"/>
      <c r="K362" s="15"/>
      <c r="O362" s="15"/>
      <c r="P362" s="15"/>
    </row>
    <row r="363" spans="3:16" x14ac:dyDescent="0.25">
      <c r="C363" s="15"/>
      <c r="G363" s="15"/>
      <c r="K363" s="15"/>
      <c r="O363" s="15"/>
      <c r="P363" s="15"/>
    </row>
    <row r="364" spans="3:16" x14ac:dyDescent="0.25">
      <c r="C364" s="15"/>
      <c r="G364" s="15"/>
      <c r="K364" s="15"/>
      <c r="O364" s="15"/>
      <c r="P364" s="15"/>
    </row>
    <row r="365" spans="3:16" x14ac:dyDescent="0.25">
      <c r="C365" s="15"/>
      <c r="G365" s="15"/>
      <c r="K365" s="15"/>
      <c r="O365" s="15"/>
      <c r="P365" s="15"/>
    </row>
    <row r="366" spans="3:16" x14ac:dyDescent="0.25">
      <c r="C366" s="15"/>
      <c r="G366" s="15"/>
      <c r="K366" s="15"/>
      <c r="O366" s="15"/>
      <c r="P366" s="15"/>
    </row>
    <row r="367" spans="3:16" x14ac:dyDescent="0.25">
      <c r="C367" s="15"/>
      <c r="G367" s="15"/>
      <c r="K367" s="15"/>
      <c r="O367" s="15"/>
      <c r="P367" s="15"/>
    </row>
    <row r="368" spans="3:16" x14ac:dyDescent="0.25">
      <c r="C368" s="15"/>
      <c r="G368" s="15"/>
      <c r="K368" s="15"/>
      <c r="O368" s="15"/>
      <c r="P368" s="15"/>
    </row>
    <row r="369" spans="3:16" x14ac:dyDescent="0.25">
      <c r="C369" s="15"/>
      <c r="G369" s="15"/>
      <c r="K369" s="15"/>
      <c r="O369" s="15"/>
      <c r="P369" s="15"/>
    </row>
    <row r="370" spans="3:16" x14ac:dyDescent="0.25">
      <c r="C370" s="15"/>
      <c r="G370" s="15"/>
      <c r="K370" s="15"/>
      <c r="O370" s="15"/>
      <c r="P370" s="15"/>
    </row>
    <row r="371" spans="3:16" x14ac:dyDescent="0.25">
      <c r="C371" s="15"/>
      <c r="G371" s="15"/>
      <c r="K371" s="15"/>
      <c r="O371" s="15"/>
      <c r="P371" s="15"/>
    </row>
    <row r="372" spans="3:16" x14ac:dyDescent="0.25">
      <c r="C372" s="15"/>
      <c r="G372" s="15"/>
      <c r="K372" s="15"/>
      <c r="O372" s="15"/>
      <c r="P372" s="15"/>
    </row>
    <row r="373" spans="3:16" x14ac:dyDescent="0.25">
      <c r="C373" s="15"/>
      <c r="G373" s="15"/>
      <c r="K373" s="15"/>
      <c r="O373" s="15"/>
      <c r="P373" s="15"/>
    </row>
    <row r="374" spans="3:16" x14ac:dyDescent="0.25">
      <c r="C374" s="15"/>
      <c r="G374" s="15"/>
      <c r="K374" s="15"/>
      <c r="O374" s="15"/>
      <c r="P374" s="15"/>
    </row>
    <row r="375" spans="3:16" x14ac:dyDescent="0.25">
      <c r="C375" s="15"/>
      <c r="G375" s="15"/>
      <c r="K375" s="15"/>
      <c r="O375" s="15"/>
      <c r="P375" s="15"/>
    </row>
    <row r="376" spans="3:16" x14ac:dyDescent="0.25">
      <c r="C376" s="15"/>
      <c r="G376" s="15"/>
      <c r="K376" s="15"/>
      <c r="O376" s="15"/>
      <c r="P376" s="15"/>
    </row>
    <row r="377" spans="3:16" x14ac:dyDescent="0.25">
      <c r="C377" s="15"/>
      <c r="G377" s="15"/>
      <c r="K377" s="15"/>
      <c r="O377" s="15"/>
      <c r="P377" s="15"/>
    </row>
    <row r="378" spans="3:16" x14ac:dyDescent="0.25">
      <c r="C378" s="15"/>
      <c r="G378" s="15"/>
      <c r="K378" s="15"/>
      <c r="O378" s="15"/>
      <c r="P378" s="15"/>
    </row>
    <row r="379" spans="3:16" x14ac:dyDescent="0.25">
      <c r="C379" s="15"/>
      <c r="G379" s="15"/>
      <c r="K379" s="15"/>
      <c r="O379" s="15"/>
      <c r="P379" s="15"/>
    </row>
    <row r="380" spans="3:16" x14ac:dyDescent="0.25">
      <c r="C380" s="15"/>
      <c r="G380" s="15"/>
      <c r="K380" s="15"/>
      <c r="O380" s="15"/>
      <c r="P380" s="15"/>
    </row>
    <row r="381" spans="3:16" x14ac:dyDescent="0.25">
      <c r="C381" s="15"/>
      <c r="G381" s="15"/>
      <c r="K381" s="15"/>
      <c r="O381" s="15"/>
      <c r="P381" s="15"/>
    </row>
    <row r="382" spans="3:16" x14ac:dyDescent="0.25">
      <c r="C382" s="15"/>
      <c r="G382" s="15"/>
      <c r="K382" s="15"/>
      <c r="O382" s="15"/>
      <c r="P382" s="15"/>
    </row>
    <row r="383" spans="3:16" x14ac:dyDescent="0.25">
      <c r="C383" s="15"/>
      <c r="G383" s="15"/>
      <c r="K383" s="15"/>
      <c r="O383" s="15"/>
      <c r="P383" s="15"/>
    </row>
    <row r="384" spans="3:16" x14ac:dyDescent="0.25">
      <c r="C384" s="15"/>
      <c r="G384" s="15"/>
      <c r="K384" s="15"/>
      <c r="O384" s="15"/>
      <c r="P384" s="15"/>
    </row>
    <row r="385" spans="3:16" x14ac:dyDescent="0.25">
      <c r="C385" s="15"/>
      <c r="G385" s="15"/>
      <c r="K385" s="15"/>
      <c r="O385" s="15"/>
      <c r="P385" s="15"/>
    </row>
    <row r="386" spans="3:16" x14ac:dyDescent="0.25">
      <c r="C386" s="15"/>
      <c r="G386" s="15"/>
      <c r="K386" s="15"/>
      <c r="O386" s="15"/>
      <c r="P386" s="15"/>
    </row>
    <row r="387" spans="3:16" x14ac:dyDescent="0.25">
      <c r="C387" s="15"/>
      <c r="G387" s="15"/>
      <c r="K387" s="15"/>
      <c r="O387" s="15"/>
      <c r="P387" s="15"/>
    </row>
    <row r="388" spans="3:16" x14ac:dyDescent="0.25">
      <c r="C388" s="15"/>
      <c r="G388" s="15"/>
      <c r="K388" s="15"/>
      <c r="O388" s="15"/>
      <c r="P388" s="15"/>
    </row>
    <row r="389" spans="3:16" x14ac:dyDescent="0.25">
      <c r="C389" s="15"/>
      <c r="G389" s="15"/>
      <c r="K389" s="15"/>
      <c r="O389" s="15"/>
      <c r="P389" s="15"/>
    </row>
    <row r="390" spans="3:16" x14ac:dyDescent="0.25">
      <c r="C390" s="15"/>
      <c r="G390" s="15"/>
      <c r="K390" s="15"/>
      <c r="O390" s="15"/>
      <c r="P390" s="15"/>
    </row>
    <row r="391" spans="3:16" x14ac:dyDescent="0.25">
      <c r="C391" s="15"/>
      <c r="G391" s="15"/>
      <c r="K391" s="15"/>
      <c r="O391" s="15"/>
      <c r="P391" s="15"/>
    </row>
    <row r="392" spans="3:16" x14ac:dyDescent="0.25">
      <c r="C392" s="15"/>
      <c r="G392" s="15"/>
      <c r="K392" s="15"/>
      <c r="O392" s="15"/>
      <c r="P392" s="15"/>
    </row>
    <row r="393" spans="3:16" x14ac:dyDescent="0.25">
      <c r="C393" s="15"/>
      <c r="G393" s="15"/>
      <c r="K393" s="15"/>
      <c r="O393" s="15"/>
      <c r="P393" s="15"/>
    </row>
    <row r="394" spans="3:16" x14ac:dyDescent="0.25">
      <c r="C394" s="15"/>
      <c r="G394" s="15"/>
      <c r="K394" s="15"/>
      <c r="O394" s="15"/>
      <c r="P394" s="15"/>
    </row>
    <row r="395" spans="3:16" x14ac:dyDescent="0.25">
      <c r="C395" s="15"/>
      <c r="G395" s="15"/>
      <c r="K395" s="15"/>
      <c r="O395" s="15"/>
      <c r="P395" s="15"/>
    </row>
    <row r="396" spans="3:16" x14ac:dyDescent="0.25">
      <c r="C396" s="15"/>
      <c r="G396" s="15"/>
      <c r="K396" s="15"/>
      <c r="O396" s="15"/>
      <c r="P396" s="15"/>
    </row>
    <row r="397" spans="3:16" x14ac:dyDescent="0.25">
      <c r="C397" s="15"/>
      <c r="G397" s="15"/>
      <c r="K397" s="15"/>
      <c r="O397" s="15"/>
      <c r="P397" s="15"/>
    </row>
    <row r="398" spans="3:16" x14ac:dyDescent="0.25">
      <c r="C398" s="15"/>
      <c r="G398" s="15"/>
      <c r="K398" s="15"/>
      <c r="O398" s="15"/>
      <c r="P398" s="15"/>
    </row>
    <row r="399" spans="3:16" x14ac:dyDescent="0.25">
      <c r="C399" s="15"/>
      <c r="G399" s="15"/>
      <c r="K399" s="15"/>
      <c r="O399" s="15"/>
      <c r="P399" s="15"/>
    </row>
    <row r="400" spans="3:16" x14ac:dyDescent="0.25">
      <c r="C400" s="15"/>
      <c r="G400" s="15"/>
      <c r="K400" s="15"/>
      <c r="O400" s="15"/>
      <c r="P400" s="15"/>
    </row>
    <row r="401" spans="3:16" x14ac:dyDescent="0.25">
      <c r="C401" s="15"/>
      <c r="G401" s="15"/>
      <c r="K401" s="15"/>
      <c r="O401" s="15"/>
      <c r="P401" s="15"/>
    </row>
    <row r="402" spans="3:16" x14ac:dyDescent="0.25">
      <c r="C402" s="15"/>
      <c r="G402" s="15"/>
      <c r="K402" s="15"/>
      <c r="O402" s="15"/>
      <c r="P402" s="15"/>
    </row>
    <row r="403" spans="3:16" x14ac:dyDescent="0.25">
      <c r="C403" s="15"/>
      <c r="G403" s="15"/>
      <c r="K403" s="15"/>
      <c r="O403" s="15"/>
      <c r="P403" s="15"/>
    </row>
    <row r="404" spans="3:16" x14ac:dyDescent="0.25">
      <c r="C404" s="15"/>
      <c r="G404" s="15"/>
      <c r="K404" s="15"/>
      <c r="O404" s="15"/>
      <c r="P404" s="15"/>
    </row>
    <row r="405" spans="3:16" x14ac:dyDescent="0.25">
      <c r="C405" s="15"/>
      <c r="G405" s="15"/>
      <c r="K405" s="15"/>
      <c r="O405" s="15"/>
      <c r="P405" s="15"/>
    </row>
    <row r="406" spans="3:16" x14ac:dyDescent="0.25">
      <c r="C406" s="15"/>
      <c r="G406" s="15"/>
      <c r="K406" s="15"/>
      <c r="O406" s="15"/>
      <c r="P406" s="15"/>
    </row>
    <row r="407" spans="3:16" x14ac:dyDescent="0.25">
      <c r="C407" s="15"/>
      <c r="G407" s="15"/>
      <c r="K407" s="15"/>
      <c r="O407" s="15"/>
      <c r="P407" s="15"/>
    </row>
    <row r="408" spans="3:16" x14ac:dyDescent="0.25">
      <c r="C408" s="15"/>
      <c r="G408" s="15"/>
      <c r="K408" s="15"/>
      <c r="O408" s="15"/>
      <c r="P408" s="15"/>
    </row>
    <row r="409" spans="3:16" x14ac:dyDescent="0.25">
      <c r="C409" s="15"/>
      <c r="G409" s="15"/>
      <c r="K409" s="15"/>
      <c r="O409" s="15"/>
      <c r="P409" s="15"/>
    </row>
    <row r="410" spans="3:16" x14ac:dyDescent="0.25">
      <c r="C410" s="15"/>
      <c r="G410" s="15"/>
      <c r="K410" s="15"/>
      <c r="O410" s="15"/>
      <c r="P410" s="15"/>
    </row>
    <row r="411" spans="3:16" x14ac:dyDescent="0.25">
      <c r="C411" s="15"/>
      <c r="G411" s="15"/>
      <c r="K411" s="15"/>
      <c r="O411" s="15"/>
      <c r="P411" s="15"/>
    </row>
    <row r="412" spans="3:16" x14ac:dyDescent="0.25">
      <c r="C412" s="15"/>
      <c r="G412" s="15"/>
      <c r="K412" s="15"/>
      <c r="O412" s="15"/>
      <c r="P412" s="15"/>
    </row>
    <row r="413" spans="3:16" x14ac:dyDescent="0.25">
      <c r="C413" s="15"/>
      <c r="G413" s="15"/>
      <c r="K413" s="15"/>
      <c r="O413" s="15"/>
      <c r="P413" s="15"/>
    </row>
    <row r="414" spans="3:16" x14ac:dyDescent="0.25">
      <c r="C414" s="15"/>
      <c r="G414" s="15"/>
      <c r="K414" s="15"/>
      <c r="O414" s="15"/>
      <c r="P414" s="15"/>
    </row>
    <row r="415" spans="3:16" x14ac:dyDescent="0.25">
      <c r="C415" s="15"/>
      <c r="G415" s="15"/>
      <c r="K415" s="15"/>
      <c r="O415" s="15"/>
      <c r="P415" s="15"/>
    </row>
    <row r="416" spans="3:16" x14ac:dyDescent="0.25">
      <c r="C416" s="15"/>
      <c r="G416" s="15"/>
      <c r="K416" s="15"/>
      <c r="O416" s="15"/>
      <c r="P416" s="15"/>
    </row>
    <row r="417" spans="3:16" x14ac:dyDescent="0.25">
      <c r="C417" s="15"/>
      <c r="G417" s="15"/>
      <c r="K417" s="15"/>
      <c r="O417" s="15"/>
      <c r="P417" s="15"/>
    </row>
    <row r="418" spans="3:16" x14ac:dyDescent="0.25">
      <c r="C418" s="15"/>
      <c r="G418" s="15"/>
      <c r="K418" s="15"/>
      <c r="O418" s="15"/>
      <c r="P418" s="15"/>
    </row>
    <row r="419" spans="3:16" x14ac:dyDescent="0.25">
      <c r="C419" s="15"/>
      <c r="G419" s="15"/>
      <c r="K419" s="15"/>
      <c r="O419" s="15"/>
      <c r="P419" s="15"/>
    </row>
    <row r="420" spans="3:16" x14ac:dyDescent="0.25">
      <c r="C420" s="15"/>
      <c r="G420" s="15"/>
      <c r="K420" s="15"/>
      <c r="O420" s="15"/>
      <c r="P420" s="15"/>
    </row>
    <row r="421" spans="3:16" x14ac:dyDescent="0.25">
      <c r="C421" s="15"/>
      <c r="G421" s="15"/>
      <c r="K421" s="15"/>
      <c r="O421" s="15"/>
      <c r="P421" s="15"/>
    </row>
    <row r="422" spans="3:16" x14ac:dyDescent="0.25">
      <c r="C422" s="15"/>
      <c r="G422" s="15"/>
      <c r="K422" s="15"/>
      <c r="O422" s="15"/>
      <c r="P422" s="15"/>
    </row>
    <row r="423" spans="3:16" x14ac:dyDescent="0.25">
      <c r="C423" s="15"/>
      <c r="G423" s="15"/>
      <c r="K423" s="15"/>
      <c r="O423" s="15"/>
      <c r="P423" s="15"/>
    </row>
    <row r="424" spans="3:16" x14ac:dyDescent="0.25">
      <c r="C424" s="15"/>
      <c r="G424" s="15"/>
      <c r="K424" s="15"/>
      <c r="O424" s="15"/>
      <c r="P424" s="15"/>
    </row>
    <row r="425" spans="3:16" x14ac:dyDescent="0.25">
      <c r="C425" s="15"/>
      <c r="G425" s="15"/>
      <c r="K425" s="15"/>
      <c r="O425" s="15"/>
      <c r="P425" s="15"/>
    </row>
    <row r="426" spans="3:16" x14ac:dyDescent="0.25">
      <c r="C426" s="15"/>
      <c r="G426" s="15"/>
      <c r="K426" s="15"/>
      <c r="O426" s="15"/>
      <c r="P426" s="15"/>
    </row>
    <row r="427" spans="3:16" x14ac:dyDescent="0.25">
      <c r="C427" s="15"/>
      <c r="G427" s="15"/>
      <c r="K427" s="15"/>
      <c r="O427" s="15"/>
      <c r="P427" s="15"/>
    </row>
    <row r="428" spans="3:16" x14ac:dyDescent="0.25">
      <c r="C428" s="15"/>
      <c r="G428" s="15"/>
      <c r="K428" s="15"/>
      <c r="O428" s="15"/>
      <c r="P428" s="15"/>
    </row>
    <row r="429" spans="3:16" x14ac:dyDescent="0.25">
      <c r="C429" s="15"/>
      <c r="G429" s="15"/>
      <c r="K429" s="15"/>
      <c r="O429" s="15"/>
      <c r="P429" s="15"/>
    </row>
    <row r="430" spans="3:16" x14ac:dyDescent="0.25">
      <c r="C430" s="15"/>
      <c r="G430" s="15"/>
      <c r="K430" s="15"/>
      <c r="O430" s="15"/>
      <c r="P430" s="15"/>
    </row>
    <row r="431" spans="3:16" x14ac:dyDescent="0.25">
      <c r="C431" s="15"/>
      <c r="G431" s="15"/>
      <c r="K431" s="15"/>
      <c r="O431" s="15"/>
      <c r="P431" s="15"/>
    </row>
    <row r="432" spans="3:16" x14ac:dyDescent="0.25">
      <c r="C432" s="15"/>
      <c r="G432" s="15"/>
      <c r="K432" s="15"/>
      <c r="O432" s="15"/>
      <c r="P432" s="15"/>
    </row>
    <row r="433" spans="3:16" x14ac:dyDescent="0.25">
      <c r="C433" s="15"/>
      <c r="G433" s="15"/>
      <c r="K433" s="15"/>
      <c r="O433" s="15"/>
      <c r="P433" s="15"/>
    </row>
    <row r="434" spans="3:16" x14ac:dyDescent="0.25">
      <c r="C434" s="15"/>
      <c r="G434" s="15"/>
      <c r="K434" s="15"/>
      <c r="O434" s="15"/>
      <c r="P434" s="15"/>
    </row>
    <row r="435" spans="3:16" x14ac:dyDescent="0.25">
      <c r="C435" s="15"/>
      <c r="G435" s="15"/>
      <c r="K435" s="15"/>
      <c r="O435" s="15"/>
      <c r="P435" s="15"/>
    </row>
    <row r="436" spans="3:16" x14ac:dyDescent="0.25">
      <c r="C436" s="15"/>
      <c r="G436" s="15"/>
      <c r="K436" s="15"/>
      <c r="O436" s="15"/>
      <c r="P436" s="15"/>
    </row>
    <row r="437" spans="3:16" x14ac:dyDescent="0.25">
      <c r="C437" s="15"/>
      <c r="G437" s="15"/>
      <c r="K437" s="15"/>
      <c r="O437" s="15"/>
      <c r="P437" s="15"/>
    </row>
    <row r="438" spans="3:16" x14ac:dyDescent="0.25">
      <c r="C438" s="15"/>
      <c r="G438" s="15"/>
      <c r="K438" s="15"/>
      <c r="O438" s="15"/>
      <c r="P438" s="15"/>
    </row>
    <row r="439" spans="3:16" x14ac:dyDescent="0.25">
      <c r="C439" s="15"/>
      <c r="G439" s="15"/>
      <c r="K439" s="15"/>
      <c r="O439" s="15"/>
      <c r="P439" s="15"/>
    </row>
    <row r="440" spans="3:16" x14ac:dyDescent="0.25">
      <c r="C440" s="15"/>
      <c r="G440" s="15"/>
      <c r="K440" s="15"/>
      <c r="O440" s="15"/>
      <c r="P440" s="15"/>
    </row>
    <row r="441" spans="3:16" x14ac:dyDescent="0.25">
      <c r="C441" s="15"/>
      <c r="G441" s="15"/>
      <c r="K441" s="15"/>
      <c r="O441" s="15"/>
      <c r="P441" s="15"/>
    </row>
    <row r="442" spans="3:16" x14ac:dyDescent="0.25">
      <c r="C442" s="15"/>
      <c r="G442" s="15"/>
      <c r="K442" s="15"/>
      <c r="O442" s="15"/>
      <c r="P442" s="15"/>
    </row>
    <row r="443" spans="3:16" x14ac:dyDescent="0.25">
      <c r="C443" s="15"/>
      <c r="G443" s="15"/>
      <c r="K443" s="15"/>
      <c r="O443" s="15"/>
      <c r="P443" s="15"/>
    </row>
    <row r="444" spans="3:16" x14ac:dyDescent="0.25">
      <c r="C444" s="15"/>
      <c r="G444" s="15"/>
      <c r="K444" s="15"/>
      <c r="O444" s="15"/>
      <c r="P444" s="15"/>
    </row>
    <row r="445" spans="3:16" x14ac:dyDescent="0.25">
      <c r="C445" s="15"/>
      <c r="G445" s="15"/>
      <c r="K445" s="15"/>
      <c r="O445" s="15"/>
      <c r="P445" s="15"/>
    </row>
    <row r="446" spans="3:16" x14ac:dyDescent="0.25">
      <c r="C446" s="15"/>
      <c r="G446" s="15"/>
      <c r="K446" s="15"/>
      <c r="O446" s="15"/>
      <c r="P446" s="15"/>
    </row>
    <row r="447" spans="3:16" x14ac:dyDescent="0.25">
      <c r="C447" s="15"/>
      <c r="G447" s="15"/>
      <c r="K447" s="15"/>
      <c r="O447" s="15"/>
      <c r="P447" s="15"/>
    </row>
    <row r="448" spans="3:16" x14ac:dyDescent="0.25">
      <c r="C448" s="15"/>
      <c r="G448" s="15"/>
      <c r="K448" s="15"/>
      <c r="O448" s="15"/>
      <c r="P448" s="15"/>
    </row>
    <row r="449" spans="3:16" x14ac:dyDescent="0.25">
      <c r="C449" s="15"/>
      <c r="G449" s="15"/>
      <c r="K449" s="15"/>
      <c r="O449" s="15"/>
      <c r="P449" s="15"/>
    </row>
    <row r="450" spans="3:16" x14ac:dyDescent="0.25">
      <c r="C450" s="15"/>
      <c r="G450" s="15"/>
      <c r="K450" s="15"/>
      <c r="O450" s="15"/>
      <c r="P450" s="15"/>
    </row>
    <row r="451" spans="3:16" x14ac:dyDescent="0.25">
      <c r="C451" s="15"/>
      <c r="G451" s="15"/>
      <c r="K451" s="15"/>
      <c r="O451" s="15"/>
      <c r="P451" s="15"/>
    </row>
    <row r="452" spans="3:16" x14ac:dyDescent="0.25">
      <c r="C452" s="15"/>
      <c r="G452" s="15"/>
      <c r="K452" s="15"/>
      <c r="O452" s="15"/>
      <c r="P452" s="15"/>
    </row>
    <row r="453" spans="3:16" x14ac:dyDescent="0.25">
      <c r="C453" s="15"/>
      <c r="G453" s="15"/>
      <c r="K453" s="15"/>
      <c r="O453" s="15"/>
      <c r="P453" s="15"/>
    </row>
    <row r="454" spans="3:16" x14ac:dyDescent="0.25">
      <c r="C454" s="15"/>
      <c r="G454" s="15"/>
      <c r="K454" s="15"/>
      <c r="O454" s="15"/>
      <c r="P454" s="15"/>
    </row>
    <row r="455" spans="3:16" x14ac:dyDescent="0.25">
      <c r="C455" s="15"/>
      <c r="G455" s="15"/>
      <c r="K455" s="15"/>
      <c r="O455" s="15"/>
      <c r="P455" s="15"/>
    </row>
    <row r="456" spans="3:16" x14ac:dyDescent="0.25">
      <c r="C456" s="15"/>
      <c r="G456" s="15"/>
      <c r="K456" s="15"/>
      <c r="O456" s="15"/>
      <c r="P456" s="15"/>
    </row>
    <row r="457" spans="3:16" x14ac:dyDescent="0.25">
      <c r="C457" s="15"/>
      <c r="G457" s="15"/>
      <c r="K457" s="15"/>
      <c r="O457" s="15"/>
      <c r="P457" s="15"/>
    </row>
    <row r="458" spans="3:16" x14ac:dyDescent="0.25">
      <c r="C458" s="15"/>
      <c r="G458" s="15"/>
      <c r="K458" s="15"/>
      <c r="O458" s="15"/>
      <c r="P458" s="15"/>
    </row>
    <row r="459" spans="3:16" x14ac:dyDescent="0.25">
      <c r="C459" s="15"/>
      <c r="G459" s="15"/>
      <c r="K459" s="15"/>
      <c r="O459" s="15"/>
      <c r="P459" s="15"/>
    </row>
    <row r="460" spans="3:16" x14ac:dyDescent="0.25">
      <c r="C460" s="15"/>
      <c r="G460" s="15"/>
      <c r="K460" s="15"/>
      <c r="O460" s="15"/>
      <c r="P460" s="15"/>
    </row>
    <row r="461" spans="3:16" x14ac:dyDescent="0.25">
      <c r="C461" s="15"/>
      <c r="G461" s="15"/>
      <c r="K461" s="15"/>
      <c r="O461" s="15"/>
      <c r="P461" s="15"/>
    </row>
    <row r="462" spans="3:16" x14ac:dyDescent="0.25">
      <c r="C462" s="15"/>
      <c r="G462" s="15"/>
      <c r="K462" s="15"/>
      <c r="O462" s="15"/>
      <c r="P462" s="15"/>
    </row>
    <row r="463" spans="3:16" x14ac:dyDescent="0.25">
      <c r="C463" s="15"/>
      <c r="G463" s="15"/>
      <c r="K463" s="15"/>
      <c r="O463" s="15"/>
      <c r="P463" s="15"/>
    </row>
    <row r="464" spans="3:16" x14ac:dyDescent="0.25">
      <c r="C464" s="15"/>
      <c r="G464" s="15"/>
      <c r="K464" s="15"/>
      <c r="O464" s="15"/>
      <c r="P464" s="15"/>
    </row>
    <row r="465" spans="3:16" x14ac:dyDescent="0.25">
      <c r="C465" s="15"/>
      <c r="G465" s="15"/>
      <c r="K465" s="15"/>
      <c r="O465" s="15"/>
      <c r="P465" s="15"/>
    </row>
    <row r="466" spans="3:16" x14ac:dyDescent="0.25">
      <c r="C466" s="15"/>
      <c r="G466" s="15"/>
      <c r="K466" s="15"/>
      <c r="O466" s="15"/>
      <c r="P466" s="15"/>
    </row>
    <row r="467" spans="3:16" x14ac:dyDescent="0.25">
      <c r="C467" s="15"/>
      <c r="G467" s="15"/>
      <c r="K467" s="15"/>
      <c r="O467" s="15"/>
      <c r="P467" s="15"/>
    </row>
    <row r="468" spans="3:16" x14ac:dyDescent="0.25">
      <c r="C468" s="15"/>
      <c r="G468" s="15"/>
      <c r="K468" s="15"/>
      <c r="O468" s="15"/>
      <c r="P468" s="15"/>
    </row>
    <row r="469" spans="3:16" x14ac:dyDescent="0.25">
      <c r="C469" s="15"/>
      <c r="G469" s="15"/>
      <c r="K469" s="15"/>
      <c r="O469" s="15"/>
      <c r="P469" s="15"/>
    </row>
    <row r="470" spans="3:16" x14ac:dyDescent="0.25">
      <c r="C470" s="15"/>
      <c r="G470" s="15"/>
      <c r="K470" s="15"/>
      <c r="O470" s="15"/>
      <c r="P470" s="15"/>
    </row>
    <row r="471" spans="3:16" x14ac:dyDescent="0.25">
      <c r="C471" s="15"/>
      <c r="G471" s="15"/>
      <c r="K471" s="15"/>
      <c r="O471" s="15"/>
      <c r="P471" s="15"/>
    </row>
    <row r="472" spans="3:16" x14ac:dyDescent="0.25">
      <c r="C472" s="15"/>
      <c r="G472" s="15"/>
      <c r="K472" s="15"/>
      <c r="O472" s="15"/>
      <c r="P472" s="15"/>
    </row>
    <row r="473" spans="3:16" x14ac:dyDescent="0.25">
      <c r="C473" s="15"/>
      <c r="G473" s="15"/>
      <c r="K473" s="15"/>
      <c r="O473" s="15"/>
      <c r="P473" s="15"/>
    </row>
    <row r="474" spans="3:16" x14ac:dyDescent="0.25">
      <c r="C474" s="15"/>
      <c r="G474" s="15"/>
      <c r="K474" s="15"/>
      <c r="O474" s="15"/>
      <c r="P474" s="15"/>
    </row>
    <row r="475" spans="3:16" x14ac:dyDescent="0.25">
      <c r="C475" s="15"/>
      <c r="G475" s="15"/>
      <c r="K475" s="15"/>
      <c r="O475" s="15"/>
      <c r="P475" s="15"/>
    </row>
    <row r="476" spans="3:16" x14ac:dyDescent="0.25">
      <c r="C476" s="15"/>
      <c r="G476" s="15"/>
      <c r="K476" s="15"/>
      <c r="O476" s="15"/>
      <c r="P476" s="15"/>
    </row>
    <row r="477" spans="3:16" x14ac:dyDescent="0.25">
      <c r="C477" s="15"/>
      <c r="G477" s="15"/>
      <c r="K477" s="15"/>
      <c r="O477" s="15"/>
      <c r="P477" s="15"/>
    </row>
    <row r="478" spans="3:16" x14ac:dyDescent="0.25">
      <c r="C478" s="15"/>
      <c r="G478" s="15"/>
      <c r="K478" s="15"/>
      <c r="O478" s="15"/>
      <c r="P478" s="15"/>
    </row>
    <row r="479" spans="3:16" x14ac:dyDescent="0.25">
      <c r="C479" s="15"/>
      <c r="G479" s="15"/>
      <c r="K479" s="15"/>
      <c r="O479" s="15"/>
      <c r="P479" s="15"/>
    </row>
    <row r="480" spans="3:16" x14ac:dyDescent="0.25">
      <c r="C480" s="15"/>
      <c r="G480" s="15"/>
      <c r="K480" s="15"/>
      <c r="O480" s="15"/>
      <c r="P480" s="15"/>
    </row>
    <row r="481" spans="3:16" x14ac:dyDescent="0.25">
      <c r="C481" s="15"/>
      <c r="G481" s="15"/>
      <c r="K481" s="15"/>
      <c r="O481" s="15"/>
      <c r="P481" s="15"/>
    </row>
    <row r="482" spans="3:16" x14ac:dyDescent="0.25">
      <c r="C482" s="15"/>
      <c r="G482" s="15"/>
      <c r="K482" s="15"/>
      <c r="O482" s="15"/>
      <c r="P482" s="15"/>
    </row>
    <row r="483" spans="3:16" x14ac:dyDescent="0.25">
      <c r="C483" s="15"/>
      <c r="G483" s="15"/>
      <c r="K483" s="15"/>
      <c r="O483" s="15"/>
      <c r="P483" s="15"/>
    </row>
    <row r="484" spans="3:16" x14ac:dyDescent="0.25">
      <c r="C484" s="15"/>
      <c r="G484" s="15"/>
      <c r="K484" s="15"/>
      <c r="O484" s="15"/>
      <c r="P484" s="15"/>
    </row>
    <row r="485" spans="3:16" x14ac:dyDescent="0.25">
      <c r="C485" s="15"/>
      <c r="G485" s="15"/>
      <c r="K485" s="15"/>
      <c r="O485" s="15"/>
      <c r="P485" s="15"/>
    </row>
    <row r="486" spans="3:16" x14ac:dyDescent="0.25">
      <c r="C486" s="15"/>
      <c r="G486" s="15"/>
      <c r="K486" s="15"/>
      <c r="O486" s="15"/>
      <c r="P486" s="15"/>
    </row>
    <row r="487" spans="3:16" x14ac:dyDescent="0.25">
      <c r="C487" s="15"/>
      <c r="G487" s="15"/>
      <c r="K487" s="15"/>
      <c r="O487" s="15"/>
      <c r="P487" s="15"/>
    </row>
    <row r="488" spans="3:16" x14ac:dyDescent="0.25">
      <c r="C488" s="15"/>
      <c r="G488" s="15"/>
      <c r="K488" s="15"/>
      <c r="O488" s="15"/>
      <c r="P488" s="15"/>
    </row>
    <row r="489" spans="3:16" x14ac:dyDescent="0.25">
      <c r="C489" s="15"/>
      <c r="G489" s="15"/>
      <c r="K489" s="15"/>
      <c r="O489" s="15"/>
      <c r="P489" s="15"/>
    </row>
    <row r="490" spans="3:16" x14ac:dyDescent="0.25">
      <c r="C490" s="15"/>
      <c r="G490" s="15"/>
      <c r="K490" s="15"/>
      <c r="O490" s="15"/>
      <c r="P490" s="15"/>
    </row>
    <row r="491" spans="3:16" x14ac:dyDescent="0.25">
      <c r="C491" s="15"/>
      <c r="G491" s="15"/>
      <c r="K491" s="15"/>
      <c r="O491" s="15"/>
      <c r="P491" s="15"/>
    </row>
    <row r="492" spans="3:16" x14ac:dyDescent="0.25">
      <c r="C492" s="15"/>
      <c r="G492" s="15"/>
      <c r="K492" s="15"/>
      <c r="O492" s="15"/>
      <c r="P492" s="15"/>
    </row>
    <row r="493" spans="3:16" x14ac:dyDescent="0.25">
      <c r="C493" s="15"/>
      <c r="G493" s="15"/>
      <c r="K493" s="15"/>
      <c r="O493" s="15"/>
      <c r="P493" s="15"/>
    </row>
    <row r="494" spans="3:16" x14ac:dyDescent="0.25">
      <c r="C494" s="15"/>
      <c r="G494" s="15"/>
      <c r="K494" s="15"/>
      <c r="O494" s="15"/>
      <c r="P494" s="15"/>
    </row>
    <row r="495" spans="3:16" x14ac:dyDescent="0.25">
      <c r="C495" s="15"/>
      <c r="G495" s="15"/>
      <c r="K495" s="15"/>
      <c r="O495" s="15"/>
      <c r="P495" s="15"/>
    </row>
    <row r="496" spans="3:16" x14ac:dyDescent="0.25">
      <c r="C496" s="15"/>
      <c r="G496" s="15"/>
      <c r="K496" s="15"/>
      <c r="O496" s="15"/>
      <c r="P496" s="15"/>
    </row>
    <row r="497" spans="3:16" x14ac:dyDescent="0.25">
      <c r="C497" s="15"/>
      <c r="G497" s="15"/>
      <c r="K497" s="15"/>
      <c r="O497" s="15"/>
      <c r="P497" s="15"/>
    </row>
    <row r="498" spans="3:16" x14ac:dyDescent="0.25">
      <c r="C498" s="15"/>
      <c r="G498" s="15"/>
      <c r="K498" s="15"/>
      <c r="O498" s="15"/>
      <c r="P498" s="15"/>
    </row>
    <row r="499" spans="3:16" x14ac:dyDescent="0.25">
      <c r="C499" s="15"/>
      <c r="G499" s="15"/>
      <c r="K499" s="15"/>
      <c r="O499" s="15"/>
      <c r="P499" s="15"/>
    </row>
    <row r="500" spans="3:16" x14ac:dyDescent="0.25">
      <c r="C500" s="15"/>
      <c r="G500" s="15"/>
      <c r="K500" s="15"/>
      <c r="O500" s="15"/>
      <c r="P500" s="15"/>
    </row>
    <row r="501" spans="3:16" x14ac:dyDescent="0.25">
      <c r="C501" s="15"/>
      <c r="G501" s="15"/>
      <c r="K501" s="15"/>
      <c r="O501" s="15"/>
      <c r="P501" s="15"/>
    </row>
    <row r="502" spans="3:16" x14ac:dyDescent="0.25">
      <c r="C502" s="15"/>
      <c r="G502" s="15"/>
      <c r="K502" s="15"/>
      <c r="O502" s="15"/>
      <c r="P502" s="15"/>
    </row>
    <row r="503" spans="3:16" x14ac:dyDescent="0.25">
      <c r="C503" s="15"/>
      <c r="G503" s="15"/>
      <c r="K503" s="15"/>
      <c r="O503" s="15"/>
      <c r="P503" s="15"/>
    </row>
    <row r="504" spans="3:16" x14ac:dyDescent="0.25">
      <c r="C504" s="15"/>
      <c r="G504" s="15"/>
      <c r="K504" s="15"/>
      <c r="O504" s="15"/>
      <c r="P504" s="15"/>
    </row>
    <row r="505" spans="3:16" x14ac:dyDescent="0.25">
      <c r="C505" s="15"/>
      <c r="G505" s="15"/>
      <c r="K505" s="15"/>
      <c r="O505" s="15"/>
      <c r="P505" s="15"/>
    </row>
    <row r="506" spans="3:16" x14ac:dyDescent="0.25">
      <c r="C506" s="15"/>
      <c r="G506" s="15"/>
      <c r="K506" s="15"/>
      <c r="O506" s="15"/>
      <c r="P506" s="15"/>
    </row>
    <row r="507" spans="3:16" x14ac:dyDescent="0.25">
      <c r="C507" s="15"/>
      <c r="G507" s="15"/>
      <c r="K507" s="15"/>
      <c r="O507" s="15"/>
      <c r="P507" s="15"/>
    </row>
    <row r="508" spans="3:16" x14ac:dyDescent="0.25">
      <c r="C508" s="15"/>
      <c r="G508" s="15"/>
      <c r="K508" s="15"/>
      <c r="O508" s="15"/>
      <c r="P508" s="15"/>
    </row>
    <row r="509" spans="3:16" x14ac:dyDescent="0.25">
      <c r="C509" s="15"/>
      <c r="G509" s="15"/>
      <c r="K509" s="15"/>
      <c r="O509" s="15"/>
      <c r="P509" s="15"/>
    </row>
    <row r="510" spans="3:16" x14ac:dyDescent="0.25">
      <c r="C510" s="15"/>
      <c r="G510" s="15"/>
      <c r="K510" s="15"/>
      <c r="O510" s="15"/>
      <c r="P510" s="15"/>
    </row>
    <row r="511" spans="3:16" x14ac:dyDescent="0.25">
      <c r="C511" s="15"/>
      <c r="G511" s="15"/>
      <c r="K511" s="15"/>
      <c r="O511" s="15"/>
      <c r="P511" s="15"/>
    </row>
    <row r="512" spans="3:16" x14ac:dyDescent="0.25">
      <c r="C512" s="15"/>
      <c r="G512" s="15"/>
      <c r="K512" s="15"/>
      <c r="O512" s="15"/>
      <c r="P512" s="15"/>
    </row>
    <row r="513" spans="3:16" x14ac:dyDescent="0.25">
      <c r="C513" s="15"/>
      <c r="G513" s="15"/>
      <c r="K513" s="15"/>
      <c r="O513" s="15"/>
      <c r="P513" s="15"/>
    </row>
    <row r="514" spans="3:16" x14ac:dyDescent="0.25">
      <c r="C514" s="15"/>
      <c r="G514" s="15"/>
      <c r="K514" s="15"/>
      <c r="O514" s="15"/>
      <c r="P514" s="15"/>
    </row>
    <row r="515" spans="3:16" x14ac:dyDescent="0.25">
      <c r="C515" s="15"/>
      <c r="G515" s="15"/>
      <c r="K515" s="15"/>
      <c r="O515" s="15"/>
      <c r="P515" s="15"/>
    </row>
    <row r="516" spans="3:16" x14ac:dyDescent="0.25">
      <c r="C516" s="15"/>
      <c r="G516" s="15"/>
      <c r="K516" s="15"/>
      <c r="O516" s="15"/>
      <c r="P516" s="15"/>
    </row>
    <row r="517" spans="3:16" x14ac:dyDescent="0.25">
      <c r="C517" s="15"/>
      <c r="G517" s="15"/>
      <c r="K517" s="15"/>
      <c r="O517" s="15"/>
      <c r="P517" s="15"/>
    </row>
    <row r="518" spans="3:16" x14ac:dyDescent="0.25">
      <c r="C518" s="15"/>
      <c r="G518" s="15"/>
      <c r="K518" s="15"/>
      <c r="O518" s="15"/>
      <c r="P518" s="15"/>
    </row>
    <row r="519" spans="3:16" x14ac:dyDescent="0.25">
      <c r="C519" s="15"/>
      <c r="G519" s="15"/>
      <c r="K519" s="15"/>
      <c r="O519" s="15"/>
      <c r="P519" s="15"/>
    </row>
    <row r="520" spans="3:16" x14ac:dyDescent="0.25">
      <c r="C520" s="15"/>
      <c r="G520" s="15"/>
      <c r="K520" s="15"/>
      <c r="O520" s="15"/>
      <c r="P520" s="15"/>
    </row>
    <row r="521" spans="3:16" x14ac:dyDescent="0.25">
      <c r="C521" s="15"/>
      <c r="G521" s="15"/>
      <c r="K521" s="15"/>
      <c r="O521" s="15"/>
      <c r="P521" s="15"/>
    </row>
    <row r="522" spans="3:16" x14ac:dyDescent="0.25">
      <c r="C522" s="15"/>
      <c r="G522" s="15"/>
      <c r="K522" s="15"/>
      <c r="O522" s="15"/>
      <c r="P522" s="15"/>
    </row>
    <row r="523" spans="3:16" x14ac:dyDescent="0.25">
      <c r="C523" s="15"/>
      <c r="G523" s="15"/>
      <c r="K523" s="15"/>
      <c r="O523" s="15"/>
      <c r="P523" s="15"/>
    </row>
    <row r="524" spans="3:16" x14ac:dyDescent="0.25">
      <c r="C524" s="15"/>
      <c r="G524" s="15"/>
      <c r="K524" s="15"/>
      <c r="O524" s="15"/>
      <c r="P524" s="15"/>
    </row>
    <row r="525" spans="3:16" x14ac:dyDescent="0.25">
      <c r="C525" s="15"/>
      <c r="G525" s="15"/>
      <c r="K525" s="15"/>
      <c r="O525" s="15"/>
      <c r="P525" s="15"/>
    </row>
    <row r="526" spans="3:16" x14ac:dyDescent="0.25">
      <c r="C526" s="15"/>
      <c r="G526" s="15"/>
      <c r="K526" s="15"/>
      <c r="O526" s="15"/>
      <c r="P526" s="15"/>
    </row>
    <row r="527" spans="3:16" x14ac:dyDescent="0.25">
      <c r="C527" s="15"/>
      <c r="G527" s="15"/>
      <c r="K527" s="15"/>
      <c r="O527" s="15"/>
      <c r="P527" s="15"/>
    </row>
    <row r="528" spans="3:16" x14ac:dyDescent="0.25">
      <c r="C528" s="15"/>
      <c r="G528" s="15"/>
      <c r="K528" s="15"/>
      <c r="O528" s="15"/>
      <c r="P528" s="15"/>
    </row>
    <row r="529" spans="3:16" x14ac:dyDescent="0.25">
      <c r="C529" s="15"/>
      <c r="G529" s="15"/>
      <c r="K529" s="15"/>
      <c r="O529" s="15"/>
      <c r="P529" s="15"/>
    </row>
    <row r="530" spans="3:16" x14ac:dyDescent="0.25">
      <c r="C530" s="15"/>
      <c r="G530" s="15"/>
      <c r="K530" s="15"/>
      <c r="O530" s="15"/>
      <c r="P530" s="15"/>
    </row>
    <row r="531" spans="3:16" x14ac:dyDescent="0.25">
      <c r="C531" s="15"/>
      <c r="G531" s="15"/>
      <c r="K531" s="15"/>
      <c r="O531" s="15"/>
      <c r="P531" s="15"/>
    </row>
    <row r="532" spans="3:16" x14ac:dyDescent="0.25">
      <c r="C532" s="15"/>
      <c r="G532" s="15"/>
      <c r="K532" s="15"/>
      <c r="O532" s="15"/>
      <c r="P532" s="15"/>
    </row>
    <row r="533" spans="3:16" x14ac:dyDescent="0.25">
      <c r="C533" s="15"/>
      <c r="G533" s="15"/>
      <c r="K533" s="15"/>
      <c r="O533" s="15"/>
      <c r="P533" s="15"/>
    </row>
    <row r="534" spans="3:16" x14ac:dyDescent="0.25">
      <c r="C534" s="15"/>
      <c r="G534" s="15"/>
      <c r="K534" s="15"/>
      <c r="O534" s="15"/>
      <c r="P534" s="15"/>
    </row>
    <row r="535" spans="3:16" x14ac:dyDescent="0.25">
      <c r="C535" s="15"/>
      <c r="G535" s="15"/>
      <c r="K535" s="15"/>
      <c r="O535" s="15"/>
      <c r="P535" s="15"/>
    </row>
    <row r="536" spans="3:16" x14ac:dyDescent="0.25">
      <c r="C536" s="15"/>
      <c r="G536" s="15"/>
      <c r="K536" s="15"/>
      <c r="O536" s="15"/>
      <c r="P536" s="15"/>
    </row>
    <row r="537" spans="3:16" x14ac:dyDescent="0.25">
      <c r="C537" s="15"/>
      <c r="G537" s="15"/>
      <c r="K537" s="15"/>
      <c r="O537" s="15"/>
      <c r="P537" s="15"/>
    </row>
    <row r="538" spans="3:16" x14ac:dyDescent="0.25">
      <c r="C538" s="15"/>
      <c r="G538" s="15"/>
      <c r="K538" s="15"/>
      <c r="O538" s="15"/>
      <c r="P538" s="15"/>
    </row>
    <row r="539" spans="3:16" x14ac:dyDescent="0.25">
      <c r="C539" s="15"/>
      <c r="G539" s="15"/>
      <c r="K539" s="15"/>
      <c r="O539" s="15"/>
      <c r="P539" s="15"/>
    </row>
    <row r="540" spans="3:16" x14ac:dyDescent="0.25">
      <c r="C540" s="15"/>
      <c r="G540" s="15"/>
      <c r="K540" s="15"/>
      <c r="O540" s="15"/>
      <c r="P540" s="15"/>
    </row>
    <row r="541" spans="3:16" x14ac:dyDescent="0.25">
      <c r="C541" s="15"/>
      <c r="G541" s="15"/>
      <c r="K541" s="15"/>
      <c r="O541" s="15"/>
      <c r="P541" s="15"/>
    </row>
    <row r="542" spans="3:16" x14ac:dyDescent="0.25">
      <c r="C542" s="15"/>
      <c r="G542" s="15"/>
      <c r="K542" s="15"/>
      <c r="O542" s="15"/>
      <c r="P542" s="15"/>
    </row>
    <row r="543" spans="3:16" x14ac:dyDescent="0.25">
      <c r="C543" s="15"/>
      <c r="G543" s="15"/>
      <c r="K543" s="15"/>
      <c r="O543" s="15"/>
      <c r="P543" s="15"/>
    </row>
    <row r="544" spans="3:16" x14ac:dyDescent="0.25">
      <c r="C544" s="15"/>
      <c r="G544" s="15"/>
      <c r="K544" s="15"/>
      <c r="O544" s="15"/>
      <c r="P544" s="15"/>
    </row>
    <row r="545" spans="3:16" x14ac:dyDescent="0.25">
      <c r="C545" s="15"/>
      <c r="G545" s="15"/>
      <c r="K545" s="15"/>
      <c r="O545" s="15"/>
      <c r="P545" s="15"/>
    </row>
    <row r="546" spans="3:16" x14ac:dyDescent="0.25">
      <c r="C546" s="15"/>
      <c r="G546" s="15"/>
      <c r="K546" s="15"/>
      <c r="O546" s="15"/>
      <c r="P546" s="15"/>
    </row>
    <row r="547" spans="3:16" x14ac:dyDescent="0.25">
      <c r="C547" s="15"/>
      <c r="G547" s="15"/>
      <c r="K547" s="15"/>
      <c r="O547" s="15"/>
      <c r="P547" s="15"/>
    </row>
    <row r="548" spans="3:16" x14ac:dyDescent="0.25">
      <c r="C548" s="15"/>
      <c r="G548" s="15"/>
      <c r="K548" s="15"/>
      <c r="O548" s="15"/>
      <c r="P548" s="15"/>
    </row>
    <row r="549" spans="3:16" x14ac:dyDescent="0.25">
      <c r="C549" s="15"/>
      <c r="G549" s="15"/>
      <c r="K549" s="15"/>
      <c r="O549" s="15"/>
      <c r="P549" s="15"/>
    </row>
    <row r="550" spans="3:16" x14ac:dyDescent="0.25">
      <c r="C550" s="15"/>
      <c r="G550" s="15"/>
      <c r="K550" s="15"/>
      <c r="O550" s="15"/>
      <c r="P550" s="15"/>
    </row>
    <row r="551" spans="3:16" x14ac:dyDescent="0.25">
      <c r="C551" s="15"/>
      <c r="G551" s="15"/>
      <c r="K551" s="15"/>
      <c r="O551" s="15"/>
      <c r="P551" s="15"/>
    </row>
    <row r="552" spans="3:16" x14ac:dyDescent="0.25">
      <c r="C552" s="15"/>
      <c r="G552" s="15"/>
      <c r="K552" s="15"/>
      <c r="O552" s="15"/>
      <c r="P552" s="15"/>
    </row>
    <row r="553" spans="3:16" x14ac:dyDescent="0.25">
      <c r="C553" s="15"/>
      <c r="G553" s="15"/>
      <c r="K553" s="15"/>
      <c r="O553" s="15"/>
      <c r="P553" s="15"/>
    </row>
    <row r="554" spans="3:16" x14ac:dyDescent="0.25">
      <c r="C554" s="15"/>
      <c r="G554" s="15"/>
      <c r="K554" s="15"/>
      <c r="O554" s="15"/>
      <c r="P554" s="15"/>
    </row>
    <row r="555" spans="3:16" x14ac:dyDescent="0.25">
      <c r="C555" s="15"/>
      <c r="G555" s="15"/>
      <c r="K555" s="15"/>
      <c r="O555" s="15"/>
      <c r="P555" s="15"/>
    </row>
    <row r="556" spans="3:16" x14ac:dyDescent="0.25">
      <c r="C556" s="15"/>
      <c r="G556" s="15"/>
      <c r="K556" s="15"/>
      <c r="O556" s="15"/>
      <c r="P556" s="15"/>
    </row>
    <row r="557" spans="3:16" x14ac:dyDescent="0.25">
      <c r="C557" s="15"/>
      <c r="G557" s="15"/>
      <c r="K557" s="15"/>
      <c r="O557" s="15"/>
      <c r="P557" s="15"/>
    </row>
    <row r="558" spans="3:16" x14ac:dyDescent="0.25">
      <c r="C558" s="15"/>
      <c r="G558" s="15"/>
      <c r="K558" s="15"/>
      <c r="O558" s="15"/>
      <c r="P558" s="15"/>
    </row>
    <row r="559" spans="3:16" x14ac:dyDescent="0.25">
      <c r="C559" s="15"/>
      <c r="G559" s="15"/>
      <c r="K559" s="15"/>
      <c r="O559" s="15"/>
      <c r="P559" s="15"/>
    </row>
    <row r="560" spans="3:16" x14ac:dyDescent="0.25">
      <c r="C560" s="15"/>
      <c r="G560" s="15"/>
      <c r="K560" s="15"/>
      <c r="O560" s="15"/>
      <c r="P560" s="15"/>
    </row>
    <row r="561" spans="3:16" x14ac:dyDescent="0.25">
      <c r="C561" s="15"/>
      <c r="G561" s="15"/>
      <c r="K561" s="15"/>
      <c r="O561" s="15"/>
      <c r="P561" s="15"/>
    </row>
    <row r="562" spans="3:16" x14ac:dyDescent="0.25">
      <c r="C562" s="15"/>
      <c r="G562" s="15"/>
      <c r="K562" s="15"/>
      <c r="O562" s="15"/>
      <c r="P562" s="15"/>
    </row>
    <row r="563" spans="3:16" x14ac:dyDescent="0.25">
      <c r="C563" s="15"/>
      <c r="G563" s="15"/>
      <c r="K563" s="15"/>
      <c r="O563" s="15"/>
      <c r="P563" s="15"/>
    </row>
    <row r="564" spans="3:16" x14ac:dyDescent="0.25">
      <c r="C564" s="15"/>
      <c r="G564" s="15"/>
      <c r="K564" s="15"/>
      <c r="O564" s="15"/>
      <c r="P564" s="15"/>
    </row>
    <row r="565" spans="3:16" x14ac:dyDescent="0.25">
      <c r="C565" s="15"/>
      <c r="G565" s="15"/>
      <c r="K565" s="15"/>
      <c r="O565" s="15"/>
      <c r="P565" s="15"/>
    </row>
    <row r="566" spans="3:16" x14ac:dyDescent="0.25">
      <c r="C566" s="15"/>
      <c r="G566" s="15"/>
      <c r="K566" s="15"/>
      <c r="O566" s="15"/>
      <c r="P566" s="15"/>
    </row>
    <row r="567" spans="3:16" x14ac:dyDescent="0.25">
      <c r="C567" s="15"/>
      <c r="G567" s="15"/>
      <c r="K567" s="15"/>
      <c r="O567" s="15"/>
      <c r="P567" s="15"/>
    </row>
    <row r="568" spans="3:16" x14ac:dyDescent="0.25">
      <c r="C568" s="15"/>
      <c r="G568" s="15"/>
      <c r="K568" s="15"/>
      <c r="O568" s="15"/>
      <c r="P568" s="15"/>
    </row>
    <row r="569" spans="3:16" x14ac:dyDescent="0.25">
      <c r="C569" s="15"/>
      <c r="G569" s="15"/>
      <c r="K569" s="15"/>
      <c r="O569" s="15"/>
      <c r="P569" s="15"/>
    </row>
    <row r="570" spans="3:16" x14ac:dyDescent="0.25">
      <c r="C570" s="15"/>
      <c r="G570" s="15"/>
      <c r="K570" s="15"/>
      <c r="O570" s="15"/>
      <c r="P570" s="15"/>
    </row>
    <row r="571" spans="3:16" x14ac:dyDescent="0.25">
      <c r="C571" s="15"/>
      <c r="G571" s="15"/>
      <c r="K571" s="15"/>
      <c r="O571" s="15"/>
      <c r="P571" s="15"/>
    </row>
    <row r="572" spans="3:16" x14ac:dyDescent="0.25">
      <c r="C572" s="15"/>
      <c r="G572" s="15"/>
      <c r="K572" s="15"/>
      <c r="O572" s="15"/>
      <c r="P572" s="15"/>
    </row>
    <row r="573" spans="3:16" x14ac:dyDescent="0.25">
      <c r="C573" s="15"/>
      <c r="G573" s="15"/>
      <c r="K573" s="15"/>
      <c r="O573" s="15"/>
      <c r="P573" s="15"/>
    </row>
    <row r="574" spans="3:16" x14ac:dyDescent="0.25">
      <c r="C574" s="15"/>
      <c r="G574" s="15"/>
      <c r="K574" s="15"/>
      <c r="O574" s="15"/>
      <c r="P574" s="15"/>
    </row>
    <row r="575" spans="3:16" x14ac:dyDescent="0.25">
      <c r="C575" s="15"/>
      <c r="G575" s="15"/>
      <c r="K575" s="15"/>
      <c r="O575" s="15"/>
      <c r="P575" s="15"/>
    </row>
    <row r="576" spans="3:16" x14ac:dyDescent="0.25">
      <c r="C576" s="15"/>
      <c r="G576" s="15"/>
      <c r="K576" s="15"/>
      <c r="O576" s="15"/>
      <c r="P576" s="15"/>
    </row>
    <row r="577" spans="3:16" x14ac:dyDescent="0.25">
      <c r="C577" s="15"/>
      <c r="G577" s="15"/>
      <c r="K577" s="15"/>
      <c r="O577" s="15"/>
      <c r="P577" s="15"/>
    </row>
    <row r="578" spans="3:16" x14ac:dyDescent="0.25">
      <c r="C578" s="15"/>
      <c r="G578" s="15"/>
      <c r="K578" s="15"/>
      <c r="O578" s="15"/>
      <c r="P578" s="15"/>
    </row>
    <row r="579" spans="3:16" x14ac:dyDescent="0.25">
      <c r="C579" s="15"/>
      <c r="G579" s="15"/>
      <c r="K579" s="15"/>
      <c r="O579" s="15"/>
      <c r="P579" s="15"/>
    </row>
    <row r="580" spans="3:16" x14ac:dyDescent="0.25">
      <c r="C580" s="15"/>
      <c r="G580" s="15"/>
      <c r="K580" s="15"/>
      <c r="O580" s="15"/>
      <c r="P580" s="15"/>
    </row>
    <row r="581" spans="3:16" x14ac:dyDescent="0.25">
      <c r="C581" s="15"/>
      <c r="G581" s="15"/>
      <c r="K581" s="15"/>
      <c r="O581" s="15"/>
      <c r="P581" s="15"/>
    </row>
    <row r="582" spans="3:16" x14ac:dyDescent="0.25">
      <c r="C582" s="15"/>
      <c r="G582" s="15"/>
      <c r="K582" s="15"/>
      <c r="O582" s="15"/>
      <c r="P582" s="15"/>
    </row>
    <row r="583" spans="3:16" x14ac:dyDescent="0.25">
      <c r="C583" s="15"/>
      <c r="G583" s="15"/>
      <c r="K583" s="15"/>
      <c r="O583" s="15"/>
      <c r="P583" s="15"/>
    </row>
    <row r="584" spans="3:16" x14ac:dyDescent="0.25">
      <c r="C584" s="15"/>
      <c r="G584" s="15"/>
      <c r="K584" s="15"/>
      <c r="O584" s="15"/>
      <c r="P584" s="15"/>
    </row>
    <row r="585" spans="3:16" x14ac:dyDescent="0.25">
      <c r="C585" s="15"/>
      <c r="G585" s="15"/>
      <c r="K585" s="15"/>
      <c r="O585" s="15"/>
      <c r="P585" s="15"/>
    </row>
    <row r="586" spans="3:16" x14ac:dyDescent="0.25">
      <c r="C586" s="15"/>
      <c r="G586" s="15"/>
      <c r="K586" s="15"/>
      <c r="O586" s="15"/>
      <c r="P586" s="15"/>
    </row>
    <row r="587" spans="3:16" x14ac:dyDescent="0.25">
      <c r="C587" s="15"/>
      <c r="G587" s="15"/>
      <c r="K587" s="15"/>
      <c r="O587" s="15"/>
      <c r="P587" s="15"/>
    </row>
    <row r="588" spans="3:16" x14ac:dyDescent="0.25">
      <c r="C588" s="15"/>
      <c r="G588" s="15"/>
      <c r="K588" s="15"/>
      <c r="O588" s="15"/>
      <c r="P588" s="15"/>
    </row>
    <row r="589" spans="3:16" x14ac:dyDescent="0.25">
      <c r="C589" s="15"/>
      <c r="G589" s="15"/>
      <c r="K589" s="15"/>
      <c r="O589" s="15"/>
      <c r="P589" s="15"/>
    </row>
    <row r="590" spans="3:16" x14ac:dyDescent="0.25">
      <c r="C590" s="15"/>
      <c r="G590" s="15"/>
      <c r="K590" s="15"/>
      <c r="O590" s="15"/>
      <c r="P590" s="15"/>
    </row>
    <row r="591" spans="3:16" x14ac:dyDescent="0.25">
      <c r="C591" s="15"/>
      <c r="G591" s="15"/>
      <c r="K591" s="15"/>
      <c r="O591" s="15"/>
      <c r="P591" s="15"/>
    </row>
    <row r="592" spans="3:16" x14ac:dyDescent="0.25">
      <c r="C592" s="15"/>
      <c r="G592" s="15"/>
      <c r="K592" s="15"/>
      <c r="O592" s="15"/>
      <c r="P592" s="15"/>
    </row>
    <row r="593" spans="3:16" x14ac:dyDescent="0.25">
      <c r="C593" s="15"/>
      <c r="G593" s="15"/>
      <c r="K593" s="15"/>
      <c r="O593" s="15"/>
      <c r="P593" s="15"/>
    </row>
    <row r="594" spans="3:16" x14ac:dyDescent="0.25">
      <c r="C594" s="15"/>
      <c r="G594" s="15"/>
      <c r="K594" s="15"/>
      <c r="O594" s="15"/>
      <c r="P594" s="15"/>
    </row>
    <row r="595" spans="3:16" x14ac:dyDescent="0.25">
      <c r="C595" s="15"/>
      <c r="G595" s="15"/>
      <c r="K595" s="15"/>
      <c r="O595" s="15"/>
      <c r="P595" s="15"/>
    </row>
    <row r="596" spans="3:16" x14ac:dyDescent="0.25">
      <c r="C596" s="15"/>
      <c r="G596" s="15"/>
      <c r="K596" s="15"/>
      <c r="O596" s="15"/>
      <c r="P596" s="15"/>
    </row>
    <row r="597" spans="3:16" x14ac:dyDescent="0.25">
      <c r="C597" s="15"/>
      <c r="G597" s="15"/>
      <c r="K597" s="15"/>
      <c r="O597" s="15"/>
      <c r="P597" s="15"/>
    </row>
    <row r="598" spans="3:16" x14ac:dyDescent="0.25">
      <c r="C598" s="15"/>
      <c r="G598" s="15"/>
      <c r="K598" s="15"/>
      <c r="O598" s="15"/>
      <c r="P598" s="15"/>
    </row>
    <row r="599" spans="3:16" x14ac:dyDescent="0.25">
      <c r="C599" s="15"/>
      <c r="G599" s="15"/>
      <c r="K599" s="15"/>
      <c r="O599" s="15"/>
      <c r="P599" s="15"/>
    </row>
    <row r="600" spans="3:16" x14ac:dyDescent="0.25">
      <c r="C600" s="15"/>
      <c r="G600" s="15"/>
      <c r="K600" s="15"/>
      <c r="O600" s="15"/>
      <c r="P600" s="15"/>
    </row>
    <row r="601" spans="3:16" x14ac:dyDescent="0.25">
      <c r="C601" s="15"/>
      <c r="G601" s="15"/>
      <c r="K601" s="15"/>
      <c r="O601" s="15"/>
      <c r="P601" s="15"/>
    </row>
    <row r="602" spans="3:16" x14ac:dyDescent="0.25">
      <c r="C602" s="15"/>
      <c r="G602" s="15"/>
      <c r="K602" s="15"/>
      <c r="O602" s="15"/>
      <c r="P602" s="15"/>
    </row>
    <row r="603" spans="3:16" x14ac:dyDescent="0.25">
      <c r="C603" s="15"/>
      <c r="G603" s="15"/>
      <c r="K603" s="15"/>
      <c r="O603" s="15"/>
      <c r="P603" s="15"/>
    </row>
    <row r="604" spans="3:16" x14ac:dyDescent="0.25">
      <c r="C604" s="15"/>
      <c r="G604" s="15"/>
      <c r="K604" s="15"/>
      <c r="O604" s="15"/>
      <c r="P604" s="15"/>
    </row>
    <row r="605" spans="3:16" x14ac:dyDescent="0.25">
      <c r="C605" s="15"/>
      <c r="G605" s="15"/>
      <c r="K605" s="15"/>
      <c r="O605" s="15"/>
      <c r="P605" s="15"/>
    </row>
    <row r="606" spans="3:16" x14ac:dyDescent="0.25">
      <c r="C606" s="15"/>
      <c r="G606" s="15"/>
      <c r="K606" s="15"/>
      <c r="O606" s="15"/>
      <c r="P606" s="15"/>
    </row>
    <row r="607" spans="3:16" x14ac:dyDescent="0.25">
      <c r="C607" s="15"/>
      <c r="G607" s="15"/>
      <c r="K607" s="15"/>
      <c r="O607" s="15"/>
      <c r="P607" s="15"/>
    </row>
    <row r="608" spans="3:16" x14ac:dyDescent="0.25">
      <c r="C608" s="15"/>
      <c r="G608" s="15"/>
      <c r="K608" s="15"/>
      <c r="O608" s="15"/>
      <c r="P608" s="15"/>
    </row>
    <row r="609" spans="3:16" x14ac:dyDescent="0.25">
      <c r="C609" s="15"/>
      <c r="G609" s="15"/>
      <c r="K609" s="15"/>
      <c r="O609" s="15"/>
      <c r="P609" s="15"/>
    </row>
    <row r="610" spans="3:16" x14ac:dyDescent="0.25">
      <c r="C610" s="15"/>
      <c r="G610" s="15"/>
      <c r="K610" s="15"/>
      <c r="O610" s="15"/>
      <c r="P610" s="15"/>
    </row>
    <row r="611" spans="3:16" x14ac:dyDescent="0.25">
      <c r="C611" s="15"/>
      <c r="G611" s="15"/>
      <c r="K611" s="15"/>
      <c r="O611" s="15"/>
      <c r="P611" s="15"/>
    </row>
    <row r="612" spans="3:16" x14ac:dyDescent="0.25">
      <c r="C612" s="15"/>
      <c r="G612" s="15"/>
      <c r="K612" s="15"/>
      <c r="O612" s="15"/>
      <c r="P612" s="15"/>
    </row>
    <row r="613" spans="3:16" x14ac:dyDescent="0.25">
      <c r="C613" s="15"/>
      <c r="G613" s="15"/>
      <c r="K613" s="15"/>
      <c r="O613" s="15"/>
      <c r="P613" s="15"/>
    </row>
    <row r="614" spans="3:16" x14ac:dyDescent="0.25">
      <c r="C614" s="15"/>
      <c r="G614" s="15"/>
      <c r="K614" s="15"/>
      <c r="O614" s="15"/>
      <c r="P614" s="15"/>
    </row>
    <row r="615" spans="3:16" x14ac:dyDescent="0.25">
      <c r="C615" s="15"/>
      <c r="G615" s="15"/>
      <c r="K615" s="15"/>
      <c r="O615" s="15"/>
      <c r="P615" s="15"/>
    </row>
    <row r="616" spans="3:16" x14ac:dyDescent="0.25">
      <c r="C616" s="15"/>
      <c r="G616" s="15"/>
      <c r="K616" s="15"/>
      <c r="O616" s="15"/>
      <c r="P616" s="15"/>
    </row>
    <row r="617" spans="3:16" x14ac:dyDescent="0.25">
      <c r="C617" s="15"/>
      <c r="G617" s="15"/>
      <c r="K617" s="15"/>
      <c r="O617" s="15"/>
      <c r="P617" s="15"/>
    </row>
    <row r="618" spans="3:16" x14ac:dyDescent="0.25">
      <c r="C618" s="15"/>
      <c r="G618" s="15"/>
      <c r="K618" s="15"/>
      <c r="O618" s="15"/>
      <c r="P618" s="15"/>
    </row>
    <row r="619" spans="3:16" x14ac:dyDescent="0.25">
      <c r="C619" s="15"/>
      <c r="G619" s="15"/>
      <c r="K619" s="15"/>
      <c r="O619" s="15"/>
      <c r="P619" s="15"/>
    </row>
    <row r="620" spans="3:16" x14ac:dyDescent="0.25">
      <c r="C620" s="15"/>
      <c r="G620" s="15"/>
      <c r="K620" s="15"/>
      <c r="O620" s="15"/>
      <c r="P620" s="15"/>
    </row>
    <row r="621" spans="3:16" x14ac:dyDescent="0.25">
      <c r="C621" s="15"/>
      <c r="G621" s="15"/>
      <c r="K621" s="15"/>
      <c r="O621" s="15"/>
      <c r="P621" s="15"/>
    </row>
    <row r="622" spans="3:16" x14ac:dyDescent="0.25">
      <c r="C622" s="15"/>
      <c r="G622" s="15"/>
      <c r="K622" s="15"/>
      <c r="O622" s="15"/>
      <c r="P622" s="15"/>
    </row>
    <row r="623" spans="3:16" x14ac:dyDescent="0.25">
      <c r="C623" s="15"/>
      <c r="G623" s="15"/>
      <c r="K623" s="15"/>
      <c r="O623" s="15"/>
      <c r="P623" s="15"/>
    </row>
    <row r="624" spans="3:16" x14ac:dyDescent="0.25">
      <c r="C624" s="15"/>
      <c r="G624" s="15"/>
      <c r="K624" s="15"/>
      <c r="O624" s="15"/>
      <c r="P624" s="15"/>
    </row>
    <row r="625" spans="3:16" x14ac:dyDescent="0.25">
      <c r="C625" s="15"/>
      <c r="G625" s="15"/>
      <c r="K625" s="15"/>
      <c r="O625" s="15"/>
      <c r="P625" s="15"/>
    </row>
    <row r="626" spans="3:16" x14ac:dyDescent="0.25">
      <c r="C626" s="15"/>
      <c r="G626" s="15"/>
      <c r="K626" s="15"/>
      <c r="O626" s="15"/>
      <c r="P626" s="15"/>
    </row>
    <row r="627" spans="3:16" x14ac:dyDescent="0.25">
      <c r="C627" s="15"/>
      <c r="G627" s="15"/>
      <c r="K627" s="15"/>
      <c r="O627" s="15"/>
      <c r="P627" s="15"/>
    </row>
    <row r="628" spans="3:16" x14ac:dyDescent="0.25">
      <c r="C628" s="15"/>
      <c r="G628" s="15"/>
      <c r="K628" s="15"/>
      <c r="O628" s="15"/>
      <c r="P628" s="15"/>
    </row>
    <row r="629" spans="3:16" x14ac:dyDescent="0.25">
      <c r="C629" s="15"/>
      <c r="G629" s="15"/>
      <c r="K629" s="15"/>
      <c r="O629" s="15"/>
      <c r="P629" s="15"/>
    </row>
    <row r="630" spans="3:16" x14ac:dyDescent="0.25">
      <c r="C630" s="15"/>
      <c r="G630" s="15"/>
      <c r="K630" s="15"/>
      <c r="O630" s="15"/>
      <c r="P630" s="15"/>
    </row>
    <row r="631" spans="3:16" x14ac:dyDescent="0.25">
      <c r="C631" s="15"/>
      <c r="G631" s="15"/>
      <c r="K631" s="15"/>
      <c r="O631" s="15"/>
      <c r="P631" s="15"/>
    </row>
    <row r="632" spans="3:16" x14ac:dyDescent="0.25">
      <c r="C632" s="15"/>
      <c r="G632" s="15"/>
      <c r="K632" s="15"/>
      <c r="O632" s="15"/>
      <c r="P632" s="15"/>
    </row>
    <row r="633" spans="3:16" x14ac:dyDescent="0.25">
      <c r="C633" s="15"/>
      <c r="G633" s="15"/>
      <c r="K633" s="15"/>
      <c r="O633" s="15"/>
      <c r="P633" s="15"/>
    </row>
    <row r="634" spans="3:16" x14ac:dyDescent="0.25">
      <c r="C634" s="15"/>
      <c r="G634" s="15"/>
      <c r="K634" s="15"/>
      <c r="O634" s="15"/>
      <c r="P634" s="15"/>
    </row>
    <row r="635" spans="3:16" x14ac:dyDescent="0.25">
      <c r="C635" s="15"/>
      <c r="G635" s="15"/>
      <c r="K635" s="15"/>
      <c r="O635" s="15"/>
      <c r="P635" s="15"/>
    </row>
    <row r="636" spans="3:16" x14ac:dyDescent="0.25">
      <c r="C636" s="15"/>
      <c r="G636" s="15"/>
      <c r="K636" s="15"/>
      <c r="O636" s="15"/>
      <c r="P636" s="15"/>
    </row>
    <row r="637" spans="3:16" x14ac:dyDescent="0.25">
      <c r="C637" s="15"/>
      <c r="G637" s="15"/>
      <c r="K637" s="15"/>
      <c r="O637" s="15"/>
      <c r="P637" s="15"/>
    </row>
    <row r="638" spans="3:16" x14ac:dyDescent="0.25">
      <c r="C638" s="15"/>
      <c r="G638" s="15"/>
      <c r="K638" s="15"/>
      <c r="O638" s="15"/>
      <c r="P638" s="15"/>
    </row>
    <row r="639" spans="3:16" x14ac:dyDescent="0.25">
      <c r="C639" s="15"/>
      <c r="G639" s="15"/>
      <c r="K639" s="15"/>
      <c r="O639" s="15"/>
      <c r="P639" s="15"/>
    </row>
    <row r="640" spans="3:16" x14ac:dyDescent="0.25">
      <c r="C640" s="15"/>
      <c r="G640" s="15"/>
      <c r="K640" s="15"/>
      <c r="O640" s="15"/>
      <c r="P640" s="15"/>
    </row>
    <row r="641" spans="3:16" x14ac:dyDescent="0.25">
      <c r="C641" s="15"/>
      <c r="G641" s="15"/>
      <c r="K641" s="15"/>
      <c r="O641" s="15"/>
      <c r="P641" s="15"/>
    </row>
    <row r="642" spans="3:16" x14ac:dyDescent="0.25">
      <c r="C642" s="15"/>
      <c r="G642" s="15"/>
      <c r="K642" s="15"/>
      <c r="O642" s="15"/>
      <c r="P642" s="15"/>
    </row>
    <row r="643" spans="3:16" x14ac:dyDescent="0.25">
      <c r="C643" s="15"/>
      <c r="G643" s="15"/>
      <c r="K643" s="15"/>
      <c r="O643" s="15"/>
      <c r="P643" s="15"/>
    </row>
    <row r="644" spans="3:16" x14ac:dyDescent="0.25">
      <c r="C644" s="15"/>
      <c r="G644" s="15"/>
      <c r="K644" s="15"/>
      <c r="O644" s="15"/>
      <c r="P644" s="15"/>
    </row>
    <row r="645" spans="3:16" x14ac:dyDescent="0.25">
      <c r="C645" s="15"/>
      <c r="G645" s="15"/>
      <c r="K645" s="15"/>
      <c r="O645" s="15"/>
      <c r="P645" s="15"/>
    </row>
    <row r="646" spans="3:16" x14ac:dyDescent="0.25">
      <c r="C646" s="15"/>
      <c r="G646" s="15"/>
      <c r="K646" s="15"/>
      <c r="O646" s="15"/>
      <c r="P646" s="15"/>
    </row>
    <row r="647" spans="3:16" x14ac:dyDescent="0.25">
      <c r="C647" s="15"/>
      <c r="G647" s="15"/>
      <c r="K647" s="15"/>
      <c r="O647" s="15"/>
      <c r="P647" s="15"/>
    </row>
    <row r="648" spans="3:16" x14ac:dyDescent="0.25">
      <c r="C648" s="15"/>
      <c r="G648" s="15"/>
      <c r="K648" s="15"/>
      <c r="O648" s="15"/>
      <c r="P648" s="15"/>
    </row>
    <row r="649" spans="3:16" x14ac:dyDescent="0.25">
      <c r="C649" s="15"/>
      <c r="G649" s="15"/>
      <c r="K649" s="15"/>
      <c r="O649" s="15"/>
      <c r="P649" s="15"/>
    </row>
    <row r="650" spans="3:16" x14ac:dyDescent="0.25">
      <c r="C650" s="15"/>
      <c r="G650" s="15"/>
      <c r="K650" s="15"/>
      <c r="O650" s="15"/>
      <c r="P650" s="15"/>
    </row>
    <row r="651" spans="3:16" x14ac:dyDescent="0.25">
      <c r="C651" s="15"/>
      <c r="G651" s="15"/>
      <c r="K651" s="15"/>
      <c r="O651" s="15"/>
      <c r="P651" s="15"/>
    </row>
    <row r="652" spans="3:16" x14ac:dyDescent="0.25">
      <c r="C652" s="15"/>
      <c r="G652" s="15"/>
      <c r="K652" s="15"/>
      <c r="O652" s="15"/>
      <c r="P652" s="15"/>
    </row>
    <row r="653" spans="3:16" x14ac:dyDescent="0.25">
      <c r="C653" s="15"/>
      <c r="G653" s="15"/>
      <c r="K653" s="15"/>
      <c r="O653" s="15"/>
      <c r="P653" s="15"/>
    </row>
    <row r="654" spans="3:16" x14ac:dyDescent="0.25">
      <c r="C654" s="15"/>
      <c r="G654" s="15"/>
      <c r="K654" s="15"/>
      <c r="O654" s="15"/>
      <c r="P654" s="15"/>
    </row>
    <row r="655" spans="3:16" x14ac:dyDescent="0.25">
      <c r="C655" s="15"/>
      <c r="G655" s="15"/>
      <c r="K655" s="15"/>
      <c r="O655" s="15"/>
      <c r="P655" s="15"/>
    </row>
    <row r="656" spans="3:16" x14ac:dyDescent="0.25">
      <c r="C656" s="15"/>
      <c r="G656" s="15"/>
      <c r="K656" s="15"/>
      <c r="O656" s="15"/>
      <c r="P656" s="15"/>
    </row>
    <row r="657" spans="3:16" x14ac:dyDescent="0.25">
      <c r="C657" s="15"/>
      <c r="G657" s="15"/>
      <c r="K657" s="15"/>
      <c r="O657" s="15"/>
      <c r="P657" s="15"/>
    </row>
    <row r="658" spans="3:16" x14ac:dyDescent="0.25">
      <c r="C658" s="15"/>
      <c r="G658" s="15"/>
      <c r="K658" s="15"/>
      <c r="O658" s="15"/>
      <c r="P658" s="15"/>
    </row>
    <row r="659" spans="3:16" x14ac:dyDescent="0.25">
      <c r="C659" s="15"/>
      <c r="G659" s="15"/>
      <c r="K659" s="15"/>
      <c r="O659" s="15"/>
      <c r="P659" s="15"/>
    </row>
    <row r="660" spans="3:16" x14ac:dyDescent="0.25">
      <c r="C660" s="15"/>
      <c r="G660" s="15"/>
      <c r="K660" s="15"/>
      <c r="O660" s="15"/>
      <c r="P660" s="15"/>
    </row>
    <row r="661" spans="3:16" x14ac:dyDescent="0.25">
      <c r="C661" s="15"/>
      <c r="G661" s="15"/>
      <c r="K661" s="15"/>
      <c r="O661" s="15"/>
      <c r="P661" s="15"/>
    </row>
    <row r="662" spans="3:16" x14ac:dyDescent="0.25">
      <c r="C662" s="15"/>
      <c r="G662" s="15"/>
      <c r="K662" s="15"/>
      <c r="O662" s="15"/>
      <c r="P662" s="15"/>
    </row>
    <row r="663" spans="3:16" x14ac:dyDescent="0.25">
      <c r="C663" s="15"/>
      <c r="G663" s="15"/>
      <c r="K663" s="15"/>
      <c r="O663" s="15"/>
      <c r="P663" s="15"/>
    </row>
    <row r="664" spans="3:16" x14ac:dyDescent="0.25">
      <c r="C664" s="15"/>
      <c r="G664" s="15"/>
      <c r="K664" s="15"/>
      <c r="O664" s="15"/>
      <c r="P664" s="15"/>
    </row>
    <row r="665" spans="3:16" x14ac:dyDescent="0.25">
      <c r="C665" s="15"/>
      <c r="G665" s="15"/>
      <c r="K665" s="15"/>
      <c r="O665" s="15"/>
      <c r="P665" s="15"/>
    </row>
    <row r="666" spans="3:16" x14ac:dyDescent="0.25">
      <c r="C666" s="15"/>
      <c r="G666" s="15"/>
      <c r="K666" s="15"/>
      <c r="O666" s="15"/>
      <c r="P666" s="15"/>
    </row>
    <row r="667" spans="3:16" x14ac:dyDescent="0.25">
      <c r="C667" s="15"/>
      <c r="G667" s="15"/>
      <c r="K667" s="15"/>
      <c r="O667" s="15"/>
      <c r="P667" s="15"/>
    </row>
    <row r="668" spans="3:16" x14ac:dyDescent="0.25">
      <c r="C668" s="15"/>
      <c r="G668" s="15"/>
      <c r="K668" s="15"/>
      <c r="O668" s="15"/>
      <c r="P668" s="15"/>
    </row>
    <row r="669" spans="3:16" x14ac:dyDescent="0.25">
      <c r="C669" s="15"/>
      <c r="G669" s="15"/>
      <c r="K669" s="15"/>
      <c r="O669" s="15"/>
      <c r="P669" s="15"/>
    </row>
    <row r="670" spans="3:16" x14ac:dyDescent="0.25">
      <c r="C670" s="15"/>
      <c r="G670" s="15"/>
      <c r="K670" s="15"/>
      <c r="O670" s="15"/>
      <c r="P670" s="15"/>
    </row>
    <row r="671" spans="3:16" x14ac:dyDescent="0.25">
      <c r="C671" s="15"/>
      <c r="G671" s="15"/>
      <c r="K671" s="15"/>
      <c r="O671" s="15"/>
      <c r="P671" s="15"/>
    </row>
    <row r="672" spans="3:16" x14ac:dyDescent="0.25">
      <c r="C672" s="15"/>
      <c r="G672" s="15"/>
      <c r="K672" s="15"/>
      <c r="O672" s="15"/>
      <c r="P672" s="15"/>
    </row>
    <row r="673" spans="3:16" x14ac:dyDescent="0.25">
      <c r="C673" s="15"/>
      <c r="G673" s="15"/>
      <c r="K673" s="15"/>
      <c r="O673" s="15"/>
      <c r="P673" s="15"/>
    </row>
    <row r="674" spans="3:16" x14ac:dyDescent="0.25">
      <c r="C674" s="15"/>
      <c r="G674" s="15"/>
      <c r="K674" s="15"/>
      <c r="O674" s="15"/>
      <c r="P674" s="15"/>
    </row>
    <row r="675" spans="3:16" x14ac:dyDescent="0.25">
      <c r="C675" s="15"/>
      <c r="G675" s="15"/>
      <c r="K675" s="15"/>
      <c r="O675" s="15"/>
      <c r="P675" s="15"/>
    </row>
    <row r="676" spans="3:16" x14ac:dyDescent="0.25">
      <c r="C676" s="15"/>
      <c r="G676" s="15"/>
      <c r="K676" s="15"/>
      <c r="O676" s="15"/>
      <c r="P676" s="15"/>
    </row>
    <row r="677" spans="3:16" x14ac:dyDescent="0.25">
      <c r="C677" s="15"/>
      <c r="G677" s="15"/>
      <c r="K677" s="15"/>
      <c r="O677" s="15"/>
      <c r="P677" s="15"/>
    </row>
    <row r="678" spans="3:16" x14ac:dyDescent="0.25">
      <c r="C678" s="15"/>
      <c r="G678" s="15"/>
      <c r="K678" s="15"/>
      <c r="O678" s="15"/>
      <c r="P678" s="15"/>
    </row>
    <row r="679" spans="3:16" x14ac:dyDescent="0.25">
      <c r="C679" s="15"/>
      <c r="G679" s="15"/>
      <c r="K679" s="15"/>
      <c r="O679" s="15"/>
      <c r="P679" s="15"/>
    </row>
    <row r="680" spans="3:16" x14ac:dyDescent="0.25">
      <c r="C680" s="15"/>
      <c r="G680" s="15"/>
      <c r="K680" s="15"/>
      <c r="O680" s="15"/>
      <c r="P680" s="15"/>
    </row>
    <row r="681" spans="3:16" x14ac:dyDescent="0.25">
      <c r="C681" s="15"/>
      <c r="G681" s="15"/>
      <c r="K681" s="15"/>
      <c r="O681" s="15"/>
      <c r="P681" s="15"/>
    </row>
    <row r="682" spans="3:16" x14ac:dyDescent="0.25">
      <c r="C682" s="15"/>
      <c r="G682" s="15"/>
      <c r="K682" s="15"/>
      <c r="O682" s="15"/>
      <c r="P682" s="15"/>
    </row>
    <row r="683" spans="3:16" x14ac:dyDescent="0.25">
      <c r="C683" s="15"/>
      <c r="G683" s="15"/>
      <c r="K683" s="15"/>
      <c r="O683" s="15"/>
      <c r="P683" s="15"/>
    </row>
    <row r="684" spans="3:16" x14ac:dyDescent="0.25">
      <c r="C684" s="15"/>
      <c r="G684" s="15"/>
      <c r="K684" s="15"/>
      <c r="O684" s="15"/>
      <c r="P684" s="15"/>
    </row>
    <row r="685" spans="3:16" x14ac:dyDescent="0.25">
      <c r="C685" s="15"/>
      <c r="G685" s="15"/>
      <c r="K685" s="15"/>
      <c r="O685" s="15"/>
      <c r="P685" s="15"/>
    </row>
    <row r="686" spans="3:16" x14ac:dyDescent="0.25">
      <c r="C686" s="15"/>
      <c r="G686" s="15"/>
      <c r="K686" s="15"/>
      <c r="O686" s="15"/>
      <c r="P686" s="15"/>
    </row>
    <row r="687" spans="3:16" x14ac:dyDescent="0.25">
      <c r="C687" s="15"/>
      <c r="G687" s="15"/>
      <c r="K687" s="15"/>
      <c r="O687" s="15"/>
      <c r="P687" s="15"/>
    </row>
    <row r="688" spans="3:16" x14ac:dyDescent="0.25">
      <c r="C688" s="15"/>
      <c r="G688" s="15"/>
      <c r="K688" s="15"/>
      <c r="O688" s="15"/>
      <c r="P688" s="15"/>
    </row>
    <row r="689" spans="3:16" x14ac:dyDescent="0.25">
      <c r="C689" s="15"/>
      <c r="G689" s="15"/>
      <c r="K689" s="15"/>
      <c r="O689" s="15"/>
      <c r="P689" s="15"/>
    </row>
    <row r="690" spans="3:16" x14ac:dyDescent="0.25">
      <c r="C690" s="15"/>
      <c r="G690" s="15"/>
      <c r="K690" s="15"/>
      <c r="O690" s="15"/>
      <c r="P690" s="15"/>
    </row>
    <row r="691" spans="3:16" x14ac:dyDescent="0.25">
      <c r="C691" s="15"/>
      <c r="G691" s="15"/>
      <c r="K691" s="15"/>
      <c r="O691" s="15"/>
      <c r="P691" s="15"/>
    </row>
    <row r="692" spans="3:16" x14ac:dyDescent="0.25">
      <c r="C692" s="15"/>
      <c r="G692" s="15"/>
      <c r="K692" s="15"/>
      <c r="O692" s="15"/>
      <c r="P692" s="15"/>
    </row>
    <row r="693" spans="3:16" x14ac:dyDescent="0.25">
      <c r="C693" s="15"/>
      <c r="G693" s="15"/>
      <c r="K693" s="15"/>
      <c r="O693" s="15"/>
      <c r="P693" s="15"/>
    </row>
    <row r="694" spans="3:16" x14ac:dyDescent="0.25">
      <c r="C694" s="15"/>
      <c r="G694" s="15"/>
      <c r="K694" s="15"/>
      <c r="O694" s="15"/>
      <c r="P694" s="15"/>
    </row>
    <row r="695" spans="3:16" x14ac:dyDescent="0.25">
      <c r="C695" s="15"/>
      <c r="G695" s="15"/>
      <c r="K695" s="15"/>
      <c r="O695" s="15"/>
      <c r="P695" s="15"/>
    </row>
    <row r="696" spans="3:16" x14ac:dyDescent="0.25">
      <c r="C696" s="15"/>
      <c r="G696" s="15"/>
      <c r="K696" s="15"/>
      <c r="O696" s="15"/>
      <c r="P696" s="15"/>
    </row>
    <row r="697" spans="3:16" x14ac:dyDescent="0.25">
      <c r="C697" s="15"/>
      <c r="G697" s="15"/>
      <c r="K697" s="15"/>
      <c r="O697" s="15"/>
      <c r="P697" s="15"/>
    </row>
    <row r="698" spans="3:16" x14ac:dyDescent="0.25">
      <c r="C698" s="15"/>
      <c r="G698" s="15"/>
      <c r="K698" s="15"/>
      <c r="O698" s="15"/>
      <c r="P698" s="15"/>
    </row>
    <row r="699" spans="3:16" x14ac:dyDescent="0.25">
      <c r="C699" s="15"/>
      <c r="G699" s="15"/>
      <c r="K699" s="15"/>
      <c r="O699" s="15"/>
      <c r="P699" s="15"/>
    </row>
    <row r="700" spans="3:16" x14ac:dyDescent="0.25">
      <c r="C700" s="15"/>
      <c r="G700" s="15"/>
      <c r="K700" s="15"/>
      <c r="O700" s="15"/>
      <c r="P700" s="15"/>
    </row>
    <row r="701" spans="3:16" x14ac:dyDescent="0.25">
      <c r="C701" s="15"/>
      <c r="G701" s="15"/>
      <c r="K701" s="15"/>
      <c r="O701" s="15"/>
      <c r="P701" s="15"/>
    </row>
    <row r="702" spans="3:16" x14ac:dyDescent="0.25">
      <c r="C702" s="15"/>
      <c r="G702" s="15"/>
      <c r="K702" s="15"/>
      <c r="O702" s="15"/>
      <c r="P702" s="15"/>
    </row>
    <row r="703" spans="3:16" x14ac:dyDescent="0.25">
      <c r="C703" s="15"/>
      <c r="G703" s="15"/>
      <c r="K703" s="15"/>
      <c r="O703" s="15"/>
      <c r="P703" s="15"/>
    </row>
    <row r="704" spans="3:16" x14ac:dyDescent="0.25">
      <c r="C704" s="15"/>
      <c r="G704" s="15"/>
      <c r="K704" s="15"/>
      <c r="O704" s="15"/>
      <c r="P704" s="15"/>
    </row>
    <row r="705" spans="3:16" x14ac:dyDescent="0.25">
      <c r="C705" s="15"/>
      <c r="G705" s="15"/>
      <c r="K705" s="15"/>
      <c r="O705" s="15"/>
      <c r="P705" s="15"/>
    </row>
    <row r="706" spans="3:16" x14ac:dyDescent="0.25">
      <c r="C706" s="15"/>
      <c r="G706" s="15"/>
      <c r="K706" s="15"/>
      <c r="O706" s="15"/>
      <c r="P706" s="15"/>
    </row>
    <row r="707" spans="3:16" x14ac:dyDescent="0.25">
      <c r="C707" s="15"/>
      <c r="G707" s="15"/>
      <c r="K707" s="15"/>
      <c r="O707" s="15"/>
      <c r="P707" s="15"/>
    </row>
    <row r="708" spans="3:16" x14ac:dyDescent="0.25">
      <c r="C708" s="15"/>
      <c r="G708" s="15"/>
      <c r="K708" s="15"/>
      <c r="O708" s="15"/>
      <c r="P708" s="15"/>
    </row>
    <row r="709" spans="3:16" x14ac:dyDescent="0.25">
      <c r="C709" s="15"/>
      <c r="G709" s="15"/>
      <c r="K709" s="15"/>
      <c r="O709" s="15"/>
      <c r="P709" s="15"/>
    </row>
    <row r="710" spans="3:16" x14ac:dyDescent="0.25">
      <c r="C710" s="15"/>
      <c r="G710" s="15"/>
      <c r="K710" s="15"/>
      <c r="O710" s="15"/>
      <c r="P710" s="15"/>
    </row>
    <row r="711" spans="3:16" x14ac:dyDescent="0.25">
      <c r="C711" s="15"/>
      <c r="G711" s="15"/>
      <c r="K711" s="15"/>
      <c r="O711" s="15"/>
      <c r="P711" s="15"/>
    </row>
    <row r="712" spans="3:16" x14ac:dyDescent="0.25">
      <c r="C712" s="15"/>
      <c r="G712" s="15"/>
      <c r="K712" s="15"/>
      <c r="O712" s="15"/>
      <c r="P712" s="15"/>
    </row>
    <row r="713" spans="3:16" x14ac:dyDescent="0.25">
      <c r="C713" s="15"/>
      <c r="G713" s="15"/>
      <c r="K713" s="15"/>
      <c r="O713" s="15"/>
      <c r="P713" s="15"/>
    </row>
    <row r="714" spans="3:16" x14ac:dyDescent="0.25">
      <c r="C714" s="15"/>
      <c r="G714" s="15"/>
      <c r="K714" s="15"/>
      <c r="O714" s="15"/>
      <c r="P714" s="15"/>
    </row>
    <row r="715" spans="3:16" x14ac:dyDescent="0.25">
      <c r="C715" s="15"/>
      <c r="G715" s="15"/>
      <c r="K715" s="15"/>
      <c r="O715" s="15"/>
      <c r="P715" s="15"/>
    </row>
    <row r="716" spans="3:16" x14ac:dyDescent="0.25">
      <c r="C716" s="15"/>
      <c r="G716" s="15"/>
      <c r="K716" s="15"/>
      <c r="O716" s="15"/>
      <c r="P716" s="15"/>
    </row>
    <row r="717" spans="3:16" x14ac:dyDescent="0.25">
      <c r="C717" s="15"/>
      <c r="G717" s="15"/>
      <c r="K717" s="15"/>
      <c r="O717" s="15"/>
      <c r="P717" s="15"/>
    </row>
    <row r="718" spans="3:16" x14ac:dyDescent="0.25">
      <c r="C718" s="15"/>
      <c r="G718" s="15"/>
      <c r="K718" s="15"/>
      <c r="O718" s="15"/>
      <c r="P718" s="15"/>
    </row>
    <row r="719" spans="3:16" x14ac:dyDescent="0.25">
      <c r="C719" s="15"/>
      <c r="G719" s="15"/>
      <c r="K719" s="15"/>
      <c r="O719" s="15"/>
      <c r="P719" s="15"/>
    </row>
    <row r="720" spans="3:16" x14ac:dyDescent="0.25">
      <c r="C720" s="15"/>
      <c r="G720" s="15"/>
      <c r="K720" s="15"/>
      <c r="O720" s="15"/>
      <c r="P720" s="15"/>
    </row>
    <row r="721" spans="3:16" x14ac:dyDescent="0.25">
      <c r="C721" s="15"/>
      <c r="G721" s="15"/>
      <c r="K721" s="15"/>
      <c r="O721" s="15"/>
      <c r="P721" s="15"/>
    </row>
    <row r="722" spans="3:16" x14ac:dyDescent="0.25">
      <c r="C722" s="15"/>
      <c r="G722" s="15"/>
      <c r="K722" s="15"/>
      <c r="O722" s="15"/>
      <c r="P722" s="15"/>
    </row>
    <row r="723" spans="3:16" x14ac:dyDescent="0.25">
      <c r="C723" s="15"/>
      <c r="G723" s="15"/>
      <c r="K723" s="15"/>
      <c r="O723" s="15"/>
      <c r="P723" s="15"/>
    </row>
    <row r="724" spans="3:16" x14ac:dyDescent="0.25">
      <c r="C724" s="15"/>
      <c r="G724" s="15"/>
      <c r="K724" s="15"/>
      <c r="O724" s="15"/>
      <c r="P724" s="15"/>
    </row>
    <row r="725" spans="3:16" x14ac:dyDescent="0.25">
      <c r="C725" s="15"/>
      <c r="G725" s="15"/>
      <c r="K725" s="15"/>
      <c r="O725" s="15"/>
      <c r="P725" s="15"/>
    </row>
    <row r="726" spans="3:16" x14ac:dyDescent="0.25">
      <c r="C726" s="15"/>
      <c r="G726" s="15"/>
      <c r="K726" s="15"/>
      <c r="O726" s="15"/>
      <c r="P726" s="15"/>
    </row>
    <row r="727" spans="3:16" x14ac:dyDescent="0.25">
      <c r="C727" s="15"/>
      <c r="G727" s="15"/>
      <c r="K727" s="15"/>
      <c r="O727" s="15"/>
      <c r="P727" s="15"/>
    </row>
    <row r="728" spans="3:16" x14ac:dyDescent="0.25">
      <c r="C728" s="15"/>
      <c r="G728" s="15"/>
      <c r="K728" s="15"/>
      <c r="O728" s="15"/>
      <c r="P728" s="15"/>
    </row>
    <row r="729" spans="3:16" x14ac:dyDescent="0.25">
      <c r="C729" s="15"/>
      <c r="G729" s="15"/>
      <c r="K729" s="15"/>
      <c r="O729" s="15"/>
      <c r="P729" s="15"/>
    </row>
    <row r="730" spans="3:16" x14ac:dyDescent="0.25">
      <c r="C730" s="15"/>
      <c r="G730" s="15"/>
      <c r="K730" s="15"/>
      <c r="O730" s="15"/>
      <c r="P730" s="15"/>
    </row>
    <row r="731" spans="3:16" x14ac:dyDescent="0.25">
      <c r="C731" s="15"/>
      <c r="G731" s="15"/>
      <c r="K731" s="15"/>
      <c r="O731" s="15"/>
      <c r="P731" s="15"/>
    </row>
    <row r="732" spans="3:16" x14ac:dyDescent="0.25">
      <c r="C732" s="15"/>
      <c r="G732" s="15"/>
      <c r="K732" s="15"/>
      <c r="O732" s="15"/>
      <c r="P732" s="15"/>
    </row>
    <row r="733" spans="3:16" x14ac:dyDescent="0.25">
      <c r="C733" s="15"/>
      <c r="G733" s="15"/>
      <c r="K733" s="15"/>
      <c r="O733" s="15"/>
      <c r="P733" s="15"/>
    </row>
    <row r="734" spans="3:16" x14ac:dyDescent="0.25">
      <c r="C734" s="15"/>
      <c r="G734" s="15"/>
      <c r="K734" s="15"/>
      <c r="O734" s="15"/>
      <c r="P734" s="15"/>
    </row>
    <row r="735" spans="3:16" x14ac:dyDescent="0.25">
      <c r="C735" s="15"/>
      <c r="G735" s="15"/>
      <c r="K735" s="15"/>
      <c r="O735" s="15"/>
      <c r="P735" s="15"/>
    </row>
    <row r="736" spans="3:16" x14ac:dyDescent="0.25">
      <c r="C736" s="15"/>
      <c r="G736" s="15"/>
      <c r="K736" s="15"/>
      <c r="O736" s="15"/>
      <c r="P736" s="15"/>
    </row>
    <row r="737" spans="3:16" x14ac:dyDescent="0.25">
      <c r="C737" s="15"/>
      <c r="G737" s="15"/>
      <c r="K737" s="15"/>
      <c r="O737" s="15"/>
      <c r="P737" s="15"/>
    </row>
    <row r="738" spans="3:16" x14ac:dyDescent="0.25">
      <c r="C738" s="15"/>
      <c r="G738" s="15"/>
      <c r="K738" s="15"/>
      <c r="O738" s="15"/>
      <c r="P738" s="15"/>
    </row>
    <row r="739" spans="3:16" x14ac:dyDescent="0.25">
      <c r="C739" s="15"/>
      <c r="G739" s="15"/>
      <c r="K739" s="15"/>
      <c r="O739" s="15"/>
      <c r="P739" s="15"/>
    </row>
    <row r="740" spans="3:16" x14ac:dyDescent="0.25">
      <c r="C740" s="15"/>
      <c r="G740" s="15"/>
      <c r="K740" s="15"/>
      <c r="O740" s="15"/>
      <c r="P740" s="15"/>
    </row>
    <row r="741" spans="3:16" x14ac:dyDescent="0.25">
      <c r="C741" s="15"/>
      <c r="G741" s="15"/>
      <c r="K741" s="15"/>
      <c r="O741" s="15"/>
      <c r="P741" s="15"/>
    </row>
    <row r="742" spans="3:16" x14ac:dyDescent="0.25">
      <c r="C742" s="15"/>
      <c r="G742" s="15"/>
      <c r="K742" s="15"/>
      <c r="O742" s="15"/>
      <c r="P742" s="15"/>
    </row>
    <row r="743" spans="3:16" x14ac:dyDescent="0.25">
      <c r="C743" s="15"/>
      <c r="G743" s="15"/>
      <c r="K743" s="15"/>
      <c r="O743" s="15"/>
      <c r="P743" s="15"/>
    </row>
    <row r="744" spans="3:16" x14ac:dyDescent="0.25">
      <c r="C744" s="15"/>
      <c r="G744" s="15"/>
      <c r="K744" s="15"/>
      <c r="O744" s="15"/>
      <c r="P744" s="15"/>
    </row>
    <row r="745" spans="3:16" x14ac:dyDescent="0.25">
      <c r="C745" s="15"/>
      <c r="G745" s="15"/>
      <c r="K745" s="15"/>
      <c r="O745" s="15"/>
      <c r="P745" s="15"/>
    </row>
    <row r="746" spans="3:16" x14ac:dyDescent="0.25">
      <c r="C746" s="15"/>
      <c r="G746" s="15"/>
      <c r="K746" s="15"/>
      <c r="O746" s="15"/>
      <c r="P746" s="15"/>
    </row>
    <row r="747" spans="3:16" x14ac:dyDescent="0.25">
      <c r="C747" s="15"/>
      <c r="G747" s="15"/>
      <c r="K747" s="15"/>
      <c r="O747" s="15"/>
      <c r="P747" s="15"/>
    </row>
    <row r="748" spans="3:16" x14ac:dyDescent="0.25">
      <c r="C748" s="15"/>
      <c r="G748" s="15"/>
      <c r="K748" s="15"/>
      <c r="O748" s="15"/>
      <c r="P748" s="15"/>
    </row>
    <row r="749" spans="3:16" x14ac:dyDescent="0.25">
      <c r="C749" s="15"/>
      <c r="G749" s="15"/>
      <c r="K749" s="15"/>
      <c r="O749" s="15"/>
      <c r="P749" s="15"/>
    </row>
    <row r="750" spans="3:16" x14ac:dyDescent="0.25">
      <c r="C750" s="15"/>
      <c r="G750" s="15"/>
      <c r="K750" s="15"/>
      <c r="O750" s="15"/>
      <c r="P750" s="15"/>
    </row>
    <row r="751" spans="3:16" x14ac:dyDescent="0.25">
      <c r="C751" s="15"/>
      <c r="G751" s="15"/>
      <c r="K751" s="15"/>
      <c r="O751" s="15"/>
      <c r="P751" s="15"/>
    </row>
    <row r="752" spans="3:16" x14ac:dyDescent="0.25">
      <c r="C752" s="15"/>
      <c r="G752" s="15"/>
      <c r="K752" s="15"/>
      <c r="O752" s="15"/>
      <c r="P752" s="15"/>
    </row>
    <row r="753" spans="3:16" x14ac:dyDescent="0.25">
      <c r="C753" s="15"/>
      <c r="G753" s="15"/>
      <c r="K753" s="15"/>
      <c r="O753" s="15"/>
      <c r="P753" s="15"/>
    </row>
    <row r="754" spans="3:16" x14ac:dyDescent="0.25">
      <c r="C754" s="15"/>
      <c r="G754" s="15"/>
      <c r="K754" s="15"/>
      <c r="O754" s="15"/>
      <c r="P754" s="15"/>
    </row>
    <row r="755" spans="3:16" x14ac:dyDescent="0.25">
      <c r="C755" s="15"/>
      <c r="G755" s="15"/>
      <c r="K755" s="15"/>
      <c r="O755" s="15"/>
      <c r="P755" s="15"/>
    </row>
    <row r="756" spans="3:16" x14ac:dyDescent="0.25">
      <c r="C756" s="15"/>
      <c r="G756" s="15"/>
      <c r="K756" s="15"/>
      <c r="O756" s="15"/>
      <c r="P756" s="15"/>
    </row>
    <row r="757" spans="3:16" x14ac:dyDescent="0.25">
      <c r="C757" s="15"/>
      <c r="G757" s="15"/>
      <c r="K757" s="15"/>
      <c r="O757" s="15"/>
      <c r="P757" s="15"/>
    </row>
    <row r="758" spans="3:16" x14ac:dyDescent="0.25">
      <c r="C758" s="15"/>
      <c r="G758" s="15"/>
      <c r="K758" s="15"/>
      <c r="O758" s="15"/>
      <c r="P758" s="15"/>
    </row>
    <row r="759" spans="3:16" x14ac:dyDescent="0.25">
      <c r="C759" s="15"/>
      <c r="G759" s="15"/>
      <c r="K759" s="15"/>
      <c r="O759" s="15"/>
      <c r="P759" s="15"/>
    </row>
    <row r="760" spans="3:16" x14ac:dyDescent="0.25">
      <c r="C760" s="15"/>
      <c r="G760" s="15"/>
      <c r="K760" s="15"/>
      <c r="O760" s="15"/>
      <c r="P760" s="15"/>
    </row>
    <row r="761" spans="3:16" x14ac:dyDescent="0.25">
      <c r="C761" s="15"/>
      <c r="G761" s="15"/>
      <c r="K761" s="15"/>
      <c r="O761" s="15"/>
      <c r="P761" s="15"/>
    </row>
    <row r="762" spans="3:16" x14ac:dyDescent="0.25">
      <c r="C762" s="15"/>
      <c r="G762" s="15"/>
      <c r="K762" s="15"/>
      <c r="O762" s="15"/>
      <c r="P762" s="15"/>
    </row>
    <row r="763" spans="3:16" x14ac:dyDescent="0.25">
      <c r="C763" s="15"/>
      <c r="G763" s="15"/>
      <c r="K763" s="15"/>
      <c r="O763" s="15"/>
      <c r="P763" s="15"/>
    </row>
    <row r="764" spans="3:16" x14ac:dyDescent="0.25">
      <c r="C764" s="15"/>
      <c r="G764" s="15"/>
      <c r="K764" s="15"/>
      <c r="O764" s="15"/>
      <c r="P764" s="15"/>
    </row>
    <row r="765" spans="3:16" x14ac:dyDescent="0.25">
      <c r="C765" s="15"/>
      <c r="G765" s="15"/>
      <c r="K765" s="15"/>
      <c r="O765" s="15"/>
      <c r="P765" s="15"/>
    </row>
    <row r="766" spans="3:16" x14ac:dyDescent="0.25">
      <c r="C766" s="15"/>
      <c r="G766" s="15"/>
      <c r="K766" s="15"/>
      <c r="O766" s="15"/>
      <c r="P766" s="15"/>
    </row>
    <row r="767" spans="3:16" x14ac:dyDescent="0.25">
      <c r="C767" s="15"/>
      <c r="G767" s="15"/>
      <c r="K767" s="15"/>
      <c r="O767" s="15"/>
      <c r="P767" s="15"/>
    </row>
    <row r="768" spans="3:16" x14ac:dyDescent="0.25">
      <c r="C768" s="15"/>
      <c r="G768" s="15"/>
      <c r="K768" s="15"/>
      <c r="O768" s="15"/>
      <c r="P768" s="15"/>
    </row>
    <row r="769" spans="3:16" x14ac:dyDescent="0.25">
      <c r="C769" s="15"/>
      <c r="G769" s="15"/>
      <c r="K769" s="15"/>
      <c r="O769" s="15"/>
      <c r="P769" s="15"/>
    </row>
    <row r="770" spans="3:16" x14ac:dyDescent="0.25">
      <c r="C770" s="15"/>
      <c r="G770" s="15"/>
      <c r="K770" s="15"/>
      <c r="O770" s="15"/>
      <c r="P770" s="15"/>
    </row>
    <row r="771" spans="3:16" x14ac:dyDescent="0.25">
      <c r="C771" s="15"/>
      <c r="G771" s="15"/>
      <c r="K771" s="15"/>
      <c r="O771" s="15"/>
      <c r="P771" s="15"/>
    </row>
    <row r="772" spans="3:16" x14ac:dyDescent="0.25">
      <c r="C772" s="15"/>
      <c r="G772" s="15"/>
      <c r="K772" s="15"/>
      <c r="O772" s="15"/>
      <c r="P772" s="15"/>
    </row>
    <row r="773" spans="3:16" x14ac:dyDescent="0.25">
      <c r="C773" s="15"/>
      <c r="G773" s="15"/>
      <c r="K773" s="15"/>
      <c r="O773" s="15"/>
      <c r="P773" s="15"/>
    </row>
    <row r="774" spans="3:16" x14ac:dyDescent="0.25">
      <c r="C774" s="15"/>
      <c r="G774" s="15"/>
      <c r="K774" s="15"/>
      <c r="O774" s="15"/>
      <c r="P774" s="15"/>
    </row>
    <row r="775" spans="3:16" x14ac:dyDescent="0.25">
      <c r="C775" s="15"/>
      <c r="G775" s="15"/>
      <c r="K775" s="15"/>
      <c r="O775" s="15"/>
      <c r="P775" s="15"/>
    </row>
    <row r="776" spans="3:16" x14ac:dyDescent="0.25">
      <c r="C776" s="15"/>
      <c r="G776" s="15"/>
      <c r="K776" s="15"/>
      <c r="O776" s="15"/>
      <c r="P776" s="15"/>
    </row>
    <row r="777" spans="3:16" x14ac:dyDescent="0.25">
      <c r="C777" s="15"/>
      <c r="G777" s="15"/>
      <c r="K777" s="15"/>
      <c r="O777" s="15"/>
      <c r="P777" s="15"/>
    </row>
    <row r="778" spans="3:16" x14ac:dyDescent="0.25">
      <c r="C778" s="15"/>
      <c r="G778" s="15"/>
      <c r="K778" s="15"/>
      <c r="O778" s="15"/>
      <c r="P778" s="15"/>
    </row>
    <row r="779" spans="3:16" x14ac:dyDescent="0.25">
      <c r="C779" s="15"/>
      <c r="G779" s="15"/>
      <c r="K779" s="15"/>
      <c r="O779" s="15"/>
      <c r="P779" s="15"/>
    </row>
    <row r="780" spans="3:16" x14ac:dyDescent="0.25">
      <c r="C780" s="15"/>
      <c r="G780" s="15"/>
      <c r="K780" s="15"/>
      <c r="O780" s="15"/>
      <c r="P780" s="15"/>
    </row>
    <row r="781" spans="3:16" x14ac:dyDescent="0.25">
      <c r="C781" s="15"/>
      <c r="G781" s="15"/>
      <c r="K781" s="15"/>
      <c r="O781" s="15"/>
      <c r="P781" s="15"/>
    </row>
    <row r="782" spans="3:16" x14ac:dyDescent="0.25">
      <c r="C782" s="15"/>
      <c r="G782" s="15"/>
      <c r="K782" s="15"/>
      <c r="O782" s="15"/>
      <c r="P782" s="15"/>
    </row>
    <row r="783" spans="3:16" x14ac:dyDescent="0.25">
      <c r="C783" s="15"/>
      <c r="G783" s="15"/>
      <c r="K783" s="15"/>
      <c r="O783" s="15"/>
      <c r="P783" s="15"/>
    </row>
    <row r="784" spans="3:16" x14ac:dyDescent="0.25">
      <c r="C784" s="15"/>
      <c r="G784" s="15"/>
      <c r="K784" s="15"/>
      <c r="O784" s="15"/>
      <c r="P784" s="15"/>
    </row>
    <row r="785" spans="3:16" x14ac:dyDescent="0.25">
      <c r="C785" s="15"/>
      <c r="G785" s="15"/>
      <c r="K785" s="15"/>
      <c r="O785" s="15"/>
      <c r="P785" s="15"/>
    </row>
    <row r="786" spans="3:16" x14ac:dyDescent="0.25">
      <c r="C786" s="15"/>
      <c r="G786" s="15"/>
      <c r="K786" s="15"/>
      <c r="O786" s="15"/>
      <c r="P786" s="15"/>
    </row>
    <row r="787" spans="3:16" x14ac:dyDescent="0.25">
      <c r="C787" s="15"/>
      <c r="G787" s="15"/>
      <c r="K787" s="15"/>
      <c r="O787" s="15"/>
      <c r="P787" s="15"/>
    </row>
    <row r="788" spans="3:16" x14ac:dyDescent="0.25">
      <c r="C788" s="15"/>
      <c r="G788" s="15"/>
      <c r="K788" s="15"/>
      <c r="O788" s="15"/>
      <c r="P788" s="15"/>
    </row>
    <row r="789" spans="3:16" x14ac:dyDescent="0.25">
      <c r="C789" s="15"/>
      <c r="G789" s="15"/>
      <c r="K789" s="15"/>
      <c r="O789" s="15"/>
      <c r="P789" s="15"/>
    </row>
    <row r="790" spans="3:16" x14ac:dyDescent="0.25">
      <c r="C790" s="15"/>
      <c r="G790" s="15"/>
      <c r="K790" s="15"/>
      <c r="O790" s="15"/>
      <c r="P790" s="15"/>
    </row>
    <row r="791" spans="3:16" x14ac:dyDescent="0.25">
      <c r="C791" s="15"/>
      <c r="G791" s="15"/>
      <c r="K791" s="15"/>
      <c r="O791" s="15"/>
      <c r="P791" s="15"/>
    </row>
    <row r="792" spans="3:16" x14ac:dyDescent="0.25">
      <c r="C792" s="15"/>
      <c r="G792" s="15"/>
      <c r="K792" s="15"/>
      <c r="O792" s="15"/>
      <c r="P792" s="15"/>
    </row>
    <row r="793" spans="3:16" x14ac:dyDescent="0.25">
      <c r="C793" s="15"/>
      <c r="G793" s="15"/>
      <c r="K793" s="15"/>
      <c r="O793" s="15"/>
      <c r="P793" s="15"/>
    </row>
    <row r="794" spans="3:16" x14ac:dyDescent="0.25">
      <c r="C794" s="15"/>
      <c r="G794" s="15"/>
      <c r="K794" s="15"/>
      <c r="O794" s="15"/>
      <c r="P794" s="15"/>
    </row>
    <row r="795" spans="3:16" x14ac:dyDescent="0.25">
      <c r="C795" s="15"/>
      <c r="G795" s="15"/>
      <c r="K795" s="15"/>
      <c r="O795" s="15"/>
      <c r="P795" s="15"/>
    </row>
    <row r="796" spans="3:16" x14ac:dyDescent="0.25">
      <c r="C796" s="15"/>
      <c r="G796" s="15"/>
      <c r="K796" s="15"/>
      <c r="O796" s="15"/>
      <c r="P796" s="15"/>
    </row>
    <row r="797" spans="3:16" x14ac:dyDescent="0.25">
      <c r="C797" s="15"/>
      <c r="G797" s="15"/>
      <c r="K797" s="15"/>
      <c r="O797" s="15"/>
      <c r="P797" s="15"/>
    </row>
    <row r="798" spans="3:16" x14ac:dyDescent="0.25">
      <c r="C798" s="15"/>
      <c r="G798" s="15"/>
      <c r="K798" s="15"/>
      <c r="O798" s="15"/>
      <c r="P798" s="15"/>
    </row>
    <row r="799" spans="3:16" x14ac:dyDescent="0.25">
      <c r="C799" s="15"/>
      <c r="G799" s="15"/>
      <c r="K799" s="15"/>
      <c r="O799" s="15"/>
      <c r="P799" s="15"/>
    </row>
    <row r="800" spans="3:16" x14ac:dyDescent="0.25">
      <c r="C800" s="15"/>
      <c r="G800" s="15"/>
      <c r="K800" s="15"/>
      <c r="O800" s="15"/>
      <c r="P800" s="15"/>
    </row>
    <row r="801" spans="3:16" x14ac:dyDescent="0.25">
      <c r="C801" s="15"/>
      <c r="G801" s="15"/>
      <c r="K801" s="15"/>
      <c r="O801" s="15"/>
      <c r="P801" s="15"/>
    </row>
    <row r="802" spans="3:16" x14ac:dyDescent="0.25">
      <c r="C802" s="15"/>
      <c r="G802" s="15"/>
      <c r="K802" s="15"/>
      <c r="O802" s="15"/>
      <c r="P802" s="15"/>
    </row>
    <row r="803" spans="3:16" x14ac:dyDescent="0.25">
      <c r="C803" s="15"/>
      <c r="G803" s="15"/>
      <c r="K803" s="15"/>
      <c r="O803" s="15"/>
      <c r="P803" s="15"/>
    </row>
    <row r="804" spans="3:16" x14ac:dyDescent="0.25">
      <c r="C804" s="15"/>
      <c r="G804" s="15"/>
      <c r="K804" s="15"/>
      <c r="O804" s="15"/>
      <c r="P804" s="15"/>
    </row>
    <row r="805" spans="3:16" x14ac:dyDescent="0.25">
      <c r="C805" s="15"/>
      <c r="G805" s="15"/>
      <c r="K805" s="15"/>
      <c r="O805" s="15"/>
      <c r="P805" s="15"/>
    </row>
    <row r="806" spans="3:16" x14ac:dyDescent="0.25">
      <c r="C806" s="15"/>
      <c r="G806" s="15"/>
      <c r="K806" s="15"/>
      <c r="O806" s="15"/>
      <c r="P806" s="15"/>
    </row>
    <row r="807" spans="3:16" x14ac:dyDescent="0.25">
      <c r="C807" s="15"/>
      <c r="G807" s="15"/>
      <c r="K807" s="15"/>
      <c r="O807" s="15"/>
      <c r="P807" s="15"/>
    </row>
    <row r="808" spans="3:16" x14ac:dyDescent="0.25">
      <c r="C808" s="15"/>
      <c r="G808" s="15"/>
      <c r="K808" s="15"/>
      <c r="O808" s="15"/>
      <c r="P808" s="15"/>
    </row>
    <row r="809" spans="3:16" x14ac:dyDescent="0.25">
      <c r="C809" s="15"/>
      <c r="G809" s="15"/>
      <c r="K809" s="15"/>
      <c r="O809" s="15"/>
      <c r="P809" s="15"/>
    </row>
    <row r="810" spans="3:16" x14ac:dyDescent="0.25">
      <c r="C810" s="15"/>
      <c r="G810" s="15"/>
      <c r="K810" s="15"/>
      <c r="O810" s="15"/>
      <c r="P810" s="15"/>
    </row>
    <row r="811" spans="3:16" x14ac:dyDescent="0.25">
      <c r="C811" s="15"/>
      <c r="G811" s="15"/>
      <c r="K811" s="15"/>
      <c r="O811" s="15"/>
      <c r="P811" s="15"/>
    </row>
    <row r="812" spans="3:16" x14ac:dyDescent="0.25">
      <c r="C812" s="15"/>
      <c r="G812" s="15"/>
      <c r="K812" s="15"/>
      <c r="O812" s="15"/>
      <c r="P812" s="15"/>
    </row>
    <row r="813" spans="3:16" x14ac:dyDescent="0.25">
      <c r="C813" s="15"/>
      <c r="G813" s="15"/>
      <c r="K813" s="15"/>
      <c r="O813" s="15"/>
      <c r="P813" s="15"/>
    </row>
    <row r="814" spans="3:16" x14ac:dyDescent="0.25">
      <c r="C814" s="15"/>
      <c r="G814" s="15"/>
      <c r="K814" s="15"/>
      <c r="O814" s="15"/>
      <c r="P814" s="15"/>
    </row>
    <row r="815" spans="3:16" x14ac:dyDescent="0.25">
      <c r="C815" s="15"/>
      <c r="G815" s="15"/>
      <c r="K815" s="15"/>
      <c r="O815" s="15"/>
      <c r="P815" s="15"/>
    </row>
    <row r="816" spans="3:16" x14ac:dyDescent="0.25">
      <c r="C816" s="15"/>
      <c r="G816" s="15"/>
      <c r="K816" s="15"/>
      <c r="O816" s="15"/>
      <c r="P816" s="15"/>
    </row>
    <row r="817" spans="3:16" x14ac:dyDescent="0.25">
      <c r="C817" s="15"/>
      <c r="G817" s="15"/>
      <c r="K817" s="15"/>
      <c r="O817" s="15"/>
      <c r="P817" s="15"/>
    </row>
    <row r="818" spans="3:16" x14ac:dyDescent="0.25">
      <c r="C818" s="15"/>
      <c r="G818" s="15"/>
      <c r="K818" s="15"/>
      <c r="O818" s="15"/>
      <c r="P818" s="15"/>
    </row>
    <row r="819" spans="3:16" x14ac:dyDescent="0.25">
      <c r="C819" s="15"/>
      <c r="G819" s="15"/>
      <c r="K819" s="15"/>
      <c r="O819" s="15"/>
      <c r="P819" s="15"/>
    </row>
    <row r="820" spans="3:16" x14ac:dyDescent="0.25">
      <c r="C820" s="15"/>
      <c r="G820" s="15"/>
      <c r="K820" s="15"/>
      <c r="O820" s="15"/>
      <c r="P820" s="15"/>
    </row>
    <row r="821" spans="3:16" x14ac:dyDescent="0.25">
      <c r="C821" s="15"/>
      <c r="G821" s="15"/>
      <c r="K821" s="15"/>
      <c r="O821" s="15"/>
      <c r="P821" s="15"/>
    </row>
    <row r="822" spans="3:16" x14ac:dyDescent="0.25">
      <c r="C822" s="15"/>
      <c r="G822" s="15"/>
      <c r="K822" s="15"/>
      <c r="O822" s="15"/>
      <c r="P822" s="15"/>
    </row>
    <row r="823" spans="3:16" x14ac:dyDescent="0.25">
      <c r="C823" s="15"/>
      <c r="G823" s="15"/>
      <c r="K823" s="15"/>
      <c r="O823" s="15"/>
      <c r="P823" s="15"/>
    </row>
    <row r="824" spans="3:16" x14ac:dyDescent="0.25">
      <c r="C824" s="15"/>
      <c r="G824" s="15"/>
      <c r="K824" s="15"/>
      <c r="O824" s="15"/>
      <c r="P824" s="15"/>
    </row>
    <row r="825" spans="3:16" x14ac:dyDescent="0.25">
      <c r="C825" s="15"/>
      <c r="G825" s="15"/>
      <c r="K825" s="15"/>
      <c r="O825" s="15"/>
      <c r="P825" s="15"/>
    </row>
    <row r="826" spans="3:16" x14ac:dyDescent="0.25">
      <c r="C826" s="15"/>
      <c r="G826" s="15"/>
      <c r="K826" s="15"/>
      <c r="O826" s="15"/>
      <c r="P826" s="15"/>
    </row>
    <row r="827" spans="3:16" x14ac:dyDescent="0.25">
      <c r="C827" s="15"/>
      <c r="G827" s="15"/>
      <c r="K827" s="15"/>
      <c r="O827" s="15"/>
      <c r="P827" s="15"/>
    </row>
    <row r="828" spans="3:16" x14ac:dyDescent="0.25">
      <c r="C828" s="15"/>
      <c r="G828" s="15"/>
      <c r="K828" s="15"/>
      <c r="O828" s="15"/>
      <c r="P828" s="15"/>
    </row>
    <row r="829" spans="3:16" x14ac:dyDescent="0.25">
      <c r="C829" s="15"/>
      <c r="G829" s="15"/>
      <c r="K829" s="15"/>
      <c r="O829" s="15"/>
      <c r="P829" s="15"/>
    </row>
    <row r="830" spans="3:16" x14ac:dyDescent="0.25">
      <c r="C830" s="15"/>
      <c r="G830" s="15"/>
      <c r="K830" s="15"/>
      <c r="O830" s="15"/>
      <c r="P830" s="15"/>
    </row>
    <row r="831" spans="3:16" x14ac:dyDescent="0.25">
      <c r="C831" s="15"/>
      <c r="G831" s="15"/>
      <c r="K831" s="15"/>
      <c r="O831" s="15"/>
      <c r="P831" s="15"/>
    </row>
    <row r="832" spans="3:16" x14ac:dyDescent="0.25">
      <c r="C832" s="15"/>
      <c r="G832" s="15"/>
      <c r="K832" s="15"/>
      <c r="O832" s="15"/>
      <c r="P832" s="15"/>
    </row>
    <row r="833" spans="3:16" x14ac:dyDescent="0.25">
      <c r="C833" s="15"/>
      <c r="G833" s="15"/>
      <c r="K833" s="15"/>
      <c r="O833" s="15"/>
      <c r="P833" s="15"/>
    </row>
    <row r="834" spans="3:16" x14ac:dyDescent="0.25">
      <c r="C834" s="15"/>
      <c r="G834" s="15"/>
      <c r="K834" s="15"/>
      <c r="O834" s="15"/>
      <c r="P834" s="15"/>
    </row>
    <row r="835" spans="3:16" x14ac:dyDescent="0.25">
      <c r="C835" s="15"/>
      <c r="G835" s="15"/>
      <c r="K835" s="15"/>
      <c r="O835" s="15"/>
      <c r="P835" s="15"/>
    </row>
    <row r="836" spans="3:16" x14ac:dyDescent="0.25">
      <c r="C836" s="15"/>
      <c r="G836" s="15"/>
      <c r="K836" s="15"/>
      <c r="O836" s="15"/>
      <c r="P836" s="15"/>
    </row>
    <row r="837" spans="3:16" x14ac:dyDescent="0.25">
      <c r="C837" s="15"/>
      <c r="G837" s="15"/>
      <c r="K837" s="15"/>
      <c r="O837" s="15"/>
      <c r="P837" s="15"/>
    </row>
    <row r="838" spans="3:16" x14ac:dyDescent="0.25">
      <c r="C838" s="15"/>
      <c r="G838" s="15"/>
      <c r="K838" s="15"/>
      <c r="O838" s="15"/>
      <c r="P838" s="15"/>
    </row>
    <row r="839" spans="3:16" x14ac:dyDescent="0.25">
      <c r="C839" s="15"/>
      <c r="G839" s="15"/>
      <c r="K839" s="15"/>
      <c r="O839" s="15"/>
      <c r="P839" s="15"/>
    </row>
    <row r="840" spans="3:16" x14ac:dyDescent="0.25">
      <c r="C840" s="15"/>
      <c r="G840" s="15"/>
      <c r="K840" s="15"/>
      <c r="O840" s="15"/>
      <c r="P840" s="15"/>
    </row>
    <row r="841" spans="3:16" x14ac:dyDescent="0.25">
      <c r="C841" s="15"/>
      <c r="G841" s="15"/>
      <c r="K841" s="15"/>
      <c r="O841" s="15"/>
      <c r="P841" s="15"/>
    </row>
    <row r="842" spans="3:16" x14ac:dyDescent="0.25">
      <c r="C842" s="15"/>
      <c r="G842" s="15"/>
      <c r="K842" s="15"/>
      <c r="O842" s="15"/>
      <c r="P842" s="15"/>
    </row>
    <row r="843" spans="3:16" x14ac:dyDescent="0.25">
      <c r="C843" s="15"/>
      <c r="G843" s="15"/>
      <c r="K843" s="15"/>
      <c r="O843" s="15"/>
      <c r="P843" s="15"/>
    </row>
    <row r="844" spans="3:16" x14ac:dyDescent="0.25">
      <c r="C844" s="15"/>
      <c r="G844" s="15"/>
      <c r="K844" s="15"/>
      <c r="O844" s="15"/>
      <c r="P844" s="15"/>
    </row>
    <row r="845" spans="3:16" x14ac:dyDescent="0.25">
      <c r="C845" s="15"/>
      <c r="G845" s="15"/>
      <c r="K845" s="15"/>
      <c r="O845" s="15"/>
      <c r="P845" s="15"/>
    </row>
    <row r="846" spans="3:16" x14ac:dyDescent="0.25">
      <c r="C846" s="15"/>
      <c r="G846" s="15"/>
      <c r="K846" s="15"/>
      <c r="O846" s="15"/>
      <c r="P846" s="15"/>
    </row>
    <row r="847" spans="3:16" x14ac:dyDescent="0.25">
      <c r="C847" s="15"/>
      <c r="G847" s="15"/>
      <c r="K847" s="15"/>
      <c r="O847" s="15"/>
      <c r="P847" s="15"/>
    </row>
    <row r="848" spans="3:16" x14ac:dyDescent="0.25">
      <c r="C848" s="15"/>
      <c r="G848" s="15"/>
      <c r="K848" s="15"/>
      <c r="O848" s="15"/>
      <c r="P848" s="15"/>
    </row>
    <row r="849" spans="3:16" x14ac:dyDescent="0.25">
      <c r="C849" s="15"/>
      <c r="G849" s="15"/>
      <c r="K849" s="15"/>
      <c r="O849" s="15"/>
      <c r="P849" s="15"/>
    </row>
    <row r="850" spans="3:16" x14ac:dyDescent="0.25">
      <c r="C850" s="15"/>
      <c r="G850" s="15"/>
      <c r="K850" s="15"/>
      <c r="O850" s="15"/>
      <c r="P850" s="15"/>
    </row>
    <row r="851" spans="3:16" x14ac:dyDescent="0.25">
      <c r="C851" s="15"/>
      <c r="G851" s="15"/>
      <c r="K851" s="15"/>
      <c r="O851" s="15"/>
      <c r="P851" s="15"/>
    </row>
    <row r="852" spans="3:16" x14ac:dyDescent="0.25">
      <c r="C852" s="15"/>
      <c r="G852" s="15"/>
      <c r="K852" s="15"/>
      <c r="O852" s="15"/>
      <c r="P852" s="15"/>
    </row>
    <row r="853" spans="3:16" x14ac:dyDescent="0.25">
      <c r="C853" s="15"/>
      <c r="G853" s="15"/>
      <c r="K853" s="15"/>
      <c r="O853" s="15"/>
      <c r="P853" s="15"/>
    </row>
    <row r="854" spans="3:16" x14ac:dyDescent="0.25">
      <c r="C854" s="15"/>
      <c r="G854" s="15"/>
      <c r="K854" s="15"/>
      <c r="O854" s="15"/>
      <c r="P854" s="15"/>
    </row>
    <row r="855" spans="3:16" x14ac:dyDescent="0.25">
      <c r="C855" s="15"/>
      <c r="G855" s="15"/>
      <c r="K855" s="15"/>
      <c r="O855" s="15"/>
      <c r="P855" s="15"/>
    </row>
    <row r="856" spans="3:16" x14ac:dyDescent="0.25">
      <c r="C856" s="15"/>
      <c r="G856" s="15"/>
      <c r="K856" s="15"/>
      <c r="O856" s="15"/>
      <c r="P856" s="15"/>
    </row>
    <row r="857" spans="3:16" x14ac:dyDescent="0.25">
      <c r="C857" s="15"/>
      <c r="G857" s="15"/>
      <c r="K857" s="15"/>
      <c r="O857" s="15"/>
      <c r="P857" s="15"/>
    </row>
    <row r="858" spans="3:16" x14ac:dyDescent="0.25">
      <c r="C858" s="15"/>
      <c r="G858" s="15"/>
      <c r="K858" s="15"/>
      <c r="O858" s="15"/>
      <c r="P858" s="15"/>
    </row>
    <row r="859" spans="3:16" x14ac:dyDescent="0.25">
      <c r="C859" s="15"/>
      <c r="G859" s="15"/>
      <c r="K859" s="15"/>
      <c r="O859" s="15"/>
      <c r="P859" s="15"/>
    </row>
    <row r="860" spans="3:16" x14ac:dyDescent="0.25">
      <c r="C860" s="15"/>
      <c r="G860" s="15"/>
      <c r="K860" s="15"/>
      <c r="O860" s="15"/>
      <c r="P860" s="15"/>
    </row>
    <row r="861" spans="3:16" x14ac:dyDescent="0.25">
      <c r="C861" s="15"/>
      <c r="G861" s="15"/>
      <c r="K861" s="15"/>
      <c r="O861" s="15"/>
      <c r="P861" s="15"/>
    </row>
    <row r="862" spans="3:16" x14ac:dyDescent="0.25">
      <c r="C862" s="15"/>
      <c r="G862" s="15"/>
      <c r="K862" s="15"/>
      <c r="O862" s="15"/>
      <c r="P862" s="15"/>
    </row>
    <row r="863" spans="3:16" x14ac:dyDescent="0.25">
      <c r="C863" s="15"/>
      <c r="G863" s="15"/>
      <c r="K863" s="15"/>
      <c r="O863" s="15"/>
      <c r="P863" s="15"/>
    </row>
    <row r="864" spans="3:16" x14ac:dyDescent="0.25">
      <c r="C864" s="15"/>
      <c r="G864" s="15"/>
      <c r="K864" s="15"/>
      <c r="O864" s="15"/>
      <c r="P864" s="15"/>
    </row>
    <row r="865" spans="3:16" x14ac:dyDescent="0.25">
      <c r="C865" s="15"/>
      <c r="G865" s="15"/>
      <c r="K865" s="15"/>
      <c r="O865" s="15"/>
      <c r="P865" s="15"/>
    </row>
    <row r="866" spans="3:16" x14ac:dyDescent="0.25">
      <c r="C866" s="15"/>
      <c r="G866" s="15"/>
      <c r="K866" s="15"/>
      <c r="O866" s="15"/>
      <c r="P866" s="15"/>
    </row>
    <row r="867" spans="3:16" x14ac:dyDescent="0.25">
      <c r="C867" s="15"/>
      <c r="G867" s="15"/>
      <c r="K867" s="15"/>
      <c r="O867" s="15"/>
      <c r="P867" s="15"/>
    </row>
    <row r="868" spans="3:16" x14ac:dyDescent="0.25">
      <c r="C868" s="15"/>
      <c r="G868" s="15"/>
      <c r="K868" s="15"/>
      <c r="O868" s="15"/>
      <c r="P868" s="15"/>
    </row>
    <row r="869" spans="3:16" x14ac:dyDescent="0.25">
      <c r="C869" s="15"/>
      <c r="G869" s="15"/>
      <c r="K869" s="15"/>
      <c r="O869" s="15"/>
      <c r="P869" s="15"/>
    </row>
    <row r="870" spans="3:16" x14ac:dyDescent="0.25">
      <c r="C870" s="15"/>
      <c r="G870" s="15"/>
      <c r="K870" s="15"/>
      <c r="O870" s="15"/>
      <c r="P870" s="15"/>
    </row>
    <row r="871" spans="3:16" x14ac:dyDescent="0.25">
      <c r="C871" s="15"/>
      <c r="G871" s="15"/>
      <c r="K871" s="15"/>
      <c r="O871" s="15"/>
      <c r="P871" s="15"/>
    </row>
    <row r="872" spans="3:16" x14ac:dyDescent="0.25">
      <c r="C872" s="15"/>
      <c r="G872" s="15"/>
      <c r="K872" s="15"/>
      <c r="O872" s="15"/>
      <c r="P872" s="15"/>
    </row>
    <row r="873" spans="3:16" x14ac:dyDescent="0.25">
      <c r="C873" s="15"/>
      <c r="G873" s="15"/>
      <c r="K873" s="15"/>
      <c r="O873" s="15"/>
      <c r="P873" s="15"/>
    </row>
    <row r="874" spans="3:16" x14ac:dyDescent="0.25">
      <c r="C874" s="15"/>
      <c r="G874" s="15"/>
      <c r="K874" s="15"/>
      <c r="O874" s="15"/>
      <c r="P874" s="15"/>
    </row>
    <row r="875" spans="3:16" x14ac:dyDescent="0.25">
      <c r="C875" s="15"/>
      <c r="G875" s="15"/>
      <c r="K875" s="15"/>
      <c r="O875" s="15"/>
      <c r="P875" s="15"/>
    </row>
    <row r="876" spans="3:16" x14ac:dyDescent="0.25">
      <c r="C876" s="15"/>
      <c r="G876" s="15"/>
      <c r="K876" s="15"/>
      <c r="O876" s="15"/>
      <c r="P876" s="15"/>
    </row>
    <row r="877" spans="3:16" x14ac:dyDescent="0.25">
      <c r="C877" s="15"/>
      <c r="G877" s="15"/>
      <c r="K877" s="15"/>
      <c r="O877" s="15"/>
      <c r="P877" s="15"/>
    </row>
    <row r="878" spans="3:16" x14ac:dyDescent="0.25">
      <c r="C878" s="15"/>
      <c r="G878" s="15"/>
      <c r="K878" s="15"/>
      <c r="O878" s="15"/>
      <c r="P878" s="15"/>
    </row>
    <row r="879" spans="3:16" x14ac:dyDescent="0.25">
      <c r="C879" s="15"/>
      <c r="G879" s="15"/>
      <c r="K879" s="15"/>
      <c r="O879" s="15"/>
      <c r="P879" s="15"/>
    </row>
    <row r="880" spans="3:16" x14ac:dyDescent="0.25">
      <c r="C880" s="15"/>
      <c r="G880" s="15"/>
      <c r="K880" s="15"/>
      <c r="O880" s="15"/>
      <c r="P880" s="15"/>
    </row>
    <row r="881" spans="3:16" x14ac:dyDescent="0.25">
      <c r="C881" s="15"/>
      <c r="G881" s="15"/>
      <c r="K881" s="15"/>
      <c r="O881" s="15"/>
      <c r="P881" s="15"/>
    </row>
    <row r="882" spans="3:16" x14ac:dyDescent="0.25">
      <c r="C882" s="15"/>
      <c r="G882" s="15"/>
      <c r="K882" s="15"/>
      <c r="O882" s="15"/>
      <c r="P882" s="15"/>
    </row>
    <row r="883" spans="3:16" x14ac:dyDescent="0.25">
      <c r="C883" s="15"/>
      <c r="G883" s="15"/>
      <c r="K883" s="15"/>
      <c r="O883" s="15"/>
      <c r="P883" s="15"/>
    </row>
    <row r="884" spans="3:16" x14ac:dyDescent="0.25">
      <c r="C884" s="15"/>
      <c r="G884" s="15"/>
      <c r="K884" s="15"/>
      <c r="O884" s="15"/>
      <c r="P884" s="15"/>
    </row>
    <row r="885" spans="3:16" x14ac:dyDescent="0.25">
      <c r="C885" s="15"/>
      <c r="G885" s="15"/>
      <c r="K885" s="15"/>
      <c r="O885" s="15"/>
      <c r="P885" s="15"/>
    </row>
    <row r="886" spans="3:16" x14ac:dyDescent="0.25">
      <c r="C886" s="15"/>
      <c r="G886" s="15"/>
      <c r="K886" s="15"/>
      <c r="O886" s="15"/>
      <c r="P886" s="15"/>
    </row>
    <row r="887" spans="3:16" x14ac:dyDescent="0.25">
      <c r="C887" s="15"/>
      <c r="G887" s="15"/>
      <c r="K887" s="15"/>
      <c r="O887" s="15"/>
      <c r="P887" s="15"/>
    </row>
    <row r="888" spans="3:16" x14ac:dyDescent="0.25">
      <c r="C888" s="15"/>
      <c r="G888" s="15"/>
      <c r="K888" s="15"/>
      <c r="O888" s="15"/>
      <c r="P888" s="15"/>
    </row>
    <row r="889" spans="3:16" x14ac:dyDescent="0.25">
      <c r="C889" s="15"/>
      <c r="G889" s="15"/>
      <c r="K889" s="15"/>
      <c r="O889" s="15"/>
      <c r="P889" s="15"/>
    </row>
    <row r="890" spans="3:16" x14ac:dyDescent="0.25">
      <c r="C890" s="15"/>
      <c r="G890" s="15"/>
      <c r="K890" s="15"/>
      <c r="O890" s="15"/>
      <c r="P890" s="15"/>
    </row>
    <row r="891" spans="3:16" x14ac:dyDescent="0.25">
      <c r="C891" s="15"/>
      <c r="G891" s="15"/>
      <c r="K891" s="15"/>
      <c r="O891" s="15"/>
      <c r="P891" s="15"/>
    </row>
    <row r="892" spans="3:16" x14ac:dyDescent="0.25">
      <c r="C892" s="15"/>
      <c r="G892" s="15"/>
      <c r="K892" s="15"/>
      <c r="O892" s="15"/>
      <c r="P892" s="15"/>
    </row>
    <row r="893" spans="3:16" x14ac:dyDescent="0.25">
      <c r="C893" s="15"/>
      <c r="G893" s="15"/>
      <c r="K893" s="15"/>
      <c r="O893" s="15"/>
      <c r="P893" s="15"/>
    </row>
    <row r="894" spans="3:16" x14ac:dyDescent="0.25">
      <c r="C894" s="15"/>
      <c r="G894" s="15"/>
      <c r="K894" s="15"/>
      <c r="O894" s="15"/>
      <c r="P894" s="15"/>
    </row>
    <row r="895" spans="3:16" x14ac:dyDescent="0.25">
      <c r="C895" s="15"/>
      <c r="G895" s="15"/>
      <c r="K895" s="15"/>
      <c r="O895" s="15"/>
      <c r="P895" s="15"/>
    </row>
    <row r="896" spans="3:16" x14ac:dyDescent="0.25">
      <c r="C896" s="15"/>
      <c r="G896" s="15"/>
      <c r="K896" s="15"/>
      <c r="O896" s="15"/>
      <c r="P896" s="15"/>
    </row>
    <row r="897" spans="3:16" x14ac:dyDescent="0.25">
      <c r="C897" s="15"/>
      <c r="G897" s="15"/>
      <c r="K897" s="15"/>
      <c r="O897" s="15"/>
      <c r="P897" s="15"/>
    </row>
    <row r="898" spans="3:16" x14ac:dyDescent="0.25">
      <c r="C898" s="15"/>
      <c r="G898" s="15"/>
      <c r="K898" s="15"/>
      <c r="O898" s="15"/>
      <c r="P898" s="15"/>
    </row>
    <row r="899" spans="3:16" x14ac:dyDescent="0.25">
      <c r="C899" s="15"/>
      <c r="G899" s="15"/>
      <c r="K899" s="15"/>
      <c r="O899" s="15"/>
      <c r="P899" s="15"/>
    </row>
    <row r="900" spans="3:16" x14ac:dyDescent="0.25">
      <c r="C900" s="15"/>
      <c r="G900" s="15"/>
      <c r="K900" s="15"/>
      <c r="O900" s="15"/>
      <c r="P900" s="15"/>
    </row>
    <row r="901" spans="3:16" x14ac:dyDescent="0.25">
      <c r="C901" s="15"/>
      <c r="G901" s="15"/>
      <c r="K901" s="15"/>
      <c r="O901" s="15"/>
      <c r="P901" s="15"/>
    </row>
    <row r="902" spans="3:16" x14ac:dyDescent="0.25">
      <c r="C902" s="15"/>
      <c r="G902" s="15"/>
      <c r="K902" s="15"/>
      <c r="O902" s="15"/>
      <c r="P902" s="15"/>
    </row>
    <row r="903" spans="3:16" x14ac:dyDescent="0.25">
      <c r="C903" s="15"/>
      <c r="G903" s="15"/>
      <c r="K903" s="15"/>
      <c r="O903" s="15"/>
      <c r="P903" s="15"/>
    </row>
    <row r="904" spans="3:16" x14ac:dyDescent="0.25">
      <c r="C904" s="15"/>
      <c r="G904" s="15"/>
      <c r="K904" s="15"/>
      <c r="O904" s="15"/>
      <c r="P904" s="15"/>
    </row>
    <row r="905" spans="3:16" x14ac:dyDescent="0.25">
      <c r="C905" s="15"/>
      <c r="G905" s="15"/>
      <c r="K905" s="15"/>
      <c r="O905" s="15"/>
      <c r="P905" s="15"/>
    </row>
    <row r="906" spans="3:16" x14ac:dyDescent="0.25">
      <c r="C906" s="15"/>
      <c r="G906" s="15"/>
      <c r="K906" s="15"/>
      <c r="O906" s="15"/>
      <c r="P906" s="15"/>
    </row>
    <row r="907" spans="3:16" x14ac:dyDescent="0.25">
      <c r="C907" s="15"/>
      <c r="G907" s="15"/>
      <c r="K907" s="15"/>
      <c r="O907" s="15"/>
      <c r="P907" s="15"/>
    </row>
    <row r="908" spans="3:16" x14ac:dyDescent="0.25">
      <c r="C908" s="15"/>
      <c r="G908" s="15"/>
      <c r="K908" s="15"/>
      <c r="O908" s="15"/>
      <c r="P908" s="15"/>
    </row>
    <row r="909" spans="3:16" x14ac:dyDescent="0.25">
      <c r="C909" s="15"/>
      <c r="G909" s="15"/>
      <c r="K909" s="15"/>
      <c r="O909" s="15"/>
      <c r="P909" s="15"/>
    </row>
    <row r="910" spans="3:16" x14ac:dyDescent="0.25">
      <c r="C910" s="15"/>
      <c r="G910" s="15"/>
      <c r="K910" s="15"/>
      <c r="O910" s="15"/>
      <c r="P910" s="15"/>
    </row>
    <row r="911" spans="3:16" x14ac:dyDescent="0.25">
      <c r="C911" s="15"/>
      <c r="G911" s="15"/>
      <c r="K911" s="15"/>
      <c r="O911" s="15"/>
      <c r="P911" s="15"/>
    </row>
    <row r="912" spans="3:16" x14ac:dyDescent="0.25">
      <c r="C912" s="15"/>
      <c r="G912" s="15"/>
      <c r="K912" s="15"/>
      <c r="O912" s="15"/>
      <c r="P912" s="15"/>
    </row>
    <row r="913" spans="3:16" x14ac:dyDescent="0.25">
      <c r="C913" s="15"/>
      <c r="G913" s="15"/>
      <c r="K913" s="15"/>
      <c r="O913" s="15"/>
      <c r="P913" s="15"/>
    </row>
    <row r="914" spans="3:16" x14ac:dyDescent="0.25">
      <c r="C914" s="15"/>
      <c r="G914" s="15"/>
      <c r="K914" s="15"/>
      <c r="O914" s="15"/>
      <c r="P914" s="15"/>
    </row>
    <row r="915" spans="3:16" x14ac:dyDescent="0.25">
      <c r="C915" s="15"/>
      <c r="G915" s="15"/>
      <c r="K915" s="15"/>
      <c r="O915" s="15"/>
      <c r="P915" s="15"/>
    </row>
    <row r="916" spans="3:16" x14ac:dyDescent="0.25">
      <c r="C916" s="15"/>
      <c r="G916" s="15"/>
      <c r="K916" s="15"/>
      <c r="O916" s="15"/>
      <c r="P916" s="15"/>
    </row>
    <row r="917" spans="3:16" x14ac:dyDescent="0.25">
      <c r="C917" s="15"/>
      <c r="G917" s="15"/>
      <c r="K917" s="15"/>
      <c r="O917" s="15"/>
      <c r="P917" s="15"/>
    </row>
    <row r="918" spans="3:16" x14ac:dyDescent="0.25">
      <c r="C918" s="15"/>
      <c r="G918" s="15"/>
      <c r="K918" s="15"/>
      <c r="O918" s="15"/>
      <c r="P918" s="15"/>
    </row>
    <row r="919" spans="3:16" x14ac:dyDescent="0.25">
      <c r="C919" s="15"/>
      <c r="G919" s="15"/>
      <c r="K919" s="15"/>
      <c r="O919" s="15"/>
      <c r="P919" s="15"/>
    </row>
    <row r="920" spans="3:16" x14ac:dyDescent="0.25">
      <c r="C920" s="15"/>
      <c r="G920" s="15"/>
      <c r="K920" s="15"/>
      <c r="O920" s="15"/>
      <c r="P920" s="15"/>
    </row>
    <row r="921" spans="3:16" x14ac:dyDescent="0.25">
      <c r="C921" s="15"/>
      <c r="G921" s="15"/>
      <c r="K921" s="15"/>
      <c r="O921" s="15"/>
      <c r="P921" s="15"/>
    </row>
    <row r="922" spans="3:16" x14ac:dyDescent="0.25">
      <c r="C922" s="15"/>
      <c r="G922" s="15"/>
      <c r="K922" s="15"/>
      <c r="O922" s="15"/>
      <c r="P922" s="15"/>
    </row>
    <row r="923" spans="3:16" x14ac:dyDescent="0.25">
      <c r="C923" s="15"/>
      <c r="G923" s="15"/>
      <c r="K923" s="15"/>
      <c r="O923" s="15"/>
      <c r="P923" s="15"/>
    </row>
    <row r="924" spans="3:16" x14ac:dyDescent="0.25">
      <c r="C924" s="15"/>
      <c r="G924" s="15"/>
      <c r="K924" s="15"/>
      <c r="O924" s="15"/>
      <c r="P924" s="15"/>
    </row>
    <row r="925" spans="3:16" x14ac:dyDescent="0.25">
      <c r="C925" s="15"/>
      <c r="G925" s="15"/>
      <c r="K925" s="15"/>
      <c r="O925" s="15"/>
      <c r="P925" s="15"/>
    </row>
    <row r="926" spans="3:16" x14ac:dyDescent="0.25">
      <c r="C926" s="15"/>
      <c r="G926" s="15"/>
      <c r="K926" s="15"/>
      <c r="O926" s="15"/>
      <c r="P926" s="15"/>
    </row>
    <row r="927" spans="3:16" x14ac:dyDescent="0.25">
      <c r="C927" s="15"/>
      <c r="G927" s="15"/>
      <c r="K927" s="15"/>
      <c r="O927" s="15"/>
      <c r="P927" s="15"/>
    </row>
    <row r="928" spans="3:16" x14ac:dyDescent="0.25">
      <c r="C928" s="15"/>
      <c r="G928" s="15"/>
      <c r="K928" s="15"/>
      <c r="O928" s="15"/>
      <c r="P928" s="15"/>
    </row>
    <row r="929" spans="3:16" x14ac:dyDescent="0.25">
      <c r="C929" s="15"/>
      <c r="G929" s="15"/>
      <c r="K929" s="15"/>
      <c r="O929" s="15"/>
      <c r="P929" s="15"/>
    </row>
    <row r="930" spans="3:16" x14ac:dyDescent="0.25">
      <c r="C930" s="15"/>
      <c r="G930" s="15"/>
      <c r="K930" s="15"/>
      <c r="O930" s="15"/>
      <c r="P930" s="15"/>
    </row>
    <row r="931" spans="3:16" x14ac:dyDescent="0.25">
      <c r="C931" s="15"/>
      <c r="G931" s="15"/>
      <c r="K931" s="15"/>
      <c r="O931" s="15"/>
      <c r="P931" s="15"/>
    </row>
    <row r="932" spans="3:16" x14ac:dyDescent="0.25">
      <c r="C932" s="15"/>
      <c r="G932" s="15"/>
      <c r="K932" s="15"/>
      <c r="O932" s="15"/>
      <c r="P932" s="15"/>
    </row>
    <row r="933" spans="3:16" x14ac:dyDescent="0.25">
      <c r="C933" s="15"/>
      <c r="G933" s="15"/>
      <c r="K933" s="15"/>
      <c r="O933" s="15"/>
      <c r="P933" s="15"/>
    </row>
    <row r="934" spans="3:16" x14ac:dyDescent="0.25">
      <c r="C934" s="15"/>
      <c r="G934" s="15"/>
      <c r="K934" s="15"/>
      <c r="O934" s="15"/>
      <c r="P934" s="15"/>
    </row>
    <row r="935" spans="3:16" x14ac:dyDescent="0.25">
      <c r="C935" s="15"/>
      <c r="G935" s="15"/>
      <c r="K935" s="15"/>
      <c r="O935" s="15"/>
      <c r="P935" s="15"/>
    </row>
    <row r="936" spans="3:16" x14ac:dyDescent="0.25">
      <c r="C936" s="15"/>
      <c r="G936" s="15"/>
      <c r="K936" s="15"/>
      <c r="O936" s="15"/>
      <c r="P936" s="15"/>
    </row>
    <row r="937" spans="3:16" x14ac:dyDescent="0.25">
      <c r="C937" s="15"/>
      <c r="G937" s="15"/>
      <c r="K937" s="15"/>
      <c r="O937" s="15"/>
      <c r="P937" s="15"/>
    </row>
    <row r="938" spans="3:16" x14ac:dyDescent="0.25">
      <c r="C938" s="15"/>
      <c r="G938" s="15"/>
      <c r="K938" s="15"/>
      <c r="O938" s="15"/>
      <c r="P938" s="15"/>
    </row>
    <row r="939" spans="3:16" x14ac:dyDescent="0.25">
      <c r="C939" s="15"/>
      <c r="G939" s="15"/>
      <c r="K939" s="15"/>
      <c r="O939" s="15"/>
      <c r="P939" s="15"/>
    </row>
    <row r="940" spans="3:16" x14ac:dyDescent="0.25">
      <c r="C940" s="15"/>
      <c r="G940" s="15"/>
      <c r="K940" s="15"/>
      <c r="O940" s="15"/>
      <c r="P940" s="15"/>
    </row>
    <row r="941" spans="3:16" x14ac:dyDescent="0.25">
      <c r="C941" s="15"/>
      <c r="G941" s="15"/>
      <c r="K941" s="15"/>
      <c r="O941" s="15"/>
      <c r="P941" s="15"/>
    </row>
    <row r="942" spans="3:16" x14ac:dyDescent="0.25">
      <c r="C942" s="15"/>
      <c r="G942" s="15"/>
      <c r="K942" s="15"/>
      <c r="O942" s="15"/>
      <c r="P942" s="15"/>
    </row>
    <row r="943" spans="3:16" x14ac:dyDescent="0.25">
      <c r="C943" s="15"/>
      <c r="G943" s="15"/>
      <c r="K943" s="15"/>
      <c r="O943" s="15"/>
      <c r="P943" s="15"/>
    </row>
    <row r="944" spans="3:16" x14ac:dyDescent="0.25">
      <c r="C944" s="15"/>
      <c r="G944" s="15"/>
      <c r="K944" s="15"/>
      <c r="O944" s="15"/>
      <c r="P944" s="15"/>
    </row>
    <row r="945" spans="3:16" x14ac:dyDescent="0.25">
      <c r="C945" s="15"/>
      <c r="G945" s="15"/>
      <c r="K945" s="15"/>
      <c r="O945" s="15"/>
      <c r="P945" s="15"/>
    </row>
    <row r="946" spans="3:16" x14ac:dyDescent="0.25">
      <c r="C946" s="15"/>
      <c r="G946" s="15"/>
      <c r="K946" s="15"/>
      <c r="O946" s="15"/>
      <c r="P946" s="15"/>
    </row>
    <row r="947" spans="3:16" x14ac:dyDescent="0.25">
      <c r="C947" s="15"/>
      <c r="G947" s="15"/>
      <c r="K947" s="15"/>
      <c r="O947" s="15"/>
      <c r="P947" s="15"/>
    </row>
    <row r="948" spans="3:16" x14ac:dyDescent="0.25">
      <c r="C948" s="15"/>
      <c r="G948" s="15"/>
      <c r="K948" s="15"/>
      <c r="O948" s="15"/>
      <c r="P948" s="15"/>
    </row>
    <row r="949" spans="3:16" x14ac:dyDescent="0.25">
      <c r="C949" s="15"/>
      <c r="G949" s="15"/>
      <c r="K949" s="15"/>
      <c r="O949" s="15"/>
      <c r="P949" s="15"/>
    </row>
    <row r="950" spans="3:16" x14ac:dyDescent="0.25">
      <c r="C950" s="15"/>
      <c r="G950" s="15"/>
      <c r="K950" s="15"/>
      <c r="O950" s="15"/>
      <c r="P950" s="15"/>
    </row>
    <row r="951" spans="3:16" x14ac:dyDescent="0.25">
      <c r="C951" s="15"/>
      <c r="G951" s="15"/>
      <c r="K951" s="15"/>
      <c r="O951" s="15"/>
      <c r="P951" s="15"/>
    </row>
    <row r="952" spans="3:16" x14ac:dyDescent="0.25">
      <c r="C952" s="15"/>
      <c r="G952" s="15"/>
      <c r="K952" s="15"/>
      <c r="O952" s="15"/>
      <c r="P952" s="15"/>
    </row>
    <row r="953" spans="3:16" x14ac:dyDescent="0.25">
      <c r="C953" s="15"/>
      <c r="G953" s="15"/>
      <c r="K953" s="15"/>
      <c r="O953" s="15"/>
      <c r="P953" s="15"/>
    </row>
    <row r="954" spans="3:16" x14ac:dyDescent="0.25">
      <c r="C954" s="15"/>
      <c r="G954" s="15"/>
      <c r="K954" s="15"/>
      <c r="O954" s="15"/>
      <c r="P954" s="15"/>
    </row>
    <row r="955" spans="3:16" x14ac:dyDescent="0.25">
      <c r="C955" s="15"/>
      <c r="G955" s="15"/>
      <c r="K955" s="15"/>
      <c r="O955" s="15"/>
      <c r="P955" s="15"/>
    </row>
    <row r="956" spans="3:16" x14ac:dyDescent="0.25">
      <c r="C956" s="15"/>
      <c r="G956" s="15"/>
      <c r="K956" s="15"/>
      <c r="O956" s="15"/>
      <c r="P956" s="15"/>
    </row>
    <row r="957" spans="3:16" x14ac:dyDescent="0.25">
      <c r="C957" s="15"/>
      <c r="G957" s="15"/>
      <c r="K957" s="15"/>
      <c r="O957" s="15"/>
      <c r="P957" s="15"/>
    </row>
    <row r="958" spans="3:16" x14ac:dyDescent="0.25">
      <c r="C958" s="15"/>
      <c r="G958" s="15"/>
      <c r="K958" s="15"/>
      <c r="O958" s="15"/>
      <c r="P958" s="15"/>
    </row>
    <row r="959" spans="3:16" x14ac:dyDescent="0.25">
      <c r="C959" s="15"/>
      <c r="G959" s="15"/>
      <c r="K959" s="15"/>
      <c r="O959" s="15"/>
      <c r="P959" s="15"/>
    </row>
    <row r="960" spans="3:16" x14ac:dyDescent="0.25">
      <c r="C960" s="15"/>
      <c r="G960" s="15"/>
      <c r="K960" s="15"/>
      <c r="O960" s="15"/>
      <c r="P960" s="15"/>
    </row>
    <row r="961" spans="3:16" x14ac:dyDescent="0.25">
      <c r="C961" s="15"/>
      <c r="G961" s="15"/>
      <c r="K961" s="15"/>
      <c r="O961" s="15"/>
      <c r="P961" s="15"/>
    </row>
    <row r="962" spans="3:16" x14ac:dyDescent="0.25">
      <c r="C962" s="15"/>
      <c r="G962" s="15"/>
      <c r="K962" s="15"/>
      <c r="O962" s="15"/>
      <c r="P962" s="15"/>
    </row>
    <row r="963" spans="3:16" x14ac:dyDescent="0.25">
      <c r="C963" s="15"/>
      <c r="G963" s="15"/>
      <c r="K963" s="15"/>
      <c r="O963" s="15"/>
      <c r="P963" s="15"/>
    </row>
    <row r="964" spans="3:16" x14ac:dyDescent="0.25">
      <c r="C964" s="15"/>
      <c r="G964" s="15"/>
      <c r="K964" s="15"/>
      <c r="O964" s="15"/>
      <c r="P964" s="15"/>
    </row>
    <row r="965" spans="3:16" x14ac:dyDescent="0.25">
      <c r="C965" s="15"/>
      <c r="G965" s="15"/>
      <c r="K965" s="15"/>
      <c r="O965" s="15"/>
      <c r="P965" s="15"/>
    </row>
    <row r="966" spans="3:16" x14ac:dyDescent="0.25">
      <c r="C966" s="15"/>
      <c r="G966" s="15"/>
      <c r="K966" s="15"/>
      <c r="O966" s="15"/>
      <c r="P966" s="15"/>
    </row>
    <row r="967" spans="3:16" x14ac:dyDescent="0.25">
      <c r="C967" s="15"/>
      <c r="G967" s="15"/>
      <c r="K967" s="15"/>
      <c r="O967" s="15"/>
      <c r="P967" s="15"/>
    </row>
    <row r="968" spans="3:16" x14ac:dyDescent="0.25">
      <c r="C968" s="15"/>
      <c r="G968" s="15"/>
      <c r="K968" s="15"/>
      <c r="O968" s="15"/>
      <c r="P968" s="15"/>
    </row>
    <row r="969" spans="3:16" x14ac:dyDescent="0.25">
      <c r="C969" s="15"/>
      <c r="G969" s="15"/>
      <c r="K969" s="15"/>
      <c r="O969" s="15"/>
      <c r="P969" s="15"/>
    </row>
    <row r="970" spans="3:16" x14ac:dyDescent="0.25">
      <c r="C970" s="15"/>
      <c r="G970" s="15"/>
      <c r="K970" s="15"/>
      <c r="O970" s="15"/>
      <c r="P970" s="15"/>
    </row>
    <row r="971" spans="3:16" x14ac:dyDescent="0.25">
      <c r="C971" s="15"/>
      <c r="G971" s="15"/>
      <c r="K971" s="15"/>
      <c r="O971" s="15"/>
      <c r="P971" s="15"/>
    </row>
    <row r="972" spans="3:16" x14ac:dyDescent="0.25">
      <c r="C972" s="15"/>
      <c r="G972" s="15"/>
      <c r="K972" s="15"/>
      <c r="O972" s="15"/>
      <c r="P972" s="15"/>
    </row>
    <row r="973" spans="3:16" x14ac:dyDescent="0.25">
      <c r="C973" s="15"/>
      <c r="G973" s="15"/>
      <c r="K973" s="15"/>
      <c r="O973" s="15"/>
      <c r="P973" s="15"/>
    </row>
    <row r="974" spans="3:16" x14ac:dyDescent="0.25">
      <c r="C974" s="15"/>
      <c r="G974" s="15"/>
      <c r="K974" s="15"/>
      <c r="O974" s="15"/>
      <c r="P974" s="15"/>
    </row>
    <row r="975" spans="3:16" x14ac:dyDescent="0.25">
      <c r="C975" s="15"/>
      <c r="G975" s="15"/>
      <c r="K975" s="15"/>
      <c r="O975" s="15"/>
      <c r="P975" s="15"/>
    </row>
    <row r="976" spans="3:16" x14ac:dyDescent="0.25">
      <c r="C976" s="15"/>
      <c r="G976" s="15"/>
      <c r="K976" s="15"/>
      <c r="O976" s="15"/>
      <c r="P976" s="15"/>
    </row>
    <row r="977" spans="3:16" x14ac:dyDescent="0.25">
      <c r="C977" s="15"/>
      <c r="G977" s="15"/>
      <c r="K977" s="15"/>
      <c r="O977" s="15"/>
      <c r="P977" s="15"/>
    </row>
    <row r="978" spans="3:16" x14ac:dyDescent="0.25">
      <c r="C978" s="15"/>
      <c r="G978" s="15"/>
      <c r="K978" s="15"/>
      <c r="O978" s="15"/>
      <c r="P978" s="15"/>
    </row>
    <row r="979" spans="3:16" x14ac:dyDescent="0.25">
      <c r="C979" s="15"/>
      <c r="G979" s="15"/>
      <c r="K979" s="15"/>
      <c r="O979" s="15"/>
      <c r="P979" s="15"/>
    </row>
    <row r="980" spans="3:16" x14ac:dyDescent="0.25">
      <c r="C980" s="15"/>
      <c r="G980" s="15"/>
      <c r="K980" s="15"/>
      <c r="O980" s="15"/>
      <c r="P980" s="15"/>
    </row>
    <row r="981" spans="3:16" x14ac:dyDescent="0.25">
      <c r="C981" s="15"/>
      <c r="G981" s="15"/>
      <c r="K981" s="15"/>
      <c r="O981" s="15"/>
      <c r="P981" s="15"/>
    </row>
    <row r="982" spans="3:16" x14ac:dyDescent="0.25">
      <c r="C982" s="15"/>
      <c r="G982" s="15"/>
      <c r="K982" s="15"/>
      <c r="O982" s="15"/>
      <c r="P982" s="15"/>
    </row>
    <row r="983" spans="3:16" x14ac:dyDescent="0.25">
      <c r="C983" s="15"/>
      <c r="G983" s="15"/>
      <c r="K983" s="15"/>
      <c r="O983" s="15"/>
      <c r="P983" s="15"/>
    </row>
    <row r="984" spans="3:16" x14ac:dyDescent="0.25">
      <c r="C984" s="15"/>
      <c r="G984" s="15"/>
      <c r="K984" s="15"/>
      <c r="O984" s="15"/>
      <c r="P984" s="15"/>
    </row>
    <row r="985" spans="3:16" x14ac:dyDescent="0.25">
      <c r="C985" s="15"/>
      <c r="G985" s="15"/>
      <c r="K985" s="15"/>
      <c r="O985" s="15"/>
      <c r="P985" s="15"/>
    </row>
    <row r="986" spans="3:16" x14ac:dyDescent="0.25">
      <c r="C986" s="15"/>
      <c r="G986" s="15"/>
      <c r="K986" s="15"/>
      <c r="O986" s="15"/>
      <c r="P986" s="15"/>
    </row>
    <row r="987" spans="3:16" x14ac:dyDescent="0.25">
      <c r="C987" s="15"/>
      <c r="G987" s="15"/>
      <c r="K987" s="15"/>
      <c r="O987" s="15"/>
      <c r="P987" s="15"/>
    </row>
    <row r="988" spans="3:16" x14ac:dyDescent="0.25">
      <c r="C988" s="15"/>
      <c r="G988" s="15"/>
      <c r="K988" s="15"/>
      <c r="O988" s="15"/>
      <c r="P988" s="15"/>
    </row>
    <row r="989" spans="3:16" x14ac:dyDescent="0.25">
      <c r="C989" s="15"/>
      <c r="G989" s="15"/>
      <c r="K989" s="15"/>
      <c r="O989" s="15"/>
      <c r="P989" s="15"/>
    </row>
    <row r="990" spans="3:16" x14ac:dyDescent="0.25">
      <c r="C990" s="15"/>
      <c r="G990" s="15"/>
      <c r="K990" s="15"/>
      <c r="O990" s="15"/>
      <c r="P990" s="15"/>
    </row>
    <row r="991" spans="3:16" x14ac:dyDescent="0.25">
      <c r="C991" s="15"/>
      <c r="G991" s="15"/>
      <c r="K991" s="15"/>
      <c r="O991" s="15"/>
      <c r="P991" s="15"/>
    </row>
    <row r="992" spans="3:16" x14ac:dyDescent="0.25">
      <c r="C992" s="15"/>
      <c r="G992" s="15"/>
      <c r="K992" s="15"/>
      <c r="O992" s="15"/>
      <c r="P992" s="15"/>
    </row>
    <row r="993" spans="3:16" x14ac:dyDescent="0.25">
      <c r="C993" s="15"/>
      <c r="G993" s="15"/>
      <c r="K993" s="15"/>
      <c r="O993" s="15"/>
      <c r="P993" s="15"/>
    </row>
    <row r="994" spans="3:16" x14ac:dyDescent="0.25">
      <c r="C994" s="15"/>
      <c r="G994" s="15"/>
      <c r="K994" s="15"/>
      <c r="O994" s="15"/>
      <c r="P994" s="15"/>
    </row>
    <row r="995" spans="3:16" x14ac:dyDescent="0.25">
      <c r="C995" s="15"/>
      <c r="G995" s="15"/>
      <c r="K995" s="15"/>
      <c r="O995" s="15"/>
      <c r="P995" s="15"/>
    </row>
    <row r="996" spans="3:16" x14ac:dyDescent="0.25">
      <c r="C996" s="15"/>
      <c r="G996" s="15"/>
      <c r="K996" s="15"/>
      <c r="O996" s="15"/>
      <c r="P996" s="15"/>
    </row>
    <row r="997" spans="3:16" x14ac:dyDescent="0.25">
      <c r="C997" s="15"/>
      <c r="G997" s="15"/>
      <c r="K997" s="15"/>
      <c r="O997" s="15"/>
      <c r="P997" s="15"/>
    </row>
    <row r="998" spans="3:16" x14ac:dyDescent="0.25">
      <c r="C998" s="15"/>
      <c r="G998" s="15"/>
      <c r="K998" s="15"/>
      <c r="O998" s="15"/>
      <c r="P998" s="15"/>
    </row>
    <row r="999" spans="3:16" x14ac:dyDescent="0.25">
      <c r="C999" s="15"/>
      <c r="G999" s="15"/>
      <c r="K999" s="15"/>
      <c r="O999" s="15"/>
      <c r="P999" s="15"/>
    </row>
    <row r="1000" spans="3:16" x14ac:dyDescent="0.25">
      <c r="C1000" s="15"/>
      <c r="G1000" s="15"/>
      <c r="K1000" s="15"/>
      <c r="O1000" s="15"/>
      <c r="P1000" s="15"/>
    </row>
    <row r="1001" spans="3:16" x14ac:dyDescent="0.25">
      <c r="C1001" s="15"/>
      <c r="G1001" s="15"/>
      <c r="K1001" s="15"/>
      <c r="O1001" s="15"/>
      <c r="P1001" s="15"/>
    </row>
    <row r="1002" spans="3:16" x14ac:dyDescent="0.25">
      <c r="C1002" s="15"/>
      <c r="G1002" s="15"/>
      <c r="K1002" s="15"/>
      <c r="O1002" s="15"/>
      <c r="P1002" s="15"/>
    </row>
    <row r="1003" spans="3:16" x14ac:dyDescent="0.25">
      <c r="C1003" s="15"/>
      <c r="G1003" s="15"/>
      <c r="K1003" s="15"/>
      <c r="O1003" s="15"/>
      <c r="P1003" s="15"/>
    </row>
    <row r="1004" spans="3:16" x14ac:dyDescent="0.25">
      <c r="C1004" s="15"/>
      <c r="G1004" s="15"/>
      <c r="K1004" s="15"/>
      <c r="O1004" s="15"/>
      <c r="P1004" s="15"/>
    </row>
    <row r="1005" spans="3:16" x14ac:dyDescent="0.25">
      <c r="C1005" s="15"/>
      <c r="G1005" s="15"/>
      <c r="K1005" s="15"/>
      <c r="O1005" s="15"/>
      <c r="P1005" s="15"/>
    </row>
    <row r="1006" spans="3:16" x14ac:dyDescent="0.25">
      <c r="C1006" s="15"/>
      <c r="G1006" s="15"/>
      <c r="K1006" s="15"/>
      <c r="O1006" s="15"/>
      <c r="P1006" s="15"/>
    </row>
    <row r="1007" spans="3:16" x14ac:dyDescent="0.25">
      <c r="C1007" s="15"/>
      <c r="G1007" s="15"/>
      <c r="K1007" s="15"/>
      <c r="O1007" s="15"/>
      <c r="P1007" s="15"/>
    </row>
    <row r="1008" spans="3:16" x14ac:dyDescent="0.25">
      <c r="C1008" s="15"/>
      <c r="G1008" s="15"/>
      <c r="K1008" s="15"/>
      <c r="O1008" s="15"/>
      <c r="P1008" s="15"/>
    </row>
    <row r="1009" spans="3:16" x14ac:dyDescent="0.25">
      <c r="C1009" s="15"/>
      <c r="G1009" s="15"/>
      <c r="K1009" s="15"/>
      <c r="O1009" s="15"/>
      <c r="P1009" s="15"/>
    </row>
    <row r="1010" spans="3:16" x14ac:dyDescent="0.25">
      <c r="C1010" s="15"/>
      <c r="G1010" s="15"/>
      <c r="K1010" s="15"/>
      <c r="O1010" s="15"/>
      <c r="P1010" s="15"/>
    </row>
    <row r="1011" spans="3:16" x14ac:dyDescent="0.25">
      <c r="C1011" s="15"/>
      <c r="G1011" s="15"/>
      <c r="K1011" s="15"/>
      <c r="O1011" s="15"/>
      <c r="P1011" s="15"/>
    </row>
    <row r="1012" spans="3:16" x14ac:dyDescent="0.25">
      <c r="C1012" s="15"/>
      <c r="G1012" s="15"/>
      <c r="K1012" s="15"/>
      <c r="O1012" s="15"/>
      <c r="P1012" s="15"/>
    </row>
    <row r="1013" spans="3:16" x14ac:dyDescent="0.25">
      <c r="C1013" s="15"/>
      <c r="G1013" s="15"/>
      <c r="K1013" s="15"/>
      <c r="O1013" s="15"/>
      <c r="P1013" s="15"/>
    </row>
    <row r="1014" spans="3:16" x14ac:dyDescent="0.25">
      <c r="C1014" s="15"/>
      <c r="G1014" s="15"/>
      <c r="K1014" s="15"/>
      <c r="O1014" s="15"/>
      <c r="P1014" s="15"/>
    </row>
    <row r="1015" spans="3:16" x14ac:dyDescent="0.25">
      <c r="C1015" s="15"/>
      <c r="G1015" s="15"/>
      <c r="K1015" s="15"/>
      <c r="O1015" s="15"/>
      <c r="P1015" s="15"/>
    </row>
    <row r="1016" spans="3:16" x14ac:dyDescent="0.25">
      <c r="C1016" s="15"/>
      <c r="G1016" s="15"/>
      <c r="K1016" s="15"/>
      <c r="O1016" s="15"/>
      <c r="P1016" s="15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1767C-4196-45AB-BBE3-3870344D66DB}">
  <sheetPr>
    <outlinePr summaryBelow="0" summaryRight="0"/>
  </sheetPr>
  <dimension ref="A1:F1004"/>
  <sheetViews>
    <sheetView workbookViewId="0">
      <selection activeCell="B3" sqref="B3"/>
    </sheetView>
  </sheetViews>
  <sheetFormatPr defaultColWidth="14.42578125" defaultRowHeight="15" customHeight="1" x14ac:dyDescent="0.25"/>
  <cols>
    <col min="3" max="3" width="47.42578125" customWidth="1"/>
  </cols>
  <sheetData>
    <row r="1" spans="1:6" ht="15" customHeight="1" x14ac:dyDescent="0.3">
      <c r="A1" s="112" t="s">
        <v>183</v>
      </c>
      <c r="B1" s="113"/>
      <c r="C1" s="113"/>
    </row>
    <row r="2" spans="1:6" x14ac:dyDescent="0.25">
      <c r="A2" s="15"/>
    </row>
    <row r="3" spans="1:6" x14ac:dyDescent="0.25">
      <c r="A3" s="60" t="s">
        <v>1</v>
      </c>
      <c r="B3" s="61" t="s">
        <v>7</v>
      </c>
      <c r="C3" s="60" t="s">
        <v>2</v>
      </c>
      <c r="E3" s="114" t="s">
        <v>184</v>
      </c>
      <c r="F3" s="111"/>
    </row>
    <row r="4" spans="1:6" x14ac:dyDescent="0.25">
      <c r="A4" s="62">
        <v>46024</v>
      </c>
      <c r="B4" s="63">
        <v>33.229999999999997</v>
      </c>
      <c r="C4" s="4" t="s">
        <v>185</v>
      </c>
      <c r="E4" s="115">
        <f>SUM(B4:B61)</f>
        <v>6889.9399999999987</v>
      </c>
      <c r="F4" s="116"/>
    </row>
    <row r="5" spans="1:6" x14ac:dyDescent="0.25">
      <c r="A5" s="62">
        <v>46025</v>
      </c>
      <c r="B5" s="63">
        <v>73.69</v>
      </c>
      <c r="C5" s="4" t="s">
        <v>186</v>
      </c>
      <c r="E5" s="117"/>
      <c r="F5" s="118"/>
    </row>
    <row r="6" spans="1:6" x14ac:dyDescent="0.25">
      <c r="A6" s="62">
        <v>46024</v>
      </c>
      <c r="B6" s="63">
        <v>114.12</v>
      </c>
      <c r="C6" s="4" t="s">
        <v>187</v>
      </c>
    </row>
    <row r="7" spans="1:6" x14ac:dyDescent="0.25">
      <c r="A7" s="62">
        <v>46028</v>
      </c>
      <c r="B7" s="63">
        <v>16</v>
      </c>
      <c r="C7" s="9" t="s">
        <v>188</v>
      </c>
    </row>
    <row r="8" spans="1:6" x14ac:dyDescent="0.25">
      <c r="A8" s="62">
        <v>46028</v>
      </c>
      <c r="B8" s="63">
        <v>2.9</v>
      </c>
      <c r="C8" s="9" t="s">
        <v>189</v>
      </c>
    </row>
    <row r="9" spans="1:6" x14ac:dyDescent="0.25">
      <c r="A9" s="62">
        <v>46028</v>
      </c>
      <c r="B9" s="63">
        <v>39.54</v>
      </c>
      <c r="C9" s="9" t="s">
        <v>190</v>
      </c>
    </row>
    <row r="10" spans="1:6" x14ac:dyDescent="0.25">
      <c r="A10" s="62">
        <v>46028</v>
      </c>
      <c r="B10" s="63">
        <v>131.13</v>
      </c>
      <c r="C10" s="4" t="s">
        <v>191</v>
      </c>
    </row>
    <row r="11" spans="1:6" x14ac:dyDescent="0.25">
      <c r="A11" s="62">
        <v>46028</v>
      </c>
      <c r="B11" s="63">
        <v>319.54000000000002</v>
      </c>
      <c r="C11" s="4" t="s">
        <v>192</v>
      </c>
    </row>
    <row r="12" spans="1:6" x14ac:dyDescent="0.25">
      <c r="A12" s="62">
        <v>45664</v>
      </c>
      <c r="B12" s="63">
        <v>103.15</v>
      </c>
      <c r="C12" s="4" t="s">
        <v>191</v>
      </c>
    </row>
    <row r="13" spans="1:6" x14ac:dyDescent="0.25">
      <c r="A13" s="62">
        <v>46030</v>
      </c>
      <c r="B13" s="63">
        <v>243.48</v>
      </c>
      <c r="C13" s="4" t="s">
        <v>191</v>
      </c>
    </row>
    <row r="14" spans="1:6" x14ac:dyDescent="0.25">
      <c r="A14" s="62">
        <v>46357</v>
      </c>
      <c r="B14" s="63">
        <v>99.27</v>
      </c>
      <c r="C14" s="4" t="s">
        <v>191</v>
      </c>
    </row>
    <row r="15" spans="1:6" x14ac:dyDescent="0.25">
      <c r="A15" s="64">
        <v>46034</v>
      </c>
      <c r="B15" s="63">
        <v>99.34</v>
      </c>
      <c r="C15" s="4" t="s">
        <v>193</v>
      </c>
    </row>
    <row r="16" spans="1:6" x14ac:dyDescent="0.25">
      <c r="A16" s="64">
        <v>46035</v>
      </c>
      <c r="B16" s="63">
        <v>330.64</v>
      </c>
      <c r="C16" s="4" t="s">
        <v>193</v>
      </c>
    </row>
    <row r="17" spans="1:4" x14ac:dyDescent="0.25">
      <c r="A17" s="64">
        <v>46036</v>
      </c>
      <c r="B17" s="63">
        <v>164.15</v>
      </c>
      <c r="C17" s="4" t="s">
        <v>194</v>
      </c>
    </row>
    <row r="18" spans="1:4" x14ac:dyDescent="0.25">
      <c r="A18" s="64">
        <v>44940</v>
      </c>
      <c r="B18" s="63">
        <v>60</v>
      </c>
      <c r="C18" s="4" t="s">
        <v>195</v>
      </c>
    </row>
    <row r="19" spans="1:4" x14ac:dyDescent="0.25">
      <c r="A19" s="62">
        <v>46036</v>
      </c>
      <c r="B19" s="63">
        <v>178.9</v>
      </c>
      <c r="C19" s="4" t="s">
        <v>196</v>
      </c>
    </row>
    <row r="20" spans="1:4" x14ac:dyDescent="0.25">
      <c r="A20" s="62">
        <v>46036</v>
      </c>
      <c r="B20" s="63">
        <v>111.1</v>
      </c>
      <c r="C20" s="4" t="s">
        <v>197</v>
      </c>
    </row>
    <row r="21" spans="1:4" x14ac:dyDescent="0.25">
      <c r="A21" s="62">
        <v>46036</v>
      </c>
      <c r="B21" s="63">
        <v>337.73</v>
      </c>
      <c r="C21" s="4" t="s">
        <v>197</v>
      </c>
    </row>
    <row r="22" spans="1:4" x14ac:dyDescent="0.25">
      <c r="A22" s="62">
        <v>46037</v>
      </c>
      <c r="B22" s="63">
        <v>38</v>
      </c>
      <c r="C22" s="4" t="s">
        <v>198</v>
      </c>
    </row>
    <row r="23" spans="1:4" x14ac:dyDescent="0.25">
      <c r="A23" s="65">
        <v>46038</v>
      </c>
      <c r="B23" s="63">
        <v>192.5</v>
      </c>
      <c r="C23" s="4" t="s">
        <v>199</v>
      </c>
    </row>
    <row r="24" spans="1:4" x14ac:dyDescent="0.25">
      <c r="A24" s="62">
        <v>46038</v>
      </c>
      <c r="B24" s="63">
        <v>181</v>
      </c>
      <c r="C24" s="4" t="s">
        <v>200</v>
      </c>
    </row>
    <row r="25" spans="1:4" x14ac:dyDescent="0.25">
      <c r="A25" s="62">
        <v>46039</v>
      </c>
      <c r="B25" s="63">
        <v>30</v>
      </c>
      <c r="C25" s="4" t="s">
        <v>195</v>
      </c>
    </row>
    <row r="26" spans="1:4" x14ac:dyDescent="0.25">
      <c r="A26" s="62">
        <v>46041</v>
      </c>
      <c r="B26" s="63">
        <v>8</v>
      </c>
      <c r="C26" s="4" t="s">
        <v>201</v>
      </c>
    </row>
    <row r="27" spans="1:4" x14ac:dyDescent="0.25">
      <c r="A27" s="62">
        <v>46045</v>
      </c>
      <c r="B27" s="63">
        <v>202.96</v>
      </c>
      <c r="C27" s="4" t="s">
        <v>202</v>
      </c>
    </row>
    <row r="28" spans="1:4" x14ac:dyDescent="0.25">
      <c r="A28" s="62">
        <v>46048</v>
      </c>
      <c r="B28" s="63">
        <v>51.46</v>
      </c>
      <c r="C28" s="4" t="s">
        <v>203</v>
      </c>
    </row>
    <row r="29" spans="1:4" x14ac:dyDescent="0.25">
      <c r="A29" s="62">
        <v>46048</v>
      </c>
      <c r="B29" s="63">
        <v>205.73</v>
      </c>
      <c r="C29" s="4" t="s">
        <v>204</v>
      </c>
    </row>
    <row r="30" spans="1:4" x14ac:dyDescent="0.25">
      <c r="A30" s="62">
        <v>46050</v>
      </c>
      <c r="B30" s="63">
        <v>120.41</v>
      </c>
      <c r="C30" s="4" t="s">
        <v>191</v>
      </c>
    </row>
    <row r="31" spans="1:4" x14ac:dyDescent="0.25">
      <c r="A31" s="62"/>
      <c r="B31" s="63"/>
      <c r="C31" s="4"/>
    </row>
    <row r="32" spans="1:4" x14ac:dyDescent="0.25">
      <c r="A32" s="62">
        <v>46052</v>
      </c>
      <c r="B32" s="63">
        <v>48.76</v>
      </c>
      <c r="C32" s="4" t="s">
        <v>205</v>
      </c>
      <c r="D32" s="21" t="s">
        <v>206</v>
      </c>
    </row>
    <row r="33" spans="1:3" x14ac:dyDescent="0.25">
      <c r="A33" s="62">
        <v>46052</v>
      </c>
      <c r="B33" s="63">
        <v>91.53</v>
      </c>
      <c r="C33" s="4" t="s">
        <v>191</v>
      </c>
    </row>
    <row r="34" spans="1:3" x14ac:dyDescent="0.25">
      <c r="A34" s="62">
        <v>46055</v>
      </c>
      <c r="B34" s="63">
        <v>328.49</v>
      </c>
      <c r="C34" s="4" t="s">
        <v>193</v>
      </c>
    </row>
    <row r="35" spans="1:3" x14ac:dyDescent="0.25">
      <c r="A35" s="62">
        <v>46058</v>
      </c>
      <c r="B35" s="63"/>
      <c r="C35" s="66" t="s">
        <v>207</v>
      </c>
    </row>
    <row r="36" spans="1:3" x14ac:dyDescent="0.25">
      <c r="A36" s="62">
        <v>46058</v>
      </c>
      <c r="B36" s="63">
        <v>90.65</v>
      </c>
      <c r="C36" s="4" t="s">
        <v>208</v>
      </c>
    </row>
    <row r="37" spans="1:3" x14ac:dyDescent="0.25">
      <c r="A37" s="62">
        <v>46058</v>
      </c>
      <c r="B37" s="63">
        <v>12.98</v>
      </c>
      <c r="C37" s="4" t="s">
        <v>209</v>
      </c>
    </row>
    <row r="38" spans="1:3" x14ac:dyDescent="0.25">
      <c r="A38" s="62">
        <v>46059</v>
      </c>
      <c r="B38" s="63">
        <v>184.42</v>
      </c>
      <c r="C38" s="4" t="s">
        <v>210</v>
      </c>
    </row>
    <row r="39" spans="1:3" x14ac:dyDescent="0.25">
      <c r="A39" s="62">
        <v>46062</v>
      </c>
      <c r="B39" s="63">
        <v>76.5</v>
      </c>
      <c r="C39" s="4" t="s">
        <v>211</v>
      </c>
    </row>
    <row r="40" spans="1:3" x14ac:dyDescent="0.25">
      <c r="A40" s="62">
        <v>46063</v>
      </c>
      <c r="B40" s="63">
        <v>229.81</v>
      </c>
      <c r="C40" s="4" t="s">
        <v>193</v>
      </c>
    </row>
    <row r="41" spans="1:3" x14ac:dyDescent="0.25">
      <c r="A41" s="62">
        <v>46064</v>
      </c>
      <c r="B41" s="63">
        <v>54.9</v>
      </c>
      <c r="C41" s="4" t="s">
        <v>212</v>
      </c>
    </row>
    <row r="42" spans="1:3" x14ac:dyDescent="0.25">
      <c r="A42" s="62">
        <v>46064</v>
      </c>
      <c r="B42" s="63">
        <v>47</v>
      </c>
      <c r="C42" s="4" t="s">
        <v>213</v>
      </c>
    </row>
    <row r="43" spans="1:3" x14ac:dyDescent="0.25">
      <c r="A43" s="62">
        <v>46065</v>
      </c>
      <c r="B43" s="63">
        <v>30</v>
      </c>
      <c r="C43" s="4" t="s">
        <v>214</v>
      </c>
    </row>
    <row r="44" spans="1:3" x14ac:dyDescent="0.25">
      <c r="A44" s="62">
        <v>46065</v>
      </c>
      <c r="B44" s="63">
        <v>58.6</v>
      </c>
      <c r="C44" s="4" t="s">
        <v>215</v>
      </c>
    </row>
    <row r="45" spans="1:3" x14ac:dyDescent="0.25">
      <c r="A45" s="62">
        <v>46065</v>
      </c>
      <c r="B45" s="63">
        <v>44</v>
      </c>
      <c r="C45" s="4" t="s">
        <v>216</v>
      </c>
    </row>
    <row r="46" spans="1:3" x14ac:dyDescent="0.25">
      <c r="A46" s="62">
        <v>46069</v>
      </c>
      <c r="B46" s="63">
        <v>285.75</v>
      </c>
      <c r="C46" s="4" t="s">
        <v>217</v>
      </c>
    </row>
    <row r="47" spans="1:3" x14ac:dyDescent="0.25">
      <c r="A47" s="64">
        <v>46069</v>
      </c>
      <c r="B47" s="63"/>
      <c r="C47" s="4" t="s">
        <v>213</v>
      </c>
    </row>
    <row r="48" spans="1:3" x14ac:dyDescent="0.25">
      <c r="A48" s="64">
        <v>46069</v>
      </c>
      <c r="B48" s="63">
        <v>171.16</v>
      </c>
      <c r="C48" s="4" t="s">
        <v>11</v>
      </c>
    </row>
    <row r="49" spans="1:6" x14ac:dyDescent="0.25">
      <c r="A49" s="67">
        <v>46073</v>
      </c>
      <c r="B49" s="63">
        <v>45.9</v>
      </c>
      <c r="C49" s="4" t="s">
        <v>218</v>
      </c>
    </row>
    <row r="50" spans="1:6" x14ac:dyDescent="0.25">
      <c r="A50" s="64">
        <v>46073</v>
      </c>
      <c r="B50" s="63">
        <v>60.23</v>
      </c>
      <c r="C50" s="4" t="s">
        <v>219</v>
      </c>
    </row>
    <row r="51" spans="1:6" x14ac:dyDescent="0.25">
      <c r="A51" s="64">
        <v>46074</v>
      </c>
      <c r="B51" s="63">
        <v>29.9</v>
      </c>
      <c r="C51" s="4" t="s">
        <v>220</v>
      </c>
      <c r="F51" s="21"/>
    </row>
    <row r="52" spans="1:6" x14ac:dyDescent="0.25">
      <c r="A52" s="64">
        <v>46075</v>
      </c>
      <c r="B52" s="63">
        <v>219.45</v>
      </c>
      <c r="C52" s="4" t="s">
        <v>221</v>
      </c>
    </row>
    <row r="53" spans="1:6" x14ac:dyDescent="0.25">
      <c r="A53" s="64">
        <v>46076</v>
      </c>
      <c r="B53" s="63">
        <v>329.42</v>
      </c>
      <c r="C53" s="4" t="s">
        <v>222</v>
      </c>
    </row>
    <row r="54" spans="1:6" x14ac:dyDescent="0.25">
      <c r="A54" s="64">
        <v>46076</v>
      </c>
      <c r="B54" s="63">
        <v>166.5</v>
      </c>
      <c r="C54" s="4" t="s">
        <v>223</v>
      </c>
    </row>
    <row r="55" spans="1:6" x14ac:dyDescent="0.25">
      <c r="A55" s="64">
        <v>46079</v>
      </c>
      <c r="B55" s="63">
        <v>201.84</v>
      </c>
      <c r="C55" s="4" t="s">
        <v>193</v>
      </c>
    </row>
    <row r="56" spans="1:6" x14ac:dyDescent="0.25">
      <c r="A56" s="64">
        <v>46079</v>
      </c>
      <c r="B56" s="63">
        <v>81.86</v>
      </c>
      <c r="C56" s="4" t="s">
        <v>224</v>
      </c>
    </row>
    <row r="57" spans="1:6" x14ac:dyDescent="0.25">
      <c r="A57" s="64">
        <v>46086</v>
      </c>
      <c r="B57" s="63">
        <v>115.03</v>
      </c>
      <c r="C57" s="4" t="s">
        <v>193</v>
      </c>
    </row>
    <row r="58" spans="1:6" x14ac:dyDescent="0.25">
      <c r="A58" s="64">
        <v>46086</v>
      </c>
      <c r="B58" s="63">
        <v>41.76</v>
      </c>
      <c r="C58" s="4" t="s">
        <v>225</v>
      </c>
    </row>
    <row r="59" spans="1:6" x14ac:dyDescent="0.25">
      <c r="A59" s="64">
        <v>46090</v>
      </c>
      <c r="B59" s="63">
        <v>138.25</v>
      </c>
      <c r="C59" s="4" t="s">
        <v>191</v>
      </c>
    </row>
    <row r="60" spans="1:6" x14ac:dyDescent="0.25">
      <c r="A60" s="64">
        <v>46090</v>
      </c>
      <c r="B60" s="63">
        <v>116.33</v>
      </c>
      <c r="C60" s="4" t="s">
        <v>226</v>
      </c>
    </row>
    <row r="61" spans="1:6" x14ac:dyDescent="0.25">
      <c r="A61" s="64">
        <v>46097</v>
      </c>
      <c r="B61" s="63">
        <v>100.95</v>
      </c>
      <c r="C61" s="4" t="s">
        <v>191</v>
      </c>
    </row>
    <row r="62" spans="1:6" x14ac:dyDescent="0.25">
      <c r="A62" s="64">
        <v>46098</v>
      </c>
      <c r="B62" s="63">
        <v>16.899999999999999</v>
      </c>
      <c r="C62" s="4" t="s">
        <v>227</v>
      </c>
    </row>
    <row r="63" spans="1:6" x14ac:dyDescent="0.25">
      <c r="A63" s="64">
        <v>46098</v>
      </c>
      <c r="B63" s="63">
        <v>85.65</v>
      </c>
      <c r="C63" s="4" t="s">
        <v>228</v>
      </c>
    </row>
    <row r="64" spans="1:6" x14ac:dyDescent="0.25">
      <c r="A64" s="64">
        <v>46098</v>
      </c>
      <c r="B64" s="63">
        <v>39.979999999999997</v>
      </c>
      <c r="C64" s="4" t="s">
        <v>229</v>
      </c>
    </row>
    <row r="65" spans="1:4" x14ac:dyDescent="0.25">
      <c r="A65" s="64">
        <v>46098</v>
      </c>
      <c r="B65" s="63">
        <v>98.15</v>
      </c>
      <c r="C65" s="4" t="s">
        <v>230</v>
      </c>
    </row>
    <row r="66" spans="1:4" x14ac:dyDescent="0.25">
      <c r="A66" s="64">
        <v>46098</v>
      </c>
      <c r="B66" s="63">
        <v>16.5</v>
      </c>
      <c r="C66" s="4" t="s">
        <v>231</v>
      </c>
    </row>
    <row r="67" spans="1:4" x14ac:dyDescent="0.25">
      <c r="A67" s="64">
        <v>46100</v>
      </c>
      <c r="B67" s="63">
        <v>252.01</v>
      </c>
      <c r="C67" s="4" t="s">
        <v>191</v>
      </c>
    </row>
    <row r="68" spans="1:4" x14ac:dyDescent="0.25">
      <c r="A68" s="64">
        <v>46101</v>
      </c>
      <c r="B68" s="63">
        <v>75.86</v>
      </c>
      <c r="C68" s="4" t="s">
        <v>232</v>
      </c>
    </row>
    <row r="69" spans="1:4" x14ac:dyDescent="0.25">
      <c r="A69" s="64">
        <v>46105</v>
      </c>
      <c r="B69" s="63"/>
      <c r="C69" s="4" t="s">
        <v>233</v>
      </c>
      <c r="D69" s="21" t="s">
        <v>234</v>
      </c>
    </row>
    <row r="70" spans="1:4" x14ac:dyDescent="0.25">
      <c r="A70" s="64">
        <v>46107</v>
      </c>
      <c r="B70" s="63">
        <v>68.37</v>
      </c>
      <c r="C70" s="4" t="s">
        <v>235</v>
      </c>
    </row>
    <row r="71" spans="1:4" x14ac:dyDescent="0.25">
      <c r="A71" s="64">
        <v>46108</v>
      </c>
      <c r="B71" s="63"/>
      <c r="C71" s="4" t="s">
        <v>236</v>
      </c>
    </row>
    <row r="72" spans="1:4" x14ac:dyDescent="0.25">
      <c r="A72" s="64">
        <v>46109</v>
      </c>
      <c r="B72" s="63"/>
      <c r="C72" s="4" t="s">
        <v>237</v>
      </c>
    </row>
    <row r="73" spans="1:4" x14ac:dyDescent="0.25">
      <c r="A73" s="64">
        <v>46111</v>
      </c>
      <c r="B73" s="63">
        <v>145.56</v>
      </c>
      <c r="C73" s="4" t="s">
        <v>197</v>
      </c>
    </row>
    <row r="74" spans="1:4" x14ac:dyDescent="0.25">
      <c r="A74" s="64">
        <v>46111</v>
      </c>
      <c r="B74" s="63">
        <v>134.30000000000001</v>
      </c>
      <c r="C74" s="4" t="s">
        <v>191</v>
      </c>
    </row>
    <row r="75" spans="1:4" x14ac:dyDescent="0.25">
      <c r="A75" s="64">
        <v>46111</v>
      </c>
      <c r="B75" s="63">
        <v>125.15</v>
      </c>
      <c r="C75" s="4" t="s">
        <v>191</v>
      </c>
    </row>
    <row r="76" spans="1:4" x14ac:dyDescent="0.25">
      <c r="A76" s="64">
        <v>46118</v>
      </c>
      <c r="B76" s="63">
        <v>126.72</v>
      </c>
      <c r="C76" s="4" t="s">
        <v>238</v>
      </c>
    </row>
    <row r="77" spans="1:4" x14ac:dyDescent="0.25">
      <c r="A77" s="64">
        <v>46119</v>
      </c>
      <c r="B77" s="63">
        <v>172.75</v>
      </c>
      <c r="C77" s="4" t="s">
        <v>239</v>
      </c>
    </row>
    <row r="78" spans="1:4" x14ac:dyDescent="0.25">
      <c r="A78" s="64">
        <v>46121</v>
      </c>
      <c r="B78" s="63">
        <v>50</v>
      </c>
      <c r="C78" s="4" t="s">
        <v>240</v>
      </c>
    </row>
    <row r="79" spans="1:4" x14ac:dyDescent="0.25">
      <c r="A79" s="64">
        <v>46121</v>
      </c>
      <c r="B79" s="63">
        <v>31.96</v>
      </c>
      <c r="C79" s="4" t="s">
        <v>241</v>
      </c>
    </row>
    <row r="80" spans="1:4" x14ac:dyDescent="0.25">
      <c r="A80" s="64">
        <v>46121</v>
      </c>
      <c r="B80" s="63">
        <v>7.02</v>
      </c>
      <c r="C80" s="4" t="s">
        <v>241</v>
      </c>
    </row>
    <row r="81" spans="1:3" x14ac:dyDescent="0.25">
      <c r="A81" s="64">
        <v>46125</v>
      </c>
      <c r="B81" s="63">
        <v>126.99</v>
      </c>
      <c r="C81" s="4" t="s">
        <v>242</v>
      </c>
    </row>
    <row r="82" spans="1:3" x14ac:dyDescent="0.25">
      <c r="A82" s="64">
        <v>46125</v>
      </c>
      <c r="B82" s="63">
        <v>419.74</v>
      </c>
      <c r="C82" s="4" t="s">
        <v>191</v>
      </c>
    </row>
    <row r="83" spans="1:3" x14ac:dyDescent="0.25">
      <c r="A83" s="64">
        <v>46127</v>
      </c>
      <c r="B83" s="63"/>
      <c r="C83" s="4" t="s">
        <v>243</v>
      </c>
    </row>
    <row r="84" spans="1:3" x14ac:dyDescent="0.25">
      <c r="A84" s="64">
        <v>46128</v>
      </c>
      <c r="B84" s="63">
        <v>49.96</v>
      </c>
      <c r="C84" s="4" t="s">
        <v>244</v>
      </c>
    </row>
    <row r="85" spans="1:3" x14ac:dyDescent="0.25">
      <c r="A85" s="64">
        <v>46133</v>
      </c>
      <c r="B85" s="63">
        <v>293.39999999999998</v>
      </c>
      <c r="C85" s="4" t="s">
        <v>11</v>
      </c>
    </row>
    <row r="86" spans="1:3" x14ac:dyDescent="0.25">
      <c r="A86" s="64">
        <v>46134</v>
      </c>
      <c r="B86" s="63">
        <v>345.19</v>
      </c>
      <c r="C86" s="4" t="s">
        <v>193</v>
      </c>
    </row>
    <row r="87" spans="1:3" x14ac:dyDescent="0.25">
      <c r="A87" s="64">
        <v>46135</v>
      </c>
      <c r="B87" s="63">
        <v>55.8</v>
      </c>
      <c r="C87" s="4" t="s">
        <v>245</v>
      </c>
    </row>
    <row r="88" spans="1:3" x14ac:dyDescent="0.25">
      <c r="A88" s="64">
        <v>46135</v>
      </c>
      <c r="B88" s="63">
        <v>17</v>
      </c>
      <c r="C88" s="4" t="s">
        <v>246</v>
      </c>
    </row>
    <row r="89" spans="1:3" x14ac:dyDescent="0.25">
      <c r="A89" s="64">
        <v>46140</v>
      </c>
      <c r="B89" s="63">
        <v>20</v>
      </c>
      <c r="C89" s="4" t="s">
        <v>247</v>
      </c>
    </row>
    <row r="90" spans="1:3" x14ac:dyDescent="0.25">
      <c r="A90" s="64">
        <v>46140</v>
      </c>
      <c r="B90" s="63">
        <v>17.5</v>
      </c>
      <c r="C90" s="4" t="s">
        <v>248</v>
      </c>
    </row>
    <row r="91" spans="1:3" x14ac:dyDescent="0.25">
      <c r="A91" s="64">
        <v>46142</v>
      </c>
      <c r="B91" s="63">
        <v>55</v>
      </c>
      <c r="C91" s="4" t="s">
        <v>249</v>
      </c>
    </row>
    <row r="92" spans="1:3" x14ac:dyDescent="0.25">
      <c r="A92" s="64"/>
      <c r="B92" s="63" t="s">
        <v>77</v>
      </c>
      <c r="C92" s="4">
        <v>2026</v>
      </c>
    </row>
    <row r="93" spans="1:3" x14ac:dyDescent="0.25">
      <c r="A93" s="64">
        <v>46146</v>
      </c>
      <c r="B93" s="63">
        <v>96.9</v>
      </c>
      <c r="C93" s="4" t="s">
        <v>250</v>
      </c>
    </row>
    <row r="94" spans="1:3" x14ac:dyDescent="0.25">
      <c r="A94" s="64">
        <v>46146</v>
      </c>
      <c r="B94" s="63">
        <v>253.4</v>
      </c>
      <c r="C94" s="4" t="s">
        <v>251</v>
      </c>
    </row>
    <row r="95" spans="1:3" x14ac:dyDescent="0.25">
      <c r="A95" s="64">
        <v>46147</v>
      </c>
      <c r="B95" s="63">
        <v>338.75</v>
      </c>
      <c r="C95" s="4" t="s">
        <v>252</v>
      </c>
    </row>
    <row r="96" spans="1:3" x14ac:dyDescent="0.25">
      <c r="A96" s="64">
        <v>46147</v>
      </c>
      <c r="B96" s="63">
        <v>49.86</v>
      </c>
      <c r="C96" s="4" t="s">
        <v>253</v>
      </c>
    </row>
    <row r="97" spans="1:3" x14ac:dyDescent="0.25">
      <c r="A97" s="64">
        <v>46148</v>
      </c>
      <c r="B97" s="63">
        <v>24</v>
      </c>
      <c r="C97" s="4" t="s">
        <v>254</v>
      </c>
    </row>
    <row r="98" spans="1:3" x14ac:dyDescent="0.25">
      <c r="A98" s="64">
        <v>46150</v>
      </c>
      <c r="B98" s="63"/>
      <c r="C98" s="4" t="s">
        <v>255</v>
      </c>
    </row>
    <row r="99" spans="1:3" x14ac:dyDescent="0.25">
      <c r="A99" s="64">
        <v>46154</v>
      </c>
      <c r="B99" s="63">
        <v>260.77999999999997</v>
      </c>
      <c r="C99" s="4" t="s">
        <v>256</v>
      </c>
    </row>
    <row r="100" spans="1:3" x14ac:dyDescent="0.25">
      <c r="A100" s="64">
        <v>46155</v>
      </c>
      <c r="B100" s="63">
        <v>51.96</v>
      </c>
      <c r="C100" s="4" t="s">
        <v>257</v>
      </c>
    </row>
    <row r="101" spans="1:3" x14ac:dyDescent="0.25">
      <c r="A101" s="64">
        <v>46161</v>
      </c>
      <c r="B101" s="63">
        <v>83</v>
      </c>
      <c r="C101" s="4" t="s">
        <v>258</v>
      </c>
    </row>
    <row r="102" spans="1:3" x14ac:dyDescent="0.25">
      <c r="A102" s="64">
        <v>46162</v>
      </c>
      <c r="B102" s="63">
        <v>249.95</v>
      </c>
      <c r="C102" s="4" t="s">
        <v>256</v>
      </c>
    </row>
    <row r="103" spans="1:3" x14ac:dyDescent="0.25">
      <c r="A103" s="64">
        <v>46168</v>
      </c>
      <c r="B103" s="63">
        <v>17.5</v>
      </c>
      <c r="C103" s="4" t="s">
        <v>259</v>
      </c>
    </row>
    <row r="104" spans="1:3" x14ac:dyDescent="0.25">
      <c r="A104" s="64">
        <v>46172</v>
      </c>
      <c r="B104" s="63">
        <v>50</v>
      </c>
      <c r="C104" s="4" t="s">
        <v>260</v>
      </c>
    </row>
    <row r="105" spans="1:3" x14ac:dyDescent="0.25">
      <c r="A105" s="64"/>
      <c r="B105" s="63"/>
      <c r="C105" s="4" t="s">
        <v>201</v>
      </c>
    </row>
    <row r="106" spans="1:3" x14ac:dyDescent="0.25">
      <c r="A106" s="64">
        <v>46175</v>
      </c>
      <c r="B106" s="63">
        <v>10.35</v>
      </c>
      <c r="C106" s="4" t="s">
        <v>252</v>
      </c>
    </row>
    <row r="107" spans="1:3" x14ac:dyDescent="0.25">
      <c r="A107" s="64">
        <v>46176</v>
      </c>
      <c r="B107" s="63">
        <v>187.34</v>
      </c>
      <c r="C107" s="4" t="s">
        <v>191</v>
      </c>
    </row>
    <row r="108" spans="1:3" x14ac:dyDescent="0.25">
      <c r="A108" s="64">
        <v>46176</v>
      </c>
      <c r="B108" s="63">
        <v>2</v>
      </c>
      <c r="C108" s="4" t="s">
        <v>261</v>
      </c>
    </row>
    <row r="109" spans="1:3" x14ac:dyDescent="0.25">
      <c r="A109" s="64">
        <v>46178</v>
      </c>
      <c r="B109" s="63">
        <v>25</v>
      </c>
      <c r="C109" s="4" t="s">
        <v>262</v>
      </c>
    </row>
    <row r="110" spans="1:3" x14ac:dyDescent="0.25">
      <c r="A110" s="64">
        <v>46181</v>
      </c>
      <c r="B110" s="63">
        <v>88</v>
      </c>
      <c r="C110" s="4" t="s">
        <v>263</v>
      </c>
    </row>
    <row r="111" spans="1:3" x14ac:dyDescent="0.25">
      <c r="A111" s="64">
        <v>46181</v>
      </c>
      <c r="B111" s="63">
        <v>10.36</v>
      </c>
      <c r="C111" s="4" t="s">
        <v>264</v>
      </c>
    </row>
    <row r="112" spans="1:3" x14ac:dyDescent="0.25">
      <c r="A112" s="64">
        <v>46181</v>
      </c>
      <c r="B112" s="63">
        <v>13.8</v>
      </c>
      <c r="C112" s="4" t="s">
        <v>265</v>
      </c>
    </row>
    <row r="113" spans="1:4" x14ac:dyDescent="0.25">
      <c r="A113" s="64">
        <v>46182</v>
      </c>
      <c r="B113" s="63">
        <v>179.73</v>
      </c>
      <c r="C113" s="4" t="s">
        <v>191</v>
      </c>
    </row>
    <row r="114" spans="1:4" x14ac:dyDescent="0.25">
      <c r="A114" s="64">
        <v>46183</v>
      </c>
      <c r="B114" s="63">
        <v>25.9</v>
      </c>
      <c r="C114" s="4" t="s">
        <v>266</v>
      </c>
    </row>
    <row r="115" spans="1:4" x14ac:dyDescent="0.25">
      <c r="A115" s="64">
        <v>46184</v>
      </c>
      <c r="B115" s="63">
        <v>13</v>
      </c>
      <c r="C115" s="4" t="s">
        <v>267</v>
      </c>
      <c r="D115" s="21" t="s">
        <v>1218</v>
      </c>
    </row>
    <row r="116" spans="1:4" x14ac:dyDescent="0.25">
      <c r="A116" s="64">
        <v>46188</v>
      </c>
      <c r="B116" s="63">
        <v>122.78</v>
      </c>
      <c r="C116" s="4" t="s">
        <v>232</v>
      </c>
    </row>
    <row r="117" spans="1:4" x14ac:dyDescent="0.25">
      <c r="A117" s="64">
        <v>46198</v>
      </c>
      <c r="B117" s="63"/>
      <c r="C117" s="4" t="s">
        <v>268</v>
      </c>
    </row>
    <row r="118" spans="1:4" x14ac:dyDescent="0.25">
      <c r="A118" s="64">
        <v>46198</v>
      </c>
      <c r="B118" s="63">
        <v>30.66</v>
      </c>
      <c r="C118" s="4" t="s">
        <v>269</v>
      </c>
    </row>
    <row r="119" spans="1:4" x14ac:dyDescent="0.25">
      <c r="A119" s="64">
        <v>46198</v>
      </c>
      <c r="B119" s="63">
        <v>274.66000000000003</v>
      </c>
      <c r="C119" s="4" t="s">
        <v>270</v>
      </c>
    </row>
    <row r="120" spans="1:4" x14ac:dyDescent="0.25">
      <c r="A120" s="64">
        <v>46199</v>
      </c>
      <c r="B120" s="63">
        <v>103.3</v>
      </c>
      <c r="C120" s="4" t="s">
        <v>191</v>
      </c>
    </row>
    <row r="121" spans="1:4" x14ac:dyDescent="0.25">
      <c r="A121" s="64">
        <v>46202</v>
      </c>
      <c r="B121" s="63">
        <v>62.9</v>
      </c>
      <c r="C121" s="4" t="s">
        <v>271</v>
      </c>
    </row>
    <row r="122" spans="1:4" x14ac:dyDescent="0.25">
      <c r="A122" s="64">
        <v>46203</v>
      </c>
      <c r="B122" s="63">
        <v>99.26</v>
      </c>
      <c r="C122" s="4" t="s">
        <v>252</v>
      </c>
    </row>
    <row r="123" spans="1:4" x14ac:dyDescent="0.25">
      <c r="A123" s="64">
        <v>46204</v>
      </c>
      <c r="B123" s="63">
        <v>215.11</v>
      </c>
      <c r="C123" s="4" t="s">
        <v>193</v>
      </c>
      <c r="D123" s="21" t="s">
        <v>79</v>
      </c>
    </row>
    <row r="124" spans="1:4" x14ac:dyDescent="0.25">
      <c r="A124" s="64">
        <v>46204</v>
      </c>
      <c r="B124" s="63">
        <v>3.29</v>
      </c>
      <c r="C124" s="4" t="s">
        <v>191</v>
      </c>
    </row>
    <row r="125" spans="1:4" x14ac:dyDescent="0.25">
      <c r="A125" s="64">
        <v>46204</v>
      </c>
      <c r="B125" s="63">
        <v>51.7</v>
      </c>
      <c r="C125" s="4" t="s">
        <v>190</v>
      </c>
    </row>
    <row r="126" spans="1:4" x14ac:dyDescent="0.25">
      <c r="A126" s="64">
        <v>46206</v>
      </c>
      <c r="B126" s="63">
        <v>49.03</v>
      </c>
      <c r="C126" s="4" t="s">
        <v>272</v>
      </c>
      <c r="D126" s="21" t="s">
        <v>1219</v>
      </c>
    </row>
    <row r="127" spans="1:4" x14ac:dyDescent="0.25">
      <c r="A127" s="64">
        <v>46207</v>
      </c>
      <c r="B127" s="63">
        <v>100.23</v>
      </c>
      <c r="C127" s="4" t="s">
        <v>273</v>
      </c>
    </row>
    <row r="128" spans="1:4" x14ac:dyDescent="0.25">
      <c r="A128" s="64">
        <v>46210</v>
      </c>
      <c r="B128" s="63">
        <v>73.75</v>
      </c>
      <c r="C128" s="4" t="s">
        <v>191</v>
      </c>
    </row>
    <row r="129" spans="1:3" x14ac:dyDescent="0.25">
      <c r="A129" s="64">
        <v>46211</v>
      </c>
      <c r="B129" s="63">
        <v>376.3</v>
      </c>
      <c r="C129" s="4" t="s">
        <v>197</v>
      </c>
    </row>
    <row r="130" spans="1:3" x14ac:dyDescent="0.25">
      <c r="A130" s="64">
        <v>46214</v>
      </c>
      <c r="B130" s="63">
        <v>23.05</v>
      </c>
      <c r="C130" s="4" t="s">
        <v>1220</v>
      </c>
    </row>
    <row r="131" spans="1:3" x14ac:dyDescent="0.25">
      <c r="A131" s="64">
        <v>46216</v>
      </c>
      <c r="B131" s="63">
        <v>239.26</v>
      </c>
      <c r="C131" s="4" t="s">
        <v>1221</v>
      </c>
    </row>
    <row r="132" spans="1:3" x14ac:dyDescent="0.25">
      <c r="A132" s="64">
        <v>46216</v>
      </c>
      <c r="B132" s="63">
        <v>170.42</v>
      </c>
      <c r="C132" s="4" t="s">
        <v>1222</v>
      </c>
    </row>
    <row r="133" spans="1:3" x14ac:dyDescent="0.25">
      <c r="A133" s="64">
        <v>46218</v>
      </c>
      <c r="B133" s="63">
        <v>237.81</v>
      </c>
      <c r="C133" s="4" t="s">
        <v>1235</v>
      </c>
    </row>
    <row r="134" spans="1:3" x14ac:dyDescent="0.25">
      <c r="A134" s="64">
        <v>46219</v>
      </c>
      <c r="B134" s="63">
        <v>11.9</v>
      </c>
      <c r="C134" s="4" t="s">
        <v>1236</v>
      </c>
    </row>
    <row r="135" spans="1:3" x14ac:dyDescent="0.25">
      <c r="A135" s="5" t="s">
        <v>1237</v>
      </c>
      <c r="B135" s="63"/>
      <c r="C135" s="4" t="s">
        <v>1238</v>
      </c>
    </row>
    <row r="136" spans="1:3" x14ac:dyDescent="0.25">
      <c r="A136" s="64">
        <v>46224</v>
      </c>
      <c r="B136" s="63">
        <v>143.5</v>
      </c>
      <c r="C136" s="4" t="s">
        <v>1239</v>
      </c>
    </row>
    <row r="137" spans="1:3" x14ac:dyDescent="0.25">
      <c r="A137" s="64">
        <v>46225</v>
      </c>
      <c r="B137" s="63"/>
      <c r="C137" s="4" t="s">
        <v>1240</v>
      </c>
    </row>
    <row r="138" spans="1:3" x14ac:dyDescent="0.25">
      <c r="A138" s="64"/>
      <c r="B138" s="63"/>
      <c r="C138" s="4"/>
    </row>
    <row r="139" spans="1:3" x14ac:dyDescent="0.25">
      <c r="A139" s="64"/>
      <c r="B139" s="63"/>
      <c r="C139" s="4"/>
    </row>
    <row r="140" spans="1:3" x14ac:dyDescent="0.25">
      <c r="A140" s="64"/>
      <c r="B140" s="63"/>
      <c r="C140" s="4"/>
    </row>
    <row r="141" spans="1:3" x14ac:dyDescent="0.25">
      <c r="A141" s="64"/>
      <c r="B141" s="63"/>
      <c r="C141" s="4"/>
    </row>
    <row r="142" spans="1:3" x14ac:dyDescent="0.25">
      <c r="A142" s="64"/>
      <c r="B142" s="63"/>
      <c r="C142" s="4"/>
    </row>
    <row r="143" spans="1:3" x14ac:dyDescent="0.25">
      <c r="A143" s="64"/>
      <c r="B143" s="63"/>
      <c r="C143" s="4"/>
    </row>
    <row r="144" spans="1:3" x14ac:dyDescent="0.25">
      <c r="A144" s="64"/>
      <c r="B144" s="63"/>
      <c r="C144" s="4"/>
    </row>
    <row r="145" spans="1:3" x14ac:dyDescent="0.25">
      <c r="A145" s="64"/>
      <c r="B145" s="63"/>
      <c r="C145" s="4"/>
    </row>
    <row r="146" spans="1:3" x14ac:dyDescent="0.25">
      <c r="A146" s="64"/>
      <c r="B146" s="63"/>
      <c r="C146" s="4"/>
    </row>
    <row r="147" spans="1:3" x14ac:dyDescent="0.25">
      <c r="A147" s="64"/>
      <c r="B147" s="63"/>
      <c r="C147" s="4"/>
    </row>
    <row r="148" spans="1:3" x14ac:dyDescent="0.25">
      <c r="A148" s="64"/>
      <c r="B148" s="63"/>
      <c r="C148" s="4"/>
    </row>
    <row r="149" spans="1:3" x14ac:dyDescent="0.25">
      <c r="A149" s="64"/>
      <c r="B149" s="63"/>
      <c r="C149" s="4"/>
    </row>
    <row r="150" spans="1:3" x14ac:dyDescent="0.25">
      <c r="A150" s="64"/>
      <c r="B150" s="63"/>
      <c r="C150" s="4"/>
    </row>
    <row r="151" spans="1:3" x14ac:dyDescent="0.25">
      <c r="A151" s="64"/>
      <c r="B151" s="63"/>
      <c r="C151" s="4"/>
    </row>
    <row r="152" spans="1:3" x14ac:dyDescent="0.25">
      <c r="A152" s="64"/>
      <c r="B152" s="63"/>
      <c r="C152" s="4"/>
    </row>
    <row r="153" spans="1:3" x14ac:dyDescent="0.25">
      <c r="A153" s="64"/>
      <c r="B153" s="63"/>
      <c r="C153" s="4"/>
    </row>
    <row r="154" spans="1:3" x14ac:dyDescent="0.25">
      <c r="A154" s="64"/>
      <c r="B154" s="63"/>
      <c r="C154" s="4"/>
    </row>
    <row r="155" spans="1:3" x14ac:dyDescent="0.25">
      <c r="A155" s="15"/>
    </row>
    <row r="156" spans="1:3" x14ac:dyDescent="0.25">
      <c r="A156" s="15"/>
    </row>
    <row r="157" spans="1:3" x14ac:dyDescent="0.25">
      <c r="A157" s="15"/>
    </row>
    <row r="158" spans="1:3" x14ac:dyDescent="0.25">
      <c r="A158" s="15"/>
    </row>
    <row r="159" spans="1:3" x14ac:dyDescent="0.25">
      <c r="A159" s="15"/>
    </row>
    <row r="160" spans="1:3" x14ac:dyDescent="0.25">
      <c r="A160" s="15"/>
    </row>
    <row r="161" spans="1:1" x14ac:dyDescent="0.25">
      <c r="A161" s="15"/>
    </row>
    <row r="162" spans="1:1" x14ac:dyDescent="0.25">
      <c r="A162" s="15"/>
    </row>
    <row r="163" spans="1:1" x14ac:dyDescent="0.25">
      <c r="A163" s="15"/>
    </row>
    <row r="164" spans="1:1" x14ac:dyDescent="0.25">
      <c r="A164" s="15"/>
    </row>
    <row r="165" spans="1:1" x14ac:dyDescent="0.25">
      <c r="A165" s="15"/>
    </row>
    <row r="166" spans="1:1" x14ac:dyDescent="0.25">
      <c r="A166" s="15"/>
    </row>
    <row r="167" spans="1:1" x14ac:dyDescent="0.25">
      <c r="A167" s="15"/>
    </row>
    <row r="168" spans="1:1" x14ac:dyDescent="0.25">
      <c r="A168" s="15"/>
    </row>
    <row r="169" spans="1:1" x14ac:dyDescent="0.25">
      <c r="A169" s="15"/>
    </row>
    <row r="170" spans="1:1" x14ac:dyDescent="0.25">
      <c r="A170" s="15"/>
    </row>
    <row r="171" spans="1:1" x14ac:dyDescent="0.25">
      <c r="A171" s="15"/>
    </row>
    <row r="172" spans="1:1" x14ac:dyDescent="0.25">
      <c r="A172" s="15"/>
    </row>
    <row r="173" spans="1:1" x14ac:dyDescent="0.25">
      <c r="A173" s="15"/>
    </row>
    <row r="174" spans="1:1" x14ac:dyDescent="0.25">
      <c r="A174" s="15"/>
    </row>
    <row r="175" spans="1:1" x14ac:dyDescent="0.25">
      <c r="A175" s="15"/>
    </row>
    <row r="176" spans="1:1" x14ac:dyDescent="0.25">
      <c r="A176" s="15"/>
    </row>
    <row r="177" spans="1:1" x14ac:dyDescent="0.25">
      <c r="A177" s="15"/>
    </row>
    <row r="178" spans="1:1" x14ac:dyDescent="0.25">
      <c r="A178" s="15"/>
    </row>
    <row r="179" spans="1:1" x14ac:dyDescent="0.25">
      <c r="A179" s="15"/>
    </row>
    <row r="180" spans="1:1" x14ac:dyDescent="0.25">
      <c r="A180" s="15"/>
    </row>
    <row r="181" spans="1:1" x14ac:dyDescent="0.25">
      <c r="A181" s="15"/>
    </row>
    <row r="182" spans="1:1" x14ac:dyDescent="0.25">
      <c r="A182" s="15"/>
    </row>
    <row r="183" spans="1:1" x14ac:dyDescent="0.25">
      <c r="A183" s="15"/>
    </row>
    <row r="184" spans="1:1" x14ac:dyDescent="0.25">
      <c r="A184" s="15"/>
    </row>
    <row r="185" spans="1:1" x14ac:dyDescent="0.25">
      <c r="A185" s="15"/>
    </row>
    <row r="186" spans="1:1" x14ac:dyDescent="0.25">
      <c r="A186" s="15"/>
    </row>
    <row r="187" spans="1:1" x14ac:dyDescent="0.25">
      <c r="A187" s="15"/>
    </row>
    <row r="188" spans="1:1" x14ac:dyDescent="0.25">
      <c r="A188" s="15"/>
    </row>
    <row r="189" spans="1:1" x14ac:dyDescent="0.25">
      <c r="A189" s="15"/>
    </row>
    <row r="190" spans="1:1" x14ac:dyDescent="0.25">
      <c r="A190" s="15"/>
    </row>
    <row r="191" spans="1:1" x14ac:dyDescent="0.25">
      <c r="A191" s="15"/>
    </row>
    <row r="192" spans="1:1" x14ac:dyDescent="0.25">
      <c r="A192" s="15"/>
    </row>
    <row r="193" spans="1:1" x14ac:dyDescent="0.25">
      <c r="A193" s="15"/>
    </row>
    <row r="194" spans="1:1" x14ac:dyDescent="0.25">
      <c r="A194" s="15"/>
    </row>
    <row r="195" spans="1:1" x14ac:dyDescent="0.25">
      <c r="A195" s="15"/>
    </row>
    <row r="196" spans="1:1" x14ac:dyDescent="0.25">
      <c r="A196" s="15"/>
    </row>
    <row r="197" spans="1:1" x14ac:dyDescent="0.25">
      <c r="A197" s="15"/>
    </row>
    <row r="198" spans="1:1" x14ac:dyDescent="0.25">
      <c r="A198" s="15"/>
    </row>
    <row r="199" spans="1:1" x14ac:dyDescent="0.25">
      <c r="A199" s="15"/>
    </row>
    <row r="200" spans="1:1" x14ac:dyDescent="0.25">
      <c r="A200" s="15"/>
    </row>
    <row r="201" spans="1:1" x14ac:dyDescent="0.25">
      <c r="A201" s="15"/>
    </row>
    <row r="202" spans="1:1" x14ac:dyDescent="0.25">
      <c r="A202" s="15"/>
    </row>
    <row r="203" spans="1:1" x14ac:dyDescent="0.25">
      <c r="A203" s="15"/>
    </row>
    <row r="204" spans="1:1" x14ac:dyDescent="0.25">
      <c r="A204" s="15"/>
    </row>
    <row r="205" spans="1:1" x14ac:dyDescent="0.25">
      <c r="A205" s="15"/>
    </row>
    <row r="206" spans="1:1" x14ac:dyDescent="0.25">
      <c r="A206" s="15"/>
    </row>
    <row r="207" spans="1:1" x14ac:dyDescent="0.25">
      <c r="A207" s="15"/>
    </row>
    <row r="208" spans="1:1" x14ac:dyDescent="0.25">
      <c r="A208" s="15"/>
    </row>
    <row r="209" spans="1:1" x14ac:dyDescent="0.25">
      <c r="A209" s="15"/>
    </row>
    <row r="210" spans="1:1" x14ac:dyDescent="0.25">
      <c r="A210" s="15"/>
    </row>
    <row r="211" spans="1:1" x14ac:dyDescent="0.25">
      <c r="A211" s="15"/>
    </row>
    <row r="212" spans="1:1" x14ac:dyDescent="0.25">
      <c r="A212" s="15"/>
    </row>
    <row r="213" spans="1:1" x14ac:dyDescent="0.25">
      <c r="A213" s="15"/>
    </row>
    <row r="214" spans="1:1" x14ac:dyDescent="0.25">
      <c r="A214" s="15"/>
    </row>
    <row r="215" spans="1:1" x14ac:dyDescent="0.25">
      <c r="A215" s="15"/>
    </row>
    <row r="216" spans="1:1" x14ac:dyDescent="0.25">
      <c r="A216" s="15"/>
    </row>
    <row r="217" spans="1:1" x14ac:dyDescent="0.25">
      <c r="A217" s="15"/>
    </row>
    <row r="218" spans="1:1" x14ac:dyDescent="0.25">
      <c r="A218" s="15"/>
    </row>
    <row r="219" spans="1:1" x14ac:dyDescent="0.25">
      <c r="A219" s="15"/>
    </row>
    <row r="220" spans="1:1" x14ac:dyDescent="0.25">
      <c r="A220" s="15"/>
    </row>
    <row r="221" spans="1:1" x14ac:dyDescent="0.25">
      <c r="A221" s="15"/>
    </row>
    <row r="222" spans="1:1" x14ac:dyDescent="0.25">
      <c r="A222" s="15"/>
    </row>
    <row r="223" spans="1:1" x14ac:dyDescent="0.25">
      <c r="A223" s="15"/>
    </row>
    <row r="224" spans="1:1" x14ac:dyDescent="0.25">
      <c r="A224" s="15"/>
    </row>
    <row r="225" spans="1:1" x14ac:dyDescent="0.25">
      <c r="A225" s="15"/>
    </row>
    <row r="226" spans="1:1" x14ac:dyDescent="0.25">
      <c r="A226" s="15"/>
    </row>
    <row r="227" spans="1:1" x14ac:dyDescent="0.25">
      <c r="A227" s="15"/>
    </row>
    <row r="228" spans="1:1" x14ac:dyDescent="0.25">
      <c r="A228" s="15"/>
    </row>
    <row r="229" spans="1:1" x14ac:dyDescent="0.25">
      <c r="A229" s="15"/>
    </row>
    <row r="230" spans="1:1" x14ac:dyDescent="0.25">
      <c r="A230" s="15"/>
    </row>
    <row r="231" spans="1:1" x14ac:dyDescent="0.25">
      <c r="A231" s="15"/>
    </row>
    <row r="232" spans="1:1" x14ac:dyDescent="0.25">
      <c r="A232" s="15"/>
    </row>
    <row r="233" spans="1:1" x14ac:dyDescent="0.25">
      <c r="A233" s="15"/>
    </row>
    <row r="234" spans="1:1" x14ac:dyDescent="0.25">
      <c r="A234" s="15"/>
    </row>
    <row r="235" spans="1:1" x14ac:dyDescent="0.25">
      <c r="A235" s="15"/>
    </row>
    <row r="236" spans="1:1" x14ac:dyDescent="0.25">
      <c r="A236" s="15"/>
    </row>
    <row r="237" spans="1:1" x14ac:dyDescent="0.25">
      <c r="A237" s="15"/>
    </row>
    <row r="238" spans="1:1" x14ac:dyDescent="0.25">
      <c r="A238" s="15"/>
    </row>
    <row r="239" spans="1:1" x14ac:dyDescent="0.25">
      <c r="A239" s="15"/>
    </row>
    <row r="240" spans="1:1" x14ac:dyDescent="0.25">
      <c r="A240" s="15"/>
    </row>
    <row r="241" spans="1:1" x14ac:dyDescent="0.25">
      <c r="A241" s="15"/>
    </row>
    <row r="242" spans="1:1" x14ac:dyDescent="0.25">
      <c r="A242" s="15"/>
    </row>
    <row r="243" spans="1:1" x14ac:dyDescent="0.25">
      <c r="A243" s="15"/>
    </row>
    <row r="244" spans="1:1" x14ac:dyDescent="0.25">
      <c r="A244" s="15"/>
    </row>
    <row r="245" spans="1:1" x14ac:dyDescent="0.25">
      <c r="A245" s="15"/>
    </row>
    <row r="246" spans="1:1" x14ac:dyDescent="0.25">
      <c r="A246" s="15"/>
    </row>
    <row r="247" spans="1:1" x14ac:dyDescent="0.25">
      <c r="A247" s="15"/>
    </row>
    <row r="248" spans="1:1" x14ac:dyDescent="0.25">
      <c r="A248" s="15"/>
    </row>
    <row r="249" spans="1:1" x14ac:dyDescent="0.25">
      <c r="A249" s="15"/>
    </row>
    <row r="250" spans="1:1" x14ac:dyDescent="0.25">
      <c r="A250" s="15"/>
    </row>
    <row r="251" spans="1:1" x14ac:dyDescent="0.25">
      <c r="A251" s="15"/>
    </row>
    <row r="252" spans="1:1" x14ac:dyDescent="0.25">
      <c r="A252" s="15"/>
    </row>
    <row r="253" spans="1:1" x14ac:dyDescent="0.25">
      <c r="A253" s="15"/>
    </row>
    <row r="254" spans="1:1" x14ac:dyDescent="0.25">
      <c r="A254" s="15"/>
    </row>
    <row r="255" spans="1:1" x14ac:dyDescent="0.25">
      <c r="A255" s="15"/>
    </row>
    <row r="256" spans="1:1" x14ac:dyDescent="0.25">
      <c r="A256" s="15"/>
    </row>
    <row r="257" spans="1:1" x14ac:dyDescent="0.25">
      <c r="A257" s="15"/>
    </row>
    <row r="258" spans="1:1" x14ac:dyDescent="0.25">
      <c r="A258" s="15"/>
    </row>
    <row r="259" spans="1:1" x14ac:dyDescent="0.25">
      <c r="A259" s="15"/>
    </row>
    <row r="260" spans="1:1" x14ac:dyDescent="0.25">
      <c r="A260" s="15"/>
    </row>
    <row r="261" spans="1:1" x14ac:dyDescent="0.25">
      <c r="A261" s="15"/>
    </row>
    <row r="262" spans="1:1" x14ac:dyDescent="0.25">
      <c r="A262" s="15"/>
    </row>
    <row r="263" spans="1:1" x14ac:dyDescent="0.25">
      <c r="A263" s="15"/>
    </row>
    <row r="264" spans="1:1" x14ac:dyDescent="0.25">
      <c r="A264" s="15"/>
    </row>
    <row r="265" spans="1:1" x14ac:dyDescent="0.25">
      <c r="A265" s="15"/>
    </row>
    <row r="266" spans="1:1" x14ac:dyDescent="0.25">
      <c r="A266" s="15"/>
    </row>
    <row r="267" spans="1:1" x14ac:dyDescent="0.25">
      <c r="A267" s="15"/>
    </row>
    <row r="268" spans="1:1" x14ac:dyDescent="0.25">
      <c r="A268" s="15"/>
    </row>
    <row r="269" spans="1:1" x14ac:dyDescent="0.25">
      <c r="A269" s="15"/>
    </row>
    <row r="270" spans="1:1" x14ac:dyDescent="0.25">
      <c r="A270" s="15"/>
    </row>
    <row r="271" spans="1:1" x14ac:dyDescent="0.25">
      <c r="A271" s="15"/>
    </row>
    <row r="272" spans="1:1" x14ac:dyDescent="0.25">
      <c r="A272" s="15"/>
    </row>
    <row r="273" spans="1:1" x14ac:dyDescent="0.25">
      <c r="A273" s="15"/>
    </row>
    <row r="274" spans="1:1" x14ac:dyDescent="0.25">
      <c r="A274" s="15"/>
    </row>
    <row r="275" spans="1:1" x14ac:dyDescent="0.25">
      <c r="A275" s="15"/>
    </row>
    <row r="276" spans="1:1" x14ac:dyDescent="0.25">
      <c r="A276" s="15"/>
    </row>
    <row r="277" spans="1:1" x14ac:dyDescent="0.25">
      <c r="A277" s="15"/>
    </row>
    <row r="278" spans="1:1" x14ac:dyDescent="0.25">
      <c r="A278" s="15"/>
    </row>
    <row r="279" spans="1:1" x14ac:dyDescent="0.25">
      <c r="A279" s="15"/>
    </row>
    <row r="280" spans="1:1" x14ac:dyDescent="0.25">
      <c r="A280" s="15"/>
    </row>
    <row r="281" spans="1:1" x14ac:dyDescent="0.25">
      <c r="A281" s="15"/>
    </row>
    <row r="282" spans="1:1" x14ac:dyDescent="0.25">
      <c r="A282" s="15"/>
    </row>
    <row r="283" spans="1:1" x14ac:dyDescent="0.25">
      <c r="A283" s="15"/>
    </row>
    <row r="284" spans="1:1" x14ac:dyDescent="0.25">
      <c r="A284" s="15"/>
    </row>
    <row r="285" spans="1:1" x14ac:dyDescent="0.25">
      <c r="A285" s="15"/>
    </row>
    <row r="286" spans="1:1" x14ac:dyDescent="0.25">
      <c r="A286" s="15"/>
    </row>
    <row r="287" spans="1:1" x14ac:dyDescent="0.25">
      <c r="A287" s="15"/>
    </row>
    <row r="288" spans="1:1" x14ac:dyDescent="0.25">
      <c r="A288" s="15"/>
    </row>
    <row r="289" spans="1:1" x14ac:dyDescent="0.25">
      <c r="A289" s="15"/>
    </row>
    <row r="290" spans="1:1" x14ac:dyDescent="0.25">
      <c r="A290" s="15"/>
    </row>
    <row r="291" spans="1:1" x14ac:dyDescent="0.25">
      <c r="A291" s="15"/>
    </row>
    <row r="292" spans="1:1" x14ac:dyDescent="0.25">
      <c r="A292" s="15"/>
    </row>
    <row r="293" spans="1:1" x14ac:dyDescent="0.25">
      <c r="A293" s="15"/>
    </row>
    <row r="294" spans="1:1" x14ac:dyDescent="0.25">
      <c r="A294" s="15"/>
    </row>
    <row r="295" spans="1:1" x14ac:dyDescent="0.25">
      <c r="A295" s="15"/>
    </row>
    <row r="296" spans="1:1" x14ac:dyDescent="0.25">
      <c r="A296" s="15"/>
    </row>
    <row r="297" spans="1:1" x14ac:dyDescent="0.25">
      <c r="A297" s="15"/>
    </row>
    <row r="298" spans="1:1" x14ac:dyDescent="0.25">
      <c r="A298" s="15"/>
    </row>
    <row r="299" spans="1:1" x14ac:dyDescent="0.25">
      <c r="A299" s="15"/>
    </row>
    <row r="300" spans="1:1" x14ac:dyDescent="0.25">
      <c r="A300" s="15"/>
    </row>
    <row r="301" spans="1:1" x14ac:dyDescent="0.25">
      <c r="A301" s="15"/>
    </row>
    <row r="302" spans="1:1" x14ac:dyDescent="0.25">
      <c r="A302" s="15"/>
    </row>
    <row r="303" spans="1:1" x14ac:dyDescent="0.25">
      <c r="A303" s="15"/>
    </row>
    <row r="304" spans="1:1" x14ac:dyDescent="0.25">
      <c r="A304" s="15"/>
    </row>
    <row r="305" spans="1:1" x14ac:dyDescent="0.25">
      <c r="A305" s="15"/>
    </row>
    <row r="306" spans="1:1" x14ac:dyDescent="0.25">
      <c r="A306" s="15"/>
    </row>
    <row r="307" spans="1:1" x14ac:dyDescent="0.25">
      <c r="A307" s="15"/>
    </row>
    <row r="308" spans="1:1" x14ac:dyDescent="0.25">
      <c r="A308" s="15"/>
    </row>
    <row r="309" spans="1:1" x14ac:dyDescent="0.25">
      <c r="A309" s="15"/>
    </row>
    <row r="310" spans="1:1" x14ac:dyDescent="0.25">
      <c r="A310" s="15"/>
    </row>
    <row r="311" spans="1:1" x14ac:dyDescent="0.25">
      <c r="A311" s="15"/>
    </row>
    <row r="312" spans="1:1" x14ac:dyDescent="0.25">
      <c r="A312" s="15"/>
    </row>
    <row r="313" spans="1:1" x14ac:dyDescent="0.25">
      <c r="A313" s="15"/>
    </row>
    <row r="314" spans="1:1" x14ac:dyDescent="0.25">
      <c r="A314" s="15"/>
    </row>
    <row r="315" spans="1:1" x14ac:dyDescent="0.25">
      <c r="A315" s="15"/>
    </row>
    <row r="316" spans="1:1" x14ac:dyDescent="0.25">
      <c r="A316" s="15"/>
    </row>
    <row r="317" spans="1:1" x14ac:dyDescent="0.25">
      <c r="A317" s="15"/>
    </row>
    <row r="318" spans="1:1" x14ac:dyDescent="0.25">
      <c r="A318" s="15"/>
    </row>
    <row r="319" spans="1:1" x14ac:dyDescent="0.25">
      <c r="A319" s="15"/>
    </row>
    <row r="320" spans="1:1" x14ac:dyDescent="0.25">
      <c r="A320" s="15"/>
    </row>
    <row r="321" spans="1:1" x14ac:dyDescent="0.25">
      <c r="A321" s="15"/>
    </row>
    <row r="322" spans="1:1" x14ac:dyDescent="0.25">
      <c r="A322" s="15"/>
    </row>
    <row r="323" spans="1:1" x14ac:dyDescent="0.25">
      <c r="A323" s="15"/>
    </row>
    <row r="324" spans="1:1" x14ac:dyDescent="0.25">
      <c r="A324" s="15"/>
    </row>
    <row r="325" spans="1:1" x14ac:dyDescent="0.25">
      <c r="A325" s="15"/>
    </row>
    <row r="326" spans="1:1" x14ac:dyDescent="0.25">
      <c r="A326" s="15"/>
    </row>
    <row r="327" spans="1:1" x14ac:dyDescent="0.25">
      <c r="A327" s="15"/>
    </row>
    <row r="328" spans="1:1" x14ac:dyDescent="0.25">
      <c r="A328" s="15"/>
    </row>
    <row r="329" spans="1:1" x14ac:dyDescent="0.25">
      <c r="A329" s="15"/>
    </row>
    <row r="330" spans="1:1" x14ac:dyDescent="0.25">
      <c r="A330" s="15"/>
    </row>
    <row r="331" spans="1:1" x14ac:dyDescent="0.25">
      <c r="A331" s="15"/>
    </row>
    <row r="332" spans="1:1" x14ac:dyDescent="0.25">
      <c r="A332" s="15"/>
    </row>
    <row r="333" spans="1:1" x14ac:dyDescent="0.25">
      <c r="A333" s="15"/>
    </row>
    <row r="334" spans="1:1" x14ac:dyDescent="0.25">
      <c r="A334" s="15"/>
    </row>
    <row r="335" spans="1:1" x14ac:dyDescent="0.25">
      <c r="A335" s="15"/>
    </row>
    <row r="336" spans="1:1" x14ac:dyDescent="0.25">
      <c r="A336" s="15"/>
    </row>
    <row r="337" spans="1:1" x14ac:dyDescent="0.25">
      <c r="A337" s="15"/>
    </row>
    <row r="338" spans="1:1" x14ac:dyDescent="0.25">
      <c r="A338" s="15"/>
    </row>
    <row r="339" spans="1:1" x14ac:dyDescent="0.25">
      <c r="A339" s="15"/>
    </row>
    <row r="340" spans="1:1" x14ac:dyDescent="0.25">
      <c r="A340" s="15"/>
    </row>
    <row r="341" spans="1:1" x14ac:dyDescent="0.25">
      <c r="A341" s="15"/>
    </row>
    <row r="342" spans="1:1" x14ac:dyDescent="0.25">
      <c r="A342" s="15"/>
    </row>
    <row r="343" spans="1:1" x14ac:dyDescent="0.25">
      <c r="A343" s="15"/>
    </row>
    <row r="344" spans="1:1" x14ac:dyDescent="0.25">
      <c r="A344" s="15"/>
    </row>
    <row r="345" spans="1:1" x14ac:dyDescent="0.25">
      <c r="A345" s="15"/>
    </row>
    <row r="346" spans="1:1" x14ac:dyDescent="0.25">
      <c r="A346" s="15"/>
    </row>
    <row r="347" spans="1:1" x14ac:dyDescent="0.25">
      <c r="A347" s="15"/>
    </row>
    <row r="348" spans="1:1" x14ac:dyDescent="0.25">
      <c r="A348" s="15"/>
    </row>
    <row r="349" spans="1:1" x14ac:dyDescent="0.25">
      <c r="A349" s="15"/>
    </row>
    <row r="350" spans="1:1" x14ac:dyDescent="0.25">
      <c r="A350" s="15"/>
    </row>
    <row r="351" spans="1:1" x14ac:dyDescent="0.25">
      <c r="A351" s="15"/>
    </row>
    <row r="352" spans="1:1" x14ac:dyDescent="0.25">
      <c r="A352" s="15"/>
    </row>
    <row r="353" spans="1:1" x14ac:dyDescent="0.25">
      <c r="A353" s="15"/>
    </row>
    <row r="354" spans="1:1" x14ac:dyDescent="0.25">
      <c r="A354" s="15"/>
    </row>
    <row r="355" spans="1:1" x14ac:dyDescent="0.25">
      <c r="A355" s="15"/>
    </row>
    <row r="356" spans="1:1" x14ac:dyDescent="0.25">
      <c r="A356" s="15"/>
    </row>
    <row r="357" spans="1:1" x14ac:dyDescent="0.25">
      <c r="A357" s="15"/>
    </row>
    <row r="358" spans="1:1" x14ac:dyDescent="0.25">
      <c r="A358" s="15"/>
    </row>
    <row r="359" spans="1:1" x14ac:dyDescent="0.25">
      <c r="A359" s="15"/>
    </row>
    <row r="360" spans="1:1" x14ac:dyDescent="0.25">
      <c r="A360" s="15"/>
    </row>
    <row r="361" spans="1:1" x14ac:dyDescent="0.25">
      <c r="A361" s="15"/>
    </row>
    <row r="362" spans="1:1" x14ac:dyDescent="0.25">
      <c r="A362" s="15"/>
    </row>
    <row r="363" spans="1:1" x14ac:dyDescent="0.25">
      <c r="A363" s="15"/>
    </row>
    <row r="364" spans="1:1" x14ac:dyDescent="0.25">
      <c r="A364" s="15"/>
    </row>
    <row r="365" spans="1:1" x14ac:dyDescent="0.25">
      <c r="A365" s="15"/>
    </row>
    <row r="366" spans="1:1" x14ac:dyDescent="0.25">
      <c r="A366" s="15"/>
    </row>
    <row r="367" spans="1:1" x14ac:dyDescent="0.25">
      <c r="A367" s="15"/>
    </row>
    <row r="368" spans="1:1" x14ac:dyDescent="0.25">
      <c r="A368" s="15"/>
    </row>
    <row r="369" spans="1:1" x14ac:dyDescent="0.25">
      <c r="A369" s="15"/>
    </row>
    <row r="370" spans="1:1" x14ac:dyDescent="0.25">
      <c r="A370" s="15"/>
    </row>
    <row r="371" spans="1:1" x14ac:dyDescent="0.25">
      <c r="A371" s="15"/>
    </row>
    <row r="372" spans="1:1" x14ac:dyDescent="0.25">
      <c r="A372" s="15"/>
    </row>
    <row r="373" spans="1:1" x14ac:dyDescent="0.25">
      <c r="A373" s="15"/>
    </row>
    <row r="374" spans="1:1" x14ac:dyDescent="0.25">
      <c r="A374" s="15"/>
    </row>
    <row r="375" spans="1:1" x14ac:dyDescent="0.25">
      <c r="A375" s="15"/>
    </row>
    <row r="376" spans="1:1" x14ac:dyDescent="0.25">
      <c r="A376" s="15"/>
    </row>
    <row r="377" spans="1:1" x14ac:dyDescent="0.25">
      <c r="A377" s="15"/>
    </row>
    <row r="378" spans="1:1" x14ac:dyDescent="0.25">
      <c r="A378" s="15"/>
    </row>
    <row r="379" spans="1:1" x14ac:dyDescent="0.25">
      <c r="A379" s="15"/>
    </row>
    <row r="380" spans="1:1" x14ac:dyDescent="0.25">
      <c r="A380" s="15"/>
    </row>
    <row r="381" spans="1:1" x14ac:dyDescent="0.25">
      <c r="A381" s="15"/>
    </row>
    <row r="382" spans="1:1" x14ac:dyDescent="0.25">
      <c r="A382" s="15"/>
    </row>
    <row r="383" spans="1:1" x14ac:dyDescent="0.25">
      <c r="A383" s="15"/>
    </row>
    <row r="384" spans="1:1" x14ac:dyDescent="0.25">
      <c r="A384" s="15"/>
    </row>
    <row r="385" spans="1:1" x14ac:dyDescent="0.25">
      <c r="A385" s="15"/>
    </row>
    <row r="386" spans="1:1" x14ac:dyDescent="0.25">
      <c r="A386" s="15"/>
    </row>
    <row r="387" spans="1:1" x14ac:dyDescent="0.25">
      <c r="A387" s="15"/>
    </row>
    <row r="388" spans="1:1" x14ac:dyDescent="0.25">
      <c r="A388" s="15"/>
    </row>
    <row r="389" spans="1:1" x14ac:dyDescent="0.25">
      <c r="A389" s="15"/>
    </row>
    <row r="390" spans="1:1" x14ac:dyDescent="0.25">
      <c r="A390" s="15"/>
    </row>
    <row r="391" spans="1:1" x14ac:dyDescent="0.25">
      <c r="A391" s="15"/>
    </row>
    <row r="392" spans="1:1" x14ac:dyDescent="0.25">
      <c r="A392" s="15"/>
    </row>
    <row r="393" spans="1:1" x14ac:dyDescent="0.25">
      <c r="A393" s="15"/>
    </row>
    <row r="394" spans="1:1" x14ac:dyDescent="0.25">
      <c r="A394" s="15"/>
    </row>
    <row r="395" spans="1:1" x14ac:dyDescent="0.25">
      <c r="A395" s="15"/>
    </row>
    <row r="396" spans="1:1" x14ac:dyDescent="0.25">
      <c r="A396" s="15"/>
    </row>
    <row r="397" spans="1:1" x14ac:dyDescent="0.25">
      <c r="A397" s="15"/>
    </row>
    <row r="398" spans="1:1" x14ac:dyDescent="0.25">
      <c r="A398" s="15"/>
    </row>
    <row r="399" spans="1:1" x14ac:dyDescent="0.25">
      <c r="A399" s="15"/>
    </row>
    <row r="400" spans="1:1" x14ac:dyDescent="0.25">
      <c r="A400" s="15"/>
    </row>
    <row r="401" spans="1:1" x14ac:dyDescent="0.25">
      <c r="A401" s="15"/>
    </row>
    <row r="402" spans="1:1" x14ac:dyDescent="0.25">
      <c r="A402" s="15"/>
    </row>
    <row r="403" spans="1:1" x14ac:dyDescent="0.25">
      <c r="A403" s="15"/>
    </row>
    <row r="404" spans="1:1" x14ac:dyDescent="0.25">
      <c r="A404" s="15"/>
    </row>
    <row r="405" spans="1:1" x14ac:dyDescent="0.25">
      <c r="A405" s="15"/>
    </row>
    <row r="406" spans="1:1" x14ac:dyDescent="0.25">
      <c r="A406" s="15"/>
    </row>
    <row r="407" spans="1:1" x14ac:dyDescent="0.25">
      <c r="A407" s="15"/>
    </row>
    <row r="408" spans="1:1" x14ac:dyDescent="0.25">
      <c r="A408" s="15"/>
    </row>
    <row r="409" spans="1:1" x14ac:dyDescent="0.25">
      <c r="A409" s="15"/>
    </row>
    <row r="410" spans="1:1" x14ac:dyDescent="0.25">
      <c r="A410" s="15"/>
    </row>
    <row r="411" spans="1:1" x14ac:dyDescent="0.25">
      <c r="A411" s="15"/>
    </row>
    <row r="412" spans="1:1" x14ac:dyDescent="0.25">
      <c r="A412" s="15"/>
    </row>
    <row r="413" spans="1:1" x14ac:dyDescent="0.25">
      <c r="A413" s="15"/>
    </row>
    <row r="414" spans="1:1" x14ac:dyDescent="0.25">
      <c r="A414" s="15"/>
    </row>
    <row r="415" spans="1:1" x14ac:dyDescent="0.25">
      <c r="A415" s="15"/>
    </row>
    <row r="416" spans="1:1" x14ac:dyDescent="0.25">
      <c r="A416" s="15"/>
    </row>
    <row r="417" spans="1:1" x14ac:dyDescent="0.25">
      <c r="A417" s="15"/>
    </row>
    <row r="418" spans="1:1" x14ac:dyDescent="0.25">
      <c r="A418" s="15"/>
    </row>
    <row r="419" spans="1:1" x14ac:dyDescent="0.25">
      <c r="A419" s="15"/>
    </row>
    <row r="420" spans="1:1" x14ac:dyDescent="0.25">
      <c r="A420" s="15"/>
    </row>
    <row r="421" spans="1:1" x14ac:dyDescent="0.25">
      <c r="A421" s="15"/>
    </row>
    <row r="422" spans="1:1" x14ac:dyDescent="0.25">
      <c r="A422" s="15"/>
    </row>
    <row r="423" spans="1:1" x14ac:dyDescent="0.25">
      <c r="A423" s="15"/>
    </row>
    <row r="424" spans="1:1" x14ac:dyDescent="0.25">
      <c r="A424" s="15"/>
    </row>
    <row r="425" spans="1:1" x14ac:dyDescent="0.25">
      <c r="A425" s="15"/>
    </row>
    <row r="426" spans="1:1" x14ac:dyDescent="0.25">
      <c r="A426" s="15"/>
    </row>
    <row r="427" spans="1:1" x14ac:dyDescent="0.25">
      <c r="A427" s="15"/>
    </row>
    <row r="428" spans="1:1" x14ac:dyDescent="0.25">
      <c r="A428" s="15"/>
    </row>
    <row r="429" spans="1:1" x14ac:dyDescent="0.25">
      <c r="A429" s="15"/>
    </row>
    <row r="430" spans="1:1" x14ac:dyDescent="0.25">
      <c r="A430" s="15"/>
    </row>
    <row r="431" spans="1:1" x14ac:dyDescent="0.25">
      <c r="A431" s="15"/>
    </row>
    <row r="432" spans="1:1" x14ac:dyDescent="0.25">
      <c r="A432" s="15"/>
    </row>
    <row r="433" spans="1:1" x14ac:dyDescent="0.25">
      <c r="A433" s="15"/>
    </row>
    <row r="434" spans="1:1" x14ac:dyDescent="0.25">
      <c r="A434" s="15"/>
    </row>
    <row r="435" spans="1:1" x14ac:dyDescent="0.25">
      <c r="A435" s="15"/>
    </row>
    <row r="436" spans="1:1" x14ac:dyDescent="0.25">
      <c r="A436" s="15"/>
    </row>
    <row r="437" spans="1:1" x14ac:dyDescent="0.25">
      <c r="A437" s="15"/>
    </row>
    <row r="438" spans="1:1" x14ac:dyDescent="0.25">
      <c r="A438" s="15"/>
    </row>
    <row r="439" spans="1:1" x14ac:dyDescent="0.25">
      <c r="A439" s="15"/>
    </row>
    <row r="440" spans="1:1" x14ac:dyDescent="0.25">
      <c r="A440" s="15"/>
    </row>
    <row r="441" spans="1:1" x14ac:dyDescent="0.25">
      <c r="A441" s="15"/>
    </row>
    <row r="442" spans="1:1" x14ac:dyDescent="0.25">
      <c r="A442" s="15"/>
    </row>
    <row r="443" spans="1:1" x14ac:dyDescent="0.25">
      <c r="A443" s="15"/>
    </row>
    <row r="444" spans="1:1" x14ac:dyDescent="0.25">
      <c r="A444" s="15"/>
    </row>
    <row r="445" spans="1:1" x14ac:dyDescent="0.25">
      <c r="A445" s="15"/>
    </row>
    <row r="446" spans="1:1" x14ac:dyDescent="0.25">
      <c r="A446" s="15"/>
    </row>
    <row r="447" spans="1:1" x14ac:dyDescent="0.25">
      <c r="A447" s="15"/>
    </row>
    <row r="448" spans="1:1" x14ac:dyDescent="0.25">
      <c r="A448" s="15"/>
    </row>
    <row r="449" spans="1:1" x14ac:dyDescent="0.25">
      <c r="A449" s="15"/>
    </row>
    <row r="450" spans="1:1" x14ac:dyDescent="0.25">
      <c r="A450" s="15"/>
    </row>
    <row r="451" spans="1:1" x14ac:dyDescent="0.25">
      <c r="A451" s="15"/>
    </row>
    <row r="452" spans="1:1" x14ac:dyDescent="0.25">
      <c r="A452" s="15"/>
    </row>
    <row r="453" spans="1:1" x14ac:dyDescent="0.25">
      <c r="A453" s="15"/>
    </row>
    <row r="454" spans="1:1" x14ac:dyDescent="0.25">
      <c r="A454" s="15"/>
    </row>
    <row r="455" spans="1:1" x14ac:dyDescent="0.25">
      <c r="A455" s="15"/>
    </row>
    <row r="456" spans="1:1" x14ac:dyDescent="0.25">
      <c r="A456" s="15"/>
    </row>
    <row r="457" spans="1:1" x14ac:dyDescent="0.25">
      <c r="A457" s="15"/>
    </row>
    <row r="458" spans="1:1" x14ac:dyDescent="0.25">
      <c r="A458" s="15"/>
    </row>
    <row r="459" spans="1:1" x14ac:dyDescent="0.25">
      <c r="A459" s="15"/>
    </row>
    <row r="460" spans="1:1" x14ac:dyDescent="0.25">
      <c r="A460" s="15"/>
    </row>
    <row r="461" spans="1:1" x14ac:dyDescent="0.25">
      <c r="A461" s="15"/>
    </row>
    <row r="462" spans="1:1" x14ac:dyDescent="0.25">
      <c r="A462" s="15"/>
    </row>
    <row r="463" spans="1:1" x14ac:dyDescent="0.25">
      <c r="A463" s="15"/>
    </row>
    <row r="464" spans="1:1" x14ac:dyDescent="0.25">
      <c r="A464" s="15"/>
    </row>
    <row r="465" spans="1:1" x14ac:dyDescent="0.25">
      <c r="A465" s="15"/>
    </row>
    <row r="466" spans="1:1" x14ac:dyDescent="0.25">
      <c r="A466" s="15"/>
    </row>
    <row r="467" spans="1:1" x14ac:dyDescent="0.25">
      <c r="A467" s="15"/>
    </row>
    <row r="468" spans="1:1" x14ac:dyDescent="0.25">
      <c r="A468" s="15"/>
    </row>
    <row r="469" spans="1:1" x14ac:dyDescent="0.25">
      <c r="A469" s="15"/>
    </row>
    <row r="470" spans="1:1" x14ac:dyDescent="0.25">
      <c r="A470" s="15"/>
    </row>
    <row r="471" spans="1:1" x14ac:dyDescent="0.25">
      <c r="A471" s="15"/>
    </row>
    <row r="472" spans="1:1" x14ac:dyDescent="0.25">
      <c r="A472" s="15"/>
    </row>
    <row r="473" spans="1:1" x14ac:dyDescent="0.25">
      <c r="A473" s="15"/>
    </row>
    <row r="474" spans="1:1" x14ac:dyDescent="0.25">
      <c r="A474" s="15"/>
    </row>
    <row r="475" spans="1:1" x14ac:dyDescent="0.25">
      <c r="A475" s="15"/>
    </row>
    <row r="476" spans="1:1" x14ac:dyDescent="0.25">
      <c r="A476" s="15"/>
    </row>
    <row r="477" spans="1:1" x14ac:dyDescent="0.25">
      <c r="A477" s="15"/>
    </row>
    <row r="478" spans="1:1" x14ac:dyDescent="0.25">
      <c r="A478" s="15"/>
    </row>
    <row r="479" spans="1:1" x14ac:dyDescent="0.25">
      <c r="A479" s="15"/>
    </row>
    <row r="480" spans="1:1" x14ac:dyDescent="0.25">
      <c r="A480" s="15"/>
    </row>
    <row r="481" spans="1:1" x14ac:dyDescent="0.25">
      <c r="A481" s="15"/>
    </row>
    <row r="482" spans="1:1" x14ac:dyDescent="0.25">
      <c r="A482" s="15"/>
    </row>
    <row r="483" spans="1:1" x14ac:dyDescent="0.25">
      <c r="A483" s="15"/>
    </row>
    <row r="484" spans="1:1" x14ac:dyDescent="0.25">
      <c r="A484" s="15"/>
    </row>
    <row r="485" spans="1:1" x14ac:dyDescent="0.25">
      <c r="A485" s="15"/>
    </row>
    <row r="486" spans="1:1" x14ac:dyDescent="0.25">
      <c r="A486" s="15"/>
    </row>
    <row r="487" spans="1:1" x14ac:dyDescent="0.25">
      <c r="A487" s="15"/>
    </row>
    <row r="488" spans="1:1" x14ac:dyDescent="0.25">
      <c r="A488" s="15"/>
    </row>
    <row r="489" spans="1:1" x14ac:dyDescent="0.25">
      <c r="A489" s="15"/>
    </row>
    <row r="490" spans="1:1" x14ac:dyDescent="0.25">
      <c r="A490" s="15"/>
    </row>
    <row r="491" spans="1:1" x14ac:dyDescent="0.25">
      <c r="A491" s="15"/>
    </row>
    <row r="492" spans="1:1" x14ac:dyDescent="0.25">
      <c r="A492" s="15"/>
    </row>
    <row r="493" spans="1:1" x14ac:dyDescent="0.25">
      <c r="A493" s="15"/>
    </row>
    <row r="494" spans="1:1" x14ac:dyDescent="0.25">
      <c r="A494" s="15"/>
    </row>
    <row r="495" spans="1:1" x14ac:dyDescent="0.25">
      <c r="A495" s="15"/>
    </row>
    <row r="496" spans="1:1" x14ac:dyDescent="0.25">
      <c r="A496" s="15"/>
    </row>
    <row r="497" spans="1:1" x14ac:dyDescent="0.25">
      <c r="A497" s="15"/>
    </row>
    <row r="498" spans="1:1" x14ac:dyDescent="0.25">
      <c r="A498" s="15"/>
    </row>
    <row r="499" spans="1:1" x14ac:dyDescent="0.25">
      <c r="A499" s="15"/>
    </row>
    <row r="500" spans="1:1" x14ac:dyDescent="0.25">
      <c r="A500" s="15"/>
    </row>
    <row r="501" spans="1:1" x14ac:dyDescent="0.25">
      <c r="A501" s="15"/>
    </row>
    <row r="502" spans="1:1" x14ac:dyDescent="0.25">
      <c r="A502" s="15"/>
    </row>
    <row r="503" spans="1:1" x14ac:dyDescent="0.25">
      <c r="A503" s="15"/>
    </row>
    <row r="504" spans="1:1" x14ac:dyDescent="0.25">
      <c r="A504" s="15"/>
    </row>
    <row r="505" spans="1:1" x14ac:dyDescent="0.25">
      <c r="A505" s="15"/>
    </row>
    <row r="506" spans="1:1" x14ac:dyDescent="0.25">
      <c r="A506" s="15"/>
    </row>
    <row r="507" spans="1:1" x14ac:dyDescent="0.25">
      <c r="A507" s="15"/>
    </row>
    <row r="508" spans="1:1" x14ac:dyDescent="0.25">
      <c r="A508" s="15"/>
    </row>
    <row r="509" spans="1:1" x14ac:dyDescent="0.25">
      <c r="A509" s="15"/>
    </row>
    <row r="510" spans="1:1" x14ac:dyDescent="0.25">
      <c r="A510" s="15"/>
    </row>
    <row r="511" spans="1:1" x14ac:dyDescent="0.25">
      <c r="A511" s="15"/>
    </row>
    <row r="512" spans="1:1" x14ac:dyDescent="0.25">
      <c r="A512" s="15"/>
    </row>
    <row r="513" spans="1:1" x14ac:dyDescent="0.25">
      <c r="A513" s="15"/>
    </row>
    <row r="514" spans="1:1" x14ac:dyDescent="0.25">
      <c r="A514" s="15"/>
    </row>
    <row r="515" spans="1:1" x14ac:dyDescent="0.25">
      <c r="A515" s="15"/>
    </row>
    <row r="516" spans="1:1" x14ac:dyDescent="0.25">
      <c r="A516" s="15"/>
    </row>
    <row r="517" spans="1:1" x14ac:dyDescent="0.25">
      <c r="A517" s="15"/>
    </row>
    <row r="518" spans="1:1" x14ac:dyDescent="0.25">
      <c r="A518" s="15"/>
    </row>
    <row r="519" spans="1:1" x14ac:dyDescent="0.25">
      <c r="A519" s="15"/>
    </row>
    <row r="520" spans="1:1" x14ac:dyDescent="0.25">
      <c r="A520" s="15"/>
    </row>
    <row r="521" spans="1:1" x14ac:dyDescent="0.25">
      <c r="A521" s="15"/>
    </row>
    <row r="522" spans="1:1" x14ac:dyDescent="0.25">
      <c r="A522" s="15"/>
    </row>
    <row r="523" spans="1:1" x14ac:dyDescent="0.25">
      <c r="A523" s="15"/>
    </row>
    <row r="524" spans="1:1" x14ac:dyDescent="0.25">
      <c r="A524" s="15"/>
    </row>
    <row r="525" spans="1:1" x14ac:dyDescent="0.25">
      <c r="A525" s="15"/>
    </row>
    <row r="526" spans="1:1" x14ac:dyDescent="0.25">
      <c r="A526" s="15"/>
    </row>
    <row r="527" spans="1:1" x14ac:dyDescent="0.25">
      <c r="A527" s="15"/>
    </row>
    <row r="528" spans="1:1" x14ac:dyDescent="0.25">
      <c r="A528" s="15"/>
    </row>
    <row r="529" spans="1:1" x14ac:dyDescent="0.25">
      <c r="A529" s="15"/>
    </row>
    <row r="530" spans="1:1" x14ac:dyDescent="0.25">
      <c r="A530" s="15"/>
    </row>
    <row r="531" spans="1:1" x14ac:dyDescent="0.25">
      <c r="A531" s="15"/>
    </row>
    <row r="532" spans="1:1" x14ac:dyDescent="0.25">
      <c r="A532" s="15"/>
    </row>
    <row r="533" spans="1:1" x14ac:dyDescent="0.25">
      <c r="A533" s="15"/>
    </row>
    <row r="534" spans="1:1" x14ac:dyDescent="0.25">
      <c r="A534" s="15"/>
    </row>
    <row r="535" spans="1:1" x14ac:dyDescent="0.25">
      <c r="A535" s="15"/>
    </row>
    <row r="536" spans="1:1" x14ac:dyDescent="0.25">
      <c r="A536" s="15"/>
    </row>
    <row r="537" spans="1:1" x14ac:dyDescent="0.25">
      <c r="A537" s="15"/>
    </row>
    <row r="538" spans="1:1" x14ac:dyDescent="0.25">
      <c r="A538" s="15"/>
    </row>
    <row r="539" spans="1:1" x14ac:dyDescent="0.25">
      <c r="A539" s="15"/>
    </row>
    <row r="540" spans="1:1" x14ac:dyDescent="0.25">
      <c r="A540" s="15"/>
    </row>
    <row r="541" spans="1:1" x14ac:dyDescent="0.25">
      <c r="A541" s="15"/>
    </row>
    <row r="542" spans="1:1" x14ac:dyDescent="0.25">
      <c r="A542" s="15"/>
    </row>
    <row r="543" spans="1:1" x14ac:dyDescent="0.25">
      <c r="A543" s="15"/>
    </row>
    <row r="544" spans="1:1" x14ac:dyDescent="0.25">
      <c r="A544" s="15"/>
    </row>
    <row r="545" spans="1:1" x14ac:dyDescent="0.25">
      <c r="A545" s="15"/>
    </row>
    <row r="546" spans="1:1" x14ac:dyDescent="0.25">
      <c r="A546" s="15"/>
    </row>
    <row r="547" spans="1:1" x14ac:dyDescent="0.25">
      <c r="A547" s="15"/>
    </row>
    <row r="548" spans="1:1" x14ac:dyDescent="0.25">
      <c r="A548" s="15"/>
    </row>
    <row r="549" spans="1:1" x14ac:dyDescent="0.25">
      <c r="A549" s="15"/>
    </row>
    <row r="550" spans="1:1" x14ac:dyDescent="0.25">
      <c r="A550" s="15"/>
    </row>
    <row r="551" spans="1:1" x14ac:dyDescent="0.25">
      <c r="A551" s="15"/>
    </row>
    <row r="552" spans="1:1" x14ac:dyDescent="0.25">
      <c r="A552" s="15"/>
    </row>
    <row r="553" spans="1:1" x14ac:dyDescent="0.25">
      <c r="A553" s="15"/>
    </row>
    <row r="554" spans="1:1" x14ac:dyDescent="0.25">
      <c r="A554" s="15"/>
    </row>
    <row r="555" spans="1:1" x14ac:dyDescent="0.25">
      <c r="A555" s="15"/>
    </row>
    <row r="556" spans="1:1" x14ac:dyDescent="0.25">
      <c r="A556" s="15"/>
    </row>
    <row r="557" spans="1:1" x14ac:dyDescent="0.25">
      <c r="A557" s="15"/>
    </row>
    <row r="558" spans="1:1" x14ac:dyDescent="0.25">
      <c r="A558" s="15"/>
    </row>
    <row r="559" spans="1:1" x14ac:dyDescent="0.25">
      <c r="A559" s="15"/>
    </row>
    <row r="560" spans="1:1" x14ac:dyDescent="0.25">
      <c r="A560" s="15"/>
    </row>
    <row r="561" spans="1:1" x14ac:dyDescent="0.25">
      <c r="A561" s="15"/>
    </row>
    <row r="562" spans="1:1" x14ac:dyDescent="0.25">
      <c r="A562" s="15"/>
    </row>
    <row r="563" spans="1:1" x14ac:dyDescent="0.25">
      <c r="A563" s="15"/>
    </row>
    <row r="564" spans="1:1" x14ac:dyDescent="0.25">
      <c r="A564" s="15"/>
    </row>
    <row r="565" spans="1:1" x14ac:dyDescent="0.25">
      <c r="A565" s="15"/>
    </row>
    <row r="566" spans="1:1" x14ac:dyDescent="0.25">
      <c r="A566" s="15"/>
    </row>
    <row r="567" spans="1:1" x14ac:dyDescent="0.25">
      <c r="A567" s="15"/>
    </row>
    <row r="568" spans="1:1" x14ac:dyDescent="0.25">
      <c r="A568" s="15"/>
    </row>
    <row r="569" spans="1:1" x14ac:dyDescent="0.25">
      <c r="A569" s="15"/>
    </row>
    <row r="570" spans="1:1" x14ac:dyDescent="0.25">
      <c r="A570" s="15"/>
    </row>
    <row r="571" spans="1:1" x14ac:dyDescent="0.25">
      <c r="A571" s="15"/>
    </row>
    <row r="572" spans="1:1" x14ac:dyDescent="0.25">
      <c r="A572" s="15"/>
    </row>
    <row r="573" spans="1:1" x14ac:dyDescent="0.25">
      <c r="A573" s="15"/>
    </row>
    <row r="574" spans="1:1" x14ac:dyDescent="0.25">
      <c r="A574" s="15"/>
    </row>
    <row r="575" spans="1:1" x14ac:dyDescent="0.25">
      <c r="A575" s="15"/>
    </row>
    <row r="576" spans="1:1" x14ac:dyDescent="0.25">
      <c r="A576" s="15"/>
    </row>
    <row r="577" spans="1:1" x14ac:dyDescent="0.25">
      <c r="A577" s="15"/>
    </row>
    <row r="578" spans="1:1" x14ac:dyDescent="0.25">
      <c r="A578" s="15"/>
    </row>
    <row r="579" spans="1:1" x14ac:dyDescent="0.25">
      <c r="A579" s="15"/>
    </row>
    <row r="580" spans="1:1" x14ac:dyDescent="0.25">
      <c r="A580" s="15"/>
    </row>
    <row r="581" spans="1:1" x14ac:dyDescent="0.25">
      <c r="A581" s="15"/>
    </row>
    <row r="582" spans="1:1" x14ac:dyDescent="0.25">
      <c r="A582" s="15"/>
    </row>
    <row r="583" spans="1:1" x14ac:dyDescent="0.25">
      <c r="A583" s="15"/>
    </row>
    <row r="584" spans="1:1" x14ac:dyDescent="0.25">
      <c r="A584" s="15"/>
    </row>
    <row r="585" spans="1:1" x14ac:dyDescent="0.25">
      <c r="A585" s="15"/>
    </row>
    <row r="586" spans="1:1" x14ac:dyDescent="0.25">
      <c r="A586" s="15"/>
    </row>
    <row r="587" spans="1:1" x14ac:dyDescent="0.25">
      <c r="A587" s="15"/>
    </row>
    <row r="588" spans="1:1" x14ac:dyDescent="0.25">
      <c r="A588" s="15"/>
    </row>
    <row r="589" spans="1:1" x14ac:dyDescent="0.25">
      <c r="A589" s="15"/>
    </row>
    <row r="590" spans="1:1" x14ac:dyDescent="0.25">
      <c r="A590" s="15"/>
    </row>
    <row r="591" spans="1:1" x14ac:dyDescent="0.25">
      <c r="A591" s="15"/>
    </row>
    <row r="592" spans="1:1" x14ac:dyDescent="0.25">
      <c r="A592" s="15"/>
    </row>
    <row r="593" spans="1:1" x14ac:dyDescent="0.25">
      <c r="A593" s="15"/>
    </row>
    <row r="594" spans="1:1" x14ac:dyDescent="0.25">
      <c r="A594" s="15"/>
    </row>
    <row r="595" spans="1:1" x14ac:dyDescent="0.25">
      <c r="A595" s="15"/>
    </row>
    <row r="596" spans="1:1" x14ac:dyDescent="0.25">
      <c r="A596" s="15"/>
    </row>
    <row r="597" spans="1:1" x14ac:dyDescent="0.25">
      <c r="A597" s="15"/>
    </row>
    <row r="598" spans="1:1" x14ac:dyDescent="0.25">
      <c r="A598" s="15"/>
    </row>
    <row r="599" spans="1:1" x14ac:dyDescent="0.25">
      <c r="A599" s="15"/>
    </row>
    <row r="600" spans="1:1" x14ac:dyDescent="0.25">
      <c r="A600" s="15"/>
    </row>
    <row r="601" spans="1:1" x14ac:dyDescent="0.25">
      <c r="A601" s="15"/>
    </row>
    <row r="602" spans="1:1" x14ac:dyDescent="0.25">
      <c r="A602" s="15"/>
    </row>
    <row r="603" spans="1:1" x14ac:dyDescent="0.25">
      <c r="A603" s="15"/>
    </row>
    <row r="604" spans="1:1" x14ac:dyDescent="0.25">
      <c r="A604" s="15"/>
    </row>
    <row r="605" spans="1:1" x14ac:dyDescent="0.25">
      <c r="A605" s="15"/>
    </row>
    <row r="606" spans="1:1" x14ac:dyDescent="0.25">
      <c r="A606" s="15"/>
    </row>
    <row r="607" spans="1:1" x14ac:dyDescent="0.25">
      <c r="A607" s="15"/>
    </row>
    <row r="608" spans="1:1" x14ac:dyDescent="0.25">
      <c r="A608" s="15"/>
    </row>
    <row r="609" spans="1:1" x14ac:dyDescent="0.25">
      <c r="A609" s="15"/>
    </row>
    <row r="610" spans="1:1" x14ac:dyDescent="0.25">
      <c r="A610" s="15"/>
    </row>
    <row r="611" spans="1:1" x14ac:dyDescent="0.25">
      <c r="A611" s="15"/>
    </row>
    <row r="612" spans="1:1" x14ac:dyDescent="0.25">
      <c r="A612" s="15"/>
    </row>
    <row r="613" spans="1:1" x14ac:dyDescent="0.25">
      <c r="A613" s="15"/>
    </row>
    <row r="614" spans="1:1" x14ac:dyDescent="0.25">
      <c r="A614" s="15"/>
    </row>
    <row r="615" spans="1:1" x14ac:dyDescent="0.25">
      <c r="A615" s="15"/>
    </row>
    <row r="616" spans="1:1" x14ac:dyDescent="0.25">
      <c r="A616" s="15"/>
    </row>
    <row r="617" spans="1:1" x14ac:dyDescent="0.25">
      <c r="A617" s="15"/>
    </row>
    <row r="618" spans="1:1" x14ac:dyDescent="0.25">
      <c r="A618" s="15"/>
    </row>
    <row r="619" spans="1:1" x14ac:dyDescent="0.25">
      <c r="A619" s="15"/>
    </row>
    <row r="620" spans="1:1" x14ac:dyDescent="0.25">
      <c r="A620" s="15"/>
    </row>
    <row r="621" spans="1:1" x14ac:dyDescent="0.25">
      <c r="A621" s="15"/>
    </row>
    <row r="622" spans="1:1" x14ac:dyDescent="0.25">
      <c r="A622" s="15"/>
    </row>
    <row r="623" spans="1:1" x14ac:dyDescent="0.25">
      <c r="A623" s="15"/>
    </row>
    <row r="624" spans="1:1" x14ac:dyDescent="0.25">
      <c r="A624" s="15"/>
    </row>
    <row r="625" spans="1:1" x14ac:dyDescent="0.25">
      <c r="A625" s="15"/>
    </row>
    <row r="626" spans="1:1" x14ac:dyDescent="0.25">
      <c r="A626" s="15"/>
    </row>
    <row r="627" spans="1:1" x14ac:dyDescent="0.25">
      <c r="A627" s="15"/>
    </row>
    <row r="628" spans="1:1" x14ac:dyDescent="0.25">
      <c r="A628" s="15"/>
    </row>
    <row r="629" spans="1:1" x14ac:dyDescent="0.25">
      <c r="A629" s="15"/>
    </row>
    <row r="630" spans="1:1" x14ac:dyDescent="0.25">
      <c r="A630" s="15"/>
    </row>
    <row r="631" spans="1:1" x14ac:dyDescent="0.25">
      <c r="A631" s="15"/>
    </row>
    <row r="632" spans="1:1" x14ac:dyDescent="0.25">
      <c r="A632" s="15"/>
    </row>
    <row r="633" spans="1:1" x14ac:dyDescent="0.25">
      <c r="A633" s="15"/>
    </row>
    <row r="634" spans="1:1" x14ac:dyDescent="0.25">
      <c r="A634" s="15"/>
    </row>
    <row r="635" spans="1:1" x14ac:dyDescent="0.25">
      <c r="A635" s="15"/>
    </row>
    <row r="636" spans="1:1" x14ac:dyDescent="0.25">
      <c r="A636" s="15"/>
    </row>
    <row r="637" spans="1:1" x14ac:dyDescent="0.25">
      <c r="A637" s="15"/>
    </row>
    <row r="638" spans="1:1" x14ac:dyDescent="0.25">
      <c r="A638" s="15"/>
    </row>
    <row r="639" spans="1:1" x14ac:dyDescent="0.25">
      <c r="A639" s="15"/>
    </row>
    <row r="640" spans="1:1" x14ac:dyDescent="0.25">
      <c r="A640" s="15"/>
    </row>
    <row r="641" spans="1:1" x14ac:dyDescent="0.25">
      <c r="A641" s="15"/>
    </row>
    <row r="642" spans="1:1" x14ac:dyDescent="0.25">
      <c r="A642" s="15"/>
    </row>
    <row r="643" spans="1:1" x14ac:dyDescent="0.25">
      <c r="A643" s="15"/>
    </row>
    <row r="644" spans="1:1" x14ac:dyDescent="0.25">
      <c r="A644" s="15"/>
    </row>
    <row r="645" spans="1:1" x14ac:dyDescent="0.25">
      <c r="A645" s="15"/>
    </row>
    <row r="646" spans="1:1" x14ac:dyDescent="0.25">
      <c r="A646" s="15"/>
    </row>
    <row r="647" spans="1:1" x14ac:dyDescent="0.25">
      <c r="A647" s="15"/>
    </row>
    <row r="648" spans="1:1" x14ac:dyDescent="0.25">
      <c r="A648" s="15"/>
    </row>
    <row r="649" spans="1:1" x14ac:dyDescent="0.25">
      <c r="A649" s="15"/>
    </row>
    <row r="650" spans="1:1" x14ac:dyDescent="0.25">
      <c r="A650" s="15"/>
    </row>
    <row r="651" spans="1:1" x14ac:dyDescent="0.25">
      <c r="A651" s="15"/>
    </row>
    <row r="652" spans="1:1" x14ac:dyDescent="0.25">
      <c r="A652" s="15"/>
    </row>
    <row r="653" spans="1:1" x14ac:dyDescent="0.25">
      <c r="A653" s="15"/>
    </row>
    <row r="654" spans="1:1" x14ac:dyDescent="0.25">
      <c r="A654" s="15"/>
    </row>
    <row r="655" spans="1:1" x14ac:dyDescent="0.25">
      <c r="A655" s="15"/>
    </row>
    <row r="656" spans="1:1" x14ac:dyDescent="0.25">
      <c r="A656" s="15"/>
    </row>
    <row r="657" spans="1:1" x14ac:dyDescent="0.25">
      <c r="A657" s="15"/>
    </row>
    <row r="658" spans="1:1" x14ac:dyDescent="0.25">
      <c r="A658" s="15"/>
    </row>
    <row r="659" spans="1:1" x14ac:dyDescent="0.25">
      <c r="A659" s="15"/>
    </row>
    <row r="660" spans="1:1" x14ac:dyDescent="0.25">
      <c r="A660" s="15"/>
    </row>
    <row r="661" spans="1:1" x14ac:dyDescent="0.25">
      <c r="A661" s="15"/>
    </row>
    <row r="662" spans="1:1" x14ac:dyDescent="0.25">
      <c r="A662" s="15"/>
    </row>
    <row r="663" spans="1:1" x14ac:dyDescent="0.25">
      <c r="A663" s="15"/>
    </row>
    <row r="664" spans="1:1" x14ac:dyDescent="0.25">
      <c r="A664" s="15"/>
    </row>
    <row r="665" spans="1:1" x14ac:dyDescent="0.25">
      <c r="A665" s="15"/>
    </row>
    <row r="666" spans="1:1" x14ac:dyDescent="0.25">
      <c r="A666" s="15"/>
    </row>
    <row r="667" spans="1:1" x14ac:dyDescent="0.25">
      <c r="A667" s="15"/>
    </row>
    <row r="668" spans="1:1" x14ac:dyDescent="0.25">
      <c r="A668" s="15"/>
    </row>
    <row r="669" spans="1:1" x14ac:dyDescent="0.25">
      <c r="A669" s="15"/>
    </row>
    <row r="670" spans="1:1" x14ac:dyDescent="0.25">
      <c r="A670" s="15"/>
    </row>
    <row r="671" spans="1:1" x14ac:dyDescent="0.25">
      <c r="A671" s="15"/>
    </row>
    <row r="672" spans="1:1" x14ac:dyDescent="0.25">
      <c r="A672" s="15"/>
    </row>
    <row r="673" spans="1:1" x14ac:dyDescent="0.25">
      <c r="A673" s="15"/>
    </row>
    <row r="674" spans="1:1" x14ac:dyDescent="0.25">
      <c r="A674" s="15"/>
    </row>
    <row r="675" spans="1:1" x14ac:dyDescent="0.25">
      <c r="A675" s="15"/>
    </row>
    <row r="676" spans="1:1" x14ac:dyDescent="0.25">
      <c r="A676" s="15"/>
    </row>
    <row r="677" spans="1:1" x14ac:dyDescent="0.25">
      <c r="A677" s="15"/>
    </row>
    <row r="678" spans="1:1" x14ac:dyDescent="0.25">
      <c r="A678" s="15"/>
    </row>
    <row r="679" spans="1:1" x14ac:dyDescent="0.25">
      <c r="A679" s="15"/>
    </row>
    <row r="680" spans="1:1" x14ac:dyDescent="0.25">
      <c r="A680" s="15"/>
    </row>
    <row r="681" spans="1:1" x14ac:dyDescent="0.25">
      <c r="A681" s="15"/>
    </row>
    <row r="682" spans="1:1" x14ac:dyDescent="0.25">
      <c r="A682" s="15"/>
    </row>
    <row r="683" spans="1:1" x14ac:dyDescent="0.25">
      <c r="A683" s="15"/>
    </row>
    <row r="684" spans="1:1" x14ac:dyDescent="0.25">
      <c r="A684" s="15"/>
    </row>
    <row r="685" spans="1:1" x14ac:dyDescent="0.25">
      <c r="A685" s="15"/>
    </row>
    <row r="686" spans="1:1" x14ac:dyDescent="0.25">
      <c r="A686" s="15"/>
    </row>
    <row r="687" spans="1:1" x14ac:dyDescent="0.25">
      <c r="A687" s="15"/>
    </row>
    <row r="688" spans="1:1" x14ac:dyDescent="0.25">
      <c r="A688" s="15"/>
    </row>
    <row r="689" spans="1:1" x14ac:dyDescent="0.25">
      <c r="A689" s="15"/>
    </row>
    <row r="690" spans="1:1" x14ac:dyDescent="0.25">
      <c r="A690" s="15"/>
    </row>
    <row r="691" spans="1:1" x14ac:dyDescent="0.25">
      <c r="A691" s="15"/>
    </row>
    <row r="692" spans="1:1" x14ac:dyDescent="0.25">
      <c r="A692" s="15"/>
    </row>
    <row r="693" spans="1:1" x14ac:dyDescent="0.25">
      <c r="A693" s="15"/>
    </row>
    <row r="694" spans="1:1" x14ac:dyDescent="0.25">
      <c r="A694" s="15"/>
    </row>
    <row r="695" spans="1:1" x14ac:dyDescent="0.25">
      <c r="A695" s="15"/>
    </row>
    <row r="696" spans="1:1" x14ac:dyDescent="0.25">
      <c r="A696" s="15"/>
    </row>
    <row r="697" spans="1:1" x14ac:dyDescent="0.25">
      <c r="A697" s="15"/>
    </row>
    <row r="698" spans="1:1" x14ac:dyDescent="0.25">
      <c r="A698" s="15"/>
    </row>
    <row r="699" spans="1:1" x14ac:dyDescent="0.25">
      <c r="A699" s="15"/>
    </row>
    <row r="700" spans="1:1" x14ac:dyDescent="0.25">
      <c r="A700" s="15"/>
    </row>
    <row r="701" spans="1:1" x14ac:dyDescent="0.25">
      <c r="A701" s="15"/>
    </row>
    <row r="702" spans="1:1" x14ac:dyDescent="0.25">
      <c r="A702" s="15"/>
    </row>
    <row r="703" spans="1:1" x14ac:dyDescent="0.25">
      <c r="A703" s="15"/>
    </row>
    <row r="704" spans="1:1" x14ac:dyDescent="0.25">
      <c r="A704" s="15"/>
    </row>
    <row r="705" spans="1:1" x14ac:dyDescent="0.25">
      <c r="A705" s="15"/>
    </row>
    <row r="706" spans="1:1" x14ac:dyDescent="0.25">
      <c r="A706" s="15"/>
    </row>
    <row r="707" spans="1:1" x14ac:dyDescent="0.25">
      <c r="A707" s="15"/>
    </row>
    <row r="708" spans="1:1" x14ac:dyDescent="0.25">
      <c r="A708" s="15"/>
    </row>
    <row r="709" spans="1:1" x14ac:dyDescent="0.25">
      <c r="A709" s="15"/>
    </row>
    <row r="710" spans="1:1" x14ac:dyDescent="0.25">
      <c r="A710" s="15"/>
    </row>
    <row r="711" spans="1:1" x14ac:dyDescent="0.25">
      <c r="A711" s="15"/>
    </row>
    <row r="712" spans="1:1" x14ac:dyDescent="0.25">
      <c r="A712" s="15"/>
    </row>
    <row r="713" spans="1:1" x14ac:dyDescent="0.25">
      <c r="A713" s="15"/>
    </row>
    <row r="714" spans="1:1" x14ac:dyDescent="0.25">
      <c r="A714" s="15"/>
    </row>
    <row r="715" spans="1:1" x14ac:dyDescent="0.25">
      <c r="A715" s="15"/>
    </row>
    <row r="716" spans="1:1" x14ac:dyDescent="0.25">
      <c r="A716" s="15"/>
    </row>
    <row r="717" spans="1:1" x14ac:dyDescent="0.25">
      <c r="A717" s="15"/>
    </row>
    <row r="718" spans="1:1" x14ac:dyDescent="0.25">
      <c r="A718" s="15"/>
    </row>
    <row r="719" spans="1:1" x14ac:dyDescent="0.25">
      <c r="A719" s="15"/>
    </row>
    <row r="720" spans="1:1" x14ac:dyDescent="0.25">
      <c r="A720" s="15"/>
    </row>
    <row r="721" spans="1:1" x14ac:dyDescent="0.25">
      <c r="A721" s="15"/>
    </row>
    <row r="722" spans="1:1" x14ac:dyDescent="0.25">
      <c r="A722" s="15"/>
    </row>
    <row r="723" spans="1:1" x14ac:dyDescent="0.25">
      <c r="A723" s="15"/>
    </row>
    <row r="724" spans="1:1" x14ac:dyDescent="0.25">
      <c r="A724" s="15"/>
    </row>
    <row r="725" spans="1:1" x14ac:dyDescent="0.25">
      <c r="A725" s="15"/>
    </row>
    <row r="726" spans="1:1" x14ac:dyDescent="0.25">
      <c r="A726" s="15"/>
    </row>
    <row r="727" spans="1:1" x14ac:dyDescent="0.25">
      <c r="A727" s="15"/>
    </row>
    <row r="728" spans="1:1" x14ac:dyDescent="0.25">
      <c r="A728" s="15"/>
    </row>
    <row r="729" spans="1:1" x14ac:dyDescent="0.25">
      <c r="A729" s="15"/>
    </row>
    <row r="730" spans="1:1" x14ac:dyDescent="0.25">
      <c r="A730" s="15"/>
    </row>
    <row r="731" spans="1:1" x14ac:dyDescent="0.25">
      <c r="A731" s="15"/>
    </row>
    <row r="732" spans="1:1" x14ac:dyDescent="0.25">
      <c r="A732" s="15"/>
    </row>
    <row r="733" spans="1:1" x14ac:dyDescent="0.25">
      <c r="A733" s="15"/>
    </row>
    <row r="734" spans="1:1" x14ac:dyDescent="0.25">
      <c r="A734" s="15"/>
    </row>
    <row r="735" spans="1:1" x14ac:dyDescent="0.25">
      <c r="A735" s="15"/>
    </row>
    <row r="736" spans="1:1" x14ac:dyDescent="0.25">
      <c r="A736" s="15"/>
    </row>
    <row r="737" spans="1:1" x14ac:dyDescent="0.25">
      <c r="A737" s="15"/>
    </row>
    <row r="738" spans="1:1" x14ac:dyDescent="0.25">
      <c r="A738" s="15"/>
    </row>
    <row r="739" spans="1:1" x14ac:dyDescent="0.25">
      <c r="A739" s="15"/>
    </row>
    <row r="740" spans="1:1" x14ac:dyDescent="0.25">
      <c r="A740" s="15"/>
    </row>
    <row r="741" spans="1:1" x14ac:dyDescent="0.25">
      <c r="A741" s="15"/>
    </row>
    <row r="742" spans="1:1" x14ac:dyDescent="0.25">
      <c r="A742" s="15"/>
    </row>
    <row r="743" spans="1:1" x14ac:dyDescent="0.25">
      <c r="A743" s="15"/>
    </row>
    <row r="744" spans="1:1" x14ac:dyDescent="0.25">
      <c r="A744" s="15"/>
    </row>
    <row r="745" spans="1:1" x14ac:dyDescent="0.25">
      <c r="A745" s="15"/>
    </row>
    <row r="746" spans="1:1" x14ac:dyDescent="0.25">
      <c r="A746" s="15"/>
    </row>
    <row r="747" spans="1:1" x14ac:dyDescent="0.25">
      <c r="A747" s="15"/>
    </row>
    <row r="748" spans="1:1" x14ac:dyDescent="0.25">
      <c r="A748" s="15"/>
    </row>
    <row r="749" spans="1:1" x14ac:dyDescent="0.25">
      <c r="A749" s="15"/>
    </row>
    <row r="750" spans="1:1" x14ac:dyDescent="0.25">
      <c r="A750" s="15"/>
    </row>
    <row r="751" spans="1:1" x14ac:dyDescent="0.25">
      <c r="A751" s="15"/>
    </row>
    <row r="752" spans="1:1" x14ac:dyDescent="0.25">
      <c r="A752" s="15"/>
    </row>
    <row r="753" spans="1:1" x14ac:dyDescent="0.25">
      <c r="A753" s="15"/>
    </row>
    <row r="754" spans="1:1" x14ac:dyDescent="0.25">
      <c r="A754" s="15"/>
    </row>
    <row r="755" spans="1:1" x14ac:dyDescent="0.25">
      <c r="A755" s="15"/>
    </row>
    <row r="756" spans="1:1" x14ac:dyDescent="0.25">
      <c r="A756" s="15"/>
    </row>
    <row r="757" spans="1:1" x14ac:dyDescent="0.25">
      <c r="A757" s="15"/>
    </row>
    <row r="758" spans="1:1" x14ac:dyDescent="0.25">
      <c r="A758" s="15"/>
    </row>
    <row r="759" spans="1:1" x14ac:dyDescent="0.25">
      <c r="A759" s="15"/>
    </row>
    <row r="760" spans="1:1" x14ac:dyDescent="0.25">
      <c r="A760" s="15"/>
    </row>
    <row r="761" spans="1:1" x14ac:dyDescent="0.25">
      <c r="A761" s="15"/>
    </row>
    <row r="762" spans="1:1" x14ac:dyDescent="0.25">
      <c r="A762" s="15"/>
    </row>
    <row r="763" spans="1:1" x14ac:dyDescent="0.25">
      <c r="A763" s="15"/>
    </row>
    <row r="764" spans="1:1" x14ac:dyDescent="0.25">
      <c r="A764" s="15"/>
    </row>
    <row r="765" spans="1:1" x14ac:dyDescent="0.25">
      <c r="A765" s="15"/>
    </row>
    <row r="766" spans="1:1" x14ac:dyDescent="0.25">
      <c r="A766" s="15"/>
    </row>
    <row r="767" spans="1:1" x14ac:dyDescent="0.25">
      <c r="A767" s="15"/>
    </row>
    <row r="768" spans="1:1" x14ac:dyDescent="0.25">
      <c r="A768" s="15"/>
    </row>
    <row r="769" spans="1:1" x14ac:dyDescent="0.25">
      <c r="A769" s="15"/>
    </row>
    <row r="770" spans="1:1" x14ac:dyDescent="0.25">
      <c r="A770" s="15"/>
    </row>
    <row r="771" spans="1:1" x14ac:dyDescent="0.25">
      <c r="A771" s="15"/>
    </row>
    <row r="772" spans="1:1" x14ac:dyDescent="0.25">
      <c r="A772" s="15"/>
    </row>
    <row r="773" spans="1:1" x14ac:dyDescent="0.25">
      <c r="A773" s="15"/>
    </row>
    <row r="774" spans="1:1" x14ac:dyDescent="0.25">
      <c r="A774" s="15"/>
    </row>
    <row r="775" spans="1:1" x14ac:dyDescent="0.25">
      <c r="A775" s="15"/>
    </row>
    <row r="776" spans="1:1" x14ac:dyDescent="0.25">
      <c r="A776" s="15"/>
    </row>
    <row r="777" spans="1:1" x14ac:dyDescent="0.25">
      <c r="A777" s="15"/>
    </row>
    <row r="778" spans="1:1" x14ac:dyDescent="0.25">
      <c r="A778" s="15"/>
    </row>
    <row r="779" spans="1:1" x14ac:dyDescent="0.25">
      <c r="A779" s="15"/>
    </row>
    <row r="780" spans="1:1" x14ac:dyDescent="0.25">
      <c r="A780" s="15"/>
    </row>
    <row r="781" spans="1:1" x14ac:dyDescent="0.25">
      <c r="A781" s="15"/>
    </row>
    <row r="782" spans="1:1" x14ac:dyDescent="0.25">
      <c r="A782" s="15"/>
    </row>
    <row r="783" spans="1:1" x14ac:dyDescent="0.25">
      <c r="A783" s="15"/>
    </row>
    <row r="784" spans="1:1" x14ac:dyDescent="0.25">
      <c r="A784" s="15"/>
    </row>
    <row r="785" spans="1:1" x14ac:dyDescent="0.25">
      <c r="A785" s="15"/>
    </row>
    <row r="786" spans="1:1" x14ac:dyDescent="0.25">
      <c r="A786" s="15"/>
    </row>
    <row r="787" spans="1:1" x14ac:dyDescent="0.25">
      <c r="A787" s="15"/>
    </row>
    <row r="788" spans="1:1" x14ac:dyDescent="0.25">
      <c r="A788" s="15"/>
    </row>
    <row r="789" spans="1:1" x14ac:dyDescent="0.25">
      <c r="A789" s="15"/>
    </row>
    <row r="790" spans="1:1" x14ac:dyDescent="0.25">
      <c r="A790" s="15"/>
    </row>
    <row r="791" spans="1:1" x14ac:dyDescent="0.25">
      <c r="A791" s="15"/>
    </row>
    <row r="792" spans="1:1" x14ac:dyDescent="0.25">
      <c r="A792" s="15"/>
    </row>
    <row r="793" spans="1:1" x14ac:dyDescent="0.25">
      <c r="A793" s="15"/>
    </row>
    <row r="794" spans="1:1" x14ac:dyDescent="0.25">
      <c r="A794" s="15"/>
    </row>
    <row r="795" spans="1:1" x14ac:dyDescent="0.25">
      <c r="A795" s="15"/>
    </row>
    <row r="796" spans="1:1" x14ac:dyDescent="0.25">
      <c r="A796" s="15"/>
    </row>
    <row r="797" spans="1:1" x14ac:dyDescent="0.25">
      <c r="A797" s="15"/>
    </row>
    <row r="798" spans="1:1" x14ac:dyDescent="0.25">
      <c r="A798" s="15"/>
    </row>
    <row r="799" spans="1:1" x14ac:dyDescent="0.25">
      <c r="A799" s="15"/>
    </row>
    <row r="800" spans="1:1" x14ac:dyDescent="0.25">
      <c r="A800" s="15"/>
    </row>
    <row r="801" spans="1:1" x14ac:dyDescent="0.25">
      <c r="A801" s="15"/>
    </row>
    <row r="802" spans="1:1" x14ac:dyDescent="0.25">
      <c r="A802" s="15"/>
    </row>
    <row r="803" spans="1:1" x14ac:dyDescent="0.25">
      <c r="A803" s="15"/>
    </row>
    <row r="804" spans="1:1" x14ac:dyDescent="0.25">
      <c r="A804" s="15"/>
    </row>
    <row r="805" spans="1:1" x14ac:dyDescent="0.25">
      <c r="A805" s="15"/>
    </row>
    <row r="806" spans="1:1" x14ac:dyDescent="0.25">
      <c r="A806" s="15"/>
    </row>
    <row r="807" spans="1:1" x14ac:dyDescent="0.25">
      <c r="A807" s="15"/>
    </row>
    <row r="808" spans="1:1" x14ac:dyDescent="0.25">
      <c r="A808" s="15"/>
    </row>
    <row r="809" spans="1:1" x14ac:dyDescent="0.25">
      <c r="A809" s="15"/>
    </row>
    <row r="810" spans="1:1" x14ac:dyDescent="0.25">
      <c r="A810" s="15"/>
    </row>
    <row r="811" spans="1:1" x14ac:dyDescent="0.25">
      <c r="A811" s="15"/>
    </row>
    <row r="812" spans="1:1" x14ac:dyDescent="0.25">
      <c r="A812" s="15"/>
    </row>
    <row r="813" spans="1:1" x14ac:dyDescent="0.25">
      <c r="A813" s="15"/>
    </row>
    <row r="814" spans="1:1" x14ac:dyDescent="0.25">
      <c r="A814" s="15"/>
    </row>
    <row r="815" spans="1:1" x14ac:dyDescent="0.25">
      <c r="A815" s="15"/>
    </row>
    <row r="816" spans="1:1" x14ac:dyDescent="0.25">
      <c r="A816" s="15"/>
    </row>
    <row r="817" spans="1:1" x14ac:dyDescent="0.25">
      <c r="A817" s="15"/>
    </row>
    <row r="818" spans="1:1" x14ac:dyDescent="0.25">
      <c r="A818" s="15"/>
    </row>
    <row r="819" spans="1:1" x14ac:dyDescent="0.25">
      <c r="A819" s="15"/>
    </row>
    <row r="820" spans="1:1" x14ac:dyDescent="0.25">
      <c r="A820" s="15"/>
    </row>
    <row r="821" spans="1:1" x14ac:dyDescent="0.25">
      <c r="A821" s="15"/>
    </row>
    <row r="822" spans="1:1" x14ac:dyDescent="0.25">
      <c r="A822" s="15"/>
    </row>
    <row r="823" spans="1:1" x14ac:dyDescent="0.25">
      <c r="A823" s="15"/>
    </row>
    <row r="824" spans="1:1" x14ac:dyDescent="0.25">
      <c r="A824" s="15"/>
    </row>
    <row r="825" spans="1:1" x14ac:dyDescent="0.25">
      <c r="A825" s="15"/>
    </row>
    <row r="826" spans="1:1" x14ac:dyDescent="0.25">
      <c r="A826" s="15"/>
    </row>
    <row r="827" spans="1:1" x14ac:dyDescent="0.25">
      <c r="A827" s="15"/>
    </row>
    <row r="828" spans="1:1" x14ac:dyDescent="0.25">
      <c r="A828" s="15"/>
    </row>
    <row r="829" spans="1:1" x14ac:dyDescent="0.25">
      <c r="A829" s="15"/>
    </row>
    <row r="830" spans="1:1" x14ac:dyDescent="0.25">
      <c r="A830" s="15"/>
    </row>
    <row r="831" spans="1:1" x14ac:dyDescent="0.25">
      <c r="A831" s="15"/>
    </row>
    <row r="832" spans="1:1" x14ac:dyDescent="0.25">
      <c r="A832" s="15"/>
    </row>
    <row r="833" spans="1:1" x14ac:dyDescent="0.25">
      <c r="A833" s="15"/>
    </row>
    <row r="834" spans="1:1" x14ac:dyDescent="0.25">
      <c r="A834" s="15"/>
    </row>
    <row r="835" spans="1:1" x14ac:dyDescent="0.25">
      <c r="A835" s="15"/>
    </row>
    <row r="836" spans="1:1" x14ac:dyDescent="0.25">
      <c r="A836" s="15"/>
    </row>
    <row r="837" spans="1:1" x14ac:dyDescent="0.25">
      <c r="A837" s="15"/>
    </row>
    <row r="838" spans="1:1" x14ac:dyDescent="0.25">
      <c r="A838" s="15"/>
    </row>
    <row r="839" spans="1:1" x14ac:dyDescent="0.25">
      <c r="A839" s="15"/>
    </row>
    <row r="840" spans="1:1" x14ac:dyDescent="0.25">
      <c r="A840" s="15"/>
    </row>
    <row r="841" spans="1:1" x14ac:dyDescent="0.25">
      <c r="A841" s="15"/>
    </row>
    <row r="842" spans="1:1" x14ac:dyDescent="0.25">
      <c r="A842" s="15"/>
    </row>
    <row r="843" spans="1:1" x14ac:dyDescent="0.25">
      <c r="A843" s="15"/>
    </row>
    <row r="844" spans="1:1" x14ac:dyDescent="0.25">
      <c r="A844" s="15"/>
    </row>
    <row r="845" spans="1:1" x14ac:dyDescent="0.25">
      <c r="A845" s="15"/>
    </row>
    <row r="846" spans="1:1" x14ac:dyDescent="0.25">
      <c r="A846" s="15"/>
    </row>
    <row r="847" spans="1:1" x14ac:dyDescent="0.25">
      <c r="A847" s="15"/>
    </row>
    <row r="848" spans="1:1" x14ac:dyDescent="0.25">
      <c r="A848" s="15"/>
    </row>
    <row r="849" spans="1:1" x14ac:dyDescent="0.25">
      <c r="A849" s="15"/>
    </row>
    <row r="850" spans="1:1" x14ac:dyDescent="0.25">
      <c r="A850" s="15"/>
    </row>
    <row r="851" spans="1:1" x14ac:dyDescent="0.25">
      <c r="A851" s="15"/>
    </row>
    <row r="852" spans="1:1" x14ac:dyDescent="0.25">
      <c r="A852" s="15"/>
    </row>
    <row r="853" spans="1:1" x14ac:dyDescent="0.25">
      <c r="A853" s="15"/>
    </row>
    <row r="854" spans="1:1" x14ac:dyDescent="0.25">
      <c r="A854" s="15"/>
    </row>
    <row r="855" spans="1:1" x14ac:dyDescent="0.25">
      <c r="A855" s="15"/>
    </row>
    <row r="856" spans="1:1" x14ac:dyDescent="0.25">
      <c r="A856" s="15"/>
    </row>
    <row r="857" spans="1:1" x14ac:dyDescent="0.25">
      <c r="A857" s="15"/>
    </row>
    <row r="858" spans="1:1" x14ac:dyDescent="0.25">
      <c r="A858" s="15"/>
    </row>
    <row r="859" spans="1:1" x14ac:dyDescent="0.25">
      <c r="A859" s="15"/>
    </row>
    <row r="860" spans="1:1" x14ac:dyDescent="0.25">
      <c r="A860" s="15"/>
    </row>
    <row r="861" spans="1:1" x14ac:dyDescent="0.25">
      <c r="A861" s="15"/>
    </row>
    <row r="862" spans="1:1" x14ac:dyDescent="0.25">
      <c r="A862" s="15"/>
    </row>
    <row r="863" spans="1:1" x14ac:dyDescent="0.25">
      <c r="A863" s="15"/>
    </row>
    <row r="864" spans="1:1" x14ac:dyDescent="0.25">
      <c r="A864" s="15"/>
    </row>
    <row r="865" spans="1:1" x14ac:dyDescent="0.25">
      <c r="A865" s="15"/>
    </row>
    <row r="866" spans="1:1" x14ac:dyDescent="0.25">
      <c r="A866" s="15"/>
    </row>
    <row r="867" spans="1:1" x14ac:dyDescent="0.25">
      <c r="A867" s="15"/>
    </row>
    <row r="868" spans="1:1" x14ac:dyDescent="0.25">
      <c r="A868" s="15"/>
    </row>
    <row r="869" spans="1:1" x14ac:dyDescent="0.25">
      <c r="A869" s="15"/>
    </row>
    <row r="870" spans="1:1" x14ac:dyDescent="0.25">
      <c r="A870" s="15"/>
    </row>
    <row r="871" spans="1:1" x14ac:dyDescent="0.25">
      <c r="A871" s="15"/>
    </row>
    <row r="872" spans="1:1" x14ac:dyDescent="0.25">
      <c r="A872" s="15"/>
    </row>
    <row r="873" spans="1:1" x14ac:dyDescent="0.25">
      <c r="A873" s="15"/>
    </row>
    <row r="874" spans="1:1" x14ac:dyDescent="0.25">
      <c r="A874" s="15"/>
    </row>
    <row r="875" spans="1:1" x14ac:dyDescent="0.25">
      <c r="A875" s="15"/>
    </row>
    <row r="876" spans="1:1" x14ac:dyDescent="0.25">
      <c r="A876" s="15"/>
    </row>
    <row r="877" spans="1:1" x14ac:dyDescent="0.25">
      <c r="A877" s="15"/>
    </row>
    <row r="878" spans="1:1" x14ac:dyDescent="0.25">
      <c r="A878" s="15"/>
    </row>
    <row r="879" spans="1:1" x14ac:dyDescent="0.25">
      <c r="A879" s="15"/>
    </row>
    <row r="880" spans="1:1" x14ac:dyDescent="0.25">
      <c r="A880" s="15"/>
    </row>
    <row r="881" spans="1:1" x14ac:dyDescent="0.25">
      <c r="A881" s="15"/>
    </row>
    <row r="882" spans="1:1" x14ac:dyDescent="0.25">
      <c r="A882" s="15"/>
    </row>
    <row r="883" spans="1:1" x14ac:dyDescent="0.25">
      <c r="A883" s="15"/>
    </row>
    <row r="884" spans="1:1" x14ac:dyDescent="0.25">
      <c r="A884" s="15"/>
    </row>
    <row r="885" spans="1:1" x14ac:dyDescent="0.25">
      <c r="A885" s="15"/>
    </row>
    <row r="886" spans="1:1" x14ac:dyDescent="0.25">
      <c r="A886" s="15"/>
    </row>
    <row r="887" spans="1:1" x14ac:dyDescent="0.25">
      <c r="A887" s="15"/>
    </row>
    <row r="888" spans="1:1" x14ac:dyDescent="0.25">
      <c r="A888" s="15"/>
    </row>
    <row r="889" spans="1:1" x14ac:dyDescent="0.25">
      <c r="A889" s="15"/>
    </row>
    <row r="890" spans="1:1" x14ac:dyDescent="0.25">
      <c r="A890" s="15"/>
    </row>
    <row r="891" spans="1:1" x14ac:dyDescent="0.25">
      <c r="A891" s="15"/>
    </row>
    <row r="892" spans="1:1" x14ac:dyDescent="0.25">
      <c r="A892" s="15"/>
    </row>
    <row r="893" spans="1:1" x14ac:dyDescent="0.25">
      <c r="A893" s="15"/>
    </row>
    <row r="894" spans="1:1" x14ac:dyDescent="0.25">
      <c r="A894" s="15"/>
    </row>
    <row r="895" spans="1:1" x14ac:dyDescent="0.25">
      <c r="A895" s="15"/>
    </row>
    <row r="896" spans="1:1" x14ac:dyDescent="0.25">
      <c r="A896" s="15"/>
    </row>
    <row r="897" spans="1:1" x14ac:dyDescent="0.25">
      <c r="A897" s="15"/>
    </row>
    <row r="898" spans="1:1" x14ac:dyDescent="0.25">
      <c r="A898" s="15"/>
    </row>
    <row r="899" spans="1:1" x14ac:dyDescent="0.25">
      <c r="A899" s="15"/>
    </row>
    <row r="900" spans="1:1" x14ac:dyDescent="0.25">
      <c r="A900" s="15"/>
    </row>
    <row r="901" spans="1:1" x14ac:dyDescent="0.25">
      <c r="A901" s="15"/>
    </row>
    <row r="902" spans="1:1" x14ac:dyDescent="0.25">
      <c r="A902" s="15"/>
    </row>
    <row r="903" spans="1:1" x14ac:dyDescent="0.25">
      <c r="A903" s="15"/>
    </row>
    <row r="904" spans="1:1" x14ac:dyDescent="0.25">
      <c r="A904" s="15"/>
    </row>
    <row r="905" spans="1:1" x14ac:dyDescent="0.25">
      <c r="A905" s="15"/>
    </row>
    <row r="906" spans="1:1" x14ac:dyDescent="0.25">
      <c r="A906" s="15"/>
    </row>
    <row r="907" spans="1:1" x14ac:dyDescent="0.25">
      <c r="A907" s="15"/>
    </row>
    <row r="908" spans="1:1" x14ac:dyDescent="0.25">
      <c r="A908" s="15"/>
    </row>
    <row r="909" spans="1:1" x14ac:dyDescent="0.25">
      <c r="A909" s="15"/>
    </row>
    <row r="910" spans="1:1" x14ac:dyDescent="0.25">
      <c r="A910" s="15"/>
    </row>
    <row r="911" spans="1:1" x14ac:dyDescent="0.25">
      <c r="A911" s="15"/>
    </row>
    <row r="912" spans="1:1" x14ac:dyDescent="0.25">
      <c r="A912" s="15"/>
    </row>
    <row r="913" spans="1:1" x14ac:dyDescent="0.25">
      <c r="A913" s="15"/>
    </row>
    <row r="914" spans="1:1" x14ac:dyDescent="0.25">
      <c r="A914" s="15"/>
    </row>
    <row r="915" spans="1:1" x14ac:dyDescent="0.25">
      <c r="A915" s="15"/>
    </row>
    <row r="916" spans="1:1" x14ac:dyDescent="0.25">
      <c r="A916" s="15"/>
    </row>
    <row r="917" spans="1:1" x14ac:dyDescent="0.25">
      <c r="A917" s="15"/>
    </row>
    <row r="918" spans="1:1" x14ac:dyDescent="0.25">
      <c r="A918" s="15"/>
    </row>
    <row r="919" spans="1:1" x14ac:dyDescent="0.25">
      <c r="A919" s="15"/>
    </row>
    <row r="920" spans="1:1" x14ac:dyDescent="0.25">
      <c r="A920" s="15"/>
    </row>
    <row r="921" spans="1:1" x14ac:dyDescent="0.25">
      <c r="A921" s="15"/>
    </row>
    <row r="922" spans="1:1" x14ac:dyDescent="0.25">
      <c r="A922" s="15"/>
    </row>
    <row r="923" spans="1:1" x14ac:dyDescent="0.25">
      <c r="A923" s="15"/>
    </row>
    <row r="924" spans="1:1" x14ac:dyDescent="0.25">
      <c r="A924" s="15"/>
    </row>
    <row r="925" spans="1:1" x14ac:dyDescent="0.25">
      <c r="A925" s="15"/>
    </row>
    <row r="926" spans="1:1" x14ac:dyDescent="0.25">
      <c r="A926" s="15"/>
    </row>
    <row r="927" spans="1:1" x14ac:dyDescent="0.25">
      <c r="A927" s="15"/>
    </row>
    <row r="928" spans="1:1" x14ac:dyDescent="0.25">
      <c r="A928" s="15"/>
    </row>
    <row r="929" spans="1:1" x14ac:dyDescent="0.25">
      <c r="A929" s="15"/>
    </row>
    <row r="930" spans="1:1" x14ac:dyDescent="0.25">
      <c r="A930" s="15"/>
    </row>
    <row r="931" spans="1:1" x14ac:dyDescent="0.25">
      <c r="A931" s="15"/>
    </row>
    <row r="932" spans="1:1" x14ac:dyDescent="0.25">
      <c r="A932" s="15"/>
    </row>
    <row r="933" spans="1:1" x14ac:dyDescent="0.25">
      <c r="A933" s="15"/>
    </row>
    <row r="934" spans="1:1" x14ac:dyDescent="0.25">
      <c r="A934" s="15"/>
    </row>
    <row r="935" spans="1:1" x14ac:dyDescent="0.25">
      <c r="A935" s="15"/>
    </row>
    <row r="936" spans="1:1" x14ac:dyDescent="0.25">
      <c r="A936" s="15"/>
    </row>
    <row r="937" spans="1:1" x14ac:dyDescent="0.25">
      <c r="A937" s="15"/>
    </row>
    <row r="938" spans="1:1" x14ac:dyDescent="0.25">
      <c r="A938" s="15"/>
    </row>
    <row r="939" spans="1:1" x14ac:dyDescent="0.25">
      <c r="A939" s="15"/>
    </row>
    <row r="940" spans="1:1" x14ac:dyDescent="0.25">
      <c r="A940" s="15"/>
    </row>
    <row r="941" spans="1:1" x14ac:dyDescent="0.25">
      <c r="A941" s="15"/>
    </row>
    <row r="942" spans="1:1" x14ac:dyDescent="0.25">
      <c r="A942" s="15"/>
    </row>
    <row r="943" spans="1:1" x14ac:dyDescent="0.25">
      <c r="A943" s="15"/>
    </row>
    <row r="944" spans="1:1" x14ac:dyDescent="0.25">
      <c r="A944" s="15"/>
    </row>
    <row r="945" spans="1:1" x14ac:dyDescent="0.25">
      <c r="A945" s="15"/>
    </row>
    <row r="946" spans="1:1" x14ac:dyDescent="0.25">
      <c r="A946" s="15"/>
    </row>
    <row r="947" spans="1:1" x14ac:dyDescent="0.25">
      <c r="A947" s="15"/>
    </row>
    <row r="948" spans="1:1" x14ac:dyDescent="0.25">
      <c r="A948" s="15"/>
    </row>
    <row r="949" spans="1:1" x14ac:dyDescent="0.25">
      <c r="A949" s="15"/>
    </row>
    <row r="950" spans="1:1" x14ac:dyDescent="0.25">
      <c r="A950" s="15"/>
    </row>
    <row r="951" spans="1:1" x14ac:dyDescent="0.25">
      <c r="A951" s="15"/>
    </row>
    <row r="952" spans="1:1" x14ac:dyDescent="0.25">
      <c r="A952" s="15"/>
    </row>
    <row r="953" spans="1:1" x14ac:dyDescent="0.25">
      <c r="A953" s="15"/>
    </row>
    <row r="954" spans="1:1" x14ac:dyDescent="0.25">
      <c r="A954" s="15"/>
    </row>
    <row r="955" spans="1:1" x14ac:dyDescent="0.25">
      <c r="A955" s="15"/>
    </row>
    <row r="956" spans="1:1" x14ac:dyDescent="0.25">
      <c r="A956" s="15"/>
    </row>
    <row r="957" spans="1:1" x14ac:dyDescent="0.25">
      <c r="A957" s="15"/>
    </row>
    <row r="958" spans="1:1" x14ac:dyDescent="0.25">
      <c r="A958" s="15"/>
    </row>
    <row r="959" spans="1:1" x14ac:dyDescent="0.25">
      <c r="A959" s="15"/>
    </row>
    <row r="960" spans="1:1" x14ac:dyDescent="0.25">
      <c r="A960" s="15"/>
    </row>
    <row r="961" spans="1:1" x14ac:dyDescent="0.25">
      <c r="A961" s="15"/>
    </row>
    <row r="962" spans="1:1" x14ac:dyDescent="0.25">
      <c r="A962" s="15"/>
    </row>
    <row r="963" spans="1:1" x14ac:dyDescent="0.25">
      <c r="A963" s="15"/>
    </row>
    <row r="964" spans="1:1" x14ac:dyDescent="0.25">
      <c r="A964" s="15"/>
    </row>
    <row r="965" spans="1:1" x14ac:dyDescent="0.25">
      <c r="A965" s="15"/>
    </row>
    <row r="966" spans="1:1" x14ac:dyDescent="0.25">
      <c r="A966" s="15"/>
    </row>
    <row r="967" spans="1:1" x14ac:dyDescent="0.25">
      <c r="A967" s="15"/>
    </row>
    <row r="968" spans="1:1" x14ac:dyDescent="0.25">
      <c r="A968" s="15"/>
    </row>
    <row r="969" spans="1:1" x14ac:dyDescent="0.25">
      <c r="A969" s="15"/>
    </row>
    <row r="970" spans="1:1" x14ac:dyDescent="0.25">
      <c r="A970" s="15"/>
    </row>
    <row r="971" spans="1:1" x14ac:dyDescent="0.25">
      <c r="A971" s="15"/>
    </row>
    <row r="972" spans="1:1" x14ac:dyDescent="0.25">
      <c r="A972" s="15"/>
    </row>
    <row r="973" spans="1:1" x14ac:dyDescent="0.25">
      <c r="A973" s="15"/>
    </row>
    <row r="974" spans="1:1" x14ac:dyDescent="0.25">
      <c r="A974" s="15"/>
    </row>
    <row r="975" spans="1:1" x14ac:dyDescent="0.25">
      <c r="A975" s="15"/>
    </row>
    <row r="976" spans="1:1" x14ac:dyDescent="0.25">
      <c r="A976" s="15"/>
    </row>
    <row r="977" spans="1:1" x14ac:dyDescent="0.25">
      <c r="A977" s="15"/>
    </row>
    <row r="978" spans="1:1" x14ac:dyDescent="0.25">
      <c r="A978" s="15"/>
    </row>
    <row r="979" spans="1:1" x14ac:dyDescent="0.25">
      <c r="A979" s="15"/>
    </row>
    <row r="980" spans="1:1" x14ac:dyDescent="0.25">
      <c r="A980" s="15"/>
    </row>
    <row r="981" spans="1:1" x14ac:dyDescent="0.25">
      <c r="A981" s="15"/>
    </row>
    <row r="982" spans="1:1" x14ac:dyDescent="0.25">
      <c r="A982" s="15"/>
    </row>
    <row r="983" spans="1:1" x14ac:dyDescent="0.25">
      <c r="A983" s="15"/>
    </row>
    <row r="984" spans="1:1" x14ac:dyDescent="0.25">
      <c r="A984" s="15"/>
    </row>
    <row r="985" spans="1:1" x14ac:dyDescent="0.25">
      <c r="A985" s="15"/>
    </row>
    <row r="986" spans="1:1" x14ac:dyDescent="0.25">
      <c r="A986" s="15"/>
    </row>
    <row r="987" spans="1:1" x14ac:dyDescent="0.25">
      <c r="A987" s="15"/>
    </row>
    <row r="988" spans="1:1" x14ac:dyDescent="0.25">
      <c r="A988" s="15"/>
    </row>
    <row r="989" spans="1:1" x14ac:dyDescent="0.25">
      <c r="A989" s="15"/>
    </row>
    <row r="990" spans="1:1" x14ac:dyDescent="0.25">
      <c r="A990" s="15"/>
    </row>
    <row r="991" spans="1:1" x14ac:dyDescent="0.25">
      <c r="A991" s="15"/>
    </row>
    <row r="992" spans="1:1" x14ac:dyDescent="0.25">
      <c r="A992" s="15"/>
    </row>
    <row r="993" spans="1:1" x14ac:dyDescent="0.25">
      <c r="A993" s="15"/>
    </row>
    <row r="994" spans="1:1" x14ac:dyDescent="0.25">
      <c r="A994" s="15"/>
    </row>
    <row r="995" spans="1:1" x14ac:dyDescent="0.25">
      <c r="A995" s="15"/>
    </row>
    <row r="996" spans="1:1" x14ac:dyDescent="0.25">
      <c r="A996" s="15"/>
    </row>
    <row r="997" spans="1:1" x14ac:dyDescent="0.25">
      <c r="A997" s="15"/>
    </row>
    <row r="998" spans="1:1" x14ac:dyDescent="0.25">
      <c r="A998" s="15"/>
    </row>
    <row r="999" spans="1:1" x14ac:dyDescent="0.25">
      <c r="A999" s="15"/>
    </row>
    <row r="1000" spans="1:1" x14ac:dyDescent="0.25">
      <c r="A1000" s="15"/>
    </row>
    <row r="1001" spans="1:1" x14ac:dyDescent="0.25">
      <c r="A1001" s="15"/>
    </row>
    <row r="1002" spans="1:1" x14ac:dyDescent="0.25">
      <c r="A1002" s="15"/>
    </row>
    <row r="1003" spans="1:1" x14ac:dyDescent="0.25">
      <c r="A1003" s="15"/>
    </row>
    <row r="1004" spans="1:1" x14ac:dyDescent="0.25">
      <c r="A1004" s="15"/>
    </row>
  </sheetData>
  <mergeCells count="3">
    <mergeCell ref="A1:C1"/>
    <mergeCell ref="E3:F3"/>
    <mergeCell ref="E4:F5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A7E72-E932-4E9F-92C2-90D81569B7DF}">
  <sheetPr>
    <outlinePr summaryBelow="0" summaryRight="0"/>
  </sheetPr>
  <dimension ref="B1:AU1001"/>
  <sheetViews>
    <sheetView workbookViewId="0">
      <selection activeCell="B3" sqref="B3"/>
    </sheetView>
  </sheetViews>
  <sheetFormatPr defaultColWidth="14.42578125" defaultRowHeight="15" customHeight="1" x14ac:dyDescent="0.25"/>
  <cols>
    <col min="1" max="1" width="5" customWidth="1"/>
    <col min="3" max="3" width="18.85546875" customWidth="1"/>
    <col min="5" max="5" width="3.7109375" customWidth="1"/>
    <col min="9" max="9" width="3.28515625" customWidth="1"/>
    <col min="13" max="13" width="4.28515625" customWidth="1"/>
    <col min="17" max="17" width="3.42578125" customWidth="1"/>
    <col min="21" max="21" width="3.7109375" customWidth="1"/>
    <col min="25" max="25" width="4" customWidth="1"/>
    <col min="29" max="29" width="3.85546875" customWidth="1"/>
    <col min="33" max="33" width="3.140625" customWidth="1"/>
    <col min="37" max="37" width="3.140625" customWidth="1"/>
    <col min="41" max="41" width="3.5703125" customWidth="1"/>
  </cols>
  <sheetData>
    <row r="1" spans="2:47" ht="15" customHeight="1" x14ac:dyDescent="0.3">
      <c r="B1" s="120" t="s">
        <v>274</v>
      </c>
      <c r="C1" s="110"/>
      <c r="D1" s="111"/>
      <c r="F1" s="120" t="s">
        <v>275</v>
      </c>
      <c r="G1" s="110"/>
      <c r="H1" s="111"/>
      <c r="J1" s="120" t="s">
        <v>276</v>
      </c>
      <c r="K1" s="110"/>
      <c r="L1" s="111"/>
      <c r="N1" s="120" t="s">
        <v>277</v>
      </c>
      <c r="O1" s="110"/>
      <c r="P1" s="111"/>
      <c r="R1" s="120" t="s">
        <v>278</v>
      </c>
      <c r="S1" s="110"/>
      <c r="T1" s="111"/>
      <c r="V1" s="120" t="s">
        <v>279</v>
      </c>
      <c r="W1" s="110"/>
      <c r="X1" s="111"/>
      <c r="Y1" s="94"/>
      <c r="Z1" s="120" t="s">
        <v>1223</v>
      </c>
      <c r="AA1" s="110"/>
      <c r="AB1" s="111"/>
      <c r="AC1" s="95"/>
      <c r="AD1" s="120" t="s">
        <v>1224</v>
      </c>
      <c r="AE1" s="110"/>
      <c r="AF1" s="111"/>
      <c r="AG1" s="96"/>
      <c r="AH1" s="120" t="s">
        <v>1225</v>
      </c>
      <c r="AI1" s="110"/>
      <c r="AJ1" s="111"/>
      <c r="AK1" s="95"/>
      <c r="AL1" s="120" t="s">
        <v>1226</v>
      </c>
      <c r="AM1" s="110"/>
      <c r="AN1" s="111"/>
      <c r="AO1" s="96"/>
      <c r="AP1" s="120" t="s">
        <v>1227</v>
      </c>
      <c r="AQ1" s="110"/>
      <c r="AR1" s="111"/>
      <c r="AS1" s="96"/>
      <c r="AT1" s="96"/>
      <c r="AU1" s="97"/>
    </row>
    <row r="2" spans="2:47" ht="15" customHeight="1" x14ac:dyDescent="0.3">
      <c r="B2" s="68" t="s">
        <v>1</v>
      </c>
      <c r="C2" s="68" t="s">
        <v>2</v>
      </c>
      <c r="D2" s="68" t="s">
        <v>7</v>
      </c>
      <c r="F2" s="68" t="s">
        <v>1</v>
      </c>
      <c r="G2" s="68" t="s">
        <v>2</v>
      </c>
      <c r="H2" s="68" t="s">
        <v>7</v>
      </c>
      <c r="J2" s="68" t="s">
        <v>1</v>
      </c>
      <c r="K2" s="68" t="s">
        <v>2</v>
      </c>
      <c r="L2" s="68" t="s">
        <v>7</v>
      </c>
      <c r="N2" s="68" t="s">
        <v>1</v>
      </c>
      <c r="O2" s="68" t="s">
        <v>2</v>
      </c>
      <c r="P2" s="68" t="s">
        <v>7</v>
      </c>
      <c r="R2" s="68" t="s">
        <v>1</v>
      </c>
      <c r="S2" s="68" t="s">
        <v>2</v>
      </c>
      <c r="T2" s="68" t="s">
        <v>7</v>
      </c>
      <c r="V2" s="68" t="s">
        <v>1</v>
      </c>
      <c r="W2" s="68" t="s">
        <v>2</v>
      </c>
      <c r="X2" s="68" t="s">
        <v>7</v>
      </c>
      <c r="Y2" s="98"/>
      <c r="Z2" s="68" t="s">
        <v>1</v>
      </c>
      <c r="AA2" s="68" t="s">
        <v>2</v>
      </c>
      <c r="AB2" s="68" t="s">
        <v>7</v>
      </c>
      <c r="AC2" s="99"/>
      <c r="AD2" s="68" t="s">
        <v>1</v>
      </c>
      <c r="AE2" s="68" t="s">
        <v>2</v>
      </c>
      <c r="AF2" s="68" t="s">
        <v>7</v>
      </c>
      <c r="AG2" s="100"/>
      <c r="AH2" s="68" t="s">
        <v>1</v>
      </c>
      <c r="AI2" s="68" t="s">
        <v>2</v>
      </c>
      <c r="AJ2" s="68" t="s">
        <v>7</v>
      </c>
      <c r="AK2" s="99"/>
      <c r="AL2" s="68" t="s">
        <v>1</v>
      </c>
      <c r="AM2" s="68" t="s">
        <v>2</v>
      </c>
      <c r="AN2" s="68" t="s">
        <v>7</v>
      </c>
      <c r="AO2" s="100"/>
      <c r="AP2" s="68" t="s">
        <v>1</v>
      </c>
      <c r="AQ2" s="68" t="s">
        <v>2</v>
      </c>
      <c r="AR2" s="68" t="s">
        <v>7</v>
      </c>
      <c r="AS2" s="100"/>
      <c r="AT2" s="100"/>
      <c r="AU2" s="101"/>
    </row>
    <row r="3" spans="2:47" ht="15" customHeight="1" x14ac:dyDescent="0.3">
      <c r="B3" s="69">
        <v>5</v>
      </c>
      <c r="C3" s="69" t="s">
        <v>41</v>
      </c>
      <c r="D3" s="70">
        <v>100</v>
      </c>
      <c r="F3" s="69">
        <v>2</v>
      </c>
      <c r="G3" s="69" t="s">
        <v>280</v>
      </c>
      <c r="H3" s="70">
        <v>484.05</v>
      </c>
      <c r="J3" s="5">
        <v>5</v>
      </c>
      <c r="K3" s="5" t="s">
        <v>43</v>
      </c>
      <c r="L3" s="63">
        <v>1029.4000000000001</v>
      </c>
      <c r="N3" s="5">
        <v>2</v>
      </c>
      <c r="O3" s="5" t="s">
        <v>281</v>
      </c>
      <c r="P3" s="63">
        <v>477.68</v>
      </c>
      <c r="R3" s="5">
        <v>6</v>
      </c>
      <c r="S3" s="5" t="s">
        <v>282</v>
      </c>
      <c r="T3" s="63">
        <v>177.86</v>
      </c>
      <c r="V3" s="5">
        <v>4</v>
      </c>
      <c r="W3" s="5" t="s">
        <v>283</v>
      </c>
      <c r="X3" s="63">
        <v>1561.18</v>
      </c>
      <c r="Y3" s="102"/>
      <c r="Z3" s="5">
        <v>30</v>
      </c>
      <c r="AA3" s="5" t="s">
        <v>16</v>
      </c>
      <c r="AB3" s="63">
        <v>13185</v>
      </c>
      <c r="AC3" s="99"/>
      <c r="AD3" s="5">
        <v>31</v>
      </c>
      <c r="AE3" s="5" t="s">
        <v>16</v>
      </c>
      <c r="AF3" s="63">
        <v>13185</v>
      </c>
      <c r="AG3" s="100"/>
      <c r="AH3" s="5">
        <v>30</v>
      </c>
      <c r="AI3" s="5" t="s">
        <v>16</v>
      </c>
      <c r="AJ3" s="63">
        <v>8185</v>
      </c>
      <c r="AK3" s="99"/>
      <c r="AL3" s="5"/>
      <c r="AM3" s="5"/>
      <c r="AN3" s="63"/>
      <c r="AO3" s="100"/>
      <c r="AP3" s="5"/>
      <c r="AQ3" s="5"/>
      <c r="AR3" s="63"/>
      <c r="AS3" s="100"/>
      <c r="AT3" s="100"/>
      <c r="AU3" s="101"/>
    </row>
    <row r="4" spans="2:47" ht="15" customHeight="1" x14ac:dyDescent="0.3">
      <c r="B4" s="69">
        <v>9</v>
      </c>
      <c r="C4" s="69" t="s">
        <v>284</v>
      </c>
      <c r="D4" s="70">
        <v>1736.83</v>
      </c>
      <c r="F4" s="69">
        <v>7</v>
      </c>
      <c r="G4" s="69" t="s">
        <v>285</v>
      </c>
      <c r="H4" s="70">
        <v>537</v>
      </c>
      <c r="J4" s="5">
        <v>5</v>
      </c>
      <c r="K4" s="5" t="s">
        <v>43</v>
      </c>
      <c r="L4" s="63">
        <v>156.69999999999999</v>
      </c>
      <c r="N4" s="5">
        <v>2</v>
      </c>
      <c r="O4" s="5" t="s">
        <v>280</v>
      </c>
      <c r="P4" s="63">
        <v>182.54</v>
      </c>
      <c r="R4" s="5">
        <v>6</v>
      </c>
      <c r="S4" s="5" t="s">
        <v>282</v>
      </c>
      <c r="T4" s="63">
        <v>321.07</v>
      </c>
      <c r="V4" s="5">
        <v>18</v>
      </c>
      <c r="W4" s="5" t="s">
        <v>283</v>
      </c>
      <c r="X4" s="63">
        <v>1561.64</v>
      </c>
      <c r="Y4" s="102"/>
      <c r="Z4" s="5"/>
      <c r="AA4" s="5"/>
      <c r="AB4" s="63"/>
      <c r="AC4" s="99"/>
      <c r="AD4" s="5"/>
      <c r="AE4" s="5"/>
      <c r="AF4" s="63"/>
      <c r="AG4" s="100"/>
      <c r="AH4" s="5"/>
      <c r="AI4" s="5"/>
      <c r="AJ4" s="63"/>
      <c r="AK4" s="99"/>
      <c r="AL4" s="5"/>
      <c r="AM4" s="5"/>
      <c r="AN4" s="63"/>
      <c r="AO4" s="100"/>
      <c r="AP4" s="5"/>
      <c r="AQ4" s="5"/>
      <c r="AR4" s="63"/>
      <c r="AS4" s="100"/>
      <c r="AT4" s="100"/>
      <c r="AU4" s="101"/>
    </row>
    <row r="5" spans="2:47" ht="15" customHeight="1" x14ac:dyDescent="0.3">
      <c r="B5" s="69">
        <v>10</v>
      </c>
      <c r="C5" s="69" t="s">
        <v>280</v>
      </c>
      <c r="D5" s="70">
        <v>400.39</v>
      </c>
      <c r="F5" s="69">
        <v>7</v>
      </c>
      <c r="G5" s="69" t="s">
        <v>43</v>
      </c>
      <c r="H5" s="70">
        <v>1074</v>
      </c>
      <c r="J5" s="5">
        <v>5</v>
      </c>
      <c r="K5" s="5" t="s">
        <v>43</v>
      </c>
      <c r="L5" s="63">
        <v>564.36</v>
      </c>
      <c r="N5" s="5">
        <v>3</v>
      </c>
      <c r="O5" s="5" t="s">
        <v>286</v>
      </c>
      <c r="P5" s="63">
        <v>115.8</v>
      </c>
      <c r="R5" s="5">
        <v>1</v>
      </c>
      <c r="S5" s="5" t="s">
        <v>286</v>
      </c>
      <c r="T5" s="63">
        <v>115.8</v>
      </c>
      <c r="V5" s="5">
        <v>3</v>
      </c>
      <c r="W5" s="5" t="s">
        <v>282</v>
      </c>
      <c r="X5" s="63">
        <v>211.23</v>
      </c>
      <c r="Y5" s="102"/>
      <c r="Z5" s="5"/>
      <c r="AA5" s="5"/>
      <c r="AB5" s="63"/>
      <c r="AC5" s="99"/>
      <c r="AD5" s="5"/>
      <c r="AE5" s="5"/>
      <c r="AF5" s="63"/>
      <c r="AG5" s="100"/>
      <c r="AH5" s="5"/>
      <c r="AI5" s="5"/>
      <c r="AJ5" s="63"/>
      <c r="AK5" s="99"/>
      <c r="AL5" s="5"/>
      <c r="AM5" s="5"/>
      <c r="AN5" s="63"/>
      <c r="AO5" s="100"/>
      <c r="AP5" s="5"/>
      <c r="AQ5" s="5"/>
      <c r="AR5" s="63"/>
      <c r="AS5" s="100"/>
      <c r="AT5" s="100"/>
      <c r="AU5" s="101"/>
    </row>
    <row r="6" spans="2:47" ht="15" customHeight="1" x14ac:dyDescent="0.3">
      <c r="B6" s="69">
        <v>10</v>
      </c>
      <c r="C6" s="69" t="s">
        <v>287</v>
      </c>
      <c r="D6" s="70">
        <v>400.39</v>
      </c>
      <c r="F6" s="69">
        <v>7</v>
      </c>
      <c r="G6" s="69" t="s">
        <v>43</v>
      </c>
      <c r="H6" s="70">
        <v>1708.78</v>
      </c>
      <c r="J6" s="5">
        <v>7</v>
      </c>
      <c r="K6" s="5" t="s">
        <v>280</v>
      </c>
      <c r="L6" s="63">
        <v>600.69000000000005</v>
      </c>
      <c r="N6" s="5">
        <v>6</v>
      </c>
      <c r="O6" s="5" t="s">
        <v>285</v>
      </c>
      <c r="P6" s="63">
        <v>571.9</v>
      </c>
      <c r="R6" s="5">
        <v>14</v>
      </c>
      <c r="S6" s="5" t="s">
        <v>280</v>
      </c>
      <c r="T6" s="63">
        <v>217.35</v>
      </c>
      <c r="V6" s="5">
        <v>31</v>
      </c>
      <c r="W6" s="5" t="s">
        <v>16</v>
      </c>
      <c r="X6" s="63">
        <v>13185</v>
      </c>
      <c r="Y6" s="63"/>
      <c r="Z6" s="5"/>
      <c r="AA6" s="5"/>
      <c r="AB6" s="63"/>
      <c r="AC6" s="99"/>
      <c r="AD6" s="5"/>
      <c r="AE6" s="5"/>
      <c r="AF6" s="63"/>
      <c r="AG6" s="100"/>
      <c r="AH6" s="5"/>
      <c r="AI6" s="5"/>
      <c r="AJ6" s="63"/>
      <c r="AK6" s="99"/>
      <c r="AL6" s="5"/>
      <c r="AM6" s="5"/>
      <c r="AN6" s="63"/>
      <c r="AO6" s="100"/>
      <c r="AP6" s="5"/>
      <c r="AQ6" s="5"/>
      <c r="AR6" s="63"/>
      <c r="AS6" s="100"/>
      <c r="AT6" s="100"/>
      <c r="AU6" s="101"/>
    </row>
    <row r="7" spans="2:47" ht="15" customHeight="1" x14ac:dyDescent="0.3">
      <c r="B7" s="69">
        <v>10</v>
      </c>
      <c r="C7" s="69" t="s">
        <v>288</v>
      </c>
      <c r="D7" s="70">
        <v>432.89</v>
      </c>
      <c r="F7" s="69">
        <v>7</v>
      </c>
      <c r="G7" s="69" t="s">
        <v>280</v>
      </c>
      <c r="H7" s="70">
        <v>399.72</v>
      </c>
      <c r="J7" s="5">
        <v>11</v>
      </c>
      <c r="K7" s="5" t="s">
        <v>289</v>
      </c>
      <c r="L7" s="63">
        <v>1022.53</v>
      </c>
      <c r="N7" s="5">
        <v>8</v>
      </c>
      <c r="O7" s="5" t="s">
        <v>290</v>
      </c>
      <c r="P7" s="63">
        <v>1486.49</v>
      </c>
      <c r="R7" s="5">
        <v>14</v>
      </c>
      <c r="S7" s="5" t="s">
        <v>280</v>
      </c>
      <c r="T7" s="63">
        <v>379.7</v>
      </c>
      <c r="V7" s="5">
        <v>4</v>
      </c>
      <c r="W7" s="5" t="s">
        <v>280</v>
      </c>
      <c r="X7" s="63">
        <v>831.47</v>
      </c>
      <c r="Y7" s="102"/>
      <c r="Z7" s="5"/>
      <c r="AA7" s="5"/>
      <c r="AB7" s="63"/>
      <c r="AC7" s="99"/>
      <c r="AD7" s="5"/>
      <c r="AE7" s="5"/>
      <c r="AF7" s="63"/>
      <c r="AG7" s="100"/>
      <c r="AH7" s="5"/>
      <c r="AI7" s="5"/>
      <c r="AJ7" s="63"/>
      <c r="AK7" s="99"/>
      <c r="AL7" s="5"/>
      <c r="AM7" s="5"/>
      <c r="AN7" s="63"/>
      <c r="AO7" s="100"/>
      <c r="AP7" s="5"/>
      <c r="AQ7" s="5"/>
      <c r="AR7" s="63"/>
      <c r="AS7" s="100"/>
      <c r="AT7" s="100"/>
      <c r="AU7" s="101"/>
    </row>
    <row r="8" spans="2:47" ht="15" customHeight="1" x14ac:dyDescent="0.3">
      <c r="B8" s="69">
        <v>15</v>
      </c>
      <c r="C8" s="69" t="s">
        <v>291</v>
      </c>
      <c r="D8" s="70">
        <v>202.8</v>
      </c>
      <c r="F8" s="5">
        <v>8</v>
      </c>
      <c r="G8" s="5" t="s">
        <v>286</v>
      </c>
      <c r="H8" s="63">
        <v>755</v>
      </c>
      <c r="J8" s="5">
        <v>11</v>
      </c>
      <c r="K8" s="5" t="s">
        <v>290</v>
      </c>
      <c r="L8" s="63">
        <v>1734.28</v>
      </c>
      <c r="N8" s="5">
        <v>8</v>
      </c>
      <c r="O8" s="5" t="s">
        <v>282</v>
      </c>
      <c r="P8" s="63">
        <v>772.73</v>
      </c>
      <c r="R8" s="5">
        <v>7</v>
      </c>
      <c r="S8" s="5" t="s">
        <v>281</v>
      </c>
      <c r="T8" s="63">
        <v>529.5</v>
      </c>
      <c r="V8" s="5"/>
      <c r="W8" s="5"/>
      <c r="X8" s="63"/>
      <c r="Y8" s="102"/>
      <c r="Z8" s="5"/>
      <c r="AA8" s="5"/>
      <c r="AB8" s="63"/>
      <c r="AC8" s="99"/>
      <c r="AD8" s="5"/>
      <c r="AE8" s="5"/>
      <c r="AF8" s="63"/>
      <c r="AG8" s="100"/>
      <c r="AH8" s="5"/>
      <c r="AI8" s="5"/>
      <c r="AJ8" s="63"/>
      <c r="AK8" s="99"/>
      <c r="AL8" s="5"/>
      <c r="AM8" s="5"/>
      <c r="AN8" s="63"/>
      <c r="AO8" s="100"/>
      <c r="AP8" s="5"/>
      <c r="AQ8" s="5"/>
      <c r="AR8" s="63"/>
      <c r="AS8" s="100"/>
      <c r="AT8" s="100"/>
      <c r="AU8" s="101"/>
    </row>
    <row r="9" spans="2:47" ht="15" customHeight="1" x14ac:dyDescent="0.3">
      <c r="B9" s="69">
        <v>17</v>
      </c>
      <c r="C9" s="69" t="s">
        <v>292</v>
      </c>
      <c r="D9" s="70">
        <v>883.32</v>
      </c>
      <c r="F9" s="5">
        <v>11</v>
      </c>
      <c r="G9" s="5" t="s">
        <v>292</v>
      </c>
      <c r="H9" s="63">
        <v>1022.5</v>
      </c>
      <c r="J9" s="5">
        <v>11</v>
      </c>
      <c r="K9" s="5" t="s">
        <v>282</v>
      </c>
      <c r="L9" s="63">
        <v>211.23</v>
      </c>
      <c r="N9" s="5">
        <v>8</v>
      </c>
      <c r="O9" s="5" t="s">
        <v>282</v>
      </c>
      <c r="P9" s="63">
        <v>444.67</v>
      </c>
      <c r="R9" s="5">
        <v>21</v>
      </c>
      <c r="S9" s="5" t="s">
        <v>283</v>
      </c>
      <c r="T9" s="63">
        <v>1561.18</v>
      </c>
      <c r="V9" s="5"/>
      <c r="W9" s="5"/>
      <c r="X9" s="63"/>
      <c r="Y9" s="102"/>
      <c r="Z9" s="5"/>
      <c r="AA9" s="5"/>
      <c r="AB9" s="63"/>
      <c r="AC9" s="99"/>
      <c r="AD9" s="5"/>
      <c r="AE9" s="5"/>
      <c r="AF9" s="63"/>
      <c r="AG9" s="100"/>
      <c r="AH9" s="5"/>
      <c r="AI9" s="5"/>
      <c r="AJ9" s="63"/>
      <c r="AK9" s="99"/>
      <c r="AL9" s="5"/>
      <c r="AM9" s="5"/>
      <c r="AN9" s="63"/>
      <c r="AO9" s="100"/>
      <c r="AP9" s="5"/>
      <c r="AQ9" s="5"/>
      <c r="AR9" s="63"/>
      <c r="AS9" s="100"/>
      <c r="AT9" s="100"/>
      <c r="AU9" s="101"/>
    </row>
    <row r="10" spans="2:47" ht="15" customHeight="1" x14ac:dyDescent="0.3">
      <c r="B10" s="69">
        <v>17</v>
      </c>
      <c r="C10" s="69" t="s">
        <v>43</v>
      </c>
      <c r="D10" s="70">
        <v>2521.7399999999998</v>
      </c>
      <c r="F10" s="5">
        <v>13</v>
      </c>
      <c r="G10" s="5" t="s">
        <v>293</v>
      </c>
      <c r="H10" s="63">
        <v>850.5</v>
      </c>
      <c r="J10" s="5">
        <v>11</v>
      </c>
      <c r="K10" s="5" t="s">
        <v>282</v>
      </c>
      <c r="L10" s="63">
        <v>66.73</v>
      </c>
      <c r="N10" s="5">
        <v>9</v>
      </c>
      <c r="O10" s="5" t="s">
        <v>280</v>
      </c>
      <c r="P10" s="63">
        <v>182.55</v>
      </c>
      <c r="R10" s="5">
        <v>14</v>
      </c>
      <c r="S10" s="5" t="s">
        <v>281</v>
      </c>
      <c r="T10" s="63">
        <v>852.89</v>
      </c>
      <c r="V10" s="5"/>
      <c r="W10" s="5"/>
      <c r="X10" s="63"/>
      <c r="Y10" s="102"/>
      <c r="Z10" s="5"/>
      <c r="AA10" s="5"/>
      <c r="AB10" s="63"/>
      <c r="AC10" s="99"/>
      <c r="AD10" s="5"/>
      <c r="AE10" s="5"/>
      <c r="AF10" s="63"/>
      <c r="AG10" s="100"/>
      <c r="AH10" s="5"/>
      <c r="AI10" s="5"/>
      <c r="AJ10" s="63"/>
      <c r="AK10" s="99"/>
      <c r="AL10" s="5"/>
      <c r="AM10" s="5"/>
      <c r="AN10" s="63"/>
      <c r="AO10" s="100"/>
      <c r="AP10" s="5"/>
      <c r="AQ10" s="5"/>
      <c r="AR10" s="63"/>
      <c r="AS10" s="100"/>
      <c r="AT10" s="100"/>
      <c r="AU10" s="101"/>
    </row>
    <row r="11" spans="2:47" ht="15" customHeight="1" x14ac:dyDescent="0.3">
      <c r="B11" s="69">
        <v>18</v>
      </c>
      <c r="C11" s="69" t="s">
        <v>286</v>
      </c>
      <c r="D11" s="70">
        <v>650</v>
      </c>
      <c r="F11" s="5">
        <v>13</v>
      </c>
      <c r="G11" s="5" t="s">
        <v>289</v>
      </c>
      <c r="H11" s="63">
        <v>5052.07</v>
      </c>
      <c r="J11" s="5">
        <v>12</v>
      </c>
      <c r="K11" s="5" t="s">
        <v>43</v>
      </c>
      <c r="L11" s="63">
        <v>156.69999999999999</v>
      </c>
      <c r="N11" s="5">
        <v>9</v>
      </c>
      <c r="O11" s="5" t="s">
        <v>281</v>
      </c>
      <c r="P11" s="63">
        <v>578</v>
      </c>
      <c r="R11" s="5">
        <v>22</v>
      </c>
      <c r="S11" s="5" t="s">
        <v>286</v>
      </c>
      <c r="T11" s="63">
        <v>738.6</v>
      </c>
      <c r="V11" s="5"/>
      <c r="W11" s="5"/>
      <c r="X11" s="63"/>
      <c r="Y11" s="102"/>
      <c r="Z11" s="5"/>
      <c r="AA11" s="5"/>
      <c r="AB11" s="63"/>
      <c r="AC11" s="99"/>
      <c r="AD11" s="5"/>
      <c r="AE11" s="5"/>
      <c r="AF11" s="63"/>
      <c r="AG11" s="100"/>
      <c r="AH11" s="5"/>
      <c r="AI11" s="5"/>
      <c r="AJ11" s="63"/>
      <c r="AK11" s="99"/>
      <c r="AL11" s="5"/>
      <c r="AM11" s="5"/>
      <c r="AN11" s="63"/>
      <c r="AO11" s="100"/>
      <c r="AP11" s="5"/>
      <c r="AQ11" s="5"/>
      <c r="AR11" s="63"/>
      <c r="AS11" s="100"/>
      <c r="AT11" s="100"/>
      <c r="AU11" s="101"/>
    </row>
    <row r="12" spans="2:47" ht="15" customHeight="1" x14ac:dyDescent="0.3">
      <c r="B12" s="69">
        <v>18</v>
      </c>
      <c r="C12" s="69" t="s">
        <v>294</v>
      </c>
      <c r="D12" s="70">
        <v>278</v>
      </c>
      <c r="F12" s="5">
        <v>14</v>
      </c>
      <c r="G12" s="5" t="s">
        <v>43</v>
      </c>
      <c r="H12" s="63">
        <v>1708.19</v>
      </c>
      <c r="J12" s="5">
        <v>12</v>
      </c>
      <c r="K12" s="5" t="s">
        <v>43</v>
      </c>
      <c r="L12" s="63">
        <v>564.37</v>
      </c>
      <c r="N12" s="5">
        <v>9</v>
      </c>
      <c r="O12" s="5" t="s">
        <v>281</v>
      </c>
      <c r="P12" s="63">
        <v>1084.28</v>
      </c>
      <c r="R12" s="5">
        <v>25</v>
      </c>
      <c r="S12" s="5" t="s">
        <v>1228</v>
      </c>
      <c r="T12" s="63">
        <v>112.62</v>
      </c>
      <c r="V12" s="5"/>
      <c r="W12" s="5"/>
      <c r="X12" s="63"/>
      <c r="Y12" s="102"/>
      <c r="Z12" s="5"/>
      <c r="AA12" s="5"/>
      <c r="AB12" s="63"/>
      <c r="AC12" s="99"/>
      <c r="AD12" s="5"/>
      <c r="AE12" s="5"/>
      <c r="AF12" s="63"/>
      <c r="AG12" s="100"/>
      <c r="AH12" s="5"/>
      <c r="AI12" s="5"/>
      <c r="AJ12" s="63"/>
      <c r="AK12" s="99"/>
      <c r="AL12" s="5"/>
      <c r="AM12" s="5"/>
      <c r="AN12" s="63"/>
      <c r="AO12" s="100"/>
      <c r="AP12" s="5"/>
      <c r="AQ12" s="5"/>
      <c r="AR12" s="63"/>
      <c r="AS12" s="100"/>
      <c r="AT12" s="100"/>
      <c r="AU12" s="101"/>
    </row>
    <row r="13" spans="2:47" ht="15" customHeight="1" x14ac:dyDescent="0.3">
      <c r="B13" s="69">
        <v>20</v>
      </c>
      <c r="C13" s="69" t="s">
        <v>295</v>
      </c>
      <c r="D13" s="70">
        <v>1769.9</v>
      </c>
      <c r="F13" s="5">
        <v>15</v>
      </c>
      <c r="G13" s="5" t="s">
        <v>280</v>
      </c>
      <c r="H13" s="63">
        <v>255.67</v>
      </c>
      <c r="J13" s="5">
        <v>12</v>
      </c>
      <c r="K13" s="5" t="s">
        <v>280</v>
      </c>
      <c r="L13" s="63">
        <v>1977.87</v>
      </c>
      <c r="N13" s="5">
        <v>10</v>
      </c>
      <c r="O13" s="71" t="s">
        <v>296</v>
      </c>
      <c r="P13" s="63">
        <v>1085.93</v>
      </c>
      <c r="R13" s="5">
        <v>22</v>
      </c>
      <c r="S13" s="5" t="s">
        <v>280</v>
      </c>
      <c r="T13" s="63">
        <v>904.82</v>
      </c>
      <c r="V13" s="5"/>
      <c r="W13" s="5"/>
      <c r="X13" s="63"/>
      <c r="Y13" s="102"/>
      <c r="Z13" s="5"/>
      <c r="AA13" s="5"/>
      <c r="AB13" s="63"/>
      <c r="AC13" s="99"/>
      <c r="AD13" s="5"/>
      <c r="AE13" s="5"/>
      <c r="AF13" s="63"/>
      <c r="AG13" s="100"/>
      <c r="AH13" s="5"/>
      <c r="AI13" s="5"/>
      <c r="AJ13" s="63"/>
      <c r="AK13" s="99"/>
      <c r="AL13" s="5"/>
      <c r="AM13" s="5"/>
      <c r="AN13" s="63"/>
      <c r="AO13" s="100"/>
      <c r="AP13" s="5"/>
      <c r="AQ13" s="5"/>
      <c r="AR13" s="63"/>
      <c r="AS13" s="100"/>
      <c r="AT13" s="100"/>
      <c r="AU13" s="101"/>
    </row>
    <row r="14" spans="2:47" ht="15" customHeight="1" x14ac:dyDescent="0.3">
      <c r="B14" s="69">
        <v>21</v>
      </c>
      <c r="C14" s="69" t="s">
        <v>297</v>
      </c>
      <c r="D14" s="70">
        <v>329.39</v>
      </c>
      <c r="F14" s="5">
        <v>20</v>
      </c>
      <c r="G14" s="5" t="s">
        <v>297</v>
      </c>
      <c r="H14" s="63">
        <v>329.39</v>
      </c>
      <c r="J14" s="5">
        <v>14</v>
      </c>
      <c r="K14" s="5" t="s">
        <v>298</v>
      </c>
      <c r="L14" s="63">
        <v>1132.95</v>
      </c>
      <c r="N14" s="5">
        <v>15</v>
      </c>
      <c r="O14" s="5" t="s">
        <v>280</v>
      </c>
      <c r="P14" s="63">
        <v>231.55</v>
      </c>
      <c r="R14" s="5">
        <v>31</v>
      </c>
      <c r="S14" s="5" t="s">
        <v>16</v>
      </c>
      <c r="T14" s="63">
        <v>13185</v>
      </c>
      <c r="V14" s="5"/>
      <c r="W14" s="5"/>
      <c r="X14" s="63"/>
      <c r="Y14" s="102"/>
      <c r="Z14" s="5"/>
      <c r="AA14" s="5"/>
      <c r="AB14" s="63"/>
      <c r="AC14" s="99"/>
      <c r="AD14" s="5"/>
      <c r="AE14" s="5"/>
      <c r="AF14" s="63"/>
      <c r="AG14" s="100"/>
      <c r="AH14" s="5"/>
      <c r="AI14" s="5"/>
      <c r="AJ14" s="63"/>
      <c r="AK14" s="99"/>
      <c r="AL14" s="5"/>
      <c r="AM14" s="5"/>
      <c r="AN14" s="63"/>
      <c r="AO14" s="100"/>
      <c r="AP14" s="5"/>
      <c r="AQ14" s="5"/>
      <c r="AR14" s="63"/>
      <c r="AS14" s="100"/>
      <c r="AT14" s="100"/>
      <c r="AU14" s="101"/>
    </row>
    <row r="15" spans="2:47" ht="15" customHeight="1" x14ac:dyDescent="0.3">
      <c r="B15" s="69">
        <v>20</v>
      </c>
      <c r="C15" s="69" t="s">
        <v>299</v>
      </c>
      <c r="D15" s="70">
        <v>724.51</v>
      </c>
      <c r="F15" s="5">
        <v>20</v>
      </c>
      <c r="G15" s="5" t="s">
        <v>43</v>
      </c>
      <c r="H15" s="63">
        <v>278.93</v>
      </c>
      <c r="J15" s="5">
        <v>14</v>
      </c>
      <c r="K15" s="5" t="s">
        <v>31</v>
      </c>
      <c r="L15" s="63">
        <v>254.8</v>
      </c>
      <c r="N15" s="5">
        <v>16</v>
      </c>
      <c r="O15" s="5" t="s">
        <v>281</v>
      </c>
      <c r="P15" s="63">
        <v>578</v>
      </c>
      <c r="R15" s="5">
        <v>21</v>
      </c>
      <c r="S15" s="5" t="s">
        <v>281</v>
      </c>
      <c r="T15" s="63">
        <v>486.52</v>
      </c>
      <c r="V15" s="5"/>
      <c r="W15" s="5"/>
      <c r="X15" s="63"/>
      <c r="Y15" s="102"/>
      <c r="Z15" s="5"/>
      <c r="AA15" s="5"/>
      <c r="AB15" s="63"/>
      <c r="AC15" s="99"/>
      <c r="AD15" s="5"/>
      <c r="AE15" s="5"/>
      <c r="AF15" s="63"/>
      <c r="AG15" s="100"/>
      <c r="AH15" s="5"/>
      <c r="AI15" s="5"/>
      <c r="AJ15" s="63"/>
      <c r="AK15" s="99"/>
      <c r="AL15" s="5"/>
      <c r="AM15" s="5"/>
      <c r="AN15" s="63"/>
      <c r="AO15" s="100"/>
      <c r="AP15" s="5"/>
      <c r="AQ15" s="5"/>
      <c r="AR15" s="63"/>
      <c r="AS15" s="100"/>
      <c r="AT15" s="100"/>
      <c r="AU15" s="101"/>
    </row>
    <row r="16" spans="2:47" ht="15" customHeight="1" x14ac:dyDescent="0.3">
      <c r="B16" s="69">
        <v>23</v>
      </c>
      <c r="C16" s="69" t="s">
        <v>283</v>
      </c>
      <c r="D16" s="70">
        <v>1737.35</v>
      </c>
      <c r="F16" s="5">
        <v>21</v>
      </c>
      <c r="G16" s="5" t="s">
        <v>43</v>
      </c>
      <c r="H16" s="63">
        <v>1708.19</v>
      </c>
      <c r="J16" s="5">
        <v>14</v>
      </c>
      <c r="K16" s="5" t="s">
        <v>300</v>
      </c>
      <c r="L16" s="63">
        <v>697.1</v>
      </c>
      <c r="N16" s="5">
        <v>16</v>
      </c>
      <c r="O16" s="5" t="s">
        <v>281</v>
      </c>
      <c r="P16" s="63">
        <v>1084.28</v>
      </c>
      <c r="R16" s="5"/>
      <c r="S16" s="5"/>
      <c r="T16" s="63"/>
      <c r="V16" s="5"/>
      <c r="W16" s="5"/>
      <c r="X16" s="63"/>
      <c r="Y16" s="102"/>
      <c r="Z16" s="5"/>
      <c r="AA16" s="5"/>
      <c r="AB16" s="63"/>
      <c r="AC16" s="99"/>
      <c r="AD16" s="5"/>
      <c r="AE16" s="5"/>
      <c r="AF16" s="63"/>
      <c r="AG16" s="100"/>
      <c r="AH16" s="5"/>
      <c r="AI16" s="5"/>
      <c r="AJ16" s="63"/>
      <c r="AK16" s="99"/>
      <c r="AL16" s="5"/>
      <c r="AM16" s="5"/>
      <c r="AN16" s="63"/>
      <c r="AO16" s="100"/>
      <c r="AP16" s="5"/>
      <c r="AQ16" s="5"/>
      <c r="AR16" s="63"/>
      <c r="AS16" s="100"/>
      <c r="AT16" s="100"/>
      <c r="AU16" s="101"/>
    </row>
    <row r="17" spans="2:47" ht="15" customHeight="1" x14ac:dyDescent="0.3">
      <c r="B17" s="69">
        <v>25</v>
      </c>
      <c r="C17" s="69" t="s">
        <v>283</v>
      </c>
      <c r="D17" s="70">
        <v>1139.44</v>
      </c>
      <c r="F17" s="5">
        <v>25</v>
      </c>
      <c r="G17" s="5" t="s">
        <v>282</v>
      </c>
      <c r="H17" s="63">
        <v>422.46</v>
      </c>
      <c r="J17" s="5">
        <v>18</v>
      </c>
      <c r="K17" s="5" t="s">
        <v>43</v>
      </c>
      <c r="L17" s="63">
        <v>1812.07</v>
      </c>
      <c r="N17" s="5">
        <v>16</v>
      </c>
      <c r="O17" s="5" t="s">
        <v>282</v>
      </c>
      <c r="P17" s="63">
        <v>136.51</v>
      </c>
      <c r="R17" s="5"/>
      <c r="S17" s="5"/>
      <c r="T17" s="63"/>
      <c r="V17" s="5"/>
      <c r="W17" s="5"/>
      <c r="X17" s="63"/>
      <c r="Y17" s="102"/>
      <c r="Z17" s="5"/>
      <c r="AA17" s="5"/>
      <c r="AB17" s="63"/>
      <c r="AC17" s="99"/>
      <c r="AD17" s="5"/>
      <c r="AE17" s="5"/>
      <c r="AF17" s="63"/>
      <c r="AG17" s="100"/>
      <c r="AH17" s="5"/>
      <c r="AI17" s="5"/>
      <c r="AJ17" s="63"/>
      <c r="AK17" s="99"/>
      <c r="AL17" s="5"/>
      <c r="AM17" s="5"/>
      <c r="AN17" s="63"/>
      <c r="AO17" s="100"/>
      <c r="AP17" s="5"/>
      <c r="AQ17" s="5"/>
      <c r="AR17" s="63"/>
      <c r="AS17" s="100"/>
      <c r="AT17" s="100"/>
      <c r="AU17" s="101"/>
    </row>
    <row r="18" spans="2:47" ht="15" customHeight="1" x14ac:dyDescent="0.3">
      <c r="B18" s="69"/>
      <c r="C18" s="69"/>
      <c r="D18" s="70"/>
      <c r="F18" s="5">
        <v>25</v>
      </c>
      <c r="G18" s="5" t="s">
        <v>282</v>
      </c>
      <c r="H18" s="72">
        <v>1545.5</v>
      </c>
      <c r="J18" s="5">
        <v>20</v>
      </c>
      <c r="K18" s="5" t="s">
        <v>301</v>
      </c>
      <c r="L18" s="63">
        <v>115.8</v>
      </c>
      <c r="N18" s="5">
        <v>20</v>
      </c>
      <c r="O18" s="5" t="s">
        <v>285</v>
      </c>
      <c r="P18" s="63">
        <v>537</v>
      </c>
      <c r="R18" s="5"/>
      <c r="S18" s="5"/>
      <c r="T18" s="63"/>
      <c r="V18" s="5"/>
      <c r="W18" s="5"/>
      <c r="X18" s="63"/>
      <c r="Y18" s="102"/>
      <c r="Z18" s="5"/>
      <c r="AA18" s="5"/>
      <c r="AB18" s="63"/>
      <c r="AC18" s="99"/>
      <c r="AD18" s="5"/>
      <c r="AE18" s="5"/>
      <c r="AF18" s="63"/>
      <c r="AG18" s="100"/>
      <c r="AH18" s="5"/>
      <c r="AI18" s="5"/>
      <c r="AJ18" s="63"/>
      <c r="AK18" s="99"/>
      <c r="AL18" s="5"/>
      <c r="AM18" s="5"/>
      <c r="AN18" s="63"/>
      <c r="AO18" s="100"/>
      <c r="AP18" s="5"/>
      <c r="AQ18" s="5"/>
      <c r="AR18" s="63"/>
      <c r="AS18" s="100"/>
      <c r="AT18" s="100"/>
      <c r="AU18" s="101"/>
    </row>
    <row r="19" spans="2:47" ht="15" customHeight="1" x14ac:dyDescent="0.3">
      <c r="B19" s="69">
        <v>30</v>
      </c>
      <c r="C19" s="69" t="s">
        <v>302</v>
      </c>
      <c r="D19" s="70">
        <v>370</v>
      </c>
      <c r="F19" s="5">
        <v>27</v>
      </c>
      <c r="G19" s="5" t="s">
        <v>43</v>
      </c>
      <c r="H19" s="63">
        <v>278.93</v>
      </c>
      <c r="J19" s="5">
        <v>21</v>
      </c>
      <c r="K19" s="5" t="s">
        <v>300</v>
      </c>
      <c r="L19" s="63">
        <v>697.1</v>
      </c>
      <c r="N19" s="5">
        <v>22</v>
      </c>
      <c r="O19" s="5" t="s">
        <v>290</v>
      </c>
      <c r="P19" s="63">
        <v>1486.94</v>
      </c>
      <c r="R19" s="5"/>
      <c r="S19" s="5"/>
      <c r="T19" s="63"/>
      <c r="V19" s="5"/>
      <c r="W19" s="5"/>
      <c r="X19" s="63"/>
      <c r="Y19" s="102"/>
      <c r="Z19" s="5"/>
      <c r="AA19" s="5"/>
      <c r="AB19" s="63"/>
      <c r="AC19" s="99"/>
      <c r="AD19" s="5"/>
      <c r="AE19" s="5"/>
      <c r="AF19" s="63"/>
      <c r="AG19" s="100"/>
      <c r="AH19" s="5"/>
      <c r="AI19" s="5"/>
      <c r="AJ19" s="63"/>
      <c r="AK19" s="99"/>
      <c r="AL19" s="5"/>
      <c r="AM19" s="5"/>
      <c r="AN19" s="63"/>
      <c r="AO19" s="100"/>
      <c r="AP19" s="5"/>
      <c r="AQ19" s="5"/>
      <c r="AR19" s="63"/>
      <c r="AS19" s="100"/>
      <c r="AT19" s="100"/>
      <c r="AU19" s="101"/>
    </row>
    <row r="20" spans="2:47" ht="15" customHeight="1" x14ac:dyDescent="0.3">
      <c r="B20" s="69">
        <v>30</v>
      </c>
      <c r="C20" s="69" t="s">
        <v>303</v>
      </c>
      <c r="D20" s="70">
        <v>600</v>
      </c>
      <c r="F20" s="5">
        <v>27</v>
      </c>
      <c r="G20" s="5" t="s">
        <v>290</v>
      </c>
      <c r="H20" s="63">
        <v>1734.28</v>
      </c>
      <c r="J20" s="5">
        <v>25</v>
      </c>
      <c r="K20" s="5" t="s">
        <v>290</v>
      </c>
      <c r="L20" s="63">
        <v>1734.8</v>
      </c>
      <c r="N20" s="5">
        <v>22</v>
      </c>
      <c r="O20" s="5" t="s">
        <v>281</v>
      </c>
      <c r="P20" s="63">
        <v>428.45</v>
      </c>
      <c r="R20" s="5"/>
      <c r="S20" s="5"/>
      <c r="T20" s="63"/>
      <c r="V20" s="5"/>
      <c r="W20" s="5"/>
      <c r="X20" s="63"/>
      <c r="Y20" s="102"/>
      <c r="Z20" s="5"/>
      <c r="AA20" s="5"/>
      <c r="AB20" s="63"/>
      <c r="AC20" s="99"/>
      <c r="AD20" s="5"/>
      <c r="AE20" s="5"/>
      <c r="AF20" s="63"/>
      <c r="AG20" s="100"/>
      <c r="AH20" s="5"/>
      <c r="AI20" s="5"/>
      <c r="AJ20" s="63"/>
      <c r="AK20" s="99"/>
      <c r="AL20" s="5"/>
      <c r="AM20" s="5"/>
      <c r="AN20" s="63"/>
      <c r="AO20" s="100"/>
      <c r="AP20" s="5"/>
      <c r="AQ20" s="5"/>
      <c r="AR20" s="63"/>
      <c r="AS20" s="100"/>
      <c r="AT20" s="100"/>
      <c r="AU20" s="101"/>
    </row>
    <row r="21" spans="2:47" ht="15" customHeight="1" x14ac:dyDescent="0.3">
      <c r="B21" s="69">
        <v>30</v>
      </c>
      <c r="C21" s="69" t="s">
        <v>282</v>
      </c>
      <c r="D21" s="70">
        <v>211.23</v>
      </c>
      <c r="F21" s="5">
        <v>28</v>
      </c>
      <c r="G21" s="5" t="s">
        <v>43</v>
      </c>
      <c r="H21" s="63">
        <v>1029.4000000000001</v>
      </c>
      <c r="J21" s="5">
        <v>25</v>
      </c>
      <c r="K21" s="5" t="s">
        <v>43</v>
      </c>
      <c r="L21" s="63">
        <v>1812.08</v>
      </c>
      <c r="N21" s="5">
        <v>23</v>
      </c>
      <c r="O21" s="5" t="s">
        <v>282</v>
      </c>
      <c r="P21" s="63">
        <v>136.51</v>
      </c>
      <c r="R21" s="5"/>
      <c r="S21" s="5"/>
      <c r="T21" s="63"/>
      <c r="V21" s="5"/>
      <c r="W21" s="5"/>
      <c r="X21" s="63"/>
      <c r="Y21" s="102"/>
      <c r="Z21" s="5"/>
      <c r="AA21" s="5"/>
      <c r="AB21" s="63"/>
      <c r="AC21" s="99"/>
      <c r="AD21" s="5"/>
      <c r="AE21" s="5"/>
      <c r="AF21" s="63"/>
      <c r="AG21" s="100"/>
      <c r="AH21" s="5"/>
      <c r="AI21" s="5"/>
      <c r="AJ21" s="63"/>
      <c r="AK21" s="99"/>
      <c r="AL21" s="5"/>
      <c r="AM21" s="5"/>
      <c r="AN21" s="63"/>
      <c r="AO21" s="100"/>
      <c r="AP21" s="5"/>
      <c r="AQ21" s="5"/>
      <c r="AR21" s="63"/>
      <c r="AS21" s="100"/>
      <c r="AT21" s="100"/>
      <c r="AU21" s="101"/>
    </row>
    <row r="22" spans="2:47" ht="15" customHeight="1" x14ac:dyDescent="0.3">
      <c r="B22" s="69">
        <v>30</v>
      </c>
      <c r="C22" s="69" t="s">
        <v>282</v>
      </c>
      <c r="D22" s="70">
        <v>416.99</v>
      </c>
      <c r="F22" s="5">
        <v>28</v>
      </c>
      <c r="G22" s="5" t="s">
        <v>280</v>
      </c>
      <c r="H22" s="63">
        <v>326.10000000000002</v>
      </c>
      <c r="J22" s="5">
        <v>25</v>
      </c>
      <c r="K22" s="5" t="s">
        <v>282</v>
      </c>
      <c r="L22" s="63">
        <v>134.99</v>
      </c>
      <c r="N22" s="5">
        <v>29</v>
      </c>
      <c r="O22" s="5" t="s">
        <v>292</v>
      </c>
      <c r="P22" s="63">
        <v>4817.1899999999996</v>
      </c>
      <c r="R22" s="5"/>
      <c r="S22" s="5"/>
      <c r="T22" s="63"/>
      <c r="V22" s="5"/>
      <c r="W22" s="5"/>
      <c r="X22" s="63"/>
      <c r="Y22" s="102"/>
      <c r="Z22" s="5"/>
      <c r="AA22" s="5"/>
      <c r="AB22" s="63"/>
      <c r="AC22" s="99"/>
      <c r="AD22" s="5"/>
      <c r="AE22" s="5"/>
      <c r="AF22" s="63"/>
      <c r="AG22" s="100"/>
      <c r="AH22" s="5"/>
      <c r="AI22" s="5"/>
      <c r="AJ22" s="63"/>
      <c r="AK22" s="99"/>
      <c r="AL22" s="5"/>
      <c r="AM22" s="5"/>
      <c r="AN22" s="63"/>
      <c r="AO22" s="100"/>
      <c r="AP22" s="5"/>
      <c r="AQ22" s="5"/>
      <c r="AR22" s="63"/>
      <c r="AS22" s="100"/>
      <c r="AT22" s="100"/>
      <c r="AU22" s="101"/>
    </row>
    <row r="23" spans="2:47" ht="15" customHeight="1" x14ac:dyDescent="0.3">
      <c r="B23" s="69">
        <v>31</v>
      </c>
      <c r="C23" s="69" t="s">
        <v>281</v>
      </c>
      <c r="D23" s="70">
        <v>308.14999999999998</v>
      </c>
      <c r="F23" s="5">
        <v>29</v>
      </c>
      <c r="G23" s="5" t="s">
        <v>286</v>
      </c>
      <c r="H23" s="63">
        <v>1370</v>
      </c>
      <c r="J23" s="5">
        <v>25</v>
      </c>
      <c r="K23" s="5" t="s">
        <v>282</v>
      </c>
      <c r="L23" s="63">
        <v>222.34</v>
      </c>
      <c r="N23" s="5">
        <v>29</v>
      </c>
      <c r="O23" s="5" t="s">
        <v>281</v>
      </c>
      <c r="P23" s="63">
        <v>428.45</v>
      </c>
      <c r="R23" s="5"/>
      <c r="S23" s="5"/>
      <c r="T23" s="63"/>
      <c r="V23" s="5"/>
      <c r="W23" s="5"/>
      <c r="X23" s="63"/>
      <c r="Y23" s="102"/>
      <c r="Z23" s="5"/>
      <c r="AA23" s="5"/>
      <c r="AB23" s="63"/>
      <c r="AC23" s="99"/>
      <c r="AD23" s="5"/>
      <c r="AE23" s="5"/>
      <c r="AF23" s="63"/>
      <c r="AG23" s="100"/>
      <c r="AH23" s="5"/>
      <c r="AI23" s="5"/>
      <c r="AJ23" s="63"/>
      <c r="AK23" s="99"/>
      <c r="AL23" s="5"/>
      <c r="AM23" s="5"/>
      <c r="AN23" s="63"/>
      <c r="AO23" s="100"/>
      <c r="AP23" s="5"/>
      <c r="AQ23" s="5"/>
      <c r="AR23" s="63"/>
      <c r="AS23" s="100"/>
      <c r="AT23" s="100"/>
      <c r="AU23" s="101"/>
    </row>
    <row r="24" spans="2:47" ht="15" customHeight="1" x14ac:dyDescent="0.3">
      <c r="B24" s="69">
        <v>31</v>
      </c>
      <c r="C24" s="69" t="s">
        <v>281</v>
      </c>
      <c r="D24" s="70">
        <v>2664</v>
      </c>
      <c r="F24" s="5">
        <v>30</v>
      </c>
      <c r="G24" s="5" t="s">
        <v>295</v>
      </c>
      <c r="H24" s="63">
        <v>389.48</v>
      </c>
      <c r="J24" s="5">
        <v>25</v>
      </c>
      <c r="K24" s="5" t="s">
        <v>290</v>
      </c>
      <c r="L24" s="63">
        <v>1486.49</v>
      </c>
      <c r="N24" s="5">
        <v>29</v>
      </c>
      <c r="O24" s="5" t="s">
        <v>298</v>
      </c>
      <c r="P24" s="63">
        <v>1443.71</v>
      </c>
      <c r="R24" s="5"/>
      <c r="S24" s="5"/>
      <c r="T24" s="63"/>
      <c r="V24" s="5"/>
      <c r="W24" s="5"/>
      <c r="X24" s="63"/>
      <c r="Y24" s="102"/>
      <c r="Z24" s="5"/>
      <c r="AA24" s="5"/>
      <c r="AB24" s="63"/>
      <c r="AC24" s="99"/>
      <c r="AD24" s="5"/>
      <c r="AE24" s="5"/>
      <c r="AF24" s="63"/>
      <c r="AG24" s="100"/>
      <c r="AH24" s="5"/>
      <c r="AI24" s="5"/>
      <c r="AJ24" s="63"/>
      <c r="AK24" s="99"/>
      <c r="AL24" s="5"/>
      <c r="AM24" s="5"/>
      <c r="AN24" s="63"/>
      <c r="AO24" s="100"/>
      <c r="AP24" s="5"/>
      <c r="AQ24" s="5"/>
      <c r="AR24" s="63"/>
      <c r="AS24" s="100"/>
      <c r="AT24" s="100"/>
      <c r="AU24" s="101"/>
    </row>
    <row r="25" spans="2:47" ht="15" customHeight="1" x14ac:dyDescent="0.3">
      <c r="B25" s="69">
        <v>20</v>
      </c>
      <c r="C25" s="69" t="s">
        <v>304</v>
      </c>
      <c r="D25" s="70">
        <v>767.67</v>
      </c>
      <c r="F25" s="5">
        <v>30</v>
      </c>
      <c r="G25" s="5" t="s">
        <v>289</v>
      </c>
      <c r="H25" s="63">
        <v>4817.04</v>
      </c>
      <c r="J25" s="5">
        <v>26</v>
      </c>
      <c r="K25" s="5" t="s">
        <v>43</v>
      </c>
      <c r="L25" s="63">
        <v>477.68</v>
      </c>
      <c r="N25" s="5">
        <v>30</v>
      </c>
      <c r="O25" s="5" t="s">
        <v>282</v>
      </c>
      <c r="P25" s="63">
        <v>136.51</v>
      </c>
      <c r="R25" s="5"/>
      <c r="S25" s="5"/>
      <c r="T25" s="63"/>
      <c r="V25" s="5"/>
      <c r="W25" s="5"/>
      <c r="X25" s="63"/>
      <c r="Y25" s="102"/>
      <c r="Z25" s="5"/>
      <c r="AA25" s="5"/>
      <c r="AB25" s="63"/>
      <c r="AC25" s="99"/>
      <c r="AD25" s="5"/>
      <c r="AE25" s="5"/>
      <c r="AF25" s="63"/>
      <c r="AG25" s="100"/>
      <c r="AH25" s="5"/>
      <c r="AI25" s="5"/>
      <c r="AJ25" s="63"/>
      <c r="AK25" s="99"/>
      <c r="AL25" s="5"/>
      <c r="AM25" s="5"/>
      <c r="AN25" s="63"/>
      <c r="AO25" s="100"/>
      <c r="AP25" s="5"/>
      <c r="AQ25" s="5"/>
      <c r="AR25" s="63"/>
      <c r="AS25" s="100"/>
      <c r="AT25" s="100"/>
      <c r="AU25" s="101"/>
    </row>
    <row r="26" spans="2:47" ht="15" customHeight="1" x14ac:dyDescent="0.3">
      <c r="B26" s="69">
        <v>20</v>
      </c>
      <c r="C26" s="69" t="s">
        <v>305</v>
      </c>
      <c r="D26" s="70">
        <v>7323.66</v>
      </c>
      <c r="F26" s="5"/>
      <c r="G26" s="5"/>
      <c r="H26" s="63"/>
      <c r="J26" s="5">
        <v>26</v>
      </c>
      <c r="K26" s="5" t="s">
        <v>280</v>
      </c>
      <c r="L26" s="63">
        <v>182.54</v>
      </c>
      <c r="N26" s="5">
        <v>30</v>
      </c>
      <c r="O26" s="5" t="s">
        <v>280</v>
      </c>
      <c r="P26" s="63">
        <v>225.27</v>
      </c>
      <c r="R26" s="5"/>
      <c r="S26" s="5"/>
      <c r="T26" s="63"/>
      <c r="V26" s="5"/>
      <c r="W26" s="5"/>
      <c r="X26" s="63"/>
      <c r="Y26" s="102"/>
      <c r="Z26" s="5"/>
      <c r="AA26" s="5"/>
      <c r="AB26" s="63"/>
      <c r="AC26" s="99"/>
      <c r="AD26" s="5"/>
      <c r="AE26" s="5"/>
      <c r="AF26" s="63"/>
      <c r="AG26" s="100"/>
      <c r="AH26" s="5"/>
      <c r="AI26" s="5"/>
      <c r="AJ26" s="63"/>
      <c r="AK26" s="99"/>
      <c r="AL26" s="5"/>
      <c r="AM26" s="5"/>
      <c r="AN26" s="63"/>
      <c r="AO26" s="100"/>
      <c r="AP26" s="5"/>
      <c r="AQ26" s="5"/>
      <c r="AR26" s="63"/>
      <c r="AS26" s="100"/>
      <c r="AT26" s="100"/>
      <c r="AU26" s="101"/>
    </row>
    <row r="27" spans="2:47" ht="15" customHeight="1" x14ac:dyDescent="0.3">
      <c r="B27" s="5"/>
      <c r="C27" s="5"/>
      <c r="D27" s="63"/>
      <c r="F27" s="5"/>
      <c r="G27" s="5"/>
      <c r="H27" s="63"/>
      <c r="J27" s="5">
        <v>27</v>
      </c>
      <c r="K27" s="5" t="s">
        <v>18</v>
      </c>
      <c r="L27" s="63">
        <v>1400</v>
      </c>
      <c r="N27" s="5"/>
      <c r="O27" s="5"/>
      <c r="P27" s="63"/>
      <c r="R27" s="5"/>
      <c r="S27" s="5"/>
      <c r="T27" s="63"/>
      <c r="V27" s="5"/>
      <c r="W27" s="5"/>
      <c r="X27" s="63"/>
      <c r="Y27" s="102"/>
      <c r="Z27" s="5"/>
      <c r="AA27" s="5"/>
      <c r="AB27" s="63"/>
      <c r="AC27" s="99"/>
      <c r="AD27" s="5"/>
      <c r="AE27" s="5"/>
      <c r="AF27" s="63"/>
      <c r="AG27" s="100"/>
      <c r="AH27" s="5"/>
      <c r="AI27" s="5"/>
      <c r="AJ27" s="63"/>
      <c r="AK27" s="99"/>
      <c r="AL27" s="5"/>
      <c r="AM27" s="5"/>
      <c r="AN27" s="63"/>
      <c r="AO27" s="100"/>
      <c r="AP27" s="5"/>
      <c r="AQ27" s="5"/>
      <c r="AR27" s="63"/>
      <c r="AS27" s="100"/>
      <c r="AT27" s="100"/>
      <c r="AU27" s="101"/>
    </row>
    <row r="28" spans="2:47" ht="15" customHeight="1" x14ac:dyDescent="0.3">
      <c r="B28" s="5"/>
      <c r="C28" s="5"/>
      <c r="D28" s="63"/>
      <c r="F28" s="5"/>
      <c r="G28" s="5"/>
      <c r="H28" s="63"/>
      <c r="J28" s="5">
        <v>28</v>
      </c>
      <c r="K28" s="5" t="s">
        <v>300</v>
      </c>
      <c r="L28" s="63">
        <v>697.1</v>
      </c>
      <c r="N28" s="5"/>
      <c r="O28" s="5"/>
      <c r="P28" s="63"/>
      <c r="R28" s="5"/>
      <c r="S28" s="5"/>
      <c r="T28" s="63"/>
      <c r="V28" s="5"/>
      <c r="W28" s="5"/>
      <c r="X28" s="63"/>
      <c r="Y28" s="102"/>
      <c r="Z28" s="5"/>
      <c r="AA28" s="5"/>
      <c r="AB28" s="63"/>
      <c r="AC28" s="99"/>
      <c r="AD28" s="5"/>
      <c r="AE28" s="5"/>
      <c r="AF28" s="63"/>
      <c r="AG28" s="100"/>
      <c r="AH28" s="5"/>
      <c r="AI28" s="5"/>
      <c r="AJ28" s="63"/>
      <c r="AK28" s="99"/>
      <c r="AL28" s="5"/>
      <c r="AM28" s="5"/>
      <c r="AN28" s="63"/>
      <c r="AO28" s="100"/>
      <c r="AP28" s="5"/>
      <c r="AQ28" s="5"/>
      <c r="AR28" s="63"/>
      <c r="AS28" s="100"/>
      <c r="AT28" s="100"/>
      <c r="AU28" s="101"/>
    </row>
    <row r="29" spans="2:47" ht="18.75" x14ac:dyDescent="0.3">
      <c r="B29" s="5"/>
      <c r="C29" s="5"/>
      <c r="D29" s="63"/>
      <c r="F29" s="5"/>
      <c r="G29" s="5"/>
      <c r="H29" s="63"/>
      <c r="J29" s="5">
        <v>30</v>
      </c>
      <c r="K29" s="5" t="s">
        <v>289</v>
      </c>
      <c r="L29" s="63">
        <v>4817.04</v>
      </c>
      <c r="N29" s="5"/>
      <c r="O29" s="5"/>
      <c r="P29" s="63"/>
      <c r="R29" s="5"/>
      <c r="S29" s="5"/>
      <c r="T29" s="63"/>
      <c r="V29" s="5"/>
      <c r="W29" s="5"/>
      <c r="X29" s="63"/>
      <c r="Y29" s="102"/>
      <c r="Z29" s="5"/>
      <c r="AA29" s="5"/>
      <c r="AB29" s="63"/>
      <c r="AC29" s="99"/>
      <c r="AD29" s="5"/>
      <c r="AE29" s="5"/>
      <c r="AF29" s="63"/>
      <c r="AG29" s="100"/>
      <c r="AH29" s="5"/>
      <c r="AI29" s="5"/>
      <c r="AJ29" s="63"/>
      <c r="AK29" s="99"/>
      <c r="AL29" s="5"/>
      <c r="AM29" s="5"/>
      <c r="AN29" s="63"/>
      <c r="AO29" s="100"/>
      <c r="AP29" s="5"/>
      <c r="AQ29" s="5"/>
      <c r="AR29" s="63"/>
      <c r="AS29" s="100"/>
      <c r="AT29" s="100"/>
      <c r="AU29" s="101"/>
    </row>
    <row r="30" spans="2:47" ht="18.75" x14ac:dyDescent="0.3">
      <c r="B30" s="5"/>
      <c r="C30" s="5"/>
      <c r="D30" s="63"/>
      <c r="F30" s="5"/>
      <c r="G30" s="5"/>
      <c r="H30" s="63"/>
      <c r="J30" s="5"/>
      <c r="K30" s="5"/>
      <c r="L30" s="63"/>
      <c r="N30" s="5"/>
      <c r="O30" s="5"/>
      <c r="P30" s="63"/>
      <c r="R30" s="5"/>
      <c r="S30" s="5"/>
      <c r="T30" s="63"/>
      <c r="V30" s="5"/>
      <c r="W30" s="5"/>
      <c r="X30" s="63"/>
      <c r="Y30" s="102"/>
      <c r="Z30" s="5"/>
      <c r="AA30" s="5"/>
      <c r="AB30" s="63"/>
      <c r="AC30" s="99"/>
      <c r="AD30" s="5"/>
      <c r="AE30" s="5"/>
      <c r="AF30" s="63"/>
      <c r="AG30" s="100"/>
      <c r="AH30" s="5"/>
      <c r="AI30" s="5"/>
      <c r="AJ30" s="63"/>
      <c r="AK30" s="99"/>
      <c r="AL30" s="5"/>
      <c r="AM30" s="5"/>
      <c r="AN30" s="63"/>
      <c r="AO30" s="100"/>
      <c r="AP30" s="5"/>
      <c r="AQ30" s="5"/>
      <c r="AR30" s="63"/>
      <c r="AS30" s="100"/>
      <c r="AT30" s="100"/>
      <c r="AU30" s="101"/>
    </row>
    <row r="31" spans="2:47" ht="18.75" x14ac:dyDescent="0.3">
      <c r="B31" s="5"/>
      <c r="C31" s="5"/>
      <c r="D31" s="63"/>
      <c r="F31" s="5"/>
      <c r="G31" s="5"/>
      <c r="H31" s="63"/>
      <c r="J31" s="5"/>
      <c r="K31" s="5"/>
      <c r="L31" s="63"/>
      <c r="N31" s="5"/>
      <c r="O31" s="5"/>
      <c r="P31" s="63"/>
      <c r="R31" s="5"/>
      <c r="S31" s="5"/>
      <c r="T31" s="63"/>
      <c r="V31" s="5"/>
      <c r="W31" s="5"/>
      <c r="X31" s="63"/>
      <c r="Y31" s="102"/>
      <c r="Z31" s="5"/>
      <c r="AA31" s="5"/>
      <c r="AB31" s="63"/>
      <c r="AC31" s="99"/>
      <c r="AD31" s="5"/>
      <c r="AE31" s="5"/>
      <c r="AF31" s="63"/>
      <c r="AG31" s="100"/>
      <c r="AH31" s="5"/>
      <c r="AI31" s="5"/>
      <c r="AJ31" s="63"/>
      <c r="AK31" s="99"/>
      <c r="AL31" s="5"/>
      <c r="AM31" s="5"/>
      <c r="AN31" s="63"/>
      <c r="AO31" s="100"/>
      <c r="AP31" s="5"/>
      <c r="AQ31" s="5"/>
      <c r="AR31" s="63"/>
      <c r="AS31" s="100"/>
      <c r="AT31" s="100"/>
      <c r="AU31" s="101"/>
    </row>
    <row r="32" spans="2:47" ht="18.75" x14ac:dyDescent="0.3">
      <c r="B32" s="5"/>
      <c r="C32" s="5"/>
      <c r="D32" s="63"/>
      <c r="F32" s="5"/>
      <c r="G32" s="5"/>
      <c r="H32" s="63"/>
      <c r="J32" s="5"/>
      <c r="K32" s="5"/>
      <c r="L32" s="63"/>
      <c r="N32" s="5"/>
      <c r="O32" s="5"/>
      <c r="P32" s="63"/>
      <c r="R32" s="5"/>
      <c r="S32" s="5"/>
      <c r="T32" s="63"/>
      <c r="V32" s="5"/>
      <c r="W32" s="5"/>
      <c r="X32" s="63"/>
      <c r="Y32" s="102"/>
      <c r="Z32" s="5"/>
      <c r="AA32" s="5"/>
      <c r="AB32" s="63"/>
      <c r="AC32" s="99"/>
      <c r="AD32" s="5"/>
      <c r="AE32" s="5"/>
      <c r="AF32" s="63"/>
      <c r="AG32" s="100"/>
      <c r="AH32" s="5"/>
      <c r="AI32" s="5"/>
      <c r="AJ32" s="63"/>
      <c r="AK32" s="99"/>
      <c r="AL32" s="5"/>
      <c r="AM32" s="5"/>
      <c r="AN32" s="63"/>
      <c r="AO32" s="100"/>
      <c r="AP32" s="5"/>
      <c r="AQ32" s="5"/>
      <c r="AR32" s="63"/>
      <c r="AS32" s="100"/>
      <c r="AT32" s="100"/>
      <c r="AU32" s="101"/>
    </row>
    <row r="33" spans="2:47" ht="18.75" x14ac:dyDescent="0.3">
      <c r="B33" s="5"/>
      <c r="C33" s="5"/>
      <c r="D33" s="63"/>
      <c r="F33" s="5"/>
      <c r="G33" s="5"/>
      <c r="H33" s="63"/>
      <c r="J33" s="5"/>
      <c r="K33" s="5"/>
      <c r="L33" s="63"/>
      <c r="N33" s="5"/>
      <c r="O33" s="5"/>
      <c r="P33" s="63"/>
      <c r="R33" s="5"/>
      <c r="S33" s="5"/>
      <c r="T33" s="63"/>
      <c r="V33" s="5"/>
      <c r="W33" s="5"/>
      <c r="X33" s="63"/>
      <c r="Y33" s="102"/>
      <c r="Z33" s="5"/>
      <c r="AA33" s="5"/>
      <c r="AB33" s="63"/>
      <c r="AC33" s="99"/>
      <c r="AD33" s="5"/>
      <c r="AE33" s="5"/>
      <c r="AF33" s="63"/>
      <c r="AG33" s="100"/>
      <c r="AH33" s="5"/>
      <c r="AI33" s="5"/>
      <c r="AJ33" s="63"/>
      <c r="AK33" s="99"/>
      <c r="AL33" s="5"/>
      <c r="AM33" s="5"/>
      <c r="AN33" s="63"/>
      <c r="AO33" s="100"/>
      <c r="AP33" s="5"/>
      <c r="AQ33" s="5"/>
      <c r="AR33" s="63"/>
      <c r="AS33" s="100"/>
      <c r="AT33" s="100"/>
      <c r="AU33" s="101"/>
    </row>
    <row r="34" spans="2:47" ht="18.75" x14ac:dyDescent="0.3">
      <c r="B34" s="5"/>
      <c r="C34" s="5"/>
      <c r="D34" s="63"/>
      <c r="F34" s="5"/>
      <c r="G34" s="5"/>
      <c r="H34" s="63"/>
      <c r="J34" s="5"/>
      <c r="K34" s="5"/>
      <c r="L34" s="63"/>
      <c r="N34" s="5"/>
      <c r="O34" s="5"/>
      <c r="P34" s="63"/>
      <c r="R34" s="5"/>
      <c r="S34" s="5"/>
      <c r="T34" s="63"/>
      <c r="V34" s="5"/>
      <c r="W34" s="5"/>
      <c r="X34" s="63"/>
      <c r="Y34" s="102"/>
      <c r="Z34" s="5"/>
      <c r="AA34" s="5"/>
      <c r="AB34" s="63"/>
      <c r="AC34" s="99"/>
      <c r="AD34" s="5"/>
      <c r="AE34" s="5"/>
      <c r="AF34" s="63"/>
      <c r="AG34" s="100"/>
      <c r="AH34" s="5"/>
      <c r="AI34" s="5"/>
      <c r="AJ34" s="63"/>
      <c r="AK34" s="99"/>
      <c r="AL34" s="5"/>
      <c r="AM34" s="5"/>
      <c r="AN34" s="63"/>
      <c r="AO34" s="100"/>
      <c r="AP34" s="5"/>
      <c r="AQ34" s="5"/>
      <c r="AR34" s="63"/>
      <c r="AS34" s="100"/>
      <c r="AT34" s="100"/>
      <c r="AU34" s="101"/>
    </row>
    <row r="35" spans="2:47" ht="18.75" x14ac:dyDescent="0.3">
      <c r="B35" s="5"/>
      <c r="C35" s="5"/>
      <c r="D35" s="63"/>
      <c r="F35" s="5"/>
      <c r="G35" s="5"/>
      <c r="H35" s="63"/>
      <c r="J35" s="5"/>
      <c r="K35" s="5"/>
      <c r="L35" s="63"/>
      <c r="N35" s="5"/>
      <c r="O35" s="5"/>
      <c r="P35" s="63"/>
      <c r="R35" s="5"/>
      <c r="S35" s="5"/>
      <c r="T35" s="63"/>
      <c r="V35" s="5"/>
      <c r="W35" s="5"/>
      <c r="X35" s="63"/>
      <c r="Y35" s="102"/>
      <c r="Z35" s="5"/>
      <c r="AA35" s="5"/>
      <c r="AB35" s="63"/>
      <c r="AC35" s="99"/>
      <c r="AD35" s="5"/>
      <c r="AE35" s="5"/>
      <c r="AF35" s="63"/>
      <c r="AG35" s="100"/>
      <c r="AH35" s="5"/>
      <c r="AI35" s="5"/>
      <c r="AJ35" s="63"/>
      <c r="AK35" s="99"/>
      <c r="AL35" s="5"/>
      <c r="AM35" s="5"/>
      <c r="AN35" s="63"/>
      <c r="AO35" s="100"/>
      <c r="AP35" s="5"/>
      <c r="AQ35" s="5"/>
      <c r="AR35" s="63"/>
      <c r="AS35" s="100"/>
      <c r="AT35" s="100"/>
      <c r="AU35" s="101"/>
    </row>
    <row r="36" spans="2:47" ht="18.75" x14ac:dyDescent="0.3">
      <c r="B36" s="5"/>
      <c r="C36" s="5"/>
      <c r="D36" s="63"/>
      <c r="F36" s="5"/>
      <c r="G36" s="5"/>
      <c r="H36" s="63"/>
      <c r="J36" s="5"/>
      <c r="K36" s="5"/>
      <c r="L36" s="63"/>
      <c r="N36" s="5"/>
      <c r="O36" s="5"/>
      <c r="P36" s="63"/>
      <c r="R36" s="5"/>
      <c r="S36" s="5"/>
      <c r="T36" s="63"/>
      <c r="V36" s="5"/>
      <c r="W36" s="5"/>
      <c r="X36" s="63"/>
      <c r="Y36" s="102"/>
      <c r="Z36" s="5"/>
      <c r="AA36" s="5"/>
      <c r="AB36" s="63"/>
      <c r="AC36" s="99"/>
      <c r="AD36" s="5"/>
      <c r="AE36" s="5"/>
      <c r="AF36" s="63"/>
      <c r="AG36" s="100"/>
      <c r="AH36" s="5"/>
      <c r="AI36" s="5"/>
      <c r="AJ36" s="63"/>
      <c r="AK36" s="99"/>
      <c r="AL36" s="5"/>
      <c r="AM36" s="5"/>
      <c r="AN36" s="63"/>
      <c r="AO36" s="100"/>
      <c r="AP36" s="5"/>
      <c r="AQ36" s="5"/>
      <c r="AR36" s="63"/>
      <c r="AS36" s="100"/>
      <c r="AT36" s="100"/>
      <c r="AU36" s="101"/>
    </row>
    <row r="37" spans="2:47" ht="18.75" x14ac:dyDescent="0.3">
      <c r="B37" s="5"/>
      <c r="C37" s="5"/>
      <c r="D37" s="63"/>
      <c r="F37" s="5"/>
      <c r="G37" s="5"/>
      <c r="H37" s="63"/>
      <c r="J37" s="5"/>
      <c r="K37" s="5"/>
      <c r="L37" s="63"/>
      <c r="N37" s="5"/>
      <c r="O37" s="5"/>
      <c r="P37" s="63"/>
      <c r="R37" s="5"/>
      <c r="S37" s="5"/>
      <c r="T37" s="63"/>
      <c r="V37" s="5"/>
      <c r="W37" s="5"/>
      <c r="X37" s="63"/>
      <c r="Y37" s="102"/>
      <c r="Z37" s="5"/>
      <c r="AA37" s="5"/>
      <c r="AB37" s="63"/>
      <c r="AC37" s="99"/>
      <c r="AD37" s="5"/>
      <c r="AE37" s="5"/>
      <c r="AF37" s="63"/>
      <c r="AG37" s="100"/>
      <c r="AH37" s="5"/>
      <c r="AI37" s="5"/>
      <c r="AJ37" s="63"/>
      <c r="AK37" s="99"/>
      <c r="AL37" s="5"/>
      <c r="AM37" s="5"/>
      <c r="AN37" s="63"/>
      <c r="AO37" s="100"/>
      <c r="AP37" s="5"/>
      <c r="AQ37" s="5"/>
      <c r="AR37" s="63"/>
      <c r="AS37" s="100"/>
      <c r="AT37" s="100"/>
      <c r="AU37" s="101"/>
    </row>
    <row r="38" spans="2:47" ht="18.75" x14ac:dyDescent="0.3">
      <c r="B38" s="5"/>
      <c r="C38" s="5"/>
      <c r="D38" s="63"/>
      <c r="F38" s="5"/>
      <c r="G38" s="5"/>
      <c r="H38" s="63"/>
      <c r="J38" s="5"/>
      <c r="K38" s="5"/>
      <c r="L38" s="63"/>
      <c r="N38" s="5"/>
      <c r="O38" s="5"/>
      <c r="P38" s="63"/>
      <c r="R38" s="5"/>
      <c r="S38" s="5"/>
      <c r="T38" s="63"/>
      <c r="V38" s="5"/>
      <c r="W38" s="5"/>
      <c r="X38" s="63"/>
      <c r="Y38" s="102"/>
      <c r="Z38" s="5"/>
      <c r="AA38" s="5"/>
      <c r="AB38" s="63"/>
      <c r="AC38" s="99"/>
      <c r="AD38" s="5"/>
      <c r="AE38" s="5"/>
      <c r="AF38" s="63"/>
      <c r="AG38" s="100"/>
      <c r="AH38" s="5"/>
      <c r="AI38" s="5"/>
      <c r="AJ38" s="63"/>
      <c r="AK38" s="99"/>
      <c r="AL38" s="5"/>
      <c r="AM38" s="5"/>
      <c r="AN38" s="63"/>
      <c r="AO38" s="100"/>
      <c r="AP38" s="5"/>
      <c r="AQ38" s="5"/>
      <c r="AR38" s="63"/>
      <c r="AS38" s="100"/>
      <c r="AT38" s="100"/>
      <c r="AU38" s="101"/>
    </row>
    <row r="39" spans="2:47" ht="18.75" x14ac:dyDescent="0.3">
      <c r="B39" s="5"/>
      <c r="C39" s="5"/>
      <c r="D39" s="63"/>
      <c r="F39" s="5"/>
      <c r="G39" s="5"/>
      <c r="H39" s="63"/>
      <c r="J39" s="5"/>
      <c r="K39" s="5"/>
      <c r="L39" s="63"/>
      <c r="N39" s="5"/>
      <c r="O39" s="5"/>
      <c r="P39" s="63"/>
      <c r="R39" s="5"/>
      <c r="S39" s="5"/>
      <c r="T39" s="63"/>
      <c r="V39" s="5"/>
      <c r="W39" s="5"/>
      <c r="X39" s="63"/>
      <c r="Y39" s="102"/>
      <c r="Z39" s="5"/>
      <c r="AA39" s="5"/>
      <c r="AB39" s="63"/>
      <c r="AC39" s="99"/>
      <c r="AD39" s="5"/>
      <c r="AE39" s="5"/>
      <c r="AF39" s="63"/>
      <c r="AG39" s="100"/>
      <c r="AH39" s="5"/>
      <c r="AI39" s="5"/>
      <c r="AJ39" s="63"/>
      <c r="AK39" s="99"/>
      <c r="AL39" s="5"/>
      <c r="AM39" s="5"/>
      <c r="AN39" s="63"/>
      <c r="AO39" s="100"/>
      <c r="AP39" s="5"/>
      <c r="AQ39" s="5"/>
      <c r="AR39" s="63"/>
      <c r="AS39" s="100"/>
      <c r="AT39" s="100"/>
      <c r="AU39" s="101"/>
    </row>
    <row r="40" spans="2:47" ht="18.75" x14ac:dyDescent="0.3">
      <c r="B40" s="5"/>
      <c r="C40" s="5"/>
      <c r="D40" s="63"/>
      <c r="F40" s="5"/>
      <c r="G40" s="5"/>
      <c r="H40" s="63"/>
      <c r="J40" s="5"/>
      <c r="K40" s="5"/>
      <c r="L40" s="63"/>
      <c r="N40" s="5"/>
      <c r="O40" s="5"/>
      <c r="P40" s="63"/>
      <c r="R40" s="5"/>
      <c r="S40" s="5"/>
      <c r="T40" s="63"/>
      <c r="V40" s="5"/>
      <c r="W40" s="5"/>
      <c r="X40" s="63"/>
      <c r="Y40" s="102"/>
      <c r="Z40" s="5"/>
      <c r="AA40" s="5"/>
      <c r="AB40" s="63"/>
      <c r="AC40" s="99"/>
      <c r="AD40" s="5"/>
      <c r="AE40" s="5"/>
      <c r="AF40" s="63"/>
      <c r="AG40" s="100"/>
      <c r="AH40" s="5"/>
      <c r="AI40" s="5"/>
      <c r="AJ40" s="63"/>
      <c r="AK40" s="99"/>
      <c r="AL40" s="5"/>
      <c r="AM40" s="5"/>
      <c r="AN40" s="63"/>
      <c r="AO40" s="100"/>
      <c r="AP40" s="5"/>
      <c r="AQ40" s="5"/>
      <c r="AR40" s="63"/>
      <c r="AS40" s="100"/>
      <c r="AT40" s="100"/>
      <c r="AU40" s="101"/>
    </row>
    <row r="41" spans="2:47" ht="18.75" x14ac:dyDescent="0.3">
      <c r="B41" s="5"/>
      <c r="C41" s="5"/>
      <c r="D41" s="63"/>
      <c r="F41" s="5"/>
      <c r="G41" s="5"/>
      <c r="H41" s="63"/>
      <c r="J41" s="5"/>
      <c r="K41" s="5"/>
      <c r="L41" s="63"/>
      <c r="N41" s="5"/>
      <c r="O41" s="5"/>
      <c r="P41" s="63"/>
      <c r="R41" s="5"/>
      <c r="S41" s="5"/>
      <c r="T41" s="63"/>
      <c r="V41" s="5"/>
      <c r="W41" s="5"/>
      <c r="X41" s="63"/>
      <c r="Y41" s="102"/>
      <c r="Z41" s="5"/>
      <c r="AA41" s="5"/>
      <c r="AB41" s="63"/>
      <c r="AC41" s="99"/>
      <c r="AD41" s="5"/>
      <c r="AE41" s="5"/>
      <c r="AF41" s="63"/>
      <c r="AG41" s="100"/>
      <c r="AH41" s="5"/>
      <c r="AI41" s="5"/>
      <c r="AJ41" s="63"/>
      <c r="AK41" s="99"/>
      <c r="AL41" s="5"/>
      <c r="AM41" s="5"/>
      <c r="AN41" s="63"/>
      <c r="AO41" s="100"/>
      <c r="AP41" s="5"/>
      <c r="AQ41" s="5"/>
      <c r="AR41" s="63"/>
      <c r="AS41" s="100"/>
      <c r="AT41" s="100"/>
      <c r="AU41" s="101"/>
    </row>
    <row r="42" spans="2:47" ht="18.75" x14ac:dyDescent="0.3">
      <c r="B42" s="5"/>
      <c r="C42" s="5"/>
      <c r="D42" s="63"/>
      <c r="F42" s="5"/>
      <c r="G42" s="5"/>
      <c r="H42" s="63"/>
      <c r="J42" s="5"/>
      <c r="K42" s="5"/>
      <c r="L42" s="63"/>
      <c r="N42" s="5"/>
      <c r="O42" s="5"/>
      <c r="P42" s="63"/>
      <c r="R42" s="5"/>
      <c r="S42" s="5"/>
      <c r="T42" s="63"/>
      <c r="V42" s="5"/>
      <c r="W42" s="5"/>
      <c r="X42" s="63"/>
      <c r="Y42" s="102"/>
      <c r="Z42" s="5"/>
      <c r="AA42" s="5"/>
      <c r="AB42" s="63"/>
      <c r="AC42" s="99"/>
      <c r="AD42" s="5"/>
      <c r="AE42" s="5"/>
      <c r="AF42" s="63"/>
      <c r="AG42" s="100"/>
      <c r="AH42" s="5"/>
      <c r="AI42" s="5"/>
      <c r="AJ42" s="63"/>
      <c r="AK42" s="99"/>
      <c r="AL42" s="5"/>
      <c r="AM42" s="5"/>
      <c r="AN42" s="63"/>
      <c r="AO42" s="100"/>
      <c r="AP42" s="5"/>
      <c r="AQ42" s="5"/>
      <c r="AR42" s="63"/>
      <c r="AS42" s="100"/>
      <c r="AT42" s="100"/>
      <c r="AU42" s="101"/>
    </row>
    <row r="43" spans="2:47" ht="18.75" x14ac:dyDescent="0.3">
      <c r="B43" s="5"/>
      <c r="C43" s="5"/>
      <c r="D43" s="63"/>
      <c r="F43" s="5"/>
      <c r="G43" s="5"/>
      <c r="H43" s="63"/>
      <c r="J43" s="5"/>
      <c r="K43" s="5"/>
      <c r="L43" s="63"/>
      <c r="N43" s="5"/>
      <c r="O43" s="5"/>
      <c r="P43" s="63"/>
      <c r="R43" s="5"/>
      <c r="S43" s="5"/>
      <c r="T43" s="63"/>
      <c r="V43" s="5"/>
      <c r="W43" s="5"/>
      <c r="X43" s="63"/>
      <c r="Y43" s="102"/>
      <c r="Z43" s="5"/>
      <c r="AA43" s="5"/>
      <c r="AB43" s="63"/>
      <c r="AC43" s="99"/>
      <c r="AD43" s="5"/>
      <c r="AE43" s="5"/>
      <c r="AF43" s="63"/>
      <c r="AG43" s="100"/>
      <c r="AH43" s="5"/>
      <c r="AI43" s="5"/>
      <c r="AJ43" s="63"/>
      <c r="AK43" s="99"/>
      <c r="AL43" s="5"/>
      <c r="AM43" s="5"/>
      <c r="AN43" s="63"/>
      <c r="AO43" s="100"/>
      <c r="AP43" s="5"/>
      <c r="AQ43" s="5"/>
      <c r="AR43" s="63"/>
      <c r="AS43" s="100"/>
      <c r="AT43" s="100"/>
      <c r="AU43" s="101"/>
    </row>
    <row r="44" spans="2:47" ht="18.75" x14ac:dyDescent="0.3">
      <c r="B44" s="5"/>
      <c r="C44" s="5"/>
      <c r="D44" s="63"/>
      <c r="F44" s="5"/>
      <c r="G44" s="5"/>
      <c r="H44" s="63"/>
      <c r="J44" s="5"/>
      <c r="K44" s="5"/>
      <c r="L44" s="63"/>
      <c r="N44" s="5"/>
      <c r="O44" s="5"/>
      <c r="P44" s="63"/>
      <c r="R44" s="5"/>
      <c r="S44" s="5"/>
      <c r="T44" s="63"/>
      <c r="V44" s="5"/>
      <c r="W44" s="5"/>
      <c r="X44" s="63"/>
      <c r="Y44" s="102"/>
      <c r="Z44" s="5"/>
      <c r="AA44" s="5"/>
      <c r="AB44" s="63"/>
      <c r="AC44" s="99"/>
      <c r="AD44" s="5"/>
      <c r="AE44" s="5"/>
      <c r="AF44" s="63"/>
      <c r="AG44" s="100"/>
      <c r="AH44" s="5"/>
      <c r="AI44" s="5"/>
      <c r="AJ44" s="63"/>
      <c r="AK44" s="99"/>
      <c r="AL44" s="5"/>
      <c r="AM44" s="5"/>
      <c r="AN44" s="63"/>
      <c r="AO44" s="100"/>
      <c r="AP44" s="5"/>
      <c r="AQ44" s="5"/>
      <c r="AR44" s="63"/>
      <c r="AS44" s="100"/>
      <c r="AT44" s="100"/>
      <c r="AU44" s="101"/>
    </row>
    <row r="45" spans="2:47" ht="18.75" x14ac:dyDescent="0.3">
      <c r="B45" s="5"/>
      <c r="C45" s="5"/>
      <c r="D45" s="63"/>
      <c r="F45" s="5"/>
      <c r="G45" s="5"/>
      <c r="H45" s="63"/>
      <c r="J45" s="5"/>
      <c r="K45" s="5"/>
      <c r="L45" s="63"/>
      <c r="N45" s="5"/>
      <c r="O45" s="5"/>
      <c r="P45" s="63"/>
      <c r="R45" s="5"/>
      <c r="S45" s="5"/>
      <c r="T45" s="63"/>
      <c r="V45" s="5"/>
      <c r="W45" s="5"/>
      <c r="X45" s="63"/>
      <c r="Y45" s="102"/>
      <c r="Z45" s="5"/>
      <c r="AA45" s="5"/>
      <c r="AB45" s="63"/>
      <c r="AC45" s="99"/>
      <c r="AD45" s="5"/>
      <c r="AE45" s="5"/>
      <c r="AF45" s="63"/>
      <c r="AG45" s="100"/>
      <c r="AH45" s="5"/>
      <c r="AI45" s="5"/>
      <c r="AJ45" s="63"/>
      <c r="AK45" s="99"/>
      <c r="AL45" s="5"/>
      <c r="AM45" s="5"/>
      <c r="AN45" s="63"/>
      <c r="AO45" s="100"/>
      <c r="AP45" s="5"/>
      <c r="AQ45" s="5"/>
      <c r="AR45" s="63"/>
      <c r="AS45" s="100"/>
      <c r="AT45" s="100"/>
      <c r="AU45" s="101"/>
    </row>
    <row r="46" spans="2:47" ht="18.75" x14ac:dyDescent="0.3">
      <c r="B46" s="5"/>
      <c r="C46" s="5"/>
      <c r="D46" s="63"/>
      <c r="F46" s="5"/>
      <c r="G46" s="5"/>
      <c r="H46" s="63"/>
      <c r="J46" s="5"/>
      <c r="K46" s="5"/>
      <c r="L46" s="63"/>
      <c r="N46" s="5"/>
      <c r="O46" s="5"/>
      <c r="P46" s="63"/>
      <c r="R46" s="5"/>
      <c r="S46" s="5"/>
      <c r="T46" s="63"/>
      <c r="V46" s="5"/>
      <c r="W46" s="5"/>
      <c r="X46" s="63"/>
      <c r="Y46" s="102"/>
      <c r="Z46" s="5"/>
      <c r="AA46" s="5"/>
      <c r="AB46" s="63"/>
      <c r="AC46" s="99"/>
      <c r="AD46" s="5"/>
      <c r="AE46" s="5"/>
      <c r="AF46" s="63"/>
      <c r="AG46" s="100"/>
      <c r="AH46" s="5"/>
      <c r="AI46" s="5"/>
      <c r="AJ46" s="63"/>
      <c r="AK46" s="99"/>
      <c r="AL46" s="5"/>
      <c r="AM46" s="5"/>
      <c r="AN46" s="63"/>
      <c r="AO46" s="100"/>
      <c r="AP46" s="5"/>
      <c r="AQ46" s="5"/>
      <c r="AR46" s="63"/>
      <c r="AS46" s="100"/>
      <c r="AT46" s="100"/>
      <c r="AU46" s="101"/>
    </row>
    <row r="47" spans="2:47" ht="18.75" x14ac:dyDescent="0.3">
      <c r="B47" s="5"/>
      <c r="C47" s="5"/>
      <c r="D47" s="63"/>
      <c r="F47" s="5"/>
      <c r="G47" s="5"/>
      <c r="H47" s="63"/>
      <c r="J47" s="5"/>
      <c r="K47" s="5"/>
      <c r="L47" s="63"/>
      <c r="N47" s="5"/>
      <c r="O47" s="5"/>
      <c r="P47" s="63"/>
      <c r="R47" s="5"/>
      <c r="S47" s="5"/>
      <c r="T47" s="63"/>
      <c r="V47" s="5"/>
      <c r="W47" s="5"/>
      <c r="X47" s="63"/>
      <c r="Y47" s="102"/>
      <c r="Z47" s="5"/>
      <c r="AA47" s="5"/>
      <c r="AB47" s="63"/>
      <c r="AC47" s="99"/>
      <c r="AD47" s="5"/>
      <c r="AE47" s="5"/>
      <c r="AF47" s="63"/>
      <c r="AG47" s="100"/>
      <c r="AH47" s="5"/>
      <c r="AI47" s="5"/>
      <c r="AJ47" s="63"/>
      <c r="AK47" s="99"/>
      <c r="AL47" s="5"/>
      <c r="AM47" s="5"/>
      <c r="AN47" s="63"/>
      <c r="AO47" s="100"/>
      <c r="AP47" s="5"/>
      <c r="AQ47" s="5"/>
      <c r="AR47" s="63"/>
      <c r="AS47" s="100"/>
      <c r="AT47" s="100"/>
      <c r="AU47" s="101"/>
    </row>
    <row r="48" spans="2:47" ht="18.75" x14ac:dyDescent="0.3">
      <c r="B48" s="5"/>
      <c r="C48" s="5"/>
      <c r="D48" s="63"/>
      <c r="F48" s="5"/>
      <c r="G48" s="5"/>
      <c r="H48" s="63"/>
      <c r="J48" s="5"/>
      <c r="K48" s="5"/>
      <c r="L48" s="63"/>
      <c r="N48" s="5"/>
      <c r="O48" s="5"/>
      <c r="P48" s="63"/>
      <c r="R48" s="5"/>
      <c r="S48" s="5"/>
      <c r="T48" s="63"/>
      <c r="V48" s="5"/>
      <c r="W48" s="5"/>
      <c r="X48" s="63"/>
      <c r="Y48" s="102"/>
      <c r="Z48" s="5"/>
      <c r="AA48" s="5"/>
      <c r="AB48" s="63"/>
      <c r="AC48" s="99"/>
      <c r="AD48" s="5"/>
      <c r="AE48" s="5"/>
      <c r="AF48" s="63"/>
      <c r="AG48" s="100"/>
      <c r="AH48" s="5"/>
      <c r="AI48" s="5"/>
      <c r="AJ48" s="63"/>
      <c r="AK48" s="99"/>
      <c r="AL48" s="5"/>
      <c r="AM48" s="5"/>
      <c r="AN48" s="63"/>
      <c r="AO48" s="100"/>
      <c r="AP48" s="5"/>
      <c r="AQ48" s="5"/>
      <c r="AR48" s="63"/>
      <c r="AS48" s="100"/>
      <c r="AT48" s="100"/>
      <c r="AU48" s="101"/>
    </row>
    <row r="49" spans="2:47" ht="18.75" x14ac:dyDescent="0.3">
      <c r="B49" s="5"/>
      <c r="C49" s="5"/>
      <c r="D49" s="63"/>
      <c r="F49" s="5"/>
      <c r="G49" s="5"/>
      <c r="H49" s="63"/>
      <c r="J49" s="5"/>
      <c r="K49" s="5"/>
      <c r="L49" s="63"/>
      <c r="N49" s="5"/>
      <c r="O49" s="5"/>
      <c r="P49" s="63"/>
      <c r="R49" s="5"/>
      <c r="S49" s="5"/>
      <c r="T49" s="63"/>
      <c r="V49" s="5"/>
      <c r="W49" s="5"/>
      <c r="X49" s="63"/>
      <c r="Y49" s="102"/>
      <c r="Z49" s="5"/>
      <c r="AA49" s="5"/>
      <c r="AB49" s="63"/>
      <c r="AC49" s="99"/>
      <c r="AD49" s="5"/>
      <c r="AE49" s="5"/>
      <c r="AF49" s="63"/>
      <c r="AG49" s="100"/>
      <c r="AH49" s="5"/>
      <c r="AI49" s="5"/>
      <c r="AJ49" s="63"/>
      <c r="AK49" s="99"/>
      <c r="AL49" s="5"/>
      <c r="AM49" s="5"/>
      <c r="AN49" s="63"/>
      <c r="AO49" s="100"/>
      <c r="AP49" s="5"/>
      <c r="AQ49" s="5"/>
      <c r="AR49" s="63"/>
      <c r="AS49" s="100"/>
      <c r="AT49" s="100"/>
      <c r="AU49" s="101"/>
    </row>
    <row r="50" spans="2:47" ht="18.75" x14ac:dyDescent="0.3">
      <c r="B50" s="119" t="s">
        <v>69</v>
      </c>
      <c r="C50" s="111"/>
      <c r="D50" s="63">
        <f>SUM(D3:D49)</f>
        <v>25968.649999999998</v>
      </c>
      <c r="F50" s="119" t="s">
        <v>69</v>
      </c>
      <c r="G50" s="111"/>
      <c r="H50" s="63">
        <f>SUM(H3:H49)</f>
        <v>28077.18</v>
      </c>
      <c r="J50" s="119" t="s">
        <v>69</v>
      </c>
      <c r="K50" s="111"/>
      <c r="L50" s="63">
        <f>SUM(L3:L49)</f>
        <v>25759.74</v>
      </c>
      <c r="N50" s="119" t="s">
        <v>69</v>
      </c>
      <c r="O50" s="111"/>
      <c r="P50" s="63">
        <f>SUM(P3:P49)</f>
        <v>18652.939999999999</v>
      </c>
      <c r="R50" s="119" t="s">
        <v>69</v>
      </c>
      <c r="S50" s="111"/>
      <c r="T50" s="63">
        <f>SUM(T3:T49)</f>
        <v>19582.91</v>
      </c>
      <c r="V50" s="119" t="s">
        <v>69</v>
      </c>
      <c r="W50" s="111"/>
      <c r="X50" s="63">
        <f>SUM(X3:X49)</f>
        <v>17350.52</v>
      </c>
      <c r="Y50" s="15"/>
      <c r="Z50" s="119" t="s">
        <v>69</v>
      </c>
      <c r="AA50" s="111"/>
      <c r="AB50" s="63">
        <f>SUM(AB3:AB49)</f>
        <v>13185</v>
      </c>
      <c r="AC50" s="99"/>
      <c r="AD50" s="119" t="s">
        <v>69</v>
      </c>
      <c r="AE50" s="111"/>
      <c r="AF50" s="63">
        <f>SUM(AF3:AF49)</f>
        <v>13185</v>
      </c>
      <c r="AG50" s="100"/>
      <c r="AH50" s="119" t="s">
        <v>69</v>
      </c>
      <c r="AI50" s="111"/>
      <c r="AJ50" s="63">
        <f>SUM(AJ3:AJ49)</f>
        <v>8185</v>
      </c>
      <c r="AK50" s="99"/>
      <c r="AL50" s="119" t="s">
        <v>69</v>
      </c>
      <c r="AM50" s="111"/>
      <c r="AN50" s="63">
        <f>SUM(AN3:AN49)</f>
        <v>0</v>
      </c>
      <c r="AO50" s="100"/>
      <c r="AP50" s="119" t="s">
        <v>69</v>
      </c>
      <c r="AQ50" s="111"/>
      <c r="AR50" s="63">
        <f>SUM(AR3:AR49)</f>
        <v>0</v>
      </c>
      <c r="AS50" s="100"/>
      <c r="AT50" s="100"/>
      <c r="AU50" s="101"/>
    </row>
    <row r="51" spans="2:47" ht="18.75" x14ac:dyDescent="0.3">
      <c r="AC51" s="99"/>
      <c r="AD51" s="100"/>
      <c r="AE51" s="100"/>
      <c r="AF51" s="100"/>
      <c r="AG51" s="100"/>
      <c r="AH51" s="100"/>
      <c r="AI51" s="100"/>
      <c r="AJ51" s="101"/>
      <c r="AK51" s="99"/>
      <c r="AL51" s="100"/>
      <c r="AM51" s="100"/>
      <c r="AN51" s="100"/>
      <c r="AO51" s="100"/>
      <c r="AP51" s="100"/>
      <c r="AQ51" s="100"/>
      <c r="AR51" s="100"/>
      <c r="AS51" s="100"/>
      <c r="AT51" s="100"/>
      <c r="AU51" s="101"/>
    </row>
    <row r="52" spans="2:47" ht="18.75" x14ac:dyDescent="0.3">
      <c r="AC52" s="99"/>
      <c r="AD52" s="100"/>
      <c r="AE52" s="100"/>
      <c r="AF52" s="100"/>
      <c r="AG52" s="100"/>
      <c r="AH52" s="100"/>
      <c r="AI52" s="100"/>
      <c r="AJ52" s="101"/>
      <c r="AK52" s="99"/>
      <c r="AL52" s="100"/>
      <c r="AM52" s="100"/>
      <c r="AN52" s="100"/>
      <c r="AO52" s="100"/>
      <c r="AP52" s="100"/>
      <c r="AQ52" s="100"/>
      <c r="AR52" s="100"/>
      <c r="AS52" s="100"/>
      <c r="AT52" s="100"/>
      <c r="AU52" s="101"/>
    </row>
    <row r="53" spans="2:47" ht="18.75" x14ac:dyDescent="0.3">
      <c r="AC53" s="99"/>
      <c r="AD53" s="100"/>
      <c r="AE53" s="100"/>
      <c r="AF53" s="100"/>
      <c r="AG53" s="100"/>
      <c r="AH53" s="100"/>
      <c r="AI53" s="100"/>
      <c r="AJ53" s="101"/>
      <c r="AK53" s="99"/>
      <c r="AL53" s="100"/>
      <c r="AM53" s="100"/>
      <c r="AN53" s="100"/>
      <c r="AO53" s="100"/>
      <c r="AP53" s="100"/>
      <c r="AQ53" s="100"/>
      <c r="AR53" s="100"/>
      <c r="AS53" s="100"/>
      <c r="AT53" s="100"/>
      <c r="AU53" s="101"/>
    </row>
    <row r="54" spans="2:47" ht="18.75" x14ac:dyDescent="0.3">
      <c r="AC54" s="99"/>
      <c r="AD54" s="100"/>
      <c r="AE54" s="100"/>
      <c r="AF54" s="100"/>
      <c r="AG54" s="100"/>
      <c r="AH54" s="100"/>
      <c r="AI54" s="100"/>
      <c r="AJ54" s="101"/>
      <c r="AK54" s="99"/>
      <c r="AL54" s="100"/>
      <c r="AM54" s="100"/>
      <c r="AN54" s="100"/>
      <c r="AO54" s="100"/>
      <c r="AP54" s="100"/>
      <c r="AQ54" s="100"/>
      <c r="AR54" s="100"/>
      <c r="AS54" s="100"/>
      <c r="AT54" s="100"/>
      <c r="AU54" s="101"/>
    </row>
    <row r="55" spans="2:47" ht="18.75" x14ac:dyDescent="0.3">
      <c r="AC55" s="99"/>
      <c r="AD55" s="100"/>
      <c r="AE55" s="100"/>
      <c r="AF55" s="100"/>
      <c r="AG55" s="100"/>
      <c r="AH55" s="100"/>
      <c r="AI55" s="100"/>
      <c r="AJ55" s="101"/>
      <c r="AK55" s="99"/>
      <c r="AL55" s="100"/>
      <c r="AM55" s="100"/>
      <c r="AN55" s="100"/>
      <c r="AO55" s="100"/>
      <c r="AP55" s="100"/>
      <c r="AQ55" s="100"/>
      <c r="AR55" s="100"/>
      <c r="AS55" s="100"/>
      <c r="AT55" s="100"/>
      <c r="AU55" s="101"/>
    </row>
    <row r="56" spans="2:47" ht="18.75" x14ac:dyDescent="0.3">
      <c r="AC56" s="99"/>
      <c r="AD56" s="100"/>
      <c r="AE56" s="100"/>
      <c r="AF56" s="100"/>
      <c r="AG56" s="100"/>
      <c r="AH56" s="100"/>
      <c r="AI56" s="100"/>
      <c r="AJ56" s="101"/>
      <c r="AK56" s="99"/>
      <c r="AL56" s="100"/>
      <c r="AM56" s="100"/>
      <c r="AN56" s="100"/>
      <c r="AO56" s="100"/>
      <c r="AP56" s="100"/>
      <c r="AQ56" s="100"/>
      <c r="AR56" s="100"/>
      <c r="AS56" s="100"/>
      <c r="AT56" s="100"/>
      <c r="AU56" s="101"/>
    </row>
    <row r="57" spans="2:47" ht="18.75" x14ac:dyDescent="0.3">
      <c r="AC57" s="99"/>
      <c r="AD57" s="100"/>
      <c r="AE57" s="100"/>
      <c r="AF57" s="100"/>
      <c r="AG57" s="100"/>
      <c r="AH57" s="100"/>
      <c r="AI57" s="100"/>
      <c r="AJ57" s="101"/>
      <c r="AK57" s="99"/>
      <c r="AL57" s="100"/>
      <c r="AM57" s="100"/>
      <c r="AN57" s="100"/>
      <c r="AO57" s="100"/>
      <c r="AP57" s="100"/>
      <c r="AQ57" s="100"/>
      <c r="AR57" s="100"/>
      <c r="AS57" s="100"/>
      <c r="AT57" s="100"/>
      <c r="AU57" s="101"/>
    </row>
    <row r="58" spans="2:47" ht="18.75" x14ac:dyDescent="0.3">
      <c r="AC58" s="99"/>
      <c r="AD58" s="100"/>
      <c r="AE58" s="100"/>
      <c r="AF58" s="100"/>
      <c r="AG58" s="100"/>
      <c r="AH58" s="100"/>
      <c r="AI58" s="100"/>
      <c r="AJ58" s="101"/>
      <c r="AK58" s="99"/>
      <c r="AL58" s="100"/>
      <c r="AM58" s="100"/>
      <c r="AN58" s="100"/>
      <c r="AO58" s="100"/>
      <c r="AP58" s="100"/>
      <c r="AQ58" s="100"/>
      <c r="AR58" s="100"/>
      <c r="AS58" s="100"/>
      <c r="AT58" s="100"/>
      <c r="AU58" s="101"/>
    </row>
    <row r="59" spans="2:47" ht="18.75" x14ac:dyDescent="0.3">
      <c r="AC59" s="99"/>
      <c r="AD59" s="100"/>
      <c r="AE59" s="100"/>
      <c r="AF59" s="100"/>
      <c r="AG59" s="100"/>
      <c r="AH59" s="100"/>
      <c r="AI59" s="100"/>
      <c r="AJ59" s="101"/>
      <c r="AK59" s="99"/>
      <c r="AL59" s="100"/>
      <c r="AM59" s="100"/>
      <c r="AN59" s="100"/>
      <c r="AO59" s="100"/>
      <c r="AP59" s="100"/>
      <c r="AQ59" s="100"/>
      <c r="AR59" s="100"/>
      <c r="AS59" s="100"/>
      <c r="AT59" s="100"/>
      <c r="AU59" s="101"/>
    </row>
    <row r="60" spans="2:47" ht="18.75" x14ac:dyDescent="0.3">
      <c r="AC60" s="99"/>
      <c r="AD60" s="100"/>
      <c r="AE60" s="100"/>
      <c r="AF60" s="100"/>
      <c r="AG60" s="100"/>
      <c r="AH60" s="100"/>
      <c r="AI60" s="100"/>
      <c r="AJ60" s="101"/>
      <c r="AK60" s="99"/>
      <c r="AL60" s="100"/>
      <c r="AM60" s="100"/>
      <c r="AN60" s="100"/>
      <c r="AO60" s="100"/>
      <c r="AP60" s="100"/>
      <c r="AQ60" s="100"/>
      <c r="AR60" s="100"/>
      <c r="AS60" s="100"/>
      <c r="AT60" s="100"/>
      <c r="AU60" s="101"/>
    </row>
    <row r="61" spans="2:47" ht="18.75" x14ac:dyDescent="0.3">
      <c r="AC61" s="99"/>
      <c r="AD61" s="100"/>
      <c r="AE61" s="100"/>
      <c r="AF61" s="100"/>
      <c r="AG61" s="100"/>
      <c r="AH61" s="100"/>
      <c r="AI61" s="100"/>
      <c r="AJ61" s="101"/>
      <c r="AK61" s="99"/>
      <c r="AL61" s="100"/>
      <c r="AM61" s="100"/>
      <c r="AN61" s="100"/>
      <c r="AO61" s="100"/>
      <c r="AP61" s="100"/>
      <c r="AQ61" s="100"/>
      <c r="AR61" s="100"/>
      <c r="AS61" s="100"/>
      <c r="AT61" s="100"/>
      <c r="AU61" s="101"/>
    </row>
    <row r="62" spans="2:47" ht="18.75" x14ac:dyDescent="0.3">
      <c r="AC62" s="99"/>
      <c r="AD62" s="100"/>
      <c r="AE62" s="100"/>
      <c r="AF62" s="100"/>
      <c r="AG62" s="100"/>
      <c r="AH62" s="100"/>
      <c r="AI62" s="100"/>
      <c r="AJ62" s="101"/>
      <c r="AK62" s="99"/>
      <c r="AL62" s="100"/>
      <c r="AM62" s="100"/>
      <c r="AN62" s="100"/>
      <c r="AO62" s="100"/>
      <c r="AP62" s="100"/>
      <c r="AQ62" s="100"/>
      <c r="AR62" s="100"/>
      <c r="AS62" s="100"/>
      <c r="AT62" s="100"/>
      <c r="AU62" s="101"/>
    </row>
    <row r="63" spans="2:47" ht="18.75" x14ac:dyDescent="0.3">
      <c r="AC63" s="99"/>
      <c r="AD63" s="100"/>
      <c r="AE63" s="100"/>
      <c r="AF63" s="100"/>
      <c r="AG63" s="100"/>
      <c r="AH63" s="100"/>
      <c r="AI63" s="100"/>
      <c r="AJ63" s="101"/>
      <c r="AK63" s="99"/>
      <c r="AL63" s="100"/>
      <c r="AM63" s="100"/>
      <c r="AN63" s="100"/>
      <c r="AO63" s="100"/>
      <c r="AP63" s="100"/>
      <c r="AQ63" s="100"/>
      <c r="AR63" s="100"/>
      <c r="AS63" s="100"/>
      <c r="AT63" s="100"/>
      <c r="AU63" s="101"/>
    </row>
    <row r="64" spans="2:47" ht="18.75" x14ac:dyDescent="0.3">
      <c r="AC64" s="99"/>
      <c r="AD64" s="100"/>
      <c r="AE64" s="100"/>
      <c r="AF64" s="100"/>
      <c r="AG64" s="100"/>
      <c r="AH64" s="100"/>
      <c r="AI64" s="100"/>
      <c r="AJ64" s="101"/>
      <c r="AK64" s="99"/>
      <c r="AL64" s="100"/>
      <c r="AM64" s="100"/>
      <c r="AN64" s="100"/>
      <c r="AO64" s="100"/>
      <c r="AP64" s="100"/>
      <c r="AQ64" s="100"/>
      <c r="AR64" s="100"/>
      <c r="AS64" s="100"/>
      <c r="AT64" s="100"/>
      <c r="AU64" s="101"/>
    </row>
    <row r="65" spans="29:47" ht="18.75" x14ac:dyDescent="0.3">
      <c r="AC65" s="99"/>
      <c r="AD65" s="100"/>
      <c r="AE65" s="100"/>
      <c r="AF65" s="100"/>
      <c r="AG65" s="100"/>
      <c r="AH65" s="100"/>
      <c r="AI65" s="100"/>
      <c r="AJ65" s="101"/>
      <c r="AK65" s="99"/>
      <c r="AL65" s="100"/>
      <c r="AM65" s="100"/>
      <c r="AN65" s="100"/>
      <c r="AO65" s="100"/>
      <c r="AP65" s="100"/>
      <c r="AQ65" s="100"/>
      <c r="AR65" s="100"/>
      <c r="AS65" s="100"/>
      <c r="AT65" s="100"/>
      <c r="AU65" s="101"/>
    </row>
    <row r="66" spans="29:47" ht="18.75" x14ac:dyDescent="0.3">
      <c r="AC66" s="99"/>
      <c r="AD66" s="100"/>
      <c r="AE66" s="100"/>
      <c r="AF66" s="100"/>
      <c r="AG66" s="100"/>
      <c r="AH66" s="100"/>
      <c r="AI66" s="100"/>
      <c r="AJ66" s="101"/>
      <c r="AK66" s="99"/>
      <c r="AL66" s="100"/>
      <c r="AM66" s="100"/>
      <c r="AN66" s="100"/>
      <c r="AO66" s="100"/>
      <c r="AP66" s="100"/>
      <c r="AQ66" s="100"/>
      <c r="AR66" s="100"/>
      <c r="AS66" s="100"/>
      <c r="AT66" s="100"/>
      <c r="AU66" s="101"/>
    </row>
    <row r="67" spans="29:47" ht="18.75" x14ac:dyDescent="0.3">
      <c r="AC67" s="99"/>
      <c r="AD67" s="100"/>
      <c r="AE67" s="100"/>
      <c r="AF67" s="100"/>
      <c r="AG67" s="100"/>
      <c r="AH67" s="100"/>
      <c r="AI67" s="100"/>
      <c r="AJ67" s="101"/>
      <c r="AK67" s="99"/>
      <c r="AL67" s="100"/>
      <c r="AM67" s="100"/>
      <c r="AN67" s="100"/>
      <c r="AO67" s="100"/>
      <c r="AP67" s="100"/>
      <c r="AQ67" s="100"/>
      <c r="AR67" s="100"/>
      <c r="AS67" s="100"/>
      <c r="AT67" s="100"/>
      <c r="AU67" s="101"/>
    </row>
    <row r="68" spans="29:47" ht="18.75" x14ac:dyDescent="0.3">
      <c r="AC68" s="99"/>
      <c r="AD68" s="100"/>
      <c r="AE68" s="100"/>
      <c r="AF68" s="100"/>
      <c r="AG68" s="100"/>
      <c r="AH68" s="100"/>
      <c r="AI68" s="100"/>
      <c r="AJ68" s="101"/>
      <c r="AK68" s="99"/>
      <c r="AL68" s="100"/>
      <c r="AM68" s="100"/>
      <c r="AN68" s="100"/>
      <c r="AO68" s="100"/>
      <c r="AP68" s="100"/>
      <c r="AQ68" s="100"/>
      <c r="AR68" s="100"/>
      <c r="AS68" s="100"/>
      <c r="AT68" s="100"/>
      <c r="AU68" s="101"/>
    </row>
    <row r="69" spans="29:47" ht="18.75" x14ac:dyDescent="0.3">
      <c r="AC69" s="99"/>
      <c r="AD69" s="100"/>
      <c r="AE69" s="100"/>
      <c r="AF69" s="100"/>
      <c r="AG69" s="100"/>
      <c r="AH69" s="100"/>
      <c r="AI69" s="100"/>
      <c r="AJ69" s="101"/>
      <c r="AK69" s="99"/>
      <c r="AL69" s="100"/>
      <c r="AM69" s="100"/>
      <c r="AN69" s="100"/>
      <c r="AO69" s="100"/>
      <c r="AP69" s="100"/>
      <c r="AQ69" s="100"/>
      <c r="AR69" s="100"/>
      <c r="AS69" s="100"/>
      <c r="AT69" s="100"/>
      <c r="AU69" s="101"/>
    </row>
    <row r="70" spans="29:47" ht="18.75" x14ac:dyDescent="0.3">
      <c r="AC70" s="99"/>
      <c r="AD70" s="100"/>
      <c r="AE70" s="100"/>
      <c r="AF70" s="100"/>
      <c r="AG70" s="100"/>
      <c r="AH70" s="100"/>
      <c r="AI70" s="100"/>
      <c r="AJ70" s="101"/>
      <c r="AK70" s="99"/>
      <c r="AL70" s="100"/>
      <c r="AM70" s="100"/>
      <c r="AN70" s="100"/>
      <c r="AO70" s="100"/>
      <c r="AP70" s="100"/>
      <c r="AQ70" s="100"/>
      <c r="AR70" s="100"/>
      <c r="AS70" s="100"/>
      <c r="AT70" s="100"/>
      <c r="AU70" s="101"/>
    </row>
    <row r="71" spans="29:47" ht="18.75" x14ac:dyDescent="0.3">
      <c r="AC71" s="99"/>
      <c r="AD71" s="100"/>
      <c r="AE71" s="100"/>
      <c r="AF71" s="100"/>
      <c r="AG71" s="100"/>
      <c r="AH71" s="100"/>
      <c r="AI71" s="100"/>
      <c r="AJ71" s="101"/>
      <c r="AK71" s="99"/>
      <c r="AL71" s="100"/>
      <c r="AM71" s="100"/>
      <c r="AN71" s="100"/>
      <c r="AO71" s="100"/>
      <c r="AP71" s="100"/>
      <c r="AQ71" s="100"/>
      <c r="AR71" s="100"/>
      <c r="AS71" s="100"/>
      <c r="AT71" s="100"/>
      <c r="AU71" s="101"/>
    </row>
    <row r="72" spans="29:47" ht="18.75" x14ac:dyDescent="0.3">
      <c r="AC72" s="99"/>
      <c r="AD72" s="100"/>
      <c r="AE72" s="100"/>
      <c r="AF72" s="100"/>
      <c r="AG72" s="100"/>
      <c r="AH72" s="100"/>
      <c r="AI72" s="100"/>
      <c r="AJ72" s="101"/>
      <c r="AK72" s="99"/>
      <c r="AL72" s="100"/>
      <c r="AM72" s="100"/>
      <c r="AN72" s="100"/>
      <c r="AO72" s="100"/>
      <c r="AP72" s="100"/>
      <c r="AQ72" s="100"/>
      <c r="AR72" s="100"/>
      <c r="AS72" s="100"/>
      <c r="AT72" s="100"/>
      <c r="AU72" s="101"/>
    </row>
    <row r="73" spans="29:47" ht="18.75" x14ac:dyDescent="0.3">
      <c r="AC73" s="99"/>
      <c r="AD73" s="100"/>
      <c r="AE73" s="100"/>
      <c r="AF73" s="100"/>
      <c r="AG73" s="100"/>
      <c r="AH73" s="100"/>
      <c r="AI73" s="100"/>
      <c r="AJ73" s="101"/>
      <c r="AK73" s="99"/>
      <c r="AL73" s="100"/>
      <c r="AM73" s="100"/>
      <c r="AN73" s="100"/>
      <c r="AO73" s="100"/>
      <c r="AP73" s="100"/>
      <c r="AQ73" s="100"/>
      <c r="AR73" s="100"/>
      <c r="AS73" s="100"/>
      <c r="AT73" s="100"/>
      <c r="AU73" s="101"/>
    </row>
    <row r="74" spans="29:47" ht="18.75" x14ac:dyDescent="0.3">
      <c r="AC74" s="99"/>
      <c r="AD74" s="100"/>
      <c r="AE74" s="100"/>
      <c r="AF74" s="100"/>
      <c r="AG74" s="100"/>
      <c r="AH74" s="100"/>
      <c r="AI74" s="100"/>
      <c r="AJ74" s="101"/>
      <c r="AK74" s="99"/>
      <c r="AL74" s="100"/>
      <c r="AM74" s="100"/>
      <c r="AN74" s="100"/>
      <c r="AO74" s="100"/>
      <c r="AP74" s="100"/>
      <c r="AQ74" s="100"/>
      <c r="AR74" s="100"/>
      <c r="AS74" s="100"/>
      <c r="AT74" s="100"/>
      <c r="AU74" s="101"/>
    </row>
    <row r="75" spans="29:47" ht="18.75" x14ac:dyDescent="0.3">
      <c r="AC75" s="99"/>
      <c r="AD75" s="100"/>
      <c r="AE75" s="100"/>
      <c r="AF75" s="100"/>
      <c r="AG75" s="100"/>
      <c r="AH75" s="100"/>
      <c r="AI75" s="100"/>
      <c r="AJ75" s="101"/>
      <c r="AK75" s="99"/>
      <c r="AL75" s="100"/>
      <c r="AM75" s="100"/>
      <c r="AN75" s="100"/>
      <c r="AO75" s="100"/>
      <c r="AP75" s="100"/>
      <c r="AQ75" s="100"/>
      <c r="AR75" s="100"/>
      <c r="AS75" s="100"/>
      <c r="AT75" s="100"/>
      <c r="AU75" s="101"/>
    </row>
    <row r="76" spans="29:47" ht="18.75" x14ac:dyDescent="0.3">
      <c r="AC76" s="99"/>
      <c r="AD76" s="100"/>
      <c r="AE76" s="100"/>
      <c r="AF76" s="100"/>
      <c r="AG76" s="100"/>
      <c r="AH76" s="100"/>
      <c r="AI76" s="100"/>
      <c r="AJ76" s="101"/>
      <c r="AK76" s="99"/>
      <c r="AL76" s="100"/>
      <c r="AM76" s="100"/>
      <c r="AN76" s="100"/>
      <c r="AO76" s="100"/>
      <c r="AP76" s="100"/>
      <c r="AQ76" s="100"/>
      <c r="AR76" s="100"/>
      <c r="AS76" s="100"/>
      <c r="AT76" s="100"/>
      <c r="AU76" s="101"/>
    </row>
    <row r="77" spans="29:47" ht="18.75" x14ac:dyDescent="0.3">
      <c r="AC77" s="99"/>
      <c r="AD77" s="100"/>
      <c r="AE77" s="100"/>
      <c r="AF77" s="100"/>
      <c r="AG77" s="100"/>
      <c r="AH77" s="100"/>
      <c r="AI77" s="100"/>
      <c r="AJ77" s="101"/>
      <c r="AK77" s="99"/>
      <c r="AL77" s="100"/>
      <c r="AM77" s="100"/>
      <c r="AN77" s="100"/>
      <c r="AO77" s="100"/>
      <c r="AP77" s="100"/>
      <c r="AQ77" s="100"/>
      <c r="AR77" s="100"/>
      <c r="AS77" s="100"/>
      <c r="AT77" s="100"/>
      <c r="AU77" s="101"/>
    </row>
    <row r="78" spans="29:47" ht="18.75" x14ac:dyDescent="0.3">
      <c r="AC78" s="99"/>
      <c r="AD78" s="100"/>
      <c r="AE78" s="100"/>
      <c r="AF78" s="100"/>
      <c r="AG78" s="100"/>
      <c r="AH78" s="100"/>
      <c r="AI78" s="100"/>
      <c r="AJ78" s="101"/>
      <c r="AK78" s="99"/>
      <c r="AL78" s="100"/>
      <c r="AM78" s="100"/>
      <c r="AN78" s="100"/>
      <c r="AO78" s="100"/>
      <c r="AP78" s="100"/>
      <c r="AQ78" s="100"/>
      <c r="AR78" s="100"/>
      <c r="AS78" s="100"/>
      <c r="AT78" s="100"/>
      <c r="AU78" s="101"/>
    </row>
    <row r="79" spans="29:47" ht="18.75" x14ac:dyDescent="0.3">
      <c r="AC79" s="99"/>
      <c r="AD79" s="100"/>
      <c r="AE79" s="100"/>
      <c r="AF79" s="100"/>
      <c r="AG79" s="100"/>
      <c r="AH79" s="100"/>
      <c r="AI79" s="100"/>
      <c r="AJ79" s="101"/>
      <c r="AK79" s="99"/>
      <c r="AL79" s="100"/>
      <c r="AM79" s="100"/>
      <c r="AN79" s="100"/>
      <c r="AO79" s="100"/>
      <c r="AP79" s="100"/>
      <c r="AQ79" s="100"/>
      <c r="AR79" s="100"/>
      <c r="AS79" s="100"/>
      <c r="AT79" s="100"/>
      <c r="AU79" s="101"/>
    </row>
    <row r="80" spans="29:47" ht="18.75" x14ac:dyDescent="0.3">
      <c r="AC80" s="99"/>
      <c r="AD80" s="100"/>
      <c r="AE80" s="100"/>
      <c r="AF80" s="100"/>
      <c r="AG80" s="100"/>
      <c r="AH80" s="100"/>
      <c r="AI80" s="100"/>
      <c r="AJ80" s="101"/>
      <c r="AK80" s="99"/>
      <c r="AL80" s="100"/>
      <c r="AM80" s="100"/>
      <c r="AN80" s="100"/>
      <c r="AO80" s="100"/>
      <c r="AP80" s="100"/>
      <c r="AQ80" s="100"/>
      <c r="AR80" s="100"/>
      <c r="AS80" s="100"/>
      <c r="AT80" s="100"/>
      <c r="AU80" s="101"/>
    </row>
    <row r="81" spans="29:47" ht="18.75" x14ac:dyDescent="0.3">
      <c r="AC81" s="99"/>
      <c r="AD81" s="100"/>
      <c r="AE81" s="100"/>
      <c r="AF81" s="100"/>
      <c r="AG81" s="100"/>
      <c r="AH81" s="100"/>
      <c r="AI81" s="100"/>
      <c r="AJ81" s="101"/>
      <c r="AK81" s="99"/>
      <c r="AL81" s="100"/>
      <c r="AM81" s="100"/>
      <c r="AN81" s="100"/>
      <c r="AO81" s="100"/>
      <c r="AP81" s="100"/>
      <c r="AQ81" s="100"/>
      <c r="AR81" s="100"/>
      <c r="AS81" s="100"/>
      <c r="AT81" s="100"/>
      <c r="AU81" s="101"/>
    </row>
    <row r="82" spans="29:47" ht="18.75" x14ac:dyDescent="0.3">
      <c r="AC82" s="99"/>
      <c r="AD82" s="100"/>
      <c r="AE82" s="100"/>
      <c r="AF82" s="100"/>
      <c r="AG82" s="100"/>
      <c r="AH82" s="100"/>
      <c r="AI82" s="100"/>
      <c r="AJ82" s="101"/>
      <c r="AK82" s="99"/>
      <c r="AL82" s="100"/>
      <c r="AM82" s="100"/>
      <c r="AN82" s="100"/>
      <c r="AO82" s="100"/>
      <c r="AP82" s="100"/>
      <c r="AQ82" s="100"/>
      <c r="AR82" s="100"/>
      <c r="AS82" s="100"/>
      <c r="AT82" s="100"/>
      <c r="AU82" s="101"/>
    </row>
    <row r="83" spans="29:47" ht="18.75" x14ac:dyDescent="0.3">
      <c r="AC83" s="99"/>
      <c r="AD83" s="100"/>
      <c r="AE83" s="100"/>
      <c r="AF83" s="100"/>
      <c r="AG83" s="100"/>
      <c r="AH83" s="100"/>
      <c r="AI83" s="100"/>
      <c r="AJ83" s="101"/>
      <c r="AK83" s="99"/>
      <c r="AL83" s="100"/>
      <c r="AM83" s="100"/>
      <c r="AN83" s="100"/>
      <c r="AO83" s="100"/>
      <c r="AP83" s="100"/>
      <c r="AQ83" s="100"/>
      <c r="AR83" s="100"/>
      <c r="AS83" s="100"/>
      <c r="AT83" s="100"/>
      <c r="AU83" s="101"/>
    </row>
    <row r="84" spans="29:47" ht="18.75" x14ac:dyDescent="0.3">
      <c r="AC84" s="99"/>
      <c r="AD84" s="100"/>
      <c r="AE84" s="100"/>
      <c r="AF84" s="100"/>
      <c r="AG84" s="100"/>
      <c r="AH84" s="100"/>
      <c r="AI84" s="100"/>
      <c r="AJ84" s="101"/>
      <c r="AK84" s="99"/>
      <c r="AL84" s="100"/>
      <c r="AM84" s="100"/>
      <c r="AN84" s="100"/>
      <c r="AO84" s="100"/>
      <c r="AP84" s="100"/>
      <c r="AQ84" s="100"/>
      <c r="AR84" s="100"/>
      <c r="AS84" s="100"/>
      <c r="AT84" s="100"/>
      <c r="AU84" s="101"/>
    </row>
    <row r="85" spans="29:47" ht="18.75" x14ac:dyDescent="0.3">
      <c r="AC85" s="99"/>
      <c r="AD85" s="100"/>
      <c r="AE85" s="100"/>
      <c r="AF85" s="100"/>
      <c r="AG85" s="100"/>
      <c r="AH85" s="100"/>
      <c r="AI85" s="100"/>
      <c r="AJ85" s="101"/>
      <c r="AK85" s="99"/>
      <c r="AL85" s="100"/>
      <c r="AM85" s="100"/>
      <c r="AN85" s="100"/>
      <c r="AO85" s="100"/>
      <c r="AP85" s="100"/>
      <c r="AQ85" s="100"/>
      <c r="AR85" s="100"/>
      <c r="AS85" s="100"/>
      <c r="AT85" s="100"/>
      <c r="AU85" s="101"/>
    </row>
    <row r="86" spans="29:47" ht="18.75" x14ac:dyDescent="0.3">
      <c r="AC86" s="99"/>
      <c r="AD86" s="100"/>
      <c r="AE86" s="100"/>
      <c r="AF86" s="100"/>
      <c r="AG86" s="100"/>
      <c r="AH86" s="100"/>
      <c r="AI86" s="100"/>
      <c r="AJ86" s="101"/>
      <c r="AK86" s="99"/>
      <c r="AL86" s="100"/>
      <c r="AM86" s="100"/>
      <c r="AN86" s="100"/>
      <c r="AO86" s="100"/>
      <c r="AP86" s="100"/>
      <c r="AQ86" s="100"/>
      <c r="AR86" s="100"/>
      <c r="AS86" s="100"/>
      <c r="AT86" s="100"/>
      <c r="AU86" s="101"/>
    </row>
    <row r="87" spans="29:47" ht="18.75" x14ac:dyDescent="0.3">
      <c r="AC87" s="99"/>
      <c r="AD87" s="100"/>
      <c r="AE87" s="100"/>
      <c r="AF87" s="100"/>
      <c r="AG87" s="100"/>
      <c r="AH87" s="100"/>
      <c r="AI87" s="100"/>
      <c r="AJ87" s="101"/>
      <c r="AK87" s="99"/>
      <c r="AL87" s="100"/>
      <c r="AM87" s="100"/>
      <c r="AN87" s="100"/>
      <c r="AO87" s="100"/>
      <c r="AP87" s="100"/>
      <c r="AQ87" s="100"/>
      <c r="AR87" s="100"/>
      <c r="AS87" s="100"/>
      <c r="AT87" s="100"/>
      <c r="AU87" s="101"/>
    </row>
    <row r="88" spans="29:47" ht="18.75" x14ac:dyDescent="0.3">
      <c r="AC88" s="99"/>
      <c r="AD88" s="100"/>
      <c r="AE88" s="100"/>
      <c r="AF88" s="100"/>
      <c r="AG88" s="100"/>
      <c r="AH88" s="100"/>
      <c r="AI88" s="100"/>
      <c r="AJ88" s="101"/>
      <c r="AK88" s="99"/>
      <c r="AL88" s="100"/>
      <c r="AM88" s="100"/>
      <c r="AN88" s="100"/>
      <c r="AO88" s="100"/>
      <c r="AP88" s="100"/>
      <c r="AQ88" s="100"/>
      <c r="AR88" s="100"/>
      <c r="AS88" s="100"/>
      <c r="AT88" s="100"/>
      <c r="AU88" s="101"/>
    </row>
    <row r="89" spans="29:47" ht="18.75" x14ac:dyDescent="0.3">
      <c r="AC89" s="99"/>
      <c r="AD89" s="100"/>
      <c r="AE89" s="100"/>
      <c r="AF89" s="100"/>
      <c r="AG89" s="100"/>
      <c r="AH89" s="100"/>
      <c r="AI89" s="100"/>
      <c r="AJ89" s="101"/>
      <c r="AK89" s="99"/>
      <c r="AL89" s="100"/>
      <c r="AM89" s="100"/>
      <c r="AN89" s="100"/>
      <c r="AO89" s="100"/>
      <c r="AP89" s="100"/>
      <c r="AQ89" s="100"/>
      <c r="AR89" s="100"/>
      <c r="AS89" s="100"/>
      <c r="AT89" s="100"/>
      <c r="AU89" s="101"/>
    </row>
    <row r="90" spans="29:47" ht="18.75" x14ac:dyDescent="0.3">
      <c r="AC90" s="99"/>
      <c r="AD90" s="100"/>
      <c r="AE90" s="100"/>
      <c r="AF90" s="100"/>
      <c r="AG90" s="100"/>
      <c r="AH90" s="100"/>
      <c r="AI90" s="100"/>
      <c r="AJ90" s="101"/>
      <c r="AK90" s="99"/>
      <c r="AL90" s="100"/>
      <c r="AM90" s="100"/>
      <c r="AN90" s="100"/>
      <c r="AO90" s="100"/>
      <c r="AP90" s="100"/>
      <c r="AQ90" s="100"/>
      <c r="AR90" s="100"/>
      <c r="AS90" s="100"/>
      <c r="AT90" s="100"/>
      <c r="AU90" s="101"/>
    </row>
    <row r="91" spans="29:47" ht="18.75" x14ac:dyDescent="0.3">
      <c r="AC91" s="99"/>
      <c r="AD91" s="100"/>
      <c r="AE91" s="100"/>
      <c r="AF91" s="100"/>
      <c r="AG91" s="100"/>
      <c r="AH91" s="100"/>
      <c r="AI91" s="100"/>
      <c r="AJ91" s="101"/>
      <c r="AK91" s="99"/>
      <c r="AL91" s="100"/>
      <c r="AM91" s="100"/>
      <c r="AN91" s="100"/>
      <c r="AO91" s="100"/>
      <c r="AP91" s="100"/>
      <c r="AQ91" s="100"/>
      <c r="AR91" s="100"/>
      <c r="AS91" s="100"/>
      <c r="AT91" s="100"/>
      <c r="AU91" s="101"/>
    </row>
    <row r="92" spans="29:47" ht="18.75" x14ac:dyDescent="0.3">
      <c r="AC92" s="99"/>
      <c r="AD92" s="100"/>
      <c r="AE92" s="100"/>
      <c r="AF92" s="100"/>
      <c r="AG92" s="100"/>
      <c r="AH92" s="100"/>
      <c r="AI92" s="100"/>
      <c r="AJ92" s="101"/>
      <c r="AK92" s="99"/>
      <c r="AL92" s="100"/>
      <c r="AM92" s="100"/>
      <c r="AN92" s="100"/>
      <c r="AO92" s="100"/>
      <c r="AP92" s="100"/>
      <c r="AQ92" s="100"/>
      <c r="AR92" s="100"/>
      <c r="AS92" s="100"/>
      <c r="AT92" s="100"/>
      <c r="AU92" s="101"/>
    </row>
    <row r="93" spans="29:47" ht="18.75" x14ac:dyDescent="0.3">
      <c r="AC93" s="99"/>
      <c r="AD93" s="100"/>
      <c r="AE93" s="100"/>
      <c r="AF93" s="100"/>
      <c r="AG93" s="100"/>
      <c r="AH93" s="100"/>
      <c r="AI93" s="100"/>
      <c r="AJ93" s="101"/>
      <c r="AK93" s="99"/>
      <c r="AL93" s="100"/>
      <c r="AM93" s="100"/>
      <c r="AN93" s="100"/>
      <c r="AO93" s="100"/>
      <c r="AP93" s="100"/>
      <c r="AQ93" s="100"/>
      <c r="AR93" s="100"/>
      <c r="AS93" s="100"/>
      <c r="AT93" s="100"/>
      <c r="AU93" s="101"/>
    </row>
    <row r="94" spans="29:47" ht="18.75" x14ac:dyDescent="0.3">
      <c r="AC94" s="99"/>
      <c r="AD94" s="100"/>
      <c r="AE94" s="100"/>
      <c r="AF94" s="100"/>
      <c r="AG94" s="100"/>
      <c r="AH94" s="100"/>
      <c r="AI94" s="100"/>
      <c r="AJ94" s="101"/>
      <c r="AK94" s="99"/>
      <c r="AL94" s="100"/>
      <c r="AM94" s="100"/>
      <c r="AN94" s="100"/>
      <c r="AO94" s="100"/>
      <c r="AP94" s="100"/>
      <c r="AQ94" s="100"/>
      <c r="AR94" s="100"/>
      <c r="AS94" s="100"/>
      <c r="AT94" s="100"/>
      <c r="AU94" s="101"/>
    </row>
    <row r="95" spans="29:47" ht="18.75" x14ac:dyDescent="0.3">
      <c r="AC95" s="99"/>
      <c r="AD95" s="100"/>
      <c r="AE95" s="100"/>
      <c r="AF95" s="100"/>
      <c r="AG95" s="100"/>
      <c r="AH95" s="100"/>
      <c r="AI95" s="100"/>
      <c r="AJ95" s="101"/>
      <c r="AK95" s="99"/>
      <c r="AL95" s="100"/>
      <c r="AM95" s="100"/>
      <c r="AN95" s="100"/>
      <c r="AO95" s="100"/>
      <c r="AP95" s="100"/>
      <c r="AQ95" s="100"/>
      <c r="AR95" s="100"/>
      <c r="AS95" s="100"/>
      <c r="AT95" s="100"/>
      <c r="AU95" s="101"/>
    </row>
    <row r="96" spans="29:47" ht="18.75" x14ac:dyDescent="0.3">
      <c r="AC96" s="99"/>
      <c r="AD96" s="100"/>
      <c r="AE96" s="100"/>
      <c r="AF96" s="100"/>
      <c r="AG96" s="100"/>
      <c r="AH96" s="100"/>
      <c r="AI96" s="100"/>
      <c r="AJ96" s="101"/>
      <c r="AK96" s="99"/>
      <c r="AL96" s="100"/>
      <c r="AM96" s="100"/>
      <c r="AN96" s="100"/>
      <c r="AO96" s="100"/>
      <c r="AP96" s="100"/>
      <c r="AQ96" s="100"/>
      <c r="AR96" s="100"/>
      <c r="AS96" s="100"/>
      <c r="AT96" s="100"/>
      <c r="AU96" s="101"/>
    </row>
    <row r="97" spans="29:47" ht="18.75" x14ac:dyDescent="0.3">
      <c r="AC97" s="99"/>
      <c r="AD97" s="100"/>
      <c r="AE97" s="100"/>
      <c r="AF97" s="100"/>
      <c r="AG97" s="100"/>
      <c r="AH97" s="100"/>
      <c r="AI97" s="100"/>
      <c r="AJ97" s="101"/>
      <c r="AK97" s="99"/>
      <c r="AL97" s="100"/>
      <c r="AM97" s="100"/>
      <c r="AN97" s="100"/>
      <c r="AO97" s="100"/>
      <c r="AP97" s="100"/>
      <c r="AQ97" s="100"/>
      <c r="AR97" s="100"/>
      <c r="AS97" s="100"/>
      <c r="AT97" s="100"/>
      <c r="AU97" s="101"/>
    </row>
    <row r="98" spans="29:47" ht="18.75" x14ac:dyDescent="0.3">
      <c r="AC98" s="99"/>
      <c r="AD98" s="100"/>
      <c r="AE98" s="100"/>
      <c r="AF98" s="100"/>
      <c r="AG98" s="100"/>
      <c r="AH98" s="100"/>
      <c r="AI98" s="100"/>
      <c r="AJ98" s="101"/>
      <c r="AK98" s="99"/>
      <c r="AL98" s="100"/>
      <c r="AM98" s="100"/>
      <c r="AN98" s="100"/>
      <c r="AO98" s="100"/>
      <c r="AP98" s="100"/>
      <c r="AQ98" s="100"/>
      <c r="AR98" s="100"/>
      <c r="AS98" s="100"/>
      <c r="AT98" s="100"/>
      <c r="AU98" s="101"/>
    </row>
    <row r="99" spans="29:47" ht="18.75" x14ac:dyDescent="0.3">
      <c r="AC99" s="99"/>
      <c r="AD99" s="100"/>
      <c r="AE99" s="100"/>
      <c r="AF99" s="100"/>
      <c r="AG99" s="100"/>
      <c r="AH99" s="100"/>
      <c r="AI99" s="100"/>
      <c r="AJ99" s="101"/>
      <c r="AK99" s="99"/>
      <c r="AL99" s="100"/>
      <c r="AM99" s="100"/>
      <c r="AN99" s="100"/>
      <c r="AO99" s="100"/>
      <c r="AP99" s="100"/>
      <c r="AQ99" s="100"/>
      <c r="AR99" s="100"/>
      <c r="AS99" s="100"/>
      <c r="AT99" s="100"/>
      <c r="AU99" s="101"/>
    </row>
    <row r="100" spans="29:47" ht="18.75" x14ac:dyDescent="0.3">
      <c r="AC100" s="99"/>
      <c r="AD100" s="100"/>
      <c r="AE100" s="100"/>
      <c r="AF100" s="100"/>
      <c r="AG100" s="100"/>
      <c r="AH100" s="100"/>
      <c r="AI100" s="100"/>
      <c r="AJ100" s="101"/>
      <c r="AK100" s="99"/>
      <c r="AL100" s="100"/>
      <c r="AM100" s="100"/>
      <c r="AN100" s="100"/>
      <c r="AO100" s="100"/>
      <c r="AP100" s="100"/>
      <c r="AQ100" s="100"/>
      <c r="AR100" s="100"/>
      <c r="AS100" s="100"/>
      <c r="AT100" s="100"/>
      <c r="AU100" s="101"/>
    </row>
    <row r="101" spans="29:47" ht="18.75" x14ac:dyDescent="0.3">
      <c r="AC101" s="99"/>
      <c r="AD101" s="100"/>
      <c r="AE101" s="100"/>
      <c r="AF101" s="100"/>
      <c r="AG101" s="100"/>
      <c r="AH101" s="100"/>
      <c r="AI101" s="100"/>
      <c r="AJ101" s="101"/>
      <c r="AK101" s="99"/>
      <c r="AL101" s="100"/>
      <c r="AM101" s="100"/>
      <c r="AN101" s="100"/>
      <c r="AO101" s="100"/>
      <c r="AP101" s="100"/>
      <c r="AQ101" s="100"/>
      <c r="AR101" s="100"/>
      <c r="AS101" s="100"/>
      <c r="AT101" s="100"/>
      <c r="AU101" s="101"/>
    </row>
    <row r="102" spans="29:47" ht="18.75" x14ac:dyDescent="0.3">
      <c r="AC102" s="99"/>
      <c r="AD102" s="100"/>
      <c r="AE102" s="100"/>
      <c r="AF102" s="100"/>
      <c r="AG102" s="100"/>
      <c r="AH102" s="100"/>
      <c r="AI102" s="100"/>
      <c r="AJ102" s="101"/>
      <c r="AK102" s="99"/>
      <c r="AL102" s="100"/>
      <c r="AM102" s="100"/>
      <c r="AN102" s="100"/>
      <c r="AO102" s="100"/>
      <c r="AP102" s="100"/>
      <c r="AQ102" s="100"/>
      <c r="AR102" s="100"/>
      <c r="AS102" s="100"/>
      <c r="AT102" s="100"/>
      <c r="AU102" s="101"/>
    </row>
    <row r="103" spans="29:47" ht="18.75" x14ac:dyDescent="0.3">
      <c r="AC103" s="99"/>
      <c r="AD103" s="100"/>
      <c r="AE103" s="100"/>
      <c r="AF103" s="100"/>
      <c r="AG103" s="100"/>
      <c r="AH103" s="100"/>
      <c r="AI103" s="100"/>
      <c r="AJ103" s="101"/>
      <c r="AK103" s="99"/>
      <c r="AL103" s="100"/>
      <c r="AM103" s="100"/>
      <c r="AN103" s="100"/>
      <c r="AO103" s="100"/>
      <c r="AP103" s="100"/>
      <c r="AQ103" s="100"/>
      <c r="AR103" s="100"/>
      <c r="AS103" s="100"/>
      <c r="AT103" s="100"/>
      <c r="AU103" s="101"/>
    </row>
    <row r="104" spans="29:47" ht="18.75" x14ac:dyDescent="0.3">
      <c r="AC104" s="99"/>
      <c r="AD104" s="100"/>
      <c r="AE104" s="100"/>
      <c r="AF104" s="100"/>
      <c r="AG104" s="100"/>
      <c r="AH104" s="100"/>
      <c r="AI104" s="100"/>
      <c r="AJ104" s="101"/>
      <c r="AK104" s="99"/>
      <c r="AL104" s="100"/>
      <c r="AM104" s="100"/>
      <c r="AN104" s="100"/>
      <c r="AO104" s="100"/>
      <c r="AP104" s="100"/>
      <c r="AQ104" s="100"/>
      <c r="AR104" s="100"/>
      <c r="AS104" s="100"/>
      <c r="AT104" s="100"/>
      <c r="AU104" s="101"/>
    </row>
    <row r="105" spans="29:47" ht="18.75" x14ac:dyDescent="0.3">
      <c r="AC105" s="99"/>
      <c r="AD105" s="100"/>
      <c r="AE105" s="100"/>
      <c r="AF105" s="100"/>
      <c r="AG105" s="100"/>
      <c r="AH105" s="100"/>
      <c r="AI105" s="100"/>
      <c r="AJ105" s="101"/>
      <c r="AK105" s="99"/>
      <c r="AL105" s="100"/>
      <c r="AM105" s="100"/>
      <c r="AN105" s="100"/>
      <c r="AO105" s="100"/>
      <c r="AP105" s="100"/>
      <c r="AQ105" s="100"/>
      <c r="AR105" s="100"/>
      <c r="AS105" s="100"/>
      <c r="AT105" s="100"/>
      <c r="AU105" s="101"/>
    </row>
    <row r="106" spans="29:47" ht="18.75" x14ac:dyDescent="0.3">
      <c r="AC106" s="99"/>
      <c r="AD106" s="100"/>
      <c r="AE106" s="100"/>
      <c r="AF106" s="100"/>
      <c r="AG106" s="100"/>
      <c r="AH106" s="100"/>
      <c r="AI106" s="100"/>
      <c r="AJ106" s="101"/>
      <c r="AK106" s="99"/>
      <c r="AL106" s="100"/>
      <c r="AM106" s="100"/>
      <c r="AN106" s="100"/>
      <c r="AO106" s="100"/>
      <c r="AP106" s="100"/>
      <c r="AQ106" s="100"/>
      <c r="AR106" s="100"/>
      <c r="AS106" s="100"/>
      <c r="AT106" s="100"/>
      <c r="AU106" s="101"/>
    </row>
    <row r="107" spans="29:47" ht="18.75" x14ac:dyDescent="0.3">
      <c r="AC107" s="99"/>
      <c r="AD107" s="100"/>
      <c r="AE107" s="100"/>
      <c r="AF107" s="100"/>
      <c r="AG107" s="100"/>
      <c r="AH107" s="100"/>
      <c r="AI107" s="100"/>
      <c r="AJ107" s="101"/>
      <c r="AK107" s="99"/>
      <c r="AL107" s="100"/>
      <c r="AM107" s="100"/>
      <c r="AN107" s="100"/>
      <c r="AO107" s="100"/>
      <c r="AP107" s="100"/>
      <c r="AQ107" s="100"/>
      <c r="AR107" s="100"/>
      <c r="AS107" s="100"/>
      <c r="AT107" s="100"/>
      <c r="AU107" s="101"/>
    </row>
    <row r="108" spans="29:47" ht="18.75" x14ac:dyDescent="0.3">
      <c r="AC108" s="99"/>
      <c r="AD108" s="100"/>
      <c r="AE108" s="100"/>
      <c r="AF108" s="100"/>
      <c r="AG108" s="100"/>
      <c r="AH108" s="100"/>
      <c r="AI108" s="100"/>
      <c r="AJ108" s="101"/>
      <c r="AK108" s="99"/>
      <c r="AL108" s="100"/>
      <c r="AM108" s="100"/>
      <c r="AN108" s="100"/>
      <c r="AO108" s="100"/>
      <c r="AP108" s="100"/>
      <c r="AQ108" s="100"/>
      <c r="AR108" s="100"/>
      <c r="AS108" s="100"/>
      <c r="AT108" s="100"/>
      <c r="AU108" s="101"/>
    </row>
    <row r="109" spans="29:47" ht="18.75" x14ac:dyDescent="0.3">
      <c r="AC109" s="99"/>
      <c r="AD109" s="100"/>
      <c r="AE109" s="100"/>
      <c r="AF109" s="100"/>
      <c r="AG109" s="100"/>
      <c r="AH109" s="100"/>
      <c r="AI109" s="100"/>
      <c r="AJ109" s="101"/>
      <c r="AK109" s="99"/>
      <c r="AL109" s="100"/>
      <c r="AM109" s="100"/>
      <c r="AN109" s="100"/>
      <c r="AO109" s="100"/>
      <c r="AP109" s="100"/>
      <c r="AQ109" s="100"/>
      <c r="AR109" s="100"/>
      <c r="AS109" s="100"/>
      <c r="AT109" s="100"/>
      <c r="AU109" s="101"/>
    </row>
    <row r="110" spans="29:47" ht="18.75" x14ac:dyDescent="0.3">
      <c r="AC110" s="99"/>
      <c r="AD110" s="100"/>
      <c r="AE110" s="100"/>
      <c r="AF110" s="100"/>
      <c r="AG110" s="100"/>
      <c r="AH110" s="100"/>
      <c r="AI110" s="100"/>
      <c r="AJ110" s="101"/>
      <c r="AK110" s="99"/>
      <c r="AL110" s="100"/>
      <c r="AM110" s="100"/>
      <c r="AN110" s="100"/>
      <c r="AO110" s="100"/>
      <c r="AP110" s="100"/>
      <c r="AQ110" s="100"/>
      <c r="AR110" s="100"/>
      <c r="AS110" s="100"/>
      <c r="AT110" s="100"/>
      <c r="AU110" s="101"/>
    </row>
    <row r="111" spans="29:47" ht="18.75" x14ac:dyDescent="0.3">
      <c r="AC111" s="99"/>
      <c r="AD111" s="100"/>
      <c r="AE111" s="100"/>
      <c r="AF111" s="100"/>
      <c r="AG111" s="100"/>
      <c r="AH111" s="100"/>
      <c r="AI111" s="100"/>
      <c r="AJ111" s="101"/>
      <c r="AK111" s="99"/>
      <c r="AL111" s="100"/>
      <c r="AM111" s="100"/>
      <c r="AN111" s="100"/>
      <c r="AO111" s="100"/>
      <c r="AP111" s="100"/>
      <c r="AQ111" s="100"/>
      <c r="AR111" s="100"/>
      <c r="AS111" s="100"/>
      <c r="AT111" s="100"/>
      <c r="AU111" s="101"/>
    </row>
    <row r="112" spans="29:47" ht="18.75" x14ac:dyDescent="0.3">
      <c r="AC112" s="99"/>
      <c r="AD112" s="100"/>
      <c r="AE112" s="100"/>
      <c r="AF112" s="100"/>
      <c r="AG112" s="100"/>
      <c r="AH112" s="100"/>
      <c r="AI112" s="100"/>
      <c r="AJ112" s="101"/>
      <c r="AK112" s="99"/>
      <c r="AL112" s="100"/>
      <c r="AM112" s="100"/>
      <c r="AN112" s="100"/>
      <c r="AO112" s="100"/>
      <c r="AP112" s="100"/>
      <c r="AQ112" s="100"/>
      <c r="AR112" s="100"/>
      <c r="AS112" s="100"/>
      <c r="AT112" s="100"/>
      <c r="AU112" s="101"/>
    </row>
    <row r="113" spans="29:47" ht="18.75" x14ac:dyDescent="0.3">
      <c r="AC113" s="99"/>
      <c r="AD113" s="100"/>
      <c r="AE113" s="100"/>
      <c r="AF113" s="100"/>
      <c r="AG113" s="100"/>
      <c r="AH113" s="100"/>
      <c r="AI113" s="100"/>
      <c r="AJ113" s="101"/>
      <c r="AK113" s="99"/>
      <c r="AL113" s="100"/>
      <c r="AM113" s="100"/>
      <c r="AN113" s="100"/>
      <c r="AO113" s="100"/>
      <c r="AP113" s="100"/>
      <c r="AQ113" s="100"/>
      <c r="AR113" s="100"/>
      <c r="AS113" s="100"/>
      <c r="AT113" s="100"/>
      <c r="AU113" s="101"/>
    </row>
    <row r="114" spans="29:47" ht="18.75" x14ac:dyDescent="0.3">
      <c r="AC114" s="99"/>
      <c r="AD114" s="100"/>
      <c r="AE114" s="100"/>
      <c r="AF114" s="100"/>
      <c r="AG114" s="100"/>
      <c r="AH114" s="100"/>
      <c r="AI114" s="100"/>
      <c r="AJ114" s="101"/>
      <c r="AK114" s="99"/>
      <c r="AL114" s="100"/>
      <c r="AM114" s="100"/>
      <c r="AN114" s="100"/>
      <c r="AO114" s="100"/>
      <c r="AP114" s="100"/>
      <c r="AQ114" s="100"/>
      <c r="AR114" s="100"/>
      <c r="AS114" s="100"/>
      <c r="AT114" s="100"/>
      <c r="AU114" s="101"/>
    </row>
    <row r="115" spans="29:47" ht="18.75" x14ac:dyDescent="0.3">
      <c r="AC115" s="99"/>
      <c r="AD115" s="100"/>
      <c r="AE115" s="100"/>
      <c r="AF115" s="100"/>
      <c r="AG115" s="100"/>
      <c r="AH115" s="100"/>
      <c r="AI115" s="100"/>
      <c r="AJ115" s="101"/>
      <c r="AK115" s="99"/>
      <c r="AL115" s="100"/>
      <c r="AM115" s="100"/>
      <c r="AN115" s="100"/>
      <c r="AO115" s="100"/>
      <c r="AP115" s="100"/>
      <c r="AQ115" s="100"/>
      <c r="AR115" s="100"/>
      <c r="AS115" s="100"/>
      <c r="AT115" s="100"/>
      <c r="AU115" s="101"/>
    </row>
    <row r="116" spans="29:47" ht="18.75" x14ac:dyDescent="0.3">
      <c r="AC116" s="99"/>
      <c r="AD116" s="100"/>
      <c r="AE116" s="100"/>
      <c r="AF116" s="100"/>
      <c r="AG116" s="100"/>
      <c r="AH116" s="100"/>
      <c r="AI116" s="100"/>
      <c r="AJ116" s="101"/>
      <c r="AK116" s="99"/>
      <c r="AL116" s="100"/>
      <c r="AM116" s="100"/>
      <c r="AN116" s="100"/>
      <c r="AO116" s="100"/>
      <c r="AP116" s="100"/>
      <c r="AQ116" s="100"/>
      <c r="AR116" s="100"/>
      <c r="AS116" s="100"/>
      <c r="AT116" s="100"/>
      <c r="AU116" s="101"/>
    </row>
    <row r="117" spans="29:47" ht="18.75" x14ac:dyDescent="0.3">
      <c r="AC117" s="99"/>
      <c r="AD117" s="100"/>
      <c r="AE117" s="100"/>
      <c r="AF117" s="100"/>
      <c r="AG117" s="100"/>
      <c r="AH117" s="100"/>
      <c r="AI117" s="100"/>
      <c r="AJ117" s="101"/>
      <c r="AK117" s="99"/>
      <c r="AL117" s="100"/>
      <c r="AM117" s="100"/>
      <c r="AN117" s="100"/>
      <c r="AO117" s="100"/>
      <c r="AP117" s="100"/>
      <c r="AQ117" s="100"/>
      <c r="AR117" s="100"/>
      <c r="AS117" s="100"/>
      <c r="AT117" s="100"/>
      <c r="AU117" s="101"/>
    </row>
    <row r="118" spans="29:47" ht="18.75" x14ac:dyDescent="0.3">
      <c r="AC118" s="99"/>
      <c r="AD118" s="100"/>
      <c r="AE118" s="100"/>
      <c r="AF118" s="100"/>
      <c r="AG118" s="100"/>
      <c r="AH118" s="100"/>
      <c r="AI118" s="100"/>
      <c r="AJ118" s="101"/>
      <c r="AK118" s="99"/>
      <c r="AL118" s="100"/>
      <c r="AM118" s="100"/>
      <c r="AN118" s="100"/>
      <c r="AO118" s="100"/>
      <c r="AP118" s="100"/>
      <c r="AQ118" s="100"/>
      <c r="AR118" s="100"/>
      <c r="AS118" s="100"/>
      <c r="AT118" s="100"/>
      <c r="AU118" s="101"/>
    </row>
    <row r="119" spans="29:47" ht="18.75" x14ac:dyDescent="0.3">
      <c r="AC119" s="99"/>
      <c r="AD119" s="100"/>
      <c r="AE119" s="100"/>
      <c r="AF119" s="100"/>
      <c r="AG119" s="100"/>
      <c r="AH119" s="100"/>
      <c r="AI119" s="100"/>
      <c r="AJ119" s="101"/>
      <c r="AK119" s="99"/>
      <c r="AL119" s="100"/>
      <c r="AM119" s="100"/>
      <c r="AN119" s="100"/>
      <c r="AO119" s="100"/>
      <c r="AP119" s="100"/>
      <c r="AQ119" s="100"/>
      <c r="AR119" s="100"/>
      <c r="AS119" s="100"/>
      <c r="AT119" s="100"/>
      <c r="AU119" s="101"/>
    </row>
    <row r="120" spans="29:47" ht="18.75" x14ac:dyDescent="0.3">
      <c r="AC120" s="99"/>
      <c r="AD120" s="100"/>
      <c r="AE120" s="100"/>
      <c r="AF120" s="100"/>
      <c r="AG120" s="100"/>
      <c r="AH120" s="100"/>
      <c r="AI120" s="100"/>
      <c r="AJ120" s="101"/>
      <c r="AK120" s="99"/>
      <c r="AL120" s="100"/>
      <c r="AM120" s="100"/>
      <c r="AN120" s="100"/>
      <c r="AO120" s="100"/>
      <c r="AP120" s="100"/>
      <c r="AQ120" s="100"/>
      <c r="AR120" s="100"/>
      <c r="AS120" s="100"/>
      <c r="AT120" s="100"/>
      <c r="AU120" s="101"/>
    </row>
    <row r="121" spans="29:47" ht="18.75" x14ac:dyDescent="0.3">
      <c r="AC121" s="99"/>
      <c r="AD121" s="100"/>
      <c r="AE121" s="100"/>
      <c r="AF121" s="100"/>
      <c r="AG121" s="100"/>
      <c r="AH121" s="100"/>
      <c r="AI121" s="100"/>
      <c r="AJ121" s="101"/>
      <c r="AK121" s="99"/>
      <c r="AL121" s="100"/>
      <c r="AM121" s="100"/>
      <c r="AN121" s="100"/>
      <c r="AO121" s="100"/>
      <c r="AP121" s="100"/>
      <c r="AQ121" s="100"/>
      <c r="AR121" s="100"/>
      <c r="AS121" s="100"/>
      <c r="AT121" s="100"/>
      <c r="AU121" s="101"/>
    </row>
    <row r="122" spans="29:47" ht="18.75" x14ac:dyDescent="0.3">
      <c r="AC122" s="99"/>
      <c r="AD122" s="100"/>
      <c r="AE122" s="100"/>
      <c r="AF122" s="100"/>
      <c r="AG122" s="100"/>
      <c r="AH122" s="100"/>
      <c r="AI122" s="100"/>
      <c r="AJ122" s="101"/>
      <c r="AK122" s="99"/>
      <c r="AL122" s="100"/>
      <c r="AM122" s="100"/>
      <c r="AN122" s="100"/>
      <c r="AO122" s="100"/>
      <c r="AP122" s="100"/>
      <c r="AQ122" s="100"/>
      <c r="AR122" s="100"/>
      <c r="AS122" s="100"/>
      <c r="AT122" s="100"/>
      <c r="AU122" s="101"/>
    </row>
    <row r="123" spans="29:47" ht="18.75" x14ac:dyDescent="0.3">
      <c r="AC123" s="99"/>
      <c r="AD123" s="100"/>
      <c r="AE123" s="100"/>
      <c r="AF123" s="100"/>
      <c r="AG123" s="100"/>
      <c r="AH123" s="100"/>
      <c r="AI123" s="100"/>
      <c r="AJ123" s="101"/>
      <c r="AK123" s="99"/>
      <c r="AL123" s="100"/>
      <c r="AM123" s="100"/>
      <c r="AN123" s="100"/>
      <c r="AO123" s="100"/>
      <c r="AP123" s="100"/>
      <c r="AQ123" s="100"/>
      <c r="AR123" s="100"/>
      <c r="AS123" s="100"/>
      <c r="AT123" s="100"/>
      <c r="AU123" s="101"/>
    </row>
    <row r="124" spans="29:47" ht="18.75" x14ac:dyDescent="0.3">
      <c r="AC124" s="99"/>
      <c r="AD124" s="100"/>
      <c r="AE124" s="100"/>
      <c r="AF124" s="100"/>
      <c r="AG124" s="100"/>
      <c r="AH124" s="100"/>
      <c r="AI124" s="100"/>
      <c r="AJ124" s="101"/>
      <c r="AK124" s="99"/>
      <c r="AL124" s="100"/>
      <c r="AM124" s="100"/>
      <c r="AN124" s="100"/>
      <c r="AO124" s="100"/>
      <c r="AP124" s="100"/>
      <c r="AQ124" s="100"/>
      <c r="AR124" s="100"/>
      <c r="AS124" s="100"/>
      <c r="AT124" s="100"/>
      <c r="AU124" s="101"/>
    </row>
    <row r="125" spans="29:47" ht="18.75" x14ac:dyDescent="0.3">
      <c r="AC125" s="99"/>
      <c r="AD125" s="100"/>
      <c r="AE125" s="100"/>
      <c r="AF125" s="100"/>
      <c r="AG125" s="100"/>
      <c r="AH125" s="100"/>
      <c r="AI125" s="100"/>
      <c r="AJ125" s="101"/>
      <c r="AK125" s="99"/>
      <c r="AL125" s="100"/>
      <c r="AM125" s="100"/>
      <c r="AN125" s="100"/>
      <c r="AO125" s="100"/>
      <c r="AP125" s="100"/>
      <c r="AQ125" s="100"/>
      <c r="AR125" s="100"/>
      <c r="AS125" s="100"/>
      <c r="AT125" s="100"/>
      <c r="AU125" s="101"/>
    </row>
    <row r="126" spans="29:47" ht="18.75" x14ac:dyDescent="0.3">
      <c r="AC126" s="99"/>
      <c r="AD126" s="100"/>
      <c r="AE126" s="100"/>
      <c r="AF126" s="100"/>
      <c r="AG126" s="100"/>
      <c r="AH126" s="100"/>
      <c r="AI126" s="100"/>
      <c r="AJ126" s="101"/>
      <c r="AK126" s="99"/>
      <c r="AL126" s="100"/>
      <c r="AM126" s="100"/>
      <c r="AN126" s="100"/>
      <c r="AO126" s="100"/>
      <c r="AP126" s="100"/>
      <c r="AQ126" s="100"/>
      <c r="AR126" s="100"/>
      <c r="AS126" s="100"/>
      <c r="AT126" s="100"/>
      <c r="AU126" s="101"/>
    </row>
    <row r="127" spans="29:47" ht="18.75" x14ac:dyDescent="0.3">
      <c r="AC127" s="99"/>
      <c r="AD127" s="100"/>
      <c r="AE127" s="100"/>
      <c r="AF127" s="100"/>
      <c r="AG127" s="100"/>
      <c r="AH127" s="100"/>
      <c r="AI127" s="100"/>
      <c r="AJ127" s="101"/>
      <c r="AK127" s="99"/>
      <c r="AL127" s="100"/>
      <c r="AM127" s="100"/>
      <c r="AN127" s="100"/>
      <c r="AO127" s="100"/>
      <c r="AP127" s="100"/>
      <c r="AQ127" s="100"/>
      <c r="AR127" s="100"/>
      <c r="AS127" s="100"/>
      <c r="AT127" s="100"/>
      <c r="AU127" s="101"/>
    </row>
    <row r="128" spans="29:47" ht="18.75" x14ac:dyDescent="0.3">
      <c r="AC128" s="99"/>
      <c r="AD128" s="100"/>
      <c r="AE128" s="100"/>
      <c r="AF128" s="100"/>
      <c r="AG128" s="100"/>
      <c r="AH128" s="100"/>
      <c r="AI128" s="100"/>
      <c r="AJ128" s="101"/>
      <c r="AK128" s="99"/>
      <c r="AL128" s="100"/>
      <c r="AM128" s="100"/>
      <c r="AN128" s="100"/>
      <c r="AO128" s="100"/>
      <c r="AP128" s="100"/>
      <c r="AQ128" s="100"/>
      <c r="AR128" s="100"/>
      <c r="AS128" s="100"/>
      <c r="AT128" s="100"/>
      <c r="AU128" s="101"/>
    </row>
    <row r="129" spans="29:47" ht="18.75" x14ac:dyDescent="0.3">
      <c r="AC129" s="99"/>
      <c r="AD129" s="100"/>
      <c r="AE129" s="100"/>
      <c r="AF129" s="100"/>
      <c r="AG129" s="100"/>
      <c r="AH129" s="100"/>
      <c r="AI129" s="100"/>
      <c r="AJ129" s="101"/>
      <c r="AK129" s="99"/>
      <c r="AL129" s="100"/>
      <c r="AM129" s="100"/>
      <c r="AN129" s="100"/>
      <c r="AO129" s="100"/>
      <c r="AP129" s="100"/>
      <c r="AQ129" s="100"/>
      <c r="AR129" s="100"/>
      <c r="AS129" s="100"/>
      <c r="AT129" s="100"/>
      <c r="AU129" s="101"/>
    </row>
    <row r="130" spans="29:47" ht="18.75" x14ac:dyDescent="0.3">
      <c r="AC130" s="99"/>
      <c r="AD130" s="100"/>
      <c r="AE130" s="100"/>
      <c r="AF130" s="100"/>
      <c r="AG130" s="100"/>
      <c r="AH130" s="100"/>
      <c r="AI130" s="100"/>
      <c r="AJ130" s="101"/>
      <c r="AK130" s="99"/>
      <c r="AL130" s="100"/>
      <c r="AM130" s="100"/>
      <c r="AN130" s="100"/>
      <c r="AO130" s="100"/>
      <c r="AP130" s="100"/>
      <c r="AQ130" s="100"/>
      <c r="AR130" s="100"/>
      <c r="AS130" s="100"/>
      <c r="AT130" s="100"/>
      <c r="AU130" s="101"/>
    </row>
    <row r="131" spans="29:47" ht="18.75" x14ac:dyDescent="0.3">
      <c r="AC131" s="99"/>
      <c r="AD131" s="100"/>
      <c r="AE131" s="100"/>
      <c r="AF131" s="100"/>
      <c r="AG131" s="100"/>
      <c r="AH131" s="100"/>
      <c r="AI131" s="100"/>
      <c r="AJ131" s="101"/>
      <c r="AK131" s="99"/>
      <c r="AL131" s="100"/>
      <c r="AM131" s="100"/>
      <c r="AN131" s="100"/>
      <c r="AO131" s="100"/>
      <c r="AP131" s="100"/>
      <c r="AQ131" s="100"/>
      <c r="AR131" s="100"/>
      <c r="AS131" s="100"/>
      <c r="AT131" s="100"/>
      <c r="AU131" s="101"/>
    </row>
    <row r="132" spans="29:47" ht="18.75" x14ac:dyDescent="0.3">
      <c r="AC132" s="99"/>
      <c r="AD132" s="100"/>
      <c r="AE132" s="100"/>
      <c r="AF132" s="100"/>
      <c r="AG132" s="100"/>
      <c r="AH132" s="100"/>
      <c r="AI132" s="100"/>
      <c r="AJ132" s="101"/>
      <c r="AK132" s="99"/>
      <c r="AL132" s="100"/>
      <c r="AM132" s="100"/>
      <c r="AN132" s="100"/>
      <c r="AO132" s="100"/>
      <c r="AP132" s="100"/>
      <c r="AQ132" s="100"/>
      <c r="AR132" s="100"/>
      <c r="AS132" s="100"/>
      <c r="AT132" s="100"/>
      <c r="AU132" s="101"/>
    </row>
    <row r="133" spans="29:47" ht="18.75" x14ac:dyDescent="0.3">
      <c r="AC133" s="99"/>
      <c r="AD133" s="100"/>
      <c r="AE133" s="100"/>
      <c r="AF133" s="100"/>
      <c r="AG133" s="100"/>
      <c r="AH133" s="100"/>
      <c r="AI133" s="100"/>
      <c r="AJ133" s="101"/>
      <c r="AK133" s="99"/>
      <c r="AL133" s="100"/>
      <c r="AM133" s="100"/>
      <c r="AN133" s="100"/>
      <c r="AO133" s="100"/>
      <c r="AP133" s="100"/>
      <c r="AQ133" s="100"/>
      <c r="AR133" s="100"/>
      <c r="AS133" s="100"/>
      <c r="AT133" s="100"/>
      <c r="AU133" s="101"/>
    </row>
    <row r="134" spans="29:47" ht="18.75" x14ac:dyDescent="0.3">
      <c r="AC134" s="99"/>
      <c r="AD134" s="100"/>
      <c r="AE134" s="100"/>
      <c r="AF134" s="100"/>
      <c r="AG134" s="100"/>
      <c r="AH134" s="100"/>
      <c r="AI134" s="100"/>
      <c r="AJ134" s="101"/>
      <c r="AK134" s="99"/>
      <c r="AL134" s="100"/>
      <c r="AM134" s="100"/>
      <c r="AN134" s="100"/>
      <c r="AO134" s="100"/>
      <c r="AP134" s="100"/>
      <c r="AQ134" s="100"/>
      <c r="AR134" s="100"/>
      <c r="AS134" s="100"/>
      <c r="AT134" s="100"/>
      <c r="AU134" s="101"/>
    </row>
    <row r="135" spans="29:47" ht="18.75" x14ac:dyDescent="0.3">
      <c r="AC135" s="99"/>
      <c r="AD135" s="100"/>
      <c r="AE135" s="100"/>
      <c r="AF135" s="100"/>
      <c r="AG135" s="100"/>
      <c r="AH135" s="100"/>
      <c r="AI135" s="100"/>
      <c r="AJ135" s="101"/>
      <c r="AK135" s="99"/>
      <c r="AL135" s="100"/>
      <c r="AM135" s="100"/>
      <c r="AN135" s="100"/>
      <c r="AO135" s="100"/>
      <c r="AP135" s="100"/>
      <c r="AQ135" s="100"/>
      <c r="AR135" s="100"/>
      <c r="AS135" s="100"/>
      <c r="AT135" s="100"/>
      <c r="AU135" s="101"/>
    </row>
    <row r="136" spans="29:47" ht="18.75" x14ac:dyDescent="0.3">
      <c r="AC136" s="99"/>
      <c r="AD136" s="100"/>
      <c r="AE136" s="100"/>
      <c r="AF136" s="100"/>
      <c r="AG136" s="100"/>
      <c r="AH136" s="100"/>
      <c r="AI136" s="100"/>
      <c r="AJ136" s="101"/>
      <c r="AK136" s="99"/>
      <c r="AL136" s="100"/>
      <c r="AM136" s="100"/>
      <c r="AN136" s="100"/>
      <c r="AO136" s="100"/>
      <c r="AP136" s="100"/>
      <c r="AQ136" s="100"/>
      <c r="AR136" s="100"/>
      <c r="AS136" s="100"/>
      <c r="AT136" s="100"/>
      <c r="AU136" s="101"/>
    </row>
    <row r="137" spans="29:47" ht="18.75" x14ac:dyDescent="0.3">
      <c r="AC137" s="99"/>
      <c r="AD137" s="100"/>
      <c r="AE137" s="100"/>
      <c r="AF137" s="100"/>
      <c r="AG137" s="100"/>
      <c r="AH137" s="100"/>
      <c r="AI137" s="100"/>
      <c r="AJ137" s="101"/>
      <c r="AK137" s="99"/>
      <c r="AL137" s="100"/>
      <c r="AM137" s="100"/>
      <c r="AN137" s="100"/>
      <c r="AO137" s="100"/>
      <c r="AP137" s="100"/>
      <c r="AQ137" s="100"/>
      <c r="AR137" s="100"/>
      <c r="AS137" s="100"/>
      <c r="AT137" s="100"/>
      <c r="AU137" s="101"/>
    </row>
    <row r="138" spans="29:47" ht="18.75" x14ac:dyDescent="0.3">
      <c r="AC138" s="99"/>
      <c r="AD138" s="100"/>
      <c r="AE138" s="100"/>
      <c r="AF138" s="100"/>
      <c r="AG138" s="100"/>
      <c r="AH138" s="100"/>
      <c r="AI138" s="100"/>
      <c r="AJ138" s="101"/>
      <c r="AK138" s="99"/>
      <c r="AL138" s="100"/>
      <c r="AM138" s="100"/>
      <c r="AN138" s="100"/>
      <c r="AO138" s="100"/>
      <c r="AP138" s="100"/>
      <c r="AQ138" s="100"/>
      <c r="AR138" s="100"/>
      <c r="AS138" s="100"/>
      <c r="AT138" s="100"/>
      <c r="AU138" s="101"/>
    </row>
    <row r="139" spans="29:47" ht="18.75" x14ac:dyDescent="0.3">
      <c r="AC139" s="99"/>
      <c r="AD139" s="100"/>
      <c r="AE139" s="100"/>
      <c r="AF139" s="100"/>
      <c r="AG139" s="100"/>
      <c r="AH139" s="100"/>
      <c r="AI139" s="100"/>
      <c r="AJ139" s="101"/>
      <c r="AK139" s="99"/>
      <c r="AL139" s="100"/>
      <c r="AM139" s="100"/>
      <c r="AN139" s="100"/>
      <c r="AO139" s="100"/>
      <c r="AP139" s="100"/>
      <c r="AQ139" s="100"/>
      <c r="AR139" s="100"/>
      <c r="AS139" s="100"/>
      <c r="AT139" s="100"/>
      <c r="AU139" s="101"/>
    </row>
    <row r="140" spans="29:47" ht="18.75" x14ac:dyDescent="0.3">
      <c r="AC140" s="99"/>
      <c r="AD140" s="100"/>
      <c r="AE140" s="100"/>
      <c r="AF140" s="100"/>
      <c r="AG140" s="100"/>
      <c r="AH140" s="100"/>
      <c r="AI140" s="100"/>
      <c r="AJ140" s="101"/>
      <c r="AK140" s="99"/>
      <c r="AL140" s="100"/>
      <c r="AM140" s="100"/>
      <c r="AN140" s="100"/>
      <c r="AO140" s="100"/>
      <c r="AP140" s="100"/>
      <c r="AQ140" s="100"/>
      <c r="AR140" s="100"/>
      <c r="AS140" s="100"/>
      <c r="AT140" s="100"/>
      <c r="AU140" s="101"/>
    </row>
    <row r="141" spans="29:47" ht="18.75" x14ac:dyDescent="0.3">
      <c r="AC141" s="99"/>
      <c r="AD141" s="100"/>
      <c r="AE141" s="100"/>
      <c r="AF141" s="100"/>
      <c r="AG141" s="100"/>
      <c r="AH141" s="100"/>
      <c r="AI141" s="100"/>
      <c r="AJ141" s="101"/>
      <c r="AK141" s="99"/>
      <c r="AL141" s="100"/>
      <c r="AM141" s="100"/>
      <c r="AN141" s="100"/>
      <c r="AO141" s="100"/>
      <c r="AP141" s="100"/>
      <c r="AQ141" s="100"/>
      <c r="AR141" s="100"/>
      <c r="AS141" s="100"/>
      <c r="AT141" s="100"/>
      <c r="AU141" s="101"/>
    </row>
    <row r="142" spans="29:47" ht="18.75" x14ac:dyDescent="0.3">
      <c r="AC142" s="99"/>
      <c r="AD142" s="100"/>
      <c r="AE142" s="100"/>
      <c r="AF142" s="100"/>
      <c r="AG142" s="100"/>
      <c r="AH142" s="100"/>
      <c r="AI142" s="100"/>
      <c r="AJ142" s="101"/>
      <c r="AK142" s="99"/>
      <c r="AL142" s="100"/>
      <c r="AM142" s="100"/>
      <c r="AN142" s="100"/>
      <c r="AO142" s="100"/>
      <c r="AP142" s="100"/>
      <c r="AQ142" s="100"/>
      <c r="AR142" s="100"/>
      <c r="AS142" s="100"/>
      <c r="AT142" s="100"/>
      <c r="AU142" s="101"/>
    </row>
    <row r="143" spans="29:47" ht="18.75" x14ac:dyDescent="0.3">
      <c r="AC143" s="99"/>
      <c r="AD143" s="100"/>
      <c r="AE143" s="100"/>
      <c r="AF143" s="100"/>
      <c r="AG143" s="100"/>
      <c r="AH143" s="100"/>
      <c r="AI143" s="100"/>
      <c r="AJ143" s="101"/>
      <c r="AK143" s="99"/>
      <c r="AL143" s="100"/>
      <c r="AM143" s="100"/>
      <c r="AN143" s="100"/>
      <c r="AO143" s="100"/>
      <c r="AP143" s="100"/>
      <c r="AQ143" s="100"/>
      <c r="AR143" s="100"/>
      <c r="AS143" s="100"/>
      <c r="AT143" s="100"/>
      <c r="AU143" s="101"/>
    </row>
    <row r="144" spans="29:47" ht="18.75" x14ac:dyDescent="0.3">
      <c r="AC144" s="99"/>
      <c r="AD144" s="100"/>
      <c r="AE144" s="100"/>
      <c r="AF144" s="100"/>
      <c r="AG144" s="100"/>
      <c r="AH144" s="100"/>
      <c r="AI144" s="100"/>
      <c r="AJ144" s="101"/>
      <c r="AK144" s="99"/>
      <c r="AL144" s="100"/>
      <c r="AM144" s="100"/>
      <c r="AN144" s="100"/>
      <c r="AO144" s="100"/>
      <c r="AP144" s="100"/>
      <c r="AQ144" s="100"/>
      <c r="AR144" s="100"/>
      <c r="AS144" s="100"/>
      <c r="AT144" s="100"/>
      <c r="AU144" s="101"/>
    </row>
    <row r="145" spans="29:47" ht="18.75" x14ac:dyDescent="0.3">
      <c r="AC145" s="99"/>
      <c r="AD145" s="100"/>
      <c r="AE145" s="100"/>
      <c r="AF145" s="100"/>
      <c r="AG145" s="100"/>
      <c r="AH145" s="100"/>
      <c r="AI145" s="100"/>
      <c r="AJ145" s="101"/>
      <c r="AK145" s="99"/>
      <c r="AL145" s="100"/>
      <c r="AM145" s="100"/>
      <c r="AN145" s="100"/>
      <c r="AO145" s="100"/>
      <c r="AP145" s="100"/>
      <c r="AQ145" s="100"/>
      <c r="AR145" s="100"/>
      <c r="AS145" s="100"/>
      <c r="AT145" s="100"/>
      <c r="AU145" s="101"/>
    </row>
    <row r="146" spans="29:47" ht="18.75" x14ac:dyDescent="0.3">
      <c r="AC146" s="99"/>
      <c r="AD146" s="100"/>
      <c r="AE146" s="100"/>
      <c r="AF146" s="100"/>
      <c r="AG146" s="100"/>
      <c r="AH146" s="100"/>
      <c r="AI146" s="100"/>
      <c r="AJ146" s="101"/>
      <c r="AK146" s="99"/>
      <c r="AL146" s="100"/>
      <c r="AM146" s="100"/>
      <c r="AN146" s="100"/>
      <c r="AO146" s="100"/>
      <c r="AP146" s="100"/>
      <c r="AQ146" s="100"/>
      <c r="AR146" s="100"/>
      <c r="AS146" s="100"/>
      <c r="AT146" s="100"/>
      <c r="AU146" s="101"/>
    </row>
    <row r="147" spans="29:47" ht="18.75" x14ac:dyDescent="0.3">
      <c r="AC147" s="99"/>
      <c r="AD147" s="100"/>
      <c r="AE147" s="100"/>
      <c r="AF147" s="100"/>
      <c r="AG147" s="100"/>
      <c r="AH147" s="100"/>
      <c r="AI147" s="100"/>
      <c r="AJ147" s="101"/>
      <c r="AK147" s="99"/>
      <c r="AL147" s="100"/>
      <c r="AM147" s="100"/>
      <c r="AN147" s="100"/>
      <c r="AO147" s="100"/>
      <c r="AP147" s="100"/>
      <c r="AQ147" s="100"/>
      <c r="AR147" s="100"/>
      <c r="AS147" s="100"/>
      <c r="AT147" s="100"/>
      <c r="AU147" s="101"/>
    </row>
    <row r="148" spans="29:47" ht="18.75" x14ac:dyDescent="0.3">
      <c r="AC148" s="99"/>
      <c r="AD148" s="100"/>
      <c r="AE148" s="100"/>
      <c r="AF148" s="100"/>
      <c r="AG148" s="100"/>
      <c r="AH148" s="100"/>
      <c r="AI148" s="100"/>
      <c r="AJ148" s="101"/>
      <c r="AK148" s="99"/>
      <c r="AL148" s="100"/>
      <c r="AM148" s="100"/>
      <c r="AN148" s="100"/>
      <c r="AO148" s="100"/>
      <c r="AP148" s="100"/>
      <c r="AQ148" s="100"/>
      <c r="AR148" s="100"/>
      <c r="AS148" s="100"/>
      <c r="AT148" s="100"/>
      <c r="AU148" s="101"/>
    </row>
    <row r="149" spans="29:47" ht="18.75" x14ac:dyDescent="0.3">
      <c r="AC149" s="99"/>
      <c r="AD149" s="100"/>
      <c r="AE149" s="100"/>
      <c r="AF149" s="100"/>
      <c r="AG149" s="100"/>
      <c r="AH149" s="100"/>
      <c r="AI149" s="100"/>
      <c r="AJ149" s="101"/>
      <c r="AK149" s="99"/>
      <c r="AL149" s="100"/>
      <c r="AM149" s="100"/>
      <c r="AN149" s="100"/>
      <c r="AO149" s="100"/>
      <c r="AP149" s="100"/>
      <c r="AQ149" s="100"/>
      <c r="AR149" s="100"/>
      <c r="AS149" s="100"/>
      <c r="AT149" s="100"/>
      <c r="AU149" s="101"/>
    </row>
    <row r="150" spans="29:47" ht="18.75" x14ac:dyDescent="0.3">
      <c r="AC150" s="99"/>
      <c r="AD150" s="100"/>
      <c r="AE150" s="100"/>
      <c r="AF150" s="100"/>
      <c r="AG150" s="100"/>
      <c r="AH150" s="100"/>
      <c r="AI150" s="100"/>
      <c r="AJ150" s="101"/>
      <c r="AK150" s="99"/>
      <c r="AL150" s="100"/>
      <c r="AM150" s="100"/>
      <c r="AN150" s="100"/>
      <c r="AO150" s="100"/>
      <c r="AP150" s="100"/>
      <c r="AQ150" s="100"/>
      <c r="AR150" s="100"/>
      <c r="AS150" s="100"/>
      <c r="AT150" s="100"/>
      <c r="AU150" s="101"/>
    </row>
    <row r="151" spans="29:47" ht="18.75" x14ac:dyDescent="0.3">
      <c r="AC151" s="99"/>
      <c r="AD151" s="100"/>
      <c r="AE151" s="100"/>
      <c r="AF151" s="100"/>
      <c r="AG151" s="100"/>
      <c r="AH151" s="100"/>
      <c r="AI151" s="100"/>
      <c r="AJ151" s="101"/>
      <c r="AK151" s="99"/>
      <c r="AL151" s="100"/>
      <c r="AM151" s="100"/>
      <c r="AN151" s="100"/>
      <c r="AO151" s="100"/>
      <c r="AP151" s="100"/>
      <c r="AQ151" s="100"/>
      <c r="AR151" s="100"/>
      <c r="AS151" s="100"/>
      <c r="AT151" s="100"/>
      <c r="AU151" s="101"/>
    </row>
    <row r="152" spans="29:47" ht="18.75" x14ac:dyDescent="0.3">
      <c r="AC152" s="99"/>
      <c r="AD152" s="100"/>
      <c r="AE152" s="100"/>
      <c r="AF152" s="100"/>
      <c r="AG152" s="100"/>
      <c r="AH152" s="100"/>
      <c r="AI152" s="100"/>
      <c r="AJ152" s="101"/>
      <c r="AK152" s="99"/>
      <c r="AL152" s="100"/>
      <c r="AM152" s="100"/>
      <c r="AN152" s="100"/>
      <c r="AO152" s="100"/>
      <c r="AP152" s="100"/>
      <c r="AQ152" s="100"/>
      <c r="AR152" s="100"/>
      <c r="AS152" s="100"/>
      <c r="AT152" s="100"/>
      <c r="AU152" s="101"/>
    </row>
    <row r="153" spans="29:47" ht="18.75" x14ac:dyDescent="0.3">
      <c r="AC153" s="99"/>
      <c r="AD153" s="100"/>
      <c r="AE153" s="100"/>
      <c r="AF153" s="100"/>
      <c r="AG153" s="100"/>
      <c r="AH153" s="100"/>
      <c r="AI153" s="100"/>
      <c r="AJ153" s="101"/>
      <c r="AK153" s="99"/>
      <c r="AL153" s="100"/>
      <c r="AM153" s="100"/>
      <c r="AN153" s="100"/>
      <c r="AO153" s="100"/>
      <c r="AP153" s="100"/>
      <c r="AQ153" s="100"/>
      <c r="AR153" s="100"/>
      <c r="AS153" s="100"/>
      <c r="AT153" s="100"/>
      <c r="AU153" s="101"/>
    </row>
    <row r="154" spans="29:47" ht="18.75" x14ac:dyDescent="0.3">
      <c r="AC154" s="99"/>
      <c r="AD154" s="100"/>
      <c r="AE154" s="100"/>
      <c r="AF154" s="100"/>
      <c r="AG154" s="100"/>
      <c r="AH154" s="100"/>
      <c r="AI154" s="100"/>
      <c r="AJ154" s="101"/>
      <c r="AK154" s="99"/>
      <c r="AL154" s="100"/>
      <c r="AM154" s="100"/>
      <c r="AN154" s="100"/>
      <c r="AO154" s="100"/>
      <c r="AP154" s="100"/>
      <c r="AQ154" s="100"/>
      <c r="AR154" s="100"/>
      <c r="AS154" s="100"/>
      <c r="AT154" s="100"/>
      <c r="AU154" s="101"/>
    </row>
    <row r="155" spans="29:47" ht="18.75" x14ac:dyDescent="0.3">
      <c r="AC155" s="99"/>
      <c r="AD155" s="100"/>
      <c r="AE155" s="100"/>
      <c r="AF155" s="100"/>
      <c r="AG155" s="100"/>
      <c r="AH155" s="100"/>
      <c r="AI155" s="100"/>
      <c r="AJ155" s="101"/>
      <c r="AK155" s="99"/>
      <c r="AL155" s="100"/>
      <c r="AM155" s="100"/>
      <c r="AN155" s="100"/>
      <c r="AO155" s="100"/>
      <c r="AP155" s="100"/>
      <c r="AQ155" s="100"/>
      <c r="AR155" s="100"/>
      <c r="AS155" s="100"/>
      <c r="AT155" s="100"/>
      <c r="AU155" s="101"/>
    </row>
    <row r="156" spans="29:47" ht="18.75" x14ac:dyDescent="0.3">
      <c r="AC156" s="99"/>
      <c r="AD156" s="100"/>
      <c r="AE156" s="100"/>
      <c r="AF156" s="100"/>
      <c r="AG156" s="100"/>
      <c r="AH156" s="100"/>
      <c r="AI156" s="100"/>
      <c r="AJ156" s="101"/>
      <c r="AK156" s="99"/>
      <c r="AL156" s="100"/>
      <c r="AM156" s="100"/>
      <c r="AN156" s="100"/>
      <c r="AO156" s="100"/>
      <c r="AP156" s="100"/>
      <c r="AQ156" s="100"/>
      <c r="AR156" s="100"/>
      <c r="AS156" s="100"/>
      <c r="AT156" s="100"/>
      <c r="AU156" s="101"/>
    </row>
    <row r="157" spans="29:47" ht="18.75" x14ac:dyDescent="0.3">
      <c r="AC157" s="99"/>
      <c r="AD157" s="100"/>
      <c r="AE157" s="100"/>
      <c r="AF157" s="100"/>
      <c r="AG157" s="100"/>
      <c r="AH157" s="100"/>
      <c r="AI157" s="100"/>
      <c r="AJ157" s="101"/>
      <c r="AK157" s="99"/>
      <c r="AL157" s="100"/>
      <c r="AM157" s="100"/>
      <c r="AN157" s="100"/>
      <c r="AO157" s="100"/>
      <c r="AP157" s="100"/>
      <c r="AQ157" s="100"/>
      <c r="AR157" s="100"/>
      <c r="AS157" s="100"/>
      <c r="AT157" s="100"/>
      <c r="AU157" s="101"/>
    </row>
    <row r="158" spans="29:47" ht="18.75" x14ac:dyDescent="0.3">
      <c r="AC158" s="99"/>
      <c r="AD158" s="100"/>
      <c r="AE158" s="100"/>
      <c r="AF158" s="100"/>
      <c r="AG158" s="100"/>
      <c r="AH158" s="100"/>
      <c r="AI158" s="100"/>
      <c r="AJ158" s="101"/>
      <c r="AK158" s="99"/>
      <c r="AL158" s="100"/>
      <c r="AM158" s="100"/>
      <c r="AN158" s="100"/>
      <c r="AO158" s="100"/>
      <c r="AP158" s="100"/>
      <c r="AQ158" s="100"/>
      <c r="AR158" s="100"/>
      <c r="AS158" s="100"/>
      <c r="AT158" s="100"/>
      <c r="AU158" s="101"/>
    </row>
    <row r="159" spans="29:47" ht="18.75" x14ac:dyDescent="0.3">
      <c r="AC159" s="99"/>
      <c r="AD159" s="100"/>
      <c r="AE159" s="100"/>
      <c r="AF159" s="100"/>
      <c r="AG159" s="100"/>
      <c r="AH159" s="100"/>
      <c r="AI159" s="100"/>
      <c r="AJ159" s="101"/>
      <c r="AK159" s="99"/>
      <c r="AL159" s="100"/>
      <c r="AM159" s="100"/>
      <c r="AN159" s="100"/>
      <c r="AO159" s="100"/>
      <c r="AP159" s="100"/>
      <c r="AQ159" s="100"/>
      <c r="AR159" s="100"/>
      <c r="AS159" s="100"/>
      <c r="AT159" s="100"/>
      <c r="AU159" s="101"/>
    </row>
    <row r="160" spans="29:47" ht="18.75" x14ac:dyDescent="0.3">
      <c r="AC160" s="99"/>
      <c r="AD160" s="100"/>
      <c r="AE160" s="100"/>
      <c r="AF160" s="100"/>
      <c r="AG160" s="100"/>
      <c r="AH160" s="100"/>
      <c r="AI160" s="100"/>
      <c r="AJ160" s="101"/>
      <c r="AK160" s="99"/>
      <c r="AL160" s="100"/>
      <c r="AM160" s="100"/>
      <c r="AN160" s="100"/>
      <c r="AO160" s="100"/>
      <c r="AP160" s="100"/>
      <c r="AQ160" s="100"/>
      <c r="AR160" s="100"/>
      <c r="AS160" s="100"/>
      <c r="AT160" s="100"/>
      <c r="AU160" s="101"/>
    </row>
    <row r="161" spans="29:47" ht="18.75" x14ac:dyDescent="0.3">
      <c r="AC161" s="99"/>
      <c r="AD161" s="100"/>
      <c r="AE161" s="100"/>
      <c r="AF161" s="100"/>
      <c r="AG161" s="100"/>
      <c r="AH161" s="100"/>
      <c r="AI161" s="100"/>
      <c r="AJ161" s="101"/>
      <c r="AK161" s="99"/>
      <c r="AL161" s="100"/>
      <c r="AM161" s="100"/>
      <c r="AN161" s="100"/>
      <c r="AO161" s="100"/>
      <c r="AP161" s="100"/>
      <c r="AQ161" s="100"/>
      <c r="AR161" s="100"/>
      <c r="AS161" s="100"/>
      <c r="AT161" s="100"/>
      <c r="AU161" s="101"/>
    </row>
    <row r="162" spans="29:47" ht="18.75" x14ac:dyDescent="0.3">
      <c r="AC162" s="99"/>
      <c r="AD162" s="100"/>
      <c r="AE162" s="100"/>
      <c r="AF162" s="100"/>
      <c r="AG162" s="100"/>
      <c r="AH162" s="100"/>
      <c r="AI162" s="100"/>
      <c r="AJ162" s="101"/>
      <c r="AK162" s="99"/>
      <c r="AL162" s="100"/>
      <c r="AM162" s="100"/>
      <c r="AN162" s="100"/>
      <c r="AO162" s="100"/>
      <c r="AP162" s="100"/>
      <c r="AQ162" s="100"/>
      <c r="AR162" s="100"/>
      <c r="AS162" s="100"/>
      <c r="AT162" s="100"/>
      <c r="AU162" s="101"/>
    </row>
    <row r="163" spans="29:47" ht="18.75" x14ac:dyDescent="0.3">
      <c r="AC163" s="99"/>
      <c r="AD163" s="100"/>
      <c r="AE163" s="100"/>
      <c r="AF163" s="100"/>
      <c r="AG163" s="100"/>
      <c r="AH163" s="100"/>
      <c r="AI163" s="100"/>
      <c r="AJ163" s="101"/>
      <c r="AK163" s="99"/>
      <c r="AL163" s="100"/>
      <c r="AM163" s="100"/>
      <c r="AN163" s="100"/>
      <c r="AO163" s="100"/>
      <c r="AP163" s="100"/>
      <c r="AQ163" s="100"/>
      <c r="AR163" s="100"/>
      <c r="AS163" s="100"/>
      <c r="AT163" s="100"/>
      <c r="AU163" s="101"/>
    </row>
    <row r="164" spans="29:47" ht="18.75" x14ac:dyDescent="0.3">
      <c r="AC164" s="99"/>
      <c r="AD164" s="100"/>
      <c r="AE164" s="100"/>
      <c r="AF164" s="100"/>
      <c r="AG164" s="100"/>
      <c r="AH164" s="100"/>
      <c r="AI164" s="100"/>
      <c r="AJ164" s="101"/>
      <c r="AK164" s="99"/>
      <c r="AL164" s="100"/>
      <c r="AM164" s="100"/>
      <c r="AN164" s="100"/>
      <c r="AO164" s="100"/>
      <c r="AP164" s="100"/>
      <c r="AQ164" s="100"/>
      <c r="AR164" s="100"/>
      <c r="AS164" s="100"/>
      <c r="AT164" s="100"/>
      <c r="AU164" s="101"/>
    </row>
    <row r="165" spans="29:47" ht="18.75" x14ac:dyDescent="0.3">
      <c r="AC165" s="99"/>
      <c r="AD165" s="100"/>
      <c r="AE165" s="100"/>
      <c r="AF165" s="100"/>
      <c r="AG165" s="100"/>
      <c r="AH165" s="100"/>
      <c r="AI165" s="100"/>
      <c r="AJ165" s="101"/>
      <c r="AK165" s="99"/>
      <c r="AL165" s="100"/>
      <c r="AM165" s="100"/>
      <c r="AN165" s="100"/>
      <c r="AO165" s="100"/>
      <c r="AP165" s="100"/>
      <c r="AQ165" s="100"/>
      <c r="AR165" s="100"/>
      <c r="AS165" s="100"/>
      <c r="AT165" s="100"/>
      <c r="AU165" s="101"/>
    </row>
    <row r="166" spans="29:47" ht="18.75" x14ac:dyDescent="0.3">
      <c r="AC166" s="99"/>
      <c r="AD166" s="100"/>
      <c r="AE166" s="100"/>
      <c r="AF166" s="100"/>
      <c r="AG166" s="100"/>
      <c r="AH166" s="100"/>
      <c r="AI166" s="100"/>
      <c r="AJ166" s="101"/>
      <c r="AK166" s="99"/>
      <c r="AL166" s="100"/>
      <c r="AM166" s="100"/>
      <c r="AN166" s="100"/>
      <c r="AO166" s="100"/>
      <c r="AP166" s="100"/>
      <c r="AQ166" s="100"/>
      <c r="AR166" s="100"/>
      <c r="AS166" s="100"/>
      <c r="AT166" s="100"/>
      <c r="AU166" s="101"/>
    </row>
    <row r="167" spans="29:47" ht="18.75" x14ac:dyDescent="0.3">
      <c r="AC167" s="99"/>
      <c r="AD167" s="100"/>
      <c r="AE167" s="100"/>
      <c r="AF167" s="100"/>
      <c r="AG167" s="100"/>
      <c r="AH167" s="100"/>
      <c r="AI167" s="100"/>
      <c r="AJ167" s="101"/>
      <c r="AK167" s="99"/>
      <c r="AL167" s="100"/>
      <c r="AM167" s="100"/>
      <c r="AN167" s="100"/>
      <c r="AO167" s="100"/>
      <c r="AP167" s="100"/>
      <c r="AQ167" s="100"/>
      <c r="AR167" s="100"/>
      <c r="AS167" s="100"/>
      <c r="AT167" s="100"/>
      <c r="AU167" s="101"/>
    </row>
    <row r="168" spans="29:47" ht="18.75" x14ac:dyDescent="0.3">
      <c r="AC168" s="99"/>
      <c r="AD168" s="100"/>
      <c r="AE168" s="100"/>
      <c r="AF168" s="100"/>
      <c r="AG168" s="100"/>
      <c r="AH168" s="100"/>
      <c r="AI168" s="100"/>
      <c r="AJ168" s="101"/>
      <c r="AK168" s="99"/>
      <c r="AL168" s="100"/>
      <c r="AM168" s="100"/>
      <c r="AN168" s="100"/>
      <c r="AO168" s="100"/>
      <c r="AP168" s="100"/>
      <c r="AQ168" s="100"/>
      <c r="AR168" s="100"/>
      <c r="AS168" s="100"/>
      <c r="AT168" s="100"/>
      <c r="AU168" s="101"/>
    </row>
    <row r="169" spans="29:47" ht="18.75" x14ac:dyDescent="0.3">
      <c r="AC169" s="99"/>
      <c r="AD169" s="100"/>
      <c r="AE169" s="100"/>
      <c r="AF169" s="100"/>
      <c r="AG169" s="100"/>
      <c r="AH169" s="100"/>
      <c r="AI169" s="100"/>
      <c r="AJ169" s="101"/>
      <c r="AK169" s="99"/>
      <c r="AL169" s="100"/>
      <c r="AM169" s="100"/>
      <c r="AN169" s="100"/>
      <c r="AO169" s="100"/>
      <c r="AP169" s="100"/>
      <c r="AQ169" s="100"/>
      <c r="AR169" s="100"/>
      <c r="AS169" s="100"/>
      <c r="AT169" s="100"/>
      <c r="AU169" s="101"/>
    </row>
    <row r="170" spans="29:47" ht="18.75" x14ac:dyDescent="0.3">
      <c r="AC170" s="99"/>
      <c r="AD170" s="100"/>
      <c r="AE170" s="100"/>
      <c r="AF170" s="100"/>
      <c r="AG170" s="100"/>
      <c r="AH170" s="100"/>
      <c r="AI170" s="100"/>
      <c r="AJ170" s="101"/>
      <c r="AK170" s="99"/>
      <c r="AL170" s="100"/>
      <c r="AM170" s="100"/>
      <c r="AN170" s="100"/>
      <c r="AO170" s="100"/>
      <c r="AP170" s="100"/>
      <c r="AQ170" s="100"/>
      <c r="AR170" s="100"/>
      <c r="AS170" s="100"/>
      <c r="AT170" s="100"/>
      <c r="AU170" s="101"/>
    </row>
    <row r="171" spans="29:47" ht="18.75" x14ac:dyDescent="0.3">
      <c r="AC171" s="99"/>
      <c r="AD171" s="100"/>
      <c r="AE171" s="100"/>
      <c r="AF171" s="100"/>
      <c r="AG171" s="100"/>
      <c r="AH171" s="100"/>
      <c r="AI171" s="100"/>
      <c r="AJ171" s="101"/>
      <c r="AK171" s="99"/>
      <c r="AL171" s="100"/>
      <c r="AM171" s="100"/>
      <c r="AN171" s="100"/>
      <c r="AO171" s="100"/>
      <c r="AP171" s="100"/>
      <c r="AQ171" s="100"/>
      <c r="AR171" s="100"/>
      <c r="AS171" s="100"/>
      <c r="AT171" s="100"/>
      <c r="AU171" s="101"/>
    </row>
    <row r="172" spans="29:47" ht="18.75" x14ac:dyDescent="0.3">
      <c r="AC172" s="99"/>
      <c r="AD172" s="100"/>
      <c r="AE172" s="100"/>
      <c r="AF172" s="100"/>
      <c r="AG172" s="100"/>
      <c r="AH172" s="100"/>
      <c r="AI172" s="100"/>
      <c r="AJ172" s="101"/>
      <c r="AK172" s="99"/>
      <c r="AL172" s="100"/>
      <c r="AM172" s="100"/>
      <c r="AN172" s="100"/>
      <c r="AO172" s="100"/>
      <c r="AP172" s="100"/>
      <c r="AQ172" s="100"/>
      <c r="AR172" s="100"/>
      <c r="AS172" s="100"/>
      <c r="AT172" s="100"/>
      <c r="AU172" s="101"/>
    </row>
    <row r="173" spans="29:47" ht="18.75" x14ac:dyDescent="0.3">
      <c r="AC173" s="99"/>
      <c r="AD173" s="100"/>
      <c r="AE173" s="100"/>
      <c r="AF173" s="100"/>
      <c r="AG173" s="100"/>
      <c r="AH173" s="100"/>
      <c r="AI173" s="100"/>
      <c r="AJ173" s="101"/>
      <c r="AK173" s="99"/>
      <c r="AL173" s="100"/>
      <c r="AM173" s="100"/>
      <c r="AN173" s="100"/>
      <c r="AO173" s="100"/>
      <c r="AP173" s="100"/>
      <c r="AQ173" s="100"/>
      <c r="AR173" s="100"/>
      <c r="AS173" s="100"/>
      <c r="AT173" s="100"/>
      <c r="AU173" s="101"/>
    </row>
    <row r="174" spans="29:47" ht="18.75" x14ac:dyDescent="0.3">
      <c r="AC174" s="99"/>
      <c r="AD174" s="100"/>
      <c r="AE174" s="100"/>
      <c r="AF174" s="100"/>
      <c r="AG174" s="100"/>
      <c r="AH174" s="100"/>
      <c r="AI174" s="100"/>
      <c r="AJ174" s="101"/>
      <c r="AK174" s="99"/>
      <c r="AL174" s="100"/>
      <c r="AM174" s="100"/>
      <c r="AN174" s="100"/>
      <c r="AO174" s="100"/>
      <c r="AP174" s="100"/>
      <c r="AQ174" s="100"/>
      <c r="AR174" s="100"/>
      <c r="AS174" s="100"/>
      <c r="AT174" s="100"/>
      <c r="AU174" s="101"/>
    </row>
    <row r="175" spans="29:47" ht="18.75" x14ac:dyDescent="0.3">
      <c r="AC175" s="99"/>
      <c r="AD175" s="100"/>
      <c r="AE175" s="100"/>
      <c r="AF175" s="100"/>
      <c r="AG175" s="100"/>
      <c r="AH175" s="100"/>
      <c r="AI175" s="100"/>
      <c r="AJ175" s="101"/>
      <c r="AK175" s="99"/>
      <c r="AL175" s="100"/>
      <c r="AM175" s="100"/>
      <c r="AN175" s="100"/>
      <c r="AO175" s="100"/>
      <c r="AP175" s="100"/>
      <c r="AQ175" s="100"/>
      <c r="AR175" s="100"/>
      <c r="AS175" s="100"/>
      <c r="AT175" s="100"/>
      <c r="AU175" s="101"/>
    </row>
    <row r="176" spans="29:47" ht="18.75" x14ac:dyDescent="0.3">
      <c r="AC176" s="99"/>
      <c r="AD176" s="100"/>
      <c r="AE176" s="100"/>
      <c r="AF176" s="100"/>
      <c r="AG176" s="100"/>
      <c r="AH176" s="100"/>
      <c r="AI176" s="100"/>
      <c r="AJ176" s="101"/>
      <c r="AK176" s="99"/>
      <c r="AL176" s="100"/>
      <c r="AM176" s="100"/>
      <c r="AN176" s="100"/>
      <c r="AO176" s="100"/>
      <c r="AP176" s="100"/>
      <c r="AQ176" s="100"/>
      <c r="AR176" s="100"/>
      <c r="AS176" s="100"/>
      <c r="AT176" s="100"/>
      <c r="AU176" s="101"/>
    </row>
    <row r="177" spans="29:47" ht="18.75" x14ac:dyDescent="0.3">
      <c r="AC177" s="99"/>
      <c r="AD177" s="100"/>
      <c r="AE177" s="100"/>
      <c r="AF177" s="100"/>
      <c r="AG177" s="100"/>
      <c r="AH177" s="100"/>
      <c r="AI177" s="100"/>
      <c r="AJ177" s="101"/>
      <c r="AK177" s="99"/>
      <c r="AL177" s="100"/>
      <c r="AM177" s="100"/>
      <c r="AN177" s="100"/>
      <c r="AO177" s="100"/>
      <c r="AP177" s="100"/>
      <c r="AQ177" s="100"/>
      <c r="AR177" s="100"/>
      <c r="AS177" s="100"/>
      <c r="AT177" s="100"/>
      <c r="AU177" s="101"/>
    </row>
    <row r="178" spans="29:47" ht="18.75" x14ac:dyDescent="0.3">
      <c r="AC178" s="99"/>
      <c r="AD178" s="100"/>
      <c r="AE178" s="100"/>
      <c r="AF178" s="100"/>
      <c r="AG178" s="100"/>
      <c r="AH178" s="100"/>
      <c r="AI178" s="100"/>
      <c r="AJ178" s="101"/>
      <c r="AK178" s="99"/>
      <c r="AL178" s="100"/>
      <c r="AM178" s="100"/>
      <c r="AN178" s="100"/>
      <c r="AO178" s="100"/>
      <c r="AP178" s="100"/>
      <c r="AQ178" s="100"/>
      <c r="AR178" s="100"/>
      <c r="AS178" s="100"/>
      <c r="AT178" s="100"/>
      <c r="AU178" s="101"/>
    </row>
    <row r="179" spans="29:47" ht="18.75" x14ac:dyDescent="0.3">
      <c r="AC179" s="99"/>
      <c r="AD179" s="100"/>
      <c r="AE179" s="100"/>
      <c r="AF179" s="100"/>
      <c r="AG179" s="100"/>
      <c r="AH179" s="100"/>
      <c r="AI179" s="100"/>
      <c r="AJ179" s="101"/>
      <c r="AK179" s="99"/>
      <c r="AL179" s="100"/>
      <c r="AM179" s="100"/>
      <c r="AN179" s="100"/>
      <c r="AO179" s="100"/>
      <c r="AP179" s="100"/>
      <c r="AQ179" s="100"/>
      <c r="AR179" s="100"/>
      <c r="AS179" s="100"/>
      <c r="AT179" s="100"/>
      <c r="AU179" s="101"/>
    </row>
    <row r="180" spans="29:47" ht="18.75" x14ac:dyDescent="0.3">
      <c r="AC180" s="99"/>
      <c r="AD180" s="100"/>
      <c r="AE180" s="100"/>
      <c r="AF180" s="100"/>
      <c r="AG180" s="100"/>
      <c r="AH180" s="100"/>
      <c r="AI180" s="100"/>
      <c r="AJ180" s="101"/>
      <c r="AK180" s="99"/>
      <c r="AL180" s="100"/>
      <c r="AM180" s="100"/>
      <c r="AN180" s="100"/>
      <c r="AO180" s="100"/>
      <c r="AP180" s="100"/>
      <c r="AQ180" s="100"/>
      <c r="AR180" s="100"/>
      <c r="AS180" s="100"/>
      <c r="AT180" s="100"/>
      <c r="AU180" s="101"/>
    </row>
    <row r="181" spans="29:47" ht="18.75" x14ac:dyDescent="0.3">
      <c r="AC181" s="99"/>
      <c r="AD181" s="100"/>
      <c r="AE181" s="100"/>
      <c r="AF181" s="100"/>
      <c r="AG181" s="100"/>
      <c r="AH181" s="100"/>
      <c r="AI181" s="100"/>
      <c r="AJ181" s="101"/>
      <c r="AK181" s="99"/>
      <c r="AL181" s="100"/>
      <c r="AM181" s="100"/>
      <c r="AN181" s="100"/>
      <c r="AO181" s="100"/>
      <c r="AP181" s="100"/>
      <c r="AQ181" s="100"/>
      <c r="AR181" s="100"/>
      <c r="AS181" s="100"/>
      <c r="AT181" s="100"/>
      <c r="AU181" s="101"/>
    </row>
    <row r="182" spans="29:47" ht="18.75" x14ac:dyDescent="0.3">
      <c r="AC182" s="99"/>
      <c r="AD182" s="100"/>
      <c r="AE182" s="100"/>
      <c r="AF182" s="100"/>
      <c r="AG182" s="100"/>
      <c r="AH182" s="100"/>
      <c r="AI182" s="100"/>
      <c r="AJ182" s="101"/>
      <c r="AK182" s="99"/>
      <c r="AL182" s="100"/>
      <c r="AM182" s="100"/>
      <c r="AN182" s="100"/>
      <c r="AO182" s="100"/>
      <c r="AP182" s="100"/>
      <c r="AQ182" s="100"/>
      <c r="AR182" s="100"/>
      <c r="AS182" s="100"/>
      <c r="AT182" s="100"/>
      <c r="AU182" s="101"/>
    </row>
    <row r="183" spans="29:47" ht="18.75" x14ac:dyDescent="0.3">
      <c r="AC183" s="99"/>
      <c r="AD183" s="100"/>
      <c r="AE183" s="100"/>
      <c r="AF183" s="100"/>
      <c r="AG183" s="100"/>
      <c r="AH183" s="100"/>
      <c r="AI183" s="100"/>
      <c r="AJ183" s="101"/>
      <c r="AK183" s="99"/>
      <c r="AL183" s="100"/>
      <c r="AM183" s="100"/>
      <c r="AN183" s="100"/>
      <c r="AO183" s="100"/>
      <c r="AP183" s="100"/>
      <c r="AQ183" s="100"/>
      <c r="AR183" s="100"/>
      <c r="AS183" s="100"/>
      <c r="AT183" s="100"/>
      <c r="AU183" s="101"/>
    </row>
    <row r="184" spans="29:47" ht="18.75" x14ac:dyDescent="0.3">
      <c r="AC184" s="99"/>
      <c r="AD184" s="100"/>
      <c r="AE184" s="100"/>
      <c r="AF184" s="100"/>
      <c r="AG184" s="100"/>
      <c r="AH184" s="100"/>
      <c r="AI184" s="100"/>
      <c r="AJ184" s="101"/>
      <c r="AK184" s="99"/>
      <c r="AL184" s="100"/>
      <c r="AM184" s="100"/>
      <c r="AN184" s="100"/>
      <c r="AO184" s="100"/>
      <c r="AP184" s="100"/>
      <c r="AQ184" s="100"/>
      <c r="AR184" s="100"/>
      <c r="AS184" s="100"/>
      <c r="AT184" s="100"/>
      <c r="AU184" s="101"/>
    </row>
    <row r="185" spans="29:47" ht="18.75" x14ac:dyDescent="0.3">
      <c r="AC185" s="99"/>
      <c r="AD185" s="100"/>
      <c r="AE185" s="100"/>
      <c r="AF185" s="100"/>
      <c r="AG185" s="100"/>
      <c r="AH185" s="100"/>
      <c r="AI185" s="100"/>
      <c r="AJ185" s="101"/>
      <c r="AK185" s="99"/>
      <c r="AL185" s="100"/>
      <c r="AM185" s="100"/>
      <c r="AN185" s="100"/>
      <c r="AO185" s="100"/>
      <c r="AP185" s="100"/>
      <c r="AQ185" s="100"/>
      <c r="AR185" s="100"/>
      <c r="AS185" s="100"/>
      <c r="AT185" s="100"/>
      <c r="AU185" s="101"/>
    </row>
    <row r="186" spans="29:47" ht="18.75" x14ac:dyDescent="0.3">
      <c r="AC186" s="99"/>
      <c r="AD186" s="100"/>
      <c r="AE186" s="100"/>
      <c r="AF186" s="100"/>
      <c r="AG186" s="100"/>
      <c r="AH186" s="100"/>
      <c r="AI186" s="100"/>
      <c r="AJ186" s="101"/>
      <c r="AK186" s="99"/>
      <c r="AL186" s="100"/>
      <c r="AM186" s="100"/>
      <c r="AN186" s="100"/>
      <c r="AO186" s="100"/>
      <c r="AP186" s="100"/>
      <c r="AQ186" s="100"/>
      <c r="AR186" s="100"/>
      <c r="AS186" s="100"/>
      <c r="AT186" s="100"/>
      <c r="AU186" s="101"/>
    </row>
    <row r="187" spans="29:47" ht="18.75" x14ac:dyDescent="0.3">
      <c r="AC187" s="99"/>
      <c r="AD187" s="100"/>
      <c r="AE187" s="100"/>
      <c r="AF187" s="100"/>
      <c r="AG187" s="100"/>
      <c r="AH187" s="100"/>
      <c r="AI187" s="100"/>
      <c r="AJ187" s="101"/>
      <c r="AK187" s="99"/>
      <c r="AL187" s="100"/>
      <c r="AM187" s="100"/>
      <c r="AN187" s="100"/>
      <c r="AO187" s="100"/>
      <c r="AP187" s="100"/>
      <c r="AQ187" s="100"/>
      <c r="AR187" s="100"/>
      <c r="AS187" s="100"/>
      <c r="AT187" s="100"/>
      <c r="AU187" s="101"/>
    </row>
    <row r="188" spans="29:47" ht="18.75" x14ac:dyDescent="0.3">
      <c r="AC188" s="99"/>
      <c r="AD188" s="100"/>
      <c r="AE188" s="100"/>
      <c r="AF188" s="100"/>
      <c r="AG188" s="100"/>
      <c r="AH188" s="100"/>
      <c r="AI188" s="100"/>
      <c r="AJ188" s="101"/>
      <c r="AK188" s="99"/>
      <c r="AL188" s="100"/>
      <c r="AM188" s="100"/>
      <c r="AN188" s="100"/>
      <c r="AO188" s="100"/>
      <c r="AP188" s="100"/>
      <c r="AQ188" s="100"/>
      <c r="AR188" s="100"/>
      <c r="AS188" s="100"/>
      <c r="AT188" s="100"/>
      <c r="AU188" s="101"/>
    </row>
    <row r="189" spans="29:47" ht="18.75" x14ac:dyDescent="0.3">
      <c r="AC189" s="99"/>
      <c r="AD189" s="100"/>
      <c r="AE189" s="100"/>
      <c r="AF189" s="100"/>
      <c r="AG189" s="100"/>
      <c r="AH189" s="100"/>
      <c r="AI189" s="100"/>
      <c r="AJ189" s="101"/>
      <c r="AK189" s="99"/>
      <c r="AL189" s="100"/>
      <c r="AM189" s="100"/>
      <c r="AN189" s="100"/>
      <c r="AO189" s="100"/>
      <c r="AP189" s="100"/>
      <c r="AQ189" s="100"/>
      <c r="AR189" s="100"/>
      <c r="AS189" s="100"/>
      <c r="AT189" s="100"/>
      <c r="AU189" s="101"/>
    </row>
    <row r="190" spans="29:47" ht="18.75" x14ac:dyDescent="0.3">
      <c r="AC190" s="99"/>
      <c r="AD190" s="100"/>
      <c r="AE190" s="100"/>
      <c r="AF190" s="100"/>
      <c r="AG190" s="100"/>
      <c r="AH190" s="100"/>
      <c r="AI190" s="100"/>
      <c r="AJ190" s="101"/>
      <c r="AK190" s="99"/>
      <c r="AL190" s="100"/>
      <c r="AM190" s="100"/>
      <c r="AN190" s="100"/>
      <c r="AO190" s="100"/>
      <c r="AP190" s="100"/>
      <c r="AQ190" s="100"/>
      <c r="AR190" s="100"/>
      <c r="AS190" s="100"/>
      <c r="AT190" s="100"/>
      <c r="AU190" s="101"/>
    </row>
    <row r="191" spans="29:47" ht="18.75" x14ac:dyDescent="0.3">
      <c r="AC191" s="99"/>
      <c r="AD191" s="100"/>
      <c r="AE191" s="100"/>
      <c r="AF191" s="100"/>
      <c r="AG191" s="100"/>
      <c r="AH191" s="100"/>
      <c r="AI191" s="100"/>
      <c r="AJ191" s="101"/>
      <c r="AK191" s="99"/>
      <c r="AL191" s="100"/>
      <c r="AM191" s="100"/>
      <c r="AN191" s="100"/>
      <c r="AO191" s="100"/>
      <c r="AP191" s="100"/>
      <c r="AQ191" s="100"/>
      <c r="AR191" s="100"/>
      <c r="AS191" s="100"/>
      <c r="AT191" s="100"/>
      <c r="AU191" s="101"/>
    </row>
    <row r="192" spans="29:47" ht="18.75" x14ac:dyDescent="0.3">
      <c r="AC192" s="99"/>
      <c r="AD192" s="100"/>
      <c r="AE192" s="100"/>
      <c r="AF192" s="100"/>
      <c r="AG192" s="100"/>
      <c r="AH192" s="100"/>
      <c r="AI192" s="100"/>
      <c r="AJ192" s="101"/>
      <c r="AK192" s="99"/>
      <c r="AL192" s="100"/>
      <c r="AM192" s="100"/>
      <c r="AN192" s="100"/>
      <c r="AO192" s="100"/>
      <c r="AP192" s="100"/>
      <c r="AQ192" s="100"/>
      <c r="AR192" s="100"/>
      <c r="AS192" s="100"/>
      <c r="AT192" s="100"/>
      <c r="AU192" s="101"/>
    </row>
    <row r="193" spans="29:47" ht="18.75" x14ac:dyDescent="0.3">
      <c r="AC193" s="99"/>
      <c r="AD193" s="100"/>
      <c r="AE193" s="100"/>
      <c r="AF193" s="100"/>
      <c r="AG193" s="100"/>
      <c r="AH193" s="100"/>
      <c r="AI193" s="100"/>
      <c r="AJ193" s="101"/>
      <c r="AK193" s="99"/>
      <c r="AL193" s="100"/>
      <c r="AM193" s="100"/>
      <c r="AN193" s="100"/>
      <c r="AO193" s="100"/>
      <c r="AP193" s="100"/>
      <c r="AQ193" s="100"/>
      <c r="AR193" s="100"/>
      <c r="AS193" s="100"/>
      <c r="AT193" s="100"/>
      <c r="AU193" s="101"/>
    </row>
    <row r="194" spans="29:47" ht="18.75" x14ac:dyDescent="0.3">
      <c r="AC194" s="99"/>
      <c r="AD194" s="100"/>
      <c r="AE194" s="100"/>
      <c r="AF194" s="100"/>
      <c r="AG194" s="100"/>
      <c r="AH194" s="100"/>
      <c r="AI194" s="100"/>
      <c r="AJ194" s="101"/>
      <c r="AK194" s="99"/>
      <c r="AL194" s="100"/>
      <c r="AM194" s="100"/>
      <c r="AN194" s="100"/>
      <c r="AO194" s="100"/>
      <c r="AP194" s="100"/>
      <c r="AQ194" s="100"/>
      <c r="AR194" s="100"/>
      <c r="AS194" s="100"/>
      <c r="AT194" s="100"/>
      <c r="AU194" s="101"/>
    </row>
    <row r="195" spans="29:47" ht="18.75" x14ac:dyDescent="0.3">
      <c r="AC195" s="99"/>
      <c r="AD195" s="100"/>
      <c r="AE195" s="100"/>
      <c r="AF195" s="100"/>
      <c r="AG195" s="100"/>
      <c r="AH195" s="100"/>
      <c r="AI195" s="100"/>
      <c r="AJ195" s="101"/>
      <c r="AK195" s="99"/>
      <c r="AL195" s="100"/>
      <c r="AM195" s="100"/>
      <c r="AN195" s="100"/>
      <c r="AO195" s="100"/>
      <c r="AP195" s="100"/>
      <c r="AQ195" s="100"/>
      <c r="AR195" s="100"/>
      <c r="AS195" s="100"/>
      <c r="AT195" s="100"/>
      <c r="AU195" s="101"/>
    </row>
    <row r="196" spans="29:47" ht="18.75" x14ac:dyDescent="0.3">
      <c r="AC196" s="99"/>
      <c r="AD196" s="100"/>
      <c r="AE196" s="100"/>
      <c r="AF196" s="100"/>
      <c r="AG196" s="100"/>
      <c r="AH196" s="100"/>
      <c r="AI196" s="100"/>
      <c r="AJ196" s="101"/>
      <c r="AK196" s="99"/>
      <c r="AL196" s="100"/>
      <c r="AM196" s="100"/>
      <c r="AN196" s="100"/>
      <c r="AO196" s="100"/>
      <c r="AP196" s="100"/>
      <c r="AQ196" s="100"/>
      <c r="AR196" s="100"/>
      <c r="AS196" s="100"/>
      <c r="AT196" s="100"/>
      <c r="AU196" s="101"/>
    </row>
    <row r="197" spans="29:47" ht="18.75" x14ac:dyDescent="0.3">
      <c r="AC197" s="99"/>
      <c r="AD197" s="100"/>
      <c r="AE197" s="100"/>
      <c r="AF197" s="100"/>
      <c r="AG197" s="100"/>
      <c r="AH197" s="100"/>
      <c r="AI197" s="100"/>
      <c r="AJ197" s="101"/>
      <c r="AK197" s="99"/>
      <c r="AL197" s="100"/>
      <c r="AM197" s="100"/>
      <c r="AN197" s="100"/>
      <c r="AO197" s="100"/>
      <c r="AP197" s="100"/>
      <c r="AQ197" s="100"/>
      <c r="AR197" s="100"/>
      <c r="AS197" s="100"/>
      <c r="AT197" s="100"/>
      <c r="AU197" s="101"/>
    </row>
    <row r="198" spans="29:47" ht="18.75" x14ac:dyDescent="0.3">
      <c r="AC198" s="99"/>
      <c r="AD198" s="100"/>
      <c r="AE198" s="100"/>
      <c r="AF198" s="100"/>
      <c r="AG198" s="100"/>
      <c r="AH198" s="100"/>
      <c r="AI198" s="100"/>
      <c r="AJ198" s="101"/>
      <c r="AK198" s="99"/>
      <c r="AL198" s="100"/>
      <c r="AM198" s="100"/>
      <c r="AN198" s="100"/>
      <c r="AO198" s="100"/>
      <c r="AP198" s="100"/>
      <c r="AQ198" s="100"/>
      <c r="AR198" s="100"/>
      <c r="AS198" s="100"/>
      <c r="AT198" s="100"/>
      <c r="AU198" s="101"/>
    </row>
    <row r="199" spans="29:47" ht="18.75" x14ac:dyDescent="0.3">
      <c r="AC199" s="99"/>
      <c r="AD199" s="100"/>
      <c r="AE199" s="100"/>
      <c r="AF199" s="100"/>
      <c r="AG199" s="100"/>
      <c r="AH199" s="100"/>
      <c r="AI199" s="100"/>
      <c r="AJ199" s="101"/>
      <c r="AK199" s="99"/>
      <c r="AL199" s="100"/>
      <c r="AM199" s="100"/>
      <c r="AN199" s="100"/>
      <c r="AO199" s="100"/>
      <c r="AP199" s="100"/>
      <c r="AQ199" s="100"/>
      <c r="AR199" s="100"/>
      <c r="AS199" s="100"/>
      <c r="AT199" s="100"/>
      <c r="AU199" s="101"/>
    </row>
    <row r="200" spans="29:47" ht="18.75" x14ac:dyDescent="0.3">
      <c r="AC200" s="99"/>
      <c r="AD200" s="100"/>
      <c r="AE200" s="100"/>
      <c r="AF200" s="100"/>
      <c r="AG200" s="100"/>
      <c r="AH200" s="100"/>
      <c r="AI200" s="100"/>
      <c r="AJ200" s="101"/>
      <c r="AK200" s="99"/>
      <c r="AL200" s="100"/>
      <c r="AM200" s="100"/>
      <c r="AN200" s="100"/>
      <c r="AO200" s="100"/>
      <c r="AP200" s="100"/>
      <c r="AQ200" s="100"/>
      <c r="AR200" s="100"/>
      <c r="AS200" s="100"/>
      <c r="AT200" s="100"/>
      <c r="AU200" s="101"/>
    </row>
    <row r="201" spans="29:47" ht="18.75" x14ac:dyDescent="0.3">
      <c r="AC201" s="99"/>
      <c r="AD201" s="100"/>
      <c r="AE201" s="100"/>
      <c r="AF201" s="100"/>
      <c r="AG201" s="100"/>
      <c r="AH201" s="100"/>
      <c r="AI201" s="100"/>
      <c r="AJ201" s="101"/>
      <c r="AK201" s="99"/>
      <c r="AL201" s="100"/>
      <c r="AM201" s="100"/>
      <c r="AN201" s="100"/>
      <c r="AO201" s="100"/>
      <c r="AP201" s="100"/>
      <c r="AQ201" s="100"/>
      <c r="AR201" s="100"/>
      <c r="AS201" s="100"/>
      <c r="AT201" s="100"/>
      <c r="AU201" s="101"/>
    </row>
    <row r="202" spans="29:47" ht="18.75" x14ac:dyDescent="0.3">
      <c r="AC202" s="99"/>
      <c r="AD202" s="100"/>
      <c r="AE202" s="100"/>
      <c r="AF202" s="100"/>
      <c r="AG202" s="100"/>
      <c r="AH202" s="100"/>
      <c r="AI202" s="100"/>
      <c r="AJ202" s="101"/>
      <c r="AK202" s="99"/>
      <c r="AL202" s="100"/>
      <c r="AM202" s="100"/>
      <c r="AN202" s="100"/>
      <c r="AO202" s="100"/>
      <c r="AP202" s="100"/>
      <c r="AQ202" s="100"/>
      <c r="AR202" s="100"/>
      <c r="AS202" s="100"/>
      <c r="AT202" s="100"/>
      <c r="AU202" s="101"/>
    </row>
    <row r="203" spans="29:47" ht="18.75" x14ac:dyDescent="0.3">
      <c r="AC203" s="99"/>
      <c r="AD203" s="100"/>
      <c r="AE203" s="100"/>
      <c r="AF203" s="100"/>
      <c r="AG203" s="100"/>
      <c r="AH203" s="100"/>
      <c r="AI203" s="100"/>
      <c r="AJ203" s="101"/>
      <c r="AK203" s="99"/>
      <c r="AL203" s="100"/>
      <c r="AM203" s="100"/>
      <c r="AN203" s="100"/>
      <c r="AO203" s="100"/>
      <c r="AP203" s="100"/>
      <c r="AQ203" s="100"/>
      <c r="AR203" s="100"/>
      <c r="AS203" s="100"/>
      <c r="AT203" s="100"/>
      <c r="AU203" s="101"/>
    </row>
    <row r="204" spans="29:47" ht="18.75" x14ac:dyDescent="0.3">
      <c r="AC204" s="99"/>
      <c r="AD204" s="100"/>
      <c r="AE204" s="100"/>
      <c r="AF204" s="100"/>
      <c r="AG204" s="100"/>
      <c r="AH204" s="100"/>
      <c r="AI204" s="100"/>
      <c r="AJ204" s="101"/>
      <c r="AK204" s="99"/>
      <c r="AL204" s="100"/>
      <c r="AM204" s="100"/>
      <c r="AN204" s="100"/>
      <c r="AO204" s="100"/>
      <c r="AP204" s="100"/>
      <c r="AQ204" s="100"/>
      <c r="AR204" s="100"/>
      <c r="AS204" s="100"/>
      <c r="AT204" s="100"/>
      <c r="AU204" s="101"/>
    </row>
    <row r="205" spans="29:47" ht="18.75" x14ac:dyDescent="0.3">
      <c r="AC205" s="99"/>
      <c r="AD205" s="100"/>
      <c r="AE205" s="100"/>
      <c r="AF205" s="100"/>
      <c r="AG205" s="100"/>
      <c r="AH205" s="100"/>
      <c r="AI205" s="100"/>
      <c r="AJ205" s="101"/>
      <c r="AK205" s="99"/>
      <c r="AL205" s="100"/>
      <c r="AM205" s="100"/>
      <c r="AN205" s="100"/>
      <c r="AO205" s="100"/>
      <c r="AP205" s="100"/>
      <c r="AQ205" s="100"/>
      <c r="AR205" s="100"/>
      <c r="AS205" s="100"/>
      <c r="AT205" s="100"/>
      <c r="AU205" s="101"/>
    </row>
    <row r="206" spans="29:47" ht="18.75" x14ac:dyDescent="0.3">
      <c r="AC206" s="99"/>
      <c r="AD206" s="100"/>
      <c r="AE206" s="100"/>
      <c r="AF206" s="100"/>
      <c r="AG206" s="100"/>
      <c r="AH206" s="100"/>
      <c r="AI206" s="100"/>
      <c r="AJ206" s="101"/>
      <c r="AK206" s="99"/>
      <c r="AL206" s="100"/>
      <c r="AM206" s="100"/>
      <c r="AN206" s="100"/>
      <c r="AO206" s="100"/>
      <c r="AP206" s="100"/>
      <c r="AQ206" s="100"/>
      <c r="AR206" s="100"/>
      <c r="AS206" s="100"/>
      <c r="AT206" s="100"/>
      <c r="AU206" s="101"/>
    </row>
    <row r="207" spans="29:47" ht="18.75" x14ac:dyDescent="0.3">
      <c r="AC207" s="99"/>
      <c r="AD207" s="100"/>
      <c r="AE207" s="100"/>
      <c r="AF207" s="100"/>
      <c r="AG207" s="100"/>
      <c r="AH207" s="100"/>
      <c r="AI207" s="100"/>
      <c r="AJ207" s="101"/>
      <c r="AK207" s="99"/>
      <c r="AL207" s="100"/>
      <c r="AM207" s="100"/>
      <c r="AN207" s="100"/>
      <c r="AO207" s="100"/>
      <c r="AP207" s="100"/>
      <c r="AQ207" s="100"/>
      <c r="AR207" s="100"/>
      <c r="AS207" s="100"/>
      <c r="AT207" s="100"/>
      <c r="AU207" s="101"/>
    </row>
    <row r="208" spans="29:47" ht="18.75" x14ac:dyDescent="0.3">
      <c r="AC208" s="99"/>
      <c r="AD208" s="100"/>
      <c r="AE208" s="100"/>
      <c r="AF208" s="100"/>
      <c r="AG208" s="100"/>
      <c r="AH208" s="100"/>
      <c r="AI208" s="100"/>
      <c r="AJ208" s="101"/>
      <c r="AK208" s="99"/>
      <c r="AL208" s="100"/>
      <c r="AM208" s="100"/>
      <c r="AN208" s="100"/>
      <c r="AO208" s="100"/>
      <c r="AP208" s="100"/>
      <c r="AQ208" s="100"/>
      <c r="AR208" s="100"/>
      <c r="AS208" s="100"/>
      <c r="AT208" s="100"/>
      <c r="AU208" s="101"/>
    </row>
    <row r="209" spans="29:47" ht="18.75" x14ac:dyDescent="0.3">
      <c r="AC209" s="99"/>
      <c r="AD209" s="100"/>
      <c r="AE209" s="100"/>
      <c r="AF209" s="100"/>
      <c r="AG209" s="100"/>
      <c r="AH209" s="100"/>
      <c r="AI209" s="100"/>
      <c r="AJ209" s="101"/>
      <c r="AK209" s="99"/>
      <c r="AL209" s="100"/>
      <c r="AM209" s="100"/>
      <c r="AN209" s="100"/>
      <c r="AO209" s="100"/>
      <c r="AP209" s="100"/>
      <c r="AQ209" s="100"/>
      <c r="AR209" s="100"/>
      <c r="AS209" s="100"/>
      <c r="AT209" s="100"/>
      <c r="AU209" s="101"/>
    </row>
    <row r="210" spans="29:47" ht="18.75" x14ac:dyDescent="0.3">
      <c r="AC210" s="99"/>
      <c r="AD210" s="100"/>
      <c r="AE210" s="100"/>
      <c r="AF210" s="100"/>
      <c r="AG210" s="100"/>
      <c r="AH210" s="100"/>
      <c r="AI210" s="100"/>
      <c r="AJ210" s="101"/>
      <c r="AK210" s="99"/>
      <c r="AL210" s="100"/>
      <c r="AM210" s="100"/>
      <c r="AN210" s="100"/>
      <c r="AO210" s="100"/>
      <c r="AP210" s="100"/>
      <c r="AQ210" s="100"/>
      <c r="AR210" s="100"/>
      <c r="AS210" s="100"/>
      <c r="AT210" s="100"/>
      <c r="AU210" s="101"/>
    </row>
    <row r="211" spans="29:47" ht="18.75" x14ac:dyDescent="0.3">
      <c r="AC211" s="99"/>
      <c r="AD211" s="100"/>
      <c r="AE211" s="100"/>
      <c r="AF211" s="100"/>
      <c r="AG211" s="100"/>
      <c r="AH211" s="100"/>
      <c r="AI211" s="100"/>
      <c r="AJ211" s="101"/>
      <c r="AK211" s="99"/>
      <c r="AL211" s="100"/>
      <c r="AM211" s="100"/>
      <c r="AN211" s="100"/>
      <c r="AO211" s="100"/>
      <c r="AP211" s="100"/>
      <c r="AQ211" s="100"/>
      <c r="AR211" s="100"/>
      <c r="AS211" s="100"/>
      <c r="AT211" s="100"/>
      <c r="AU211" s="101"/>
    </row>
    <row r="212" spans="29:47" ht="18.75" x14ac:dyDescent="0.3">
      <c r="AC212" s="99"/>
      <c r="AD212" s="100"/>
      <c r="AE212" s="100"/>
      <c r="AF212" s="100"/>
      <c r="AG212" s="100"/>
      <c r="AH212" s="100"/>
      <c r="AI212" s="100"/>
      <c r="AJ212" s="101"/>
      <c r="AK212" s="99"/>
      <c r="AL212" s="100"/>
      <c r="AM212" s="100"/>
      <c r="AN212" s="100"/>
      <c r="AO212" s="100"/>
      <c r="AP212" s="100"/>
      <c r="AQ212" s="100"/>
      <c r="AR212" s="100"/>
      <c r="AS212" s="100"/>
      <c r="AT212" s="100"/>
      <c r="AU212" s="101"/>
    </row>
    <row r="213" spans="29:47" ht="18.75" x14ac:dyDescent="0.3">
      <c r="AC213" s="99"/>
      <c r="AD213" s="100"/>
      <c r="AE213" s="100"/>
      <c r="AF213" s="100"/>
      <c r="AG213" s="100"/>
      <c r="AH213" s="100"/>
      <c r="AI213" s="100"/>
      <c r="AJ213" s="101"/>
      <c r="AK213" s="99"/>
      <c r="AL213" s="100"/>
      <c r="AM213" s="100"/>
      <c r="AN213" s="100"/>
      <c r="AO213" s="100"/>
      <c r="AP213" s="100"/>
      <c r="AQ213" s="100"/>
      <c r="AR213" s="100"/>
      <c r="AS213" s="100"/>
      <c r="AT213" s="100"/>
      <c r="AU213" s="101"/>
    </row>
    <row r="214" spans="29:47" ht="18.75" x14ac:dyDescent="0.3">
      <c r="AC214" s="99"/>
      <c r="AD214" s="100"/>
      <c r="AE214" s="100"/>
      <c r="AF214" s="100"/>
      <c r="AG214" s="100"/>
      <c r="AH214" s="100"/>
      <c r="AI214" s="100"/>
      <c r="AJ214" s="101"/>
      <c r="AK214" s="99"/>
      <c r="AL214" s="100"/>
      <c r="AM214" s="100"/>
      <c r="AN214" s="100"/>
      <c r="AO214" s="100"/>
      <c r="AP214" s="100"/>
      <c r="AQ214" s="100"/>
      <c r="AR214" s="100"/>
      <c r="AS214" s="100"/>
      <c r="AT214" s="100"/>
      <c r="AU214" s="101"/>
    </row>
    <row r="215" spans="29:47" ht="18.75" x14ac:dyDescent="0.3">
      <c r="AC215" s="99"/>
      <c r="AD215" s="100"/>
      <c r="AE215" s="100"/>
      <c r="AF215" s="100"/>
      <c r="AG215" s="100"/>
      <c r="AH215" s="100"/>
      <c r="AI215" s="100"/>
      <c r="AJ215" s="101"/>
      <c r="AK215" s="99"/>
      <c r="AL215" s="100"/>
      <c r="AM215" s="100"/>
      <c r="AN215" s="100"/>
      <c r="AO215" s="100"/>
      <c r="AP215" s="100"/>
      <c r="AQ215" s="100"/>
      <c r="AR215" s="100"/>
      <c r="AS215" s="100"/>
      <c r="AT215" s="100"/>
      <c r="AU215" s="101"/>
    </row>
    <row r="216" spans="29:47" ht="18.75" x14ac:dyDescent="0.3">
      <c r="AC216" s="99"/>
      <c r="AD216" s="100"/>
      <c r="AE216" s="100"/>
      <c r="AF216" s="100"/>
      <c r="AG216" s="100"/>
      <c r="AH216" s="100"/>
      <c r="AI216" s="100"/>
      <c r="AJ216" s="101"/>
      <c r="AK216" s="99"/>
      <c r="AL216" s="100"/>
      <c r="AM216" s="100"/>
      <c r="AN216" s="100"/>
      <c r="AO216" s="100"/>
      <c r="AP216" s="100"/>
      <c r="AQ216" s="100"/>
      <c r="AR216" s="100"/>
      <c r="AS216" s="100"/>
      <c r="AT216" s="100"/>
      <c r="AU216" s="101"/>
    </row>
    <row r="217" spans="29:47" ht="18.75" x14ac:dyDescent="0.3">
      <c r="AC217" s="99"/>
      <c r="AD217" s="100"/>
      <c r="AE217" s="100"/>
      <c r="AF217" s="100"/>
      <c r="AG217" s="100"/>
      <c r="AH217" s="100"/>
      <c r="AI217" s="100"/>
      <c r="AJ217" s="101"/>
      <c r="AK217" s="99"/>
      <c r="AL217" s="100"/>
      <c r="AM217" s="100"/>
      <c r="AN217" s="100"/>
      <c r="AO217" s="100"/>
      <c r="AP217" s="100"/>
      <c r="AQ217" s="100"/>
      <c r="AR217" s="100"/>
      <c r="AS217" s="100"/>
      <c r="AT217" s="100"/>
      <c r="AU217" s="101"/>
    </row>
    <row r="218" spans="29:47" ht="18.75" x14ac:dyDescent="0.3">
      <c r="AC218" s="99"/>
      <c r="AD218" s="100"/>
      <c r="AE218" s="100"/>
      <c r="AF218" s="100"/>
      <c r="AG218" s="100"/>
      <c r="AH218" s="100"/>
      <c r="AI218" s="100"/>
      <c r="AJ218" s="101"/>
      <c r="AK218" s="99"/>
      <c r="AL218" s="100"/>
      <c r="AM218" s="100"/>
      <c r="AN218" s="100"/>
      <c r="AO218" s="100"/>
      <c r="AP218" s="100"/>
      <c r="AQ218" s="100"/>
      <c r="AR218" s="100"/>
      <c r="AS218" s="100"/>
      <c r="AT218" s="100"/>
      <c r="AU218" s="101"/>
    </row>
    <row r="219" spans="29:47" ht="18.75" x14ac:dyDescent="0.3">
      <c r="AC219" s="99"/>
      <c r="AD219" s="100"/>
      <c r="AE219" s="100"/>
      <c r="AF219" s="100"/>
      <c r="AG219" s="100"/>
      <c r="AH219" s="100"/>
      <c r="AI219" s="100"/>
      <c r="AJ219" s="101"/>
      <c r="AK219" s="99"/>
      <c r="AL219" s="100"/>
      <c r="AM219" s="100"/>
      <c r="AN219" s="100"/>
      <c r="AO219" s="100"/>
      <c r="AP219" s="100"/>
      <c r="AQ219" s="100"/>
      <c r="AR219" s="100"/>
      <c r="AS219" s="100"/>
      <c r="AT219" s="100"/>
      <c r="AU219" s="101"/>
    </row>
    <row r="220" spans="29:47" ht="18.75" x14ac:dyDescent="0.3">
      <c r="AC220" s="99"/>
      <c r="AD220" s="100"/>
      <c r="AE220" s="100"/>
      <c r="AF220" s="100"/>
      <c r="AG220" s="100"/>
      <c r="AH220" s="100"/>
      <c r="AI220" s="100"/>
      <c r="AJ220" s="101"/>
      <c r="AK220" s="99"/>
      <c r="AL220" s="100"/>
      <c r="AM220" s="100"/>
      <c r="AN220" s="100"/>
      <c r="AO220" s="100"/>
      <c r="AP220" s="100"/>
      <c r="AQ220" s="100"/>
      <c r="AR220" s="100"/>
      <c r="AS220" s="100"/>
      <c r="AT220" s="100"/>
      <c r="AU220" s="101"/>
    </row>
    <row r="221" spans="29:47" ht="18.75" x14ac:dyDescent="0.3">
      <c r="AC221" s="99"/>
      <c r="AD221" s="100"/>
      <c r="AE221" s="100"/>
      <c r="AF221" s="100"/>
      <c r="AG221" s="100"/>
      <c r="AH221" s="100"/>
      <c r="AI221" s="100"/>
      <c r="AJ221" s="101"/>
      <c r="AK221" s="99"/>
      <c r="AL221" s="100"/>
      <c r="AM221" s="100"/>
      <c r="AN221" s="100"/>
      <c r="AO221" s="100"/>
      <c r="AP221" s="100"/>
      <c r="AQ221" s="100"/>
      <c r="AR221" s="100"/>
      <c r="AS221" s="100"/>
      <c r="AT221" s="100"/>
      <c r="AU221" s="101"/>
    </row>
    <row r="222" spans="29:47" ht="18.75" x14ac:dyDescent="0.3">
      <c r="AC222" s="99"/>
      <c r="AD222" s="100"/>
      <c r="AE222" s="100"/>
      <c r="AF222" s="100"/>
      <c r="AG222" s="100"/>
      <c r="AH222" s="100"/>
      <c r="AI222" s="100"/>
      <c r="AJ222" s="101"/>
      <c r="AK222" s="99"/>
      <c r="AL222" s="100"/>
      <c r="AM222" s="100"/>
      <c r="AN222" s="100"/>
      <c r="AO222" s="100"/>
      <c r="AP222" s="100"/>
      <c r="AQ222" s="100"/>
      <c r="AR222" s="100"/>
      <c r="AS222" s="100"/>
      <c r="AT222" s="100"/>
      <c r="AU222" s="101"/>
    </row>
    <row r="223" spans="29:47" ht="18.75" x14ac:dyDescent="0.3">
      <c r="AC223" s="99"/>
      <c r="AD223" s="100"/>
      <c r="AE223" s="100"/>
      <c r="AF223" s="100"/>
      <c r="AG223" s="100"/>
      <c r="AH223" s="100"/>
      <c r="AI223" s="100"/>
      <c r="AJ223" s="101"/>
      <c r="AK223" s="99"/>
      <c r="AL223" s="100"/>
      <c r="AM223" s="100"/>
      <c r="AN223" s="100"/>
      <c r="AO223" s="100"/>
      <c r="AP223" s="100"/>
      <c r="AQ223" s="100"/>
      <c r="AR223" s="100"/>
      <c r="AS223" s="100"/>
      <c r="AT223" s="100"/>
      <c r="AU223" s="101"/>
    </row>
    <row r="224" spans="29:47" ht="18.75" x14ac:dyDescent="0.3">
      <c r="AC224" s="99"/>
      <c r="AD224" s="100"/>
      <c r="AE224" s="100"/>
      <c r="AF224" s="100"/>
      <c r="AG224" s="100"/>
      <c r="AH224" s="100"/>
      <c r="AI224" s="100"/>
      <c r="AJ224" s="101"/>
      <c r="AK224" s="99"/>
      <c r="AL224" s="100"/>
      <c r="AM224" s="100"/>
      <c r="AN224" s="100"/>
      <c r="AO224" s="100"/>
      <c r="AP224" s="100"/>
      <c r="AQ224" s="100"/>
      <c r="AR224" s="100"/>
      <c r="AS224" s="100"/>
      <c r="AT224" s="100"/>
      <c r="AU224" s="101"/>
    </row>
    <row r="225" spans="29:47" ht="18.75" x14ac:dyDescent="0.3">
      <c r="AC225" s="99"/>
      <c r="AD225" s="100"/>
      <c r="AE225" s="100"/>
      <c r="AF225" s="100"/>
      <c r="AG225" s="100"/>
      <c r="AH225" s="100"/>
      <c r="AI225" s="100"/>
      <c r="AJ225" s="101"/>
      <c r="AK225" s="99"/>
      <c r="AL225" s="100"/>
      <c r="AM225" s="100"/>
      <c r="AN225" s="100"/>
      <c r="AO225" s="100"/>
      <c r="AP225" s="100"/>
      <c r="AQ225" s="100"/>
      <c r="AR225" s="100"/>
      <c r="AS225" s="100"/>
      <c r="AT225" s="100"/>
      <c r="AU225" s="101"/>
    </row>
    <row r="226" spans="29:47" ht="18.75" x14ac:dyDescent="0.3">
      <c r="AC226" s="99"/>
      <c r="AD226" s="100"/>
      <c r="AE226" s="100"/>
      <c r="AF226" s="100"/>
      <c r="AG226" s="100"/>
      <c r="AH226" s="100"/>
      <c r="AI226" s="100"/>
      <c r="AJ226" s="101"/>
      <c r="AK226" s="99"/>
      <c r="AL226" s="100"/>
      <c r="AM226" s="100"/>
      <c r="AN226" s="100"/>
      <c r="AO226" s="100"/>
      <c r="AP226" s="100"/>
      <c r="AQ226" s="100"/>
      <c r="AR226" s="100"/>
      <c r="AS226" s="100"/>
      <c r="AT226" s="100"/>
      <c r="AU226" s="101"/>
    </row>
    <row r="227" spans="29:47" ht="18.75" x14ac:dyDescent="0.3">
      <c r="AC227" s="99"/>
      <c r="AD227" s="100"/>
      <c r="AE227" s="100"/>
      <c r="AF227" s="100"/>
      <c r="AG227" s="100"/>
      <c r="AH227" s="100"/>
      <c r="AI227" s="100"/>
      <c r="AJ227" s="101"/>
      <c r="AK227" s="99"/>
      <c r="AL227" s="100"/>
      <c r="AM227" s="100"/>
      <c r="AN227" s="100"/>
      <c r="AO227" s="100"/>
      <c r="AP227" s="100"/>
      <c r="AQ227" s="100"/>
      <c r="AR227" s="100"/>
      <c r="AS227" s="100"/>
      <c r="AT227" s="100"/>
      <c r="AU227" s="101"/>
    </row>
    <row r="228" spans="29:47" ht="18.75" x14ac:dyDescent="0.3">
      <c r="AC228" s="99"/>
      <c r="AD228" s="100"/>
      <c r="AE228" s="100"/>
      <c r="AF228" s="100"/>
      <c r="AG228" s="100"/>
      <c r="AH228" s="100"/>
      <c r="AI228" s="100"/>
      <c r="AJ228" s="101"/>
      <c r="AK228" s="99"/>
      <c r="AL228" s="100"/>
      <c r="AM228" s="100"/>
      <c r="AN228" s="100"/>
      <c r="AO228" s="100"/>
      <c r="AP228" s="100"/>
      <c r="AQ228" s="100"/>
      <c r="AR228" s="100"/>
      <c r="AS228" s="100"/>
      <c r="AT228" s="100"/>
      <c r="AU228" s="101"/>
    </row>
    <row r="229" spans="29:47" ht="18.75" x14ac:dyDescent="0.3">
      <c r="AC229" s="99"/>
      <c r="AD229" s="100"/>
      <c r="AE229" s="100"/>
      <c r="AF229" s="100"/>
      <c r="AG229" s="100"/>
      <c r="AH229" s="100"/>
      <c r="AI229" s="100"/>
      <c r="AJ229" s="101"/>
      <c r="AK229" s="99"/>
      <c r="AL229" s="100"/>
      <c r="AM229" s="100"/>
      <c r="AN229" s="100"/>
      <c r="AO229" s="100"/>
      <c r="AP229" s="100"/>
      <c r="AQ229" s="100"/>
      <c r="AR229" s="100"/>
      <c r="AS229" s="100"/>
      <c r="AT229" s="100"/>
      <c r="AU229" s="101"/>
    </row>
    <row r="230" spans="29:47" ht="18.75" x14ac:dyDescent="0.3">
      <c r="AC230" s="99"/>
      <c r="AD230" s="100"/>
      <c r="AE230" s="100"/>
      <c r="AF230" s="100"/>
      <c r="AG230" s="100"/>
      <c r="AH230" s="100"/>
      <c r="AI230" s="100"/>
      <c r="AJ230" s="101"/>
      <c r="AK230" s="99"/>
      <c r="AL230" s="100"/>
      <c r="AM230" s="100"/>
      <c r="AN230" s="100"/>
      <c r="AO230" s="100"/>
      <c r="AP230" s="100"/>
      <c r="AQ230" s="100"/>
      <c r="AR230" s="100"/>
      <c r="AS230" s="100"/>
      <c r="AT230" s="100"/>
      <c r="AU230" s="101"/>
    </row>
    <row r="231" spans="29:47" ht="18.75" x14ac:dyDescent="0.3">
      <c r="AC231" s="99"/>
      <c r="AD231" s="100"/>
      <c r="AE231" s="100"/>
      <c r="AF231" s="100"/>
      <c r="AG231" s="100"/>
      <c r="AH231" s="100"/>
      <c r="AI231" s="100"/>
      <c r="AJ231" s="101"/>
      <c r="AK231" s="99"/>
      <c r="AL231" s="100"/>
      <c r="AM231" s="100"/>
      <c r="AN231" s="100"/>
      <c r="AO231" s="100"/>
      <c r="AP231" s="100"/>
      <c r="AQ231" s="100"/>
      <c r="AR231" s="100"/>
      <c r="AS231" s="100"/>
      <c r="AT231" s="100"/>
      <c r="AU231" s="101"/>
    </row>
    <row r="232" spans="29:47" ht="18.75" x14ac:dyDescent="0.3">
      <c r="AC232" s="99"/>
      <c r="AD232" s="100"/>
      <c r="AE232" s="100"/>
      <c r="AF232" s="100"/>
      <c r="AG232" s="100"/>
      <c r="AH232" s="100"/>
      <c r="AI232" s="100"/>
      <c r="AJ232" s="101"/>
      <c r="AK232" s="99"/>
      <c r="AL232" s="100"/>
      <c r="AM232" s="100"/>
      <c r="AN232" s="100"/>
      <c r="AO232" s="100"/>
      <c r="AP232" s="100"/>
      <c r="AQ232" s="100"/>
      <c r="AR232" s="100"/>
      <c r="AS232" s="100"/>
      <c r="AT232" s="100"/>
      <c r="AU232" s="101"/>
    </row>
    <row r="233" spans="29:47" ht="18.75" x14ac:dyDescent="0.3">
      <c r="AC233" s="99"/>
      <c r="AD233" s="100"/>
      <c r="AE233" s="100"/>
      <c r="AF233" s="100"/>
      <c r="AG233" s="100"/>
      <c r="AH233" s="100"/>
      <c r="AI233" s="100"/>
      <c r="AJ233" s="101"/>
      <c r="AK233" s="99"/>
      <c r="AL233" s="100"/>
      <c r="AM233" s="100"/>
      <c r="AN233" s="100"/>
      <c r="AO233" s="100"/>
      <c r="AP233" s="100"/>
      <c r="AQ233" s="100"/>
      <c r="AR233" s="100"/>
      <c r="AS233" s="100"/>
      <c r="AT233" s="100"/>
      <c r="AU233" s="101"/>
    </row>
    <row r="234" spans="29:47" ht="18.75" x14ac:dyDescent="0.3">
      <c r="AC234" s="99"/>
      <c r="AD234" s="100"/>
      <c r="AE234" s="100"/>
      <c r="AF234" s="100"/>
      <c r="AG234" s="100"/>
      <c r="AH234" s="100"/>
      <c r="AI234" s="100"/>
      <c r="AJ234" s="101"/>
      <c r="AK234" s="99"/>
      <c r="AL234" s="100"/>
      <c r="AM234" s="100"/>
      <c r="AN234" s="100"/>
      <c r="AO234" s="100"/>
      <c r="AP234" s="100"/>
      <c r="AQ234" s="100"/>
      <c r="AR234" s="100"/>
      <c r="AS234" s="100"/>
      <c r="AT234" s="100"/>
      <c r="AU234" s="101"/>
    </row>
    <row r="235" spans="29:47" ht="18.75" x14ac:dyDescent="0.3">
      <c r="AC235" s="99"/>
      <c r="AD235" s="100"/>
      <c r="AE235" s="100"/>
      <c r="AF235" s="100"/>
      <c r="AG235" s="100"/>
      <c r="AH235" s="100"/>
      <c r="AI235" s="100"/>
      <c r="AJ235" s="101"/>
      <c r="AK235" s="99"/>
      <c r="AL235" s="100"/>
      <c r="AM235" s="100"/>
      <c r="AN235" s="100"/>
      <c r="AO235" s="100"/>
      <c r="AP235" s="100"/>
      <c r="AQ235" s="100"/>
      <c r="AR235" s="100"/>
      <c r="AS235" s="100"/>
      <c r="AT235" s="100"/>
      <c r="AU235" s="101"/>
    </row>
    <row r="236" spans="29:47" ht="18.75" x14ac:dyDescent="0.3">
      <c r="AC236" s="99"/>
      <c r="AD236" s="100"/>
      <c r="AE236" s="100"/>
      <c r="AF236" s="100"/>
      <c r="AG236" s="100"/>
      <c r="AH236" s="100"/>
      <c r="AI236" s="100"/>
      <c r="AJ236" s="101"/>
      <c r="AK236" s="99"/>
      <c r="AL236" s="100"/>
      <c r="AM236" s="100"/>
      <c r="AN236" s="100"/>
      <c r="AO236" s="100"/>
      <c r="AP236" s="100"/>
      <c r="AQ236" s="100"/>
      <c r="AR236" s="100"/>
      <c r="AS236" s="100"/>
      <c r="AT236" s="100"/>
      <c r="AU236" s="101"/>
    </row>
    <row r="237" spans="29:47" ht="18.75" x14ac:dyDescent="0.3">
      <c r="AC237" s="99"/>
      <c r="AD237" s="100"/>
      <c r="AE237" s="100"/>
      <c r="AF237" s="100"/>
      <c r="AG237" s="100"/>
      <c r="AH237" s="100"/>
      <c r="AI237" s="100"/>
      <c r="AJ237" s="101"/>
      <c r="AK237" s="99"/>
      <c r="AL237" s="100"/>
      <c r="AM237" s="100"/>
      <c r="AN237" s="100"/>
      <c r="AO237" s="100"/>
      <c r="AP237" s="100"/>
      <c r="AQ237" s="100"/>
      <c r="AR237" s="100"/>
      <c r="AS237" s="100"/>
      <c r="AT237" s="100"/>
      <c r="AU237" s="101"/>
    </row>
    <row r="238" spans="29:47" ht="18.75" x14ac:dyDescent="0.3">
      <c r="AC238" s="99"/>
      <c r="AD238" s="100"/>
      <c r="AE238" s="100"/>
      <c r="AF238" s="100"/>
      <c r="AG238" s="100"/>
      <c r="AH238" s="100"/>
      <c r="AI238" s="100"/>
      <c r="AJ238" s="101"/>
      <c r="AK238" s="99"/>
      <c r="AL238" s="100"/>
      <c r="AM238" s="100"/>
      <c r="AN238" s="100"/>
      <c r="AO238" s="100"/>
      <c r="AP238" s="100"/>
      <c r="AQ238" s="100"/>
      <c r="AR238" s="100"/>
      <c r="AS238" s="100"/>
      <c r="AT238" s="100"/>
      <c r="AU238" s="101"/>
    </row>
    <row r="239" spans="29:47" ht="18.75" x14ac:dyDescent="0.3">
      <c r="AC239" s="99"/>
      <c r="AD239" s="100"/>
      <c r="AE239" s="100"/>
      <c r="AF239" s="100"/>
      <c r="AG239" s="100"/>
      <c r="AH239" s="100"/>
      <c r="AI239" s="100"/>
      <c r="AJ239" s="101"/>
      <c r="AK239" s="99"/>
      <c r="AL239" s="100"/>
      <c r="AM239" s="100"/>
      <c r="AN239" s="100"/>
      <c r="AO239" s="100"/>
      <c r="AP239" s="100"/>
      <c r="AQ239" s="100"/>
      <c r="AR239" s="100"/>
      <c r="AS239" s="100"/>
      <c r="AT239" s="100"/>
      <c r="AU239" s="101"/>
    </row>
    <row r="240" spans="29:47" ht="18.75" x14ac:dyDescent="0.3">
      <c r="AC240" s="99"/>
      <c r="AD240" s="100"/>
      <c r="AE240" s="100"/>
      <c r="AF240" s="100"/>
      <c r="AG240" s="100"/>
      <c r="AH240" s="100"/>
      <c r="AI240" s="100"/>
      <c r="AJ240" s="101"/>
      <c r="AK240" s="99"/>
      <c r="AL240" s="100"/>
      <c r="AM240" s="100"/>
      <c r="AN240" s="100"/>
      <c r="AO240" s="100"/>
      <c r="AP240" s="100"/>
      <c r="AQ240" s="100"/>
      <c r="AR240" s="100"/>
      <c r="AS240" s="100"/>
      <c r="AT240" s="100"/>
      <c r="AU240" s="101"/>
    </row>
    <row r="241" spans="29:47" ht="18.75" x14ac:dyDescent="0.3">
      <c r="AC241" s="99"/>
      <c r="AD241" s="100"/>
      <c r="AE241" s="100"/>
      <c r="AF241" s="100"/>
      <c r="AG241" s="100"/>
      <c r="AH241" s="100"/>
      <c r="AI241" s="100"/>
      <c r="AJ241" s="101"/>
      <c r="AK241" s="99"/>
      <c r="AL241" s="100"/>
      <c r="AM241" s="100"/>
      <c r="AN241" s="100"/>
      <c r="AO241" s="100"/>
      <c r="AP241" s="100"/>
      <c r="AQ241" s="100"/>
      <c r="AR241" s="100"/>
      <c r="AS241" s="100"/>
      <c r="AT241" s="100"/>
      <c r="AU241" s="101"/>
    </row>
    <row r="242" spans="29:47" ht="18.75" x14ac:dyDescent="0.3">
      <c r="AC242" s="99"/>
      <c r="AD242" s="100"/>
      <c r="AE242" s="100"/>
      <c r="AF242" s="100"/>
      <c r="AG242" s="100"/>
      <c r="AH242" s="100"/>
      <c r="AI242" s="100"/>
      <c r="AJ242" s="101"/>
      <c r="AK242" s="99"/>
      <c r="AL242" s="100"/>
      <c r="AM242" s="100"/>
      <c r="AN242" s="100"/>
      <c r="AO242" s="100"/>
      <c r="AP242" s="100"/>
      <c r="AQ242" s="100"/>
      <c r="AR242" s="100"/>
      <c r="AS242" s="100"/>
      <c r="AT242" s="100"/>
      <c r="AU242" s="101"/>
    </row>
    <row r="243" spans="29:47" ht="18.75" x14ac:dyDescent="0.3">
      <c r="AC243" s="99"/>
      <c r="AD243" s="100"/>
      <c r="AE243" s="100"/>
      <c r="AF243" s="100"/>
      <c r="AG243" s="100"/>
      <c r="AH243" s="100"/>
      <c r="AI243" s="100"/>
      <c r="AJ243" s="101"/>
      <c r="AK243" s="99"/>
      <c r="AL243" s="100"/>
      <c r="AM243" s="100"/>
      <c r="AN243" s="100"/>
      <c r="AO243" s="100"/>
      <c r="AP243" s="100"/>
      <c r="AQ243" s="100"/>
      <c r="AR243" s="100"/>
      <c r="AS243" s="100"/>
      <c r="AT243" s="100"/>
      <c r="AU243" s="101"/>
    </row>
    <row r="244" spans="29:47" ht="18.75" x14ac:dyDescent="0.3">
      <c r="AC244" s="99"/>
      <c r="AD244" s="100"/>
      <c r="AE244" s="100"/>
      <c r="AF244" s="100"/>
      <c r="AG244" s="100"/>
      <c r="AH244" s="100"/>
      <c r="AI244" s="100"/>
      <c r="AJ244" s="101"/>
      <c r="AK244" s="99"/>
      <c r="AL244" s="100"/>
      <c r="AM244" s="100"/>
      <c r="AN244" s="100"/>
      <c r="AO244" s="100"/>
      <c r="AP244" s="100"/>
      <c r="AQ244" s="100"/>
      <c r="AR244" s="100"/>
      <c r="AS244" s="100"/>
      <c r="AT244" s="100"/>
      <c r="AU244" s="101"/>
    </row>
    <row r="245" spans="29:47" ht="18.75" x14ac:dyDescent="0.3">
      <c r="AC245" s="99"/>
      <c r="AD245" s="100"/>
      <c r="AE245" s="100"/>
      <c r="AF245" s="100"/>
      <c r="AG245" s="100"/>
      <c r="AH245" s="100"/>
      <c r="AI245" s="100"/>
      <c r="AJ245" s="101"/>
      <c r="AK245" s="99"/>
      <c r="AL245" s="100"/>
      <c r="AM245" s="100"/>
      <c r="AN245" s="100"/>
      <c r="AO245" s="100"/>
      <c r="AP245" s="100"/>
      <c r="AQ245" s="100"/>
      <c r="AR245" s="100"/>
      <c r="AS245" s="100"/>
      <c r="AT245" s="100"/>
      <c r="AU245" s="101"/>
    </row>
    <row r="246" spans="29:47" ht="18.75" x14ac:dyDescent="0.3">
      <c r="AC246" s="99"/>
      <c r="AD246" s="100"/>
      <c r="AE246" s="100"/>
      <c r="AF246" s="100"/>
      <c r="AG246" s="100"/>
      <c r="AH246" s="100"/>
      <c r="AI246" s="100"/>
      <c r="AJ246" s="101"/>
      <c r="AK246" s="99"/>
      <c r="AL246" s="100"/>
      <c r="AM246" s="100"/>
      <c r="AN246" s="100"/>
      <c r="AO246" s="100"/>
      <c r="AP246" s="100"/>
      <c r="AQ246" s="100"/>
      <c r="AR246" s="100"/>
      <c r="AS246" s="100"/>
      <c r="AT246" s="100"/>
      <c r="AU246" s="101"/>
    </row>
    <row r="247" spans="29:47" ht="18.75" x14ac:dyDescent="0.3">
      <c r="AC247" s="99"/>
      <c r="AD247" s="100"/>
      <c r="AE247" s="100"/>
      <c r="AF247" s="100"/>
      <c r="AG247" s="100"/>
      <c r="AH247" s="100"/>
      <c r="AI247" s="100"/>
      <c r="AJ247" s="101"/>
      <c r="AK247" s="99"/>
      <c r="AL247" s="100"/>
      <c r="AM247" s="100"/>
      <c r="AN247" s="100"/>
      <c r="AO247" s="100"/>
      <c r="AP247" s="100"/>
      <c r="AQ247" s="100"/>
      <c r="AR247" s="100"/>
      <c r="AS247" s="100"/>
      <c r="AT247" s="100"/>
      <c r="AU247" s="101"/>
    </row>
    <row r="248" spans="29:47" ht="18.75" x14ac:dyDescent="0.3">
      <c r="AC248" s="99"/>
      <c r="AD248" s="100"/>
      <c r="AE248" s="100"/>
      <c r="AF248" s="100"/>
      <c r="AG248" s="100"/>
      <c r="AH248" s="100"/>
      <c r="AI248" s="100"/>
      <c r="AJ248" s="101"/>
      <c r="AK248" s="99"/>
      <c r="AL248" s="100"/>
      <c r="AM248" s="100"/>
      <c r="AN248" s="100"/>
      <c r="AO248" s="100"/>
      <c r="AP248" s="100"/>
      <c r="AQ248" s="100"/>
      <c r="AR248" s="100"/>
      <c r="AS248" s="100"/>
      <c r="AT248" s="100"/>
      <c r="AU248" s="101"/>
    </row>
    <row r="249" spans="29:47" ht="18.75" x14ac:dyDescent="0.3">
      <c r="AC249" s="99"/>
      <c r="AD249" s="100"/>
      <c r="AE249" s="100"/>
      <c r="AF249" s="100"/>
      <c r="AG249" s="100"/>
      <c r="AH249" s="100"/>
      <c r="AI249" s="100"/>
      <c r="AJ249" s="101"/>
      <c r="AK249" s="99"/>
      <c r="AL249" s="100"/>
      <c r="AM249" s="100"/>
      <c r="AN249" s="100"/>
      <c r="AO249" s="100"/>
      <c r="AP249" s="100"/>
      <c r="AQ249" s="100"/>
      <c r="AR249" s="100"/>
      <c r="AS249" s="100"/>
      <c r="AT249" s="100"/>
      <c r="AU249" s="101"/>
    </row>
    <row r="250" spans="29:47" ht="18.75" x14ac:dyDescent="0.3">
      <c r="AC250" s="99"/>
      <c r="AD250" s="100"/>
      <c r="AE250" s="100"/>
      <c r="AF250" s="100"/>
      <c r="AG250" s="100"/>
      <c r="AH250" s="100"/>
      <c r="AI250" s="100"/>
      <c r="AJ250" s="101"/>
      <c r="AK250" s="99"/>
      <c r="AL250" s="100"/>
      <c r="AM250" s="100"/>
      <c r="AN250" s="100"/>
      <c r="AO250" s="100"/>
      <c r="AP250" s="100"/>
      <c r="AQ250" s="100"/>
      <c r="AR250" s="100"/>
      <c r="AS250" s="100"/>
      <c r="AT250" s="100"/>
      <c r="AU250" s="101"/>
    </row>
    <row r="251" spans="29:47" ht="18.75" x14ac:dyDescent="0.3">
      <c r="AC251" s="99"/>
      <c r="AD251" s="100"/>
      <c r="AE251" s="100"/>
      <c r="AF251" s="100"/>
      <c r="AG251" s="100"/>
      <c r="AH251" s="100"/>
      <c r="AI251" s="100"/>
      <c r="AJ251" s="101"/>
      <c r="AK251" s="99"/>
      <c r="AL251" s="100"/>
      <c r="AM251" s="100"/>
      <c r="AN251" s="100"/>
      <c r="AO251" s="100"/>
      <c r="AP251" s="100"/>
      <c r="AQ251" s="100"/>
      <c r="AR251" s="100"/>
      <c r="AS251" s="100"/>
      <c r="AT251" s="100"/>
      <c r="AU251" s="101"/>
    </row>
    <row r="252" spans="29:47" ht="18.75" x14ac:dyDescent="0.3">
      <c r="AC252" s="99"/>
      <c r="AD252" s="100"/>
      <c r="AE252" s="100"/>
      <c r="AF252" s="100"/>
      <c r="AG252" s="100"/>
      <c r="AH252" s="100"/>
      <c r="AI252" s="100"/>
      <c r="AJ252" s="101"/>
      <c r="AK252" s="99"/>
      <c r="AL252" s="100"/>
      <c r="AM252" s="100"/>
      <c r="AN252" s="100"/>
      <c r="AO252" s="100"/>
      <c r="AP252" s="100"/>
      <c r="AQ252" s="100"/>
      <c r="AR252" s="100"/>
      <c r="AS252" s="100"/>
      <c r="AT252" s="100"/>
      <c r="AU252" s="101"/>
    </row>
    <row r="253" spans="29:47" ht="18.75" x14ac:dyDescent="0.3">
      <c r="AC253" s="99"/>
      <c r="AD253" s="100"/>
      <c r="AE253" s="100"/>
      <c r="AF253" s="100"/>
      <c r="AG253" s="100"/>
      <c r="AH253" s="100"/>
      <c r="AI253" s="100"/>
      <c r="AJ253" s="101"/>
      <c r="AK253" s="99"/>
      <c r="AL253" s="100"/>
      <c r="AM253" s="100"/>
      <c r="AN253" s="100"/>
      <c r="AO253" s="100"/>
      <c r="AP253" s="100"/>
      <c r="AQ253" s="100"/>
      <c r="AR253" s="100"/>
      <c r="AS253" s="100"/>
      <c r="AT253" s="100"/>
      <c r="AU253" s="101"/>
    </row>
    <row r="254" spans="29:47" ht="18.75" x14ac:dyDescent="0.3">
      <c r="AC254" s="99"/>
      <c r="AD254" s="100"/>
      <c r="AE254" s="100"/>
      <c r="AF254" s="100"/>
      <c r="AG254" s="100"/>
      <c r="AH254" s="100"/>
      <c r="AI254" s="100"/>
      <c r="AJ254" s="101"/>
      <c r="AK254" s="99"/>
      <c r="AL254" s="100"/>
      <c r="AM254" s="100"/>
      <c r="AN254" s="100"/>
      <c r="AO254" s="100"/>
      <c r="AP254" s="100"/>
      <c r="AQ254" s="100"/>
      <c r="AR254" s="100"/>
      <c r="AS254" s="100"/>
      <c r="AT254" s="100"/>
      <c r="AU254" s="101"/>
    </row>
    <row r="255" spans="29:47" ht="18.75" x14ac:dyDescent="0.3">
      <c r="AC255" s="99"/>
      <c r="AD255" s="100"/>
      <c r="AE255" s="100"/>
      <c r="AF255" s="100"/>
      <c r="AG255" s="100"/>
      <c r="AH255" s="100"/>
      <c r="AI255" s="100"/>
      <c r="AJ255" s="101"/>
      <c r="AK255" s="99"/>
      <c r="AL255" s="100"/>
      <c r="AM255" s="100"/>
      <c r="AN255" s="100"/>
      <c r="AO255" s="100"/>
      <c r="AP255" s="100"/>
      <c r="AQ255" s="100"/>
      <c r="AR255" s="100"/>
      <c r="AS255" s="100"/>
      <c r="AT255" s="100"/>
      <c r="AU255" s="101"/>
    </row>
    <row r="256" spans="29:47" ht="18.75" x14ac:dyDescent="0.3">
      <c r="AC256" s="99"/>
      <c r="AD256" s="100"/>
      <c r="AE256" s="100"/>
      <c r="AF256" s="100"/>
      <c r="AG256" s="100"/>
      <c r="AH256" s="100"/>
      <c r="AI256" s="100"/>
      <c r="AJ256" s="101"/>
      <c r="AK256" s="99"/>
      <c r="AL256" s="100"/>
      <c r="AM256" s="100"/>
      <c r="AN256" s="100"/>
      <c r="AO256" s="100"/>
      <c r="AP256" s="100"/>
      <c r="AQ256" s="100"/>
      <c r="AR256" s="100"/>
      <c r="AS256" s="100"/>
      <c r="AT256" s="100"/>
      <c r="AU256" s="101"/>
    </row>
    <row r="257" spans="29:47" ht="18.75" x14ac:dyDescent="0.3">
      <c r="AC257" s="99"/>
      <c r="AD257" s="100"/>
      <c r="AE257" s="100"/>
      <c r="AF257" s="100"/>
      <c r="AG257" s="100"/>
      <c r="AH257" s="100"/>
      <c r="AI257" s="100"/>
      <c r="AJ257" s="101"/>
      <c r="AK257" s="99"/>
      <c r="AL257" s="100"/>
      <c r="AM257" s="100"/>
      <c r="AN257" s="100"/>
      <c r="AO257" s="100"/>
      <c r="AP257" s="100"/>
      <c r="AQ257" s="100"/>
      <c r="AR257" s="100"/>
      <c r="AS257" s="100"/>
      <c r="AT257" s="100"/>
      <c r="AU257" s="101"/>
    </row>
    <row r="258" spans="29:47" ht="18.75" x14ac:dyDescent="0.3">
      <c r="AC258" s="99"/>
      <c r="AD258" s="100"/>
      <c r="AE258" s="100"/>
      <c r="AF258" s="100"/>
      <c r="AG258" s="100"/>
      <c r="AH258" s="100"/>
      <c r="AI258" s="100"/>
      <c r="AJ258" s="101"/>
      <c r="AK258" s="99"/>
      <c r="AL258" s="100"/>
      <c r="AM258" s="100"/>
      <c r="AN258" s="100"/>
      <c r="AO258" s="100"/>
      <c r="AP258" s="100"/>
      <c r="AQ258" s="100"/>
      <c r="AR258" s="100"/>
      <c r="AS258" s="100"/>
      <c r="AT258" s="100"/>
      <c r="AU258" s="101"/>
    </row>
    <row r="259" spans="29:47" ht="18.75" x14ac:dyDescent="0.3">
      <c r="AC259" s="99"/>
      <c r="AD259" s="100"/>
      <c r="AE259" s="100"/>
      <c r="AF259" s="100"/>
      <c r="AG259" s="100"/>
      <c r="AH259" s="100"/>
      <c r="AI259" s="100"/>
      <c r="AJ259" s="101"/>
      <c r="AK259" s="99"/>
      <c r="AL259" s="100"/>
      <c r="AM259" s="100"/>
      <c r="AN259" s="100"/>
      <c r="AO259" s="100"/>
      <c r="AP259" s="100"/>
      <c r="AQ259" s="100"/>
      <c r="AR259" s="100"/>
      <c r="AS259" s="100"/>
      <c r="AT259" s="100"/>
      <c r="AU259" s="101"/>
    </row>
    <row r="260" spans="29:47" ht="18.75" x14ac:dyDescent="0.3">
      <c r="AC260" s="99"/>
      <c r="AD260" s="100"/>
      <c r="AE260" s="100"/>
      <c r="AF260" s="100"/>
      <c r="AG260" s="100"/>
      <c r="AH260" s="100"/>
      <c r="AI260" s="100"/>
      <c r="AJ260" s="101"/>
      <c r="AK260" s="99"/>
      <c r="AL260" s="100"/>
      <c r="AM260" s="100"/>
      <c r="AN260" s="100"/>
      <c r="AO260" s="100"/>
      <c r="AP260" s="100"/>
      <c r="AQ260" s="100"/>
      <c r="AR260" s="100"/>
      <c r="AS260" s="100"/>
      <c r="AT260" s="100"/>
      <c r="AU260" s="101"/>
    </row>
    <row r="261" spans="29:47" ht="18.75" x14ac:dyDescent="0.3">
      <c r="AC261" s="99"/>
      <c r="AD261" s="100"/>
      <c r="AE261" s="100"/>
      <c r="AF261" s="100"/>
      <c r="AG261" s="100"/>
      <c r="AH261" s="100"/>
      <c r="AI261" s="100"/>
      <c r="AJ261" s="101"/>
      <c r="AK261" s="99"/>
      <c r="AL261" s="100"/>
      <c r="AM261" s="100"/>
      <c r="AN261" s="100"/>
      <c r="AO261" s="100"/>
      <c r="AP261" s="100"/>
      <c r="AQ261" s="100"/>
      <c r="AR261" s="100"/>
      <c r="AS261" s="100"/>
      <c r="AT261" s="100"/>
      <c r="AU261" s="101"/>
    </row>
    <row r="262" spans="29:47" ht="18.75" x14ac:dyDescent="0.3">
      <c r="AC262" s="99"/>
      <c r="AD262" s="100"/>
      <c r="AE262" s="100"/>
      <c r="AF262" s="100"/>
      <c r="AG262" s="100"/>
      <c r="AH262" s="100"/>
      <c r="AI262" s="100"/>
      <c r="AJ262" s="101"/>
      <c r="AK262" s="99"/>
      <c r="AL262" s="100"/>
      <c r="AM262" s="100"/>
      <c r="AN262" s="100"/>
      <c r="AO262" s="100"/>
      <c r="AP262" s="100"/>
      <c r="AQ262" s="100"/>
      <c r="AR262" s="100"/>
      <c r="AS262" s="100"/>
      <c r="AT262" s="100"/>
      <c r="AU262" s="101"/>
    </row>
    <row r="263" spans="29:47" ht="18.75" x14ac:dyDescent="0.3">
      <c r="AC263" s="99"/>
      <c r="AD263" s="100"/>
      <c r="AE263" s="100"/>
      <c r="AF263" s="100"/>
      <c r="AG263" s="100"/>
      <c r="AH263" s="100"/>
      <c r="AI263" s="100"/>
      <c r="AJ263" s="101"/>
      <c r="AK263" s="99"/>
      <c r="AL263" s="100"/>
      <c r="AM263" s="100"/>
      <c r="AN263" s="100"/>
      <c r="AO263" s="100"/>
      <c r="AP263" s="100"/>
      <c r="AQ263" s="100"/>
      <c r="AR263" s="100"/>
      <c r="AS263" s="100"/>
      <c r="AT263" s="100"/>
      <c r="AU263" s="101"/>
    </row>
    <row r="264" spans="29:47" ht="18.75" x14ac:dyDescent="0.3">
      <c r="AC264" s="99"/>
      <c r="AD264" s="100"/>
      <c r="AE264" s="100"/>
      <c r="AF264" s="100"/>
      <c r="AG264" s="100"/>
      <c r="AH264" s="100"/>
      <c r="AI264" s="100"/>
      <c r="AJ264" s="101"/>
      <c r="AK264" s="99"/>
      <c r="AL264" s="100"/>
      <c r="AM264" s="100"/>
      <c r="AN264" s="100"/>
      <c r="AO264" s="100"/>
      <c r="AP264" s="100"/>
      <c r="AQ264" s="100"/>
      <c r="AR264" s="100"/>
      <c r="AS264" s="100"/>
      <c r="AT264" s="100"/>
      <c r="AU264" s="101"/>
    </row>
    <row r="265" spans="29:47" ht="18.75" x14ac:dyDescent="0.3">
      <c r="AC265" s="99"/>
      <c r="AD265" s="100"/>
      <c r="AE265" s="100"/>
      <c r="AF265" s="100"/>
      <c r="AG265" s="100"/>
      <c r="AH265" s="100"/>
      <c r="AI265" s="100"/>
      <c r="AJ265" s="101"/>
      <c r="AK265" s="99"/>
      <c r="AL265" s="100"/>
      <c r="AM265" s="100"/>
      <c r="AN265" s="100"/>
      <c r="AO265" s="100"/>
      <c r="AP265" s="100"/>
      <c r="AQ265" s="100"/>
      <c r="AR265" s="100"/>
      <c r="AS265" s="100"/>
      <c r="AT265" s="100"/>
      <c r="AU265" s="101"/>
    </row>
    <row r="266" spans="29:47" ht="18.75" x14ac:dyDescent="0.3">
      <c r="AC266" s="99"/>
      <c r="AD266" s="100"/>
      <c r="AE266" s="100"/>
      <c r="AF266" s="100"/>
      <c r="AG266" s="100"/>
      <c r="AH266" s="100"/>
      <c r="AI266" s="100"/>
      <c r="AJ266" s="101"/>
      <c r="AK266" s="99"/>
      <c r="AL266" s="100"/>
      <c r="AM266" s="100"/>
      <c r="AN266" s="100"/>
      <c r="AO266" s="100"/>
      <c r="AP266" s="100"/>
      <c r="AQ266" s="100"/>
      <c r="AR266" s="100"/>
      <c r="AS266" s="100"/>
      <c r="AT266" s="100"/>
      <c r="AU266" s="101"/>
    </row>
    <row r="267" spans="29:47" ht="18.75" x14ac:dyDescent="0.3">
      <c r="AC267" s="99"/>
      <c r="AD267" s="100"/>
      <c r="AE267" s="100"/>
      <c r="AF267" s="100"/>
      <c r="AG267" s="100"/>
      <c r="AH267" s="100"/>
      <c r="AI267" s="100"/>
      <c r="AJ267" s="101"/>
      <c r="AK267" s="99"/>
      <c r="AL267" s="100"/>
      <c r="AM267" s="100"/>
      <c r="AN267" s="100"/>
      <c r="AO267" s="100"/>
      <c r="AP267" s="100"/>
      <c r="AQ267" s="100"/>
      <c r="AR267" s="100"/>
      <c r="AS267" s="100"/>
      <c r="AT267" s="100"/>
      <c r="AU267" s="101"/>
    </row>
    <row r="268" spans="29:47" ht="18.75" x14ac:dyDescent="0.3">
      <c r="AC268" s="99"/>
      <c r="AD268" s="100"/>
      <c r="AE268" s="100"/>
      <c r="AF268" s="100"/>
      <c r="AG268" s="100"/>
      <c r="AH268" s="100"/>
      <c r="AI268" s="100"/>
      <c r="AJ268" s="101"/>
      <c r="AK268" s="99"/>
      <c r="AL268" s="100"/>
      <c r="AM268" s="100"/>
      <c r="AN268" s="100"/>
      <c r="AO268" s="100"/>
      <c r="AP268" s="100"/>
      <c r="AQ268" s="100"/>
      <c r="AR268" s="100"/>
      <c r="AS268" s="100"/>
      <c r="AT268" s="100"/>
      <c r="AU268" s="101"/>
    </row>
    <row r="269" spans="29:47" ht="18.75" x14ac:dyDescent="0.3">
      <c r="AC269" s="99"/>
      <c r="AD269" s="100"/>
      <c r="AE269" s="100"/>
      <c r="AF269" s="100"/>
      <c r="AG269" s="100"/>
      <c r="AH269" s="100"/>
      <c r="AI269" s="100"/>
      <c r="AJ269" s="101"/>
      <c r="AK269" s="99"/>
      <c r="AL269" s="100"/>
      <c r="AM269" s="100"/>
      <c r="AN269" s="100"/>
      <c r="AO269" s="100"/>
      <c r="AP269" s="100"/>
      <c r="AQ269" s="100"/>
      <c r="AR269" s="100"/>
      <c r="AS269" s="100"/>
      <c r="AT269" s="100"/>
      <c r="AU269" s="101"/>
    </row>
    <row r="270" spans="29:47" ht="18.75" x14ac:dyDescent="0.3">
      <c r="AC270" s="99"/>
      <c r="AD270" s="100"/>
      <c r="AE270" s="100"/>
      <c r="AF270" s="100"/>
      <c r="AG270" s="100"/>
      <c r="AH270" s="100"/>
      <c r="AI270" s="100"/>
      <c r="AJ270" s="101"/>
      <c r="AK270" s="99"/>
      <c r="AL270" s="100"/>
      <c r="AM270" s="100"/>
      <c r="AN270" s="100"/>
      <c r="AO270" s="100"/>
      <c r="AP270" s="100"/>
      <c r="AQ270" s="100"/>
      <c r="AR270" s="100"/>
      <c r="AS270" s="100"/>
      <c r="AT270" s="100"/>
      <c r="AU270" s="101"/>
    </row>
    <row r="271" spans="29:47" ht="18.75" x14ac:dyDescent="0.3">
      <c r="AC271" s="99"/>
      <c r="AD271" s="100"/>
      <c r="AE271" s="100"/>
      <c r="AF271" s="100"/>
      <c r="AG271" s="100"/>
      <c r="AH271" s="100"/>
      <c r="AI271" s="100"/>
      <c r="AJ271" s="101"/>
      <c r="AK271" s="99"/>
      <c r="AL271" s="100"/>
      <c r="AM271" s="100"/>
      <c r="AN271" s="100"/>
      <c r="AO271" s="100"/>
      <c r="AP271" s="100"/>
      <c r="AQ271" s="100"/>
      <c r="AR271" s="100"/>
      <c r="AS271" s="100"/>
      <c r="AT271" s="100"/>
      <c r="AU271" s="101"/>
    </row>
    <row r="272" spans="29:47" ht="18.75" x14ac:dyDescent="0.3">
      <c r="AC272" s="99"/>
      <c r="AD272" s="100"/>
      <c r="AE272" s="100"/>
      <c r="AF272" s="100"/>
      <c r="AG272" s="100"/>
      <c r="AH272" s="100"/>
      <c r="AI272" s="100"/>
      <c r="AJ272" s="101"/>
      <c r="AK272" s="99"/>
      <c r="AL272" s="100"/>
      <c r="AM272" s="100"/>
      <c r="AN272" s="100"/>
      <c r="AO272" s="100"/>
      <c r="AP272" s="100"/>
      <c r="AQ272" s="100"/>
      <c r="AR272" s="100"/>
      <c r="AS272" s="100"/>
      <c r="AT272" s="100"/>
      <c r="AU272" s="101"/>
    </row>
    <row r="273" spans="29:47" ht="18.75" x14ac:dyDescent="0.3">
      <c r="AC273" s="99"/>
      <c r="AD273" s="100"/>
      <c r="AE273" s="100"/>
      <c r="AF273" s="100"/>
      <c r="AG273" s="100"/>
      <c r="AH273" s="100"/>
      <c r="AI273" s="100"/>
      <c r="AJ273" s="101"/>
      <c r="AK273" s="99"/>
      <c r="AL273" s="100"/>
      <c r="AM273" s="100"/>
      <c r="AN273" s="100"/>
      <c r="AO273" s="100"/>
      <c r="AP273" s="100"/>
      <c r="AQ273" s="100"/>
      <c r="AR273" s="100"/>
      <c r="AS273" s="100"/>
      <c r="AT273" s="100"/>
      <c r="AU273" s="101"/>
    </row>
    <row r="274" spans="29:47" ht="18.75" x14ac:dyDescent="0.3">
      <c r="AC274" s="99"/>
      <c r="AD274" s="100"/>
      <c r="AE274" s="100"/>
      <c r="AF274" s="100"/>
      <c r="AG274" s="100"/>
      <c r="AH274" s="100"/>
      <c r="AI274" s="100"/>
      <c r="AJ274" s="101"/>
      <c r="AK274" s="99"/>
      <c r="AL274" s="100"/>
      <c r="AM274" s="100"/>
      <c r="AN274" s="100"/>
      <c r="AO274" s="100"/>
      <c r="AP274" s="100"/>
      <c r="AQ274" s="100"/>
      <c r="AR274" s="100"/>
      <c r="AS274" s="100"/>
      <c r="AT274" s="100"/>
      <c r="AU274" s="101"/>
    </row>
    <row r="275" spans="29:47" ht="18.75" x14ac:dyDescent="0.3">
      <c r="AC275" s="99"/>
      <c r="AD275" s="100"/>
      <c r="AE275" s="100"/>
      <c r="AF275" s="100"/>
      <c r="AG275" s="100"/>
      <c r="AH275" s="100"/>
      <c r="AI275" s="100"/>
      <c r="AJ275" s="101"/>
      <c r="AK275" s="99"/>
      <c r="AL275" s="100"/>
      <c r="AM275" s="100"/>
      <c r="AN275" s="100"/>
      <c r="AO275" s="100"/>
      <c r="AP275" s="100"/>
      <c r="AQ275" s="100"/>
      <c r="AR275" s="100"/>
      <c r="AS275" s="100"/>
      <c r="AT275" s="100"/>
      <c r="AU275" s="101"/>
    </row>
    <row r="276" spans="29:47" ht="18.75" x14ac:dyDescent="0.3">
      <c r="AC276" s="99"/>
      <c r="AD276" s="100"/>
      <c r="AE276" s="100"/>
      <c r="AF276" s="100"/>
      <c r="AG276" s="100"/>
      <c r="AH276" s="100"/>
      <c r="AI276" s="100"/>
      <c r="AJ276" s="101"/>
      <c r="AK276" s="99"/>
      <c r="AL276" s="100"/>
      <c r="AM276" s="100"/>
      <c r="AN276" s="100"/>
      <c r="AO276" s="100"/>
      <c r="AP276" s="100"/>
      <c r="AQ276" s="100"/>
      <c r="AR276" s="100"/>
      <c r="AS276" s="100"/>
      <c r="AT276" s="100"/>
      <c r="AU276" s="101"/>
    </row>
    <row r="277" spans="29:47" ht="18.75" x14ac:dyDescent="0.3">
      <c r="AC277" s="99"/>
      <c r="AD277" s="100"/>
      <c r="AE277" s="100"/>
      <c r="AF277" s="100"/>
      <c r="AG277" s="100"/>
      <c r="AH277" s="100"/>
      <c r="AI277" s="100"/>
      <c r="AJ277" s="101"/>
      <c r="AK277" s="99"/>
      <c r="AL277" s="100"/>
      <c r="AM277" s="100"/>
      <c r="AN277" s="100"/>
      <c r="AO277" s="100"/>
      <c r="AP277" s="100"/>
      <c r="AQ277" s="100"/>
      <c r="AR277" s="100"/>
      <c r="AS277" s="100"/>
      <c r="AT277" s="100"/>
      <c r="AU277" s="101"/>
    </row>
    <row r="278" spans="29:47" ht="18.75" x14ac:dyDescent="0.3">
      <c r="AC278" s="99"/>
      <c r="AD278" s="100"/>
      <c r="AE278" s="100"/>
      <c r="AF278" s="100"/>
      <c r="AG278" s="100"/>
      <c r="AH278" s="100"/>
      <c r="AI278" s="100"/>
      <c r="AJ278" s="101"/>
      <c r="AK278" s="99"/>
      <c r="AL278" s="100"/>
      <c r="AM278" s="100"/>
      <c r="AN278" s="100"/>
      <c r="AO278" s="100"/>
      <c r="AP278" s="100"/>
      <c r="AQ278" s="100"/>
      <c r="AR278" s="100"/>
      <c r="AS278" s="100"/>
      <c r="AT278" s="100"/>
      <c r="AU278" s="101"/>
    </row>
    <row r="279" spans="29:47" ht="18.75" x14ac:dyDescent="0.3">
      <c r="AC279" s="99"/>
      <c r="AD279" s="100"/>
      <c r="AE279" s="100"/>
      <c r="AF279" s="100"/>
      <c r="AG279" s="100"/>
      <c r="AH279" s="100"/>
      <c r="AI279" s="100"/>
      <c r="AJ279" s="101"/>
      <c r="AK279" s="99"/>
      <c r="AL279" s="100"/>
      <c r="AM279" s="100"/>
      <c r="AN279" s="100"/>
      <c r="AO279" s="100"/>
      <c r="AP279" s="100"/>
      <c r="AQ279" s="100"/>
      <c r="AR279" s="100"/>
      <c r="AS279" s="100"/>
      <c r="AT279" s="100"/>
      <c r="AU279" s="101"/>
    </row>
    <row r="280" spans="29:47" ht="18.75" x14ac:dyDescent="0.3">
      <c r="AC280" s="99"/>
      <c r="AD280" s="100"/>
      <c r="AE280" s="100"/>
      <c r="AF280" s="100"/>
      <c r="AG280" s="100"/>
      <c r="AH280" s="100"/>
      <c r="AI280" s="100"/>
      <c r="AJ280" s="101"/>
      <c r="AK280" s="99"/>
      <c r="AL280" s="100"/>
      <c r="AM280" s="100"/>
      <c r="AN280" s="100"/>
      <c r="AO280" s="100"/>
      <c r="AP280" s="100"/>
      <c r="AQ280" s="100"/>
      <c r="AR280" s="100"/>
      <c r="AS280" s="100"/>
      <c r="AT280" s="100"/>
      <c r="AU280" s="101"/>
    </row>
    <row r="281" spans="29:47" ht="18.75" x14ac:dyDescent="0.3">
      <c r="AC281" s="99"/>
      <c r="AD281" s="100"/>
      <c r="AE281" s="100"/>
      <c r="AF281" s="100"/>
      <c r="AG281" s="100"/>
      <c r="AH281" s="100"/>
      <c r="AI281" s="100"/>
      <c r="AJ281" s="101"/>
      <c r="AK281" s="99"/>
      <c r="AL281" s="100"/>
      <c r="AM281" s="100"/>
      <c r="AN281" s="100"/>
      <c r="AO281" s="100"/>
      <c r="AP281" s="100"/>
      <c r="AQ281" s="100"/>
      <c r="AR281" s="100"/>
      <c r="AS281" s="100"/>
      <c r="AT281" s="100"/>
      <c r="AU281" s="101"/>
    </row>
    <row r="282" spans="29:47" ht="18.75" x14ac:dyDescent="0.3">
      <c r="AC282" s="99"/>
      <c r="AD282" s="100"/>
      <c r="AE282" s="100"/>
      <c r="AF282" s="100"/>
      <c r="AG282" s="100"/>
      <c r="AH282" s="100"/>
      <c r="AI282" s="100"/>
      <c r="AJ282" s="101"/>
      <c r="AK282" s="99"/>
      <c r="AL282" s="100"/>
      <c r="AM282" s="100"/>
      <c r="AN282" s="100"/>
      <c r="AO282" s="100"/>
      <c r="AP282" s="100"/>
      <c r="AQ282" s="100"/>
      <c r="AR282" s="100"/>
      <c r="AS282" s="100"/>
      <c r="AT282" s="100"/>
      <c r="AU282" s="101"/>
    </row>
    <row r="283" spans="29:47" ht="18.75" x14ac:dyDescent="0.3">
      <c r="AC283" s="99"/>
      <c r="AD283" s="100"/>
      <c r="AE283" s="100"/>
      <c r="AF283" s="100"/>
      <c r="AG283" s="100"/>
      <c r="AH283" s="100"/>
      <c r="AI283" s="100"/>
      <c r="AJ283" s="101"/>
      <c r="AK283" s="99"/>
      <c r="AL283" s="100"/>
      <c r="AM283" s="100"/>
      <c r="AN283" s="100"/>
      <c r="AO283" s="100"/>
      <c r="AP283" s="100"/>
      <c r="AQ283" s="100"/>
      <c r="AR283" s="100"/>
      <c r="AS283" s="100"/>
      <c r="AT283" s="100"/>
      <c r="AU283" s="101"/>
    </row>
    <row r="284" spans="29:47" ht="18.75" x14ac:dyDescent="0.3">
      <c r="AC284" s="99"/>
      <c r="AD284" s="100"/>
      <c r="AE284" s="100"/>
      <c r="AF284" s="100"/>
      <c r="AG284" s="100"/>
      <c r="AH284" s="100"/>
      <c r="AI284" s="100"/>
      <c r="AJ284" s="101"/>
      <c r="AK284" s="99"/>
      <c r="AL284" s="100"/>
      <c r="AM284" s="100"/>
      <c r="AN284" s="100"/>
      <c r="AO284" s="100"/>
      <c r="AP284" s="100"/>
      <c r="AQ284" s="100"/>
      <c r="AR284" s="100"/>
      <c r="AS284" s="100"/>
      <c r="AT284" s="100"/>
      <c r="AU284" s="101"/>
    </row>
    <row r="285" spans="29:47" ht="18.75" x14ac:dyDescent="0.3">
      <c r="AC285" s="99"/>
      <c r="AD285" s="100"/>
      <c r="AE285" s="100"/>
      <c r="AF285" s="100"/>
      <c r="AG285" s="100"/>
      <c r="AH285" s="100"/>
      <c r="AI285" s="100"/>
      <c r="AJ285" s="101"/>
      <c r="AK285" s="99"/>
      <c r="AL285" s="100"/>
      <c r="AM285" s="100"/>
      <c r="AN285" s="100"/>
      <c r="AO285" s="100"/>
      <c r="AP285" s="100"/>
      <c r="AQ285" s="100"/>
      <c r="AR285" s="100"/>
      <c r="AS285" s="100"/>
      <c r="AT285" s="100"/>
      <c r="AU285" s="101"/>
    </row>
    <row r="286" spans="29:47" ht="18.75" x14ac:dyDescent="0.3">
      <c r="AC286" s="99"/>
      <c r="AD286" s="100"/>
      <c r="AE286" s="100"/>
      <c r="AF286" s="100"/>
      <c r="AG286" s="100"/>
      <c r="AH286" s="100"/>
      <c r="AI286" s="100"/>
      <c r="AJ286" s="101"/>
      <c r="AK286" s="99"/>
      <c r="AL286" s="100"/>
      <c r="AM286" s="100"/>
      <c r="AN286" s="100"/>
      <c r="AO286" s="100"/>
      <c r="AP286" s="100"/>
      <c r="AQ286" s="100"/>
      <c r="AR286" s="100"/>
      <c r="AS286" s="100"/>
      <c r="AT286" s="100"/>
      <c r="AU286" s="101"/>
    </row>
    <row r="287" spans="29:47" ht="18.75" x14ac:dyDescent="0.3">
      <c r="AC287" s="99"/>
      <c r="AD287" s="100"/>
      <c r="AE287" s="100"/>
      <c r="AF287" s="100"/>
      <c r="AG287" s="100"/>
      <c r="AH287" s="100"/>
      <c r="AI287" s="100"/>
      <c r="AJ287" s="101"/>
      <c r="AK287" s="99"/>
      <c r="AL287" s="100"/>
      <c r="AM287" s="100"/>
      <c r="AN287" s="100"/>
      <c r="AO287" s="100"/>
      <c r="AP287" s="100"/>
      <c r="AQ287" s="100"/>
      <c r="AR287" s="100"/>
      <c r="AS287" s="100"/>
      <c r="AT287" s="100"/>
      <c r="AU287" s="101"/>
    </row>
    <row r="288" spans="29:47" ht="18.75" x14ac:dyDescent="0.3">
      <c r="AC288" s="99"/>
      <c r="AD288" s="100"/>
      <c r="AE288" s="100"/>
      <c r="AF288" s="100"/>
      <c r="AG288" s="100"/>
      <c r="AH288" s="100"/>
      <c r="AI288" s="100"/>
      <c r="AJ288" s="101"/>
      <c r="AK288" s="99"/>
      <c r="AL288" s="100"/>
      <c r="AM288" s="100"/>
      <c r="AN288" s="100"/>
      <c r="AO288" s="100"/>
      <c r="AP288" s="100"/>
      <c r="AQ288" s="100"/>
      <c r="AR288" s="100"/>
      <c r="AS288" s="100"/>
      <c r="AT288" s="100"/>
      <c r="AU288" s="101"/>
    </row>
    <row r="289" spans="29:47" ht="18.75" x14ac:dyDescent="0.3">
      <c r="AC289" s="99"/>
      <c r="AD289" s="100"/>
      <c r="AE289" s="100"/>
      <c r="AF289" s="100"/>
      <c r="AG289" s="100"/>
      <c r="AH289" s="100"/>
      <c r="AI289" s="100"/>
      <c r="AJ289" s="101"/>
      <c r="AK289" s="99"/>
      <c r="AL289" s="100"/>
      <c r="AM289" s="100"/>
      <c r="AN289" s="100"/>
      <c r="AO289" s="100"/>
      <c r="AP289" s="100"/>
      <c r="AQ289" s="100"/>
      <c r="AR289" s="100"/>
      <c r="AS289" s="100"/>
      <c r="AT289" s="100"/>
      <c r="AU289" s="101"/>
    </row>
    <row r="290" spans="29:47" ht="18.75" x14ac:dyDescent="0.3">
      <c r="AC290" s="99"/>
      <c r="AD290" s="100"/>
      <c r="AE290" s="100"/>
      <c r="AF290" s="100"/>
      <c r="AG290" s="100"/>
      <c r="AH290" s="100"/>
      <c r="AI290" s="100"/>
      <c r="AJ290" s="101"/>
      <c r="AK290" s="99"/>
      <c r="AL290" s="100"/>
      <c r="AM290" s="100"/>
      <c r="AN290" s="100"/>
      <c r="AO290" s="100"/>
      <c r="AP290" s="100"/>
      <c r="AQ290" s="100"/>
      <c r="AR290" s="100"/>
      <c r="AS290" s="100"/>
      <c r="AT290" s="100"/>
      <c r="AU290" s="101"/>
    </row>
    <row r="291" spans="29:47" ht="18.75" x14ac:dyDescent="0.3">
      <c r="AC291" s="99"/>
      <c r="AD291" s="100"/>
      <c r="AE291" s="100"/>
      <c r="AF291" s="100"/>
      <c r="AG291" s="100"/>
      <c r="AH291" s="100"/>
      <c r="AI291" s="100"/>
      <c r="AJ291" s="101"/>
      <c r="AK291" s="99"/>
      <c r="AL291" s="100"/>
      <c r="AM291" s="100"/>
      <c r="AN291" s="100"/>
      <c r="AO291" s="100"/>
      <c r="AP291" s="100"/>
      <c r="AQ291" s="100"/>
      <c r="AR291" s="100"/>
      <c r="AS291" s="100"/>
      <c r="AT291" s="100"/>
      <c r="AU291" s="101"/>
    </row>
    <row r="292" spans="29:47" ht="18.75" x14ac:dyDescent="0.3">
      <c r="AC292" s="99"/>
      <c r="AD292" s="100"/>
      <c r="AE292" s="100"/>
      <c r="AF292" s="100"/>
      <c r="AG292" s="100"/>
      <c r="AH292" s="100"/>
      <c r="AI292" s="100"/>
      <c r="AJ292" s="101"/>
      <c r="AK292" s="99"/>
      <c r="AL292" s="100"/>
      <c r="AM292" s="100"/>
      <c r="AN292" s="100"/>
      <c r="AO292" s="100"/>
      <c r="AP292" s="100"/>
      <c r="AQ292" s="100"/>
      <c r="AR292" s="100"/>
      <c r="AS292" s="100"/>
      <c r="AT292" s="100"/>
      <c r="AU292" s="101"/>
    </row>
    <row r="293" spans="29:47" ht="18.75" x14ac:dyDescent="0.3">
      <c r="AC293" s="99"/>
      <c r="AD293" s="100"/>
      <c r="AE293" s="100"/>
      <c r="AF293" s="100"/>
      <c r="AG293" s="100"/>
      <c r="AH293" s="100"/>
      <c r="AI293" s="100"/>
      <c r="AJ293" s="101"/>
      <c r="AK293" s="99"/>
      <c r="AL293" s="100"/>
      <c r="AM293" s="100"/>
      <c r="AN293" s="100"/>
      <c r="AO293" s="100"/>
      <c r="AP293" s="100"/>
      <c r="AQ293" s="100"/>
      <c r="AR293" s="100"/>
      <c r="AS293" s="100"/>
      <c r="AT293" s="100"/>
      <c r="AU293" s="101"/>
    </row>
    <row r="294" spans="29:47" ht="18.75" x14ac:dyDescent="0.3">
      <c r="AC294" s="99"/>
      <c r="AD294" s="100"/>
      <c r="AE294" s="100"/>
      <c r="AF294" s="100"/>
      <c r="AG294" s="100"/>
      <c r="AH294" s="100"/>
      <c r="AI294" s="100"/>
      <c r="AJ294" s="101"/>
      <c r="AK294" s="99"/>
      <c r="AL294" s="100"/>
      <c r="AM294" s="100"/>
      <c r="AN294" s="100"/>
      <c r="AO294" s="100"/>
      <c r="AP294" s="100"/>
      <c r="AQ294" s="100"/>
      <c r="AR294" s="100"/>
      <c r="AS294" s="100"/>
      <c r="AT294" s="100"/>
      <c r="AU294" s="101"/>
    </row>
    <row r="295" spans="29:47" ht="18.75" x14ac:dyDescent="0.3">
      <c r="AC295" s="99"/>
      <c r="AD295" s="100"/>
      <c r="AE295" s="100"/>
      <c r="AF295" s="100"/>
      <c r="AG295" s="100"/>
      <c r="AH295" s="100"/>
      <c r="AI295" s="100"/>
      <c r="AJ295" s="101"/>
      <c r="AK295" s="99"/>
      <c r="AL295" s="100"/>
      <c r="AM295" s="100"/>
      <c r="AN295" s="100"/>
      <c r="AO295" s="100"/>
      <c r="AP295" s="100"/>
      <c r="AQ295" s="100"/>
      <c r="AR295" s="100"/>
      <c r="AS295" s="100"/>
      <c r="AT295" s="100"/>
      <c r="AU295" s="101"/>
    </row>
    <row r="296" spans="29:47" ht="18.75" x14ac:dyDescent="0.3">
      <c r="AC296" s="99"/>
      <c r="AD296" s="100"/>
      <c r="AE296" s="100"/>
      <c r="AF296" s="100"/>
      <c r="AG296" s="100"/>
      <c r="AH296" s="100"/>
      <c r="AI296" s="100"/>
      <c r="AJ296" s="101"/>
      <c r="AK296" s="99"/>
      <c r="AL296" s="100"/>
      <c r="AM296" s="100"/>
      <c r="AN296" s="100"/>
      <c r="AO296" s="100"/>
      <c r="AP296" s="100"/>
      <c r="AQ296" s="100"/>
      <c r="AR296" s="100"/>
      <c r="AS296" s="100"/>
      <c r="AT296" s="100"/>
      <c r="AU296" s="101"/>
    </row>
    <row r="297" spans="29:47" ht="18.75" x14ac:dyDescent="0.3">
      <c r="AC297" s="99"/>
      <c r="AD297" s="100"/>
      <c r="AE297" s="100"/>
      <c r="AF297" s="100"/>
      <c r="AG297" s="100"/>
      <c r="AH297" s="100"/>
      <c r="AI297" s="100"/>
      <c r="AJ297" s="101"/>
      <c r="AK297" s="99"/>
      <c r="AL297" s="100"/>
      <c r="AM297" s="100"/>
      <c r="AN297" s="100"/>
      <c r="AO297" s="100"/>
      <c r="AP297" s="100"/>
      <c r="AQ297" s="100"/>
      <c r="AR297" s="100"/>
      <c r="AS297" s="100"/>
      <c r="AT297" s="100"/>
      <c r="AU297" s="101"/>
    </row>
    <row r="298" spans="29:47" ht="18.75" x14ac:dyDescent="0.3">
      <c r="AC298" s="99"/>
      <c r="AD298" s="100"/>
      <c r="AE298" s="100"/>
      <c r="AF298" s="100"/>
      <c r="AG298" s="100"/>
      <c r="AH298" s="100"/>
      <c r="AI298" s="100"/>
      <c r="AJ298" s="101"/>
      <c r="AK298" s="99"/>
      <c r="AL298" s="100"/>
      <c r="AM298" s="100"/>
      <c r="AN298" s="100"/>
      <c r="AO298" s="100"/>
      <c r="AP298" s="100"/>
      <c r="AQ298" s="100"/>
      <c r="AR298" s="100"/>
      <c r="AS298" s="100"/>
      <c r="AT298" s="100"/>
      <c r="AU298" s="101"/>
    </row>
    <row r="299" spans="29:47" ht="18.75" x14ac:dyDescent="0.3">
      <c r="AC299" s="99"/>
      <c r="AD299" s="100"/>
      <c r="AE299" s="100"/>
      <c r="AF299" s="100"/>
      <c r="AG299" s="100"/>
      <c r="AH299" s="100"/>
      <c r="AI299" s="100"/>
      <c r="AJ299" s="101"/>
      <c r="AK299" s="99"/>
      <c r="AL299" s="100"/>
      <c r="AM299" s="100"/>
      <c r="AN299" s="100"/>
      <c r="AO299" s="100"/>
      <c r="AP299" s="100"/>
      <c r="AQ299" s="100"/>
      <c r="AR299" s="100"/>
      <c r="AS299" s="100"/>
      <c r="AT299" s="100"/>
      <c r="AU299" s="101"/>
    </row>
    <row r="300" spans="29:47" ht="18.75" x14ac:dyDescent="0.3">
      <c r="AC300" s="99"/>
      <c r="AD300" s="100"/>
      <c r="AE300" s="100"/>
      <c r="AF300" s="100"/>
      <c r="AG300" s="100"/>
      <c r="AH300" s="100"/>
      <c r="AI300" s="100"/>
      <c r="AJ300" s="101"/>
      <c r="AK300" s="99"/>
      <c r="AL300" s="100"/>
      <c r="AM300" s="100"/>
      <c r="AN300" s="100"/>
      <c r="AO300" s="100"/>
      <c r="AP300" s="100"/>
      <c r="AQ300" s="100"/>
      <c r="AR300" s="100"/>
      <c r="AS300" s="100"/>
      <c r="AT300" s="100"/>
      <c r="AU300" s="101"/>
    </row>
    <row r="301" spans="29:47" ht="18.75" x14ac:dyDescent="0.3">
      <c r="AC301" s="99"/>
      <c r="AD301" s="100"/>
      <c r="AE301" s="100"/>
      <c r="AF301" s="100"/>
      <c r="AG301" s="100"/>
      <c r="AH301" s="100"/>
      <c r="AI301" s="100"/>
      <c r="AJ301" s="101"/>
      <c r="AK301" s="99"/>
      <c r="AL301" s="100"/>
      <c r="AM301" s="100"/>
      <c r="AN301" s="100"/>
      <c r="AO301" s="100"/>
      <c r="AP301" s="100"/>
      <c r="AQ301" s="100"/>
      <c r="AR301" s="100"/>
      <c r="AS301" s="100"/>
      <c r="AT301" s="100"/>
      <c r="AU301" s="101"/>
    </row>
    <row r="302" spans="29:47" ht="18.75" x14ac:dyDescent="0.3">
      <c r="AC302" s="99"/>
      <c r="AD302" s="100"/>
      <c r="AE302" s="100"/>
      <c r="AF302" s="100"/>
      <c r="AG302" s="100"/>
      <c r="AH302" s="100"/>
      <c r="AI302" s="100"/>
      <c r="AJ302" s="101"/>
      <c r="AK302" s="99"/>
      <c r="AL302" s="100"/>
      <c r="AM302" s="100"/>
      <c r="AN302" s="100"/>
      <c r="AO302" s="100"/>
      <c r="AP302" s="100"/>
      <c r="AQ302" s="100"/>
      <c r="AR302" s="100"/>
      <c r="AS302" s="100"/>
      <c r="AT302" s="100"/>
      <c r="AU302" s="101"/>
    </row>
    <row r="303" spans="29:47" ht="18.75" x14ac:dyDescent="0.3">
      <c r="AC303" s="99"/>
      <c r="AD303" s="100"/>
      <c r="AE303" s="100"/>
      <c r="AF303" s="100"/>
      <c r="AG303" s="100"/>
      <c r="AH303" s="100"/>
      <c r="AI303" s="100"/>
      <c r="AJ303" s="101"/>
      <c r="AK303" s="99"/>
      <c r="AL303" s="100"/>
      <c r="AM303" s="100"/>
      <c r="AN303" s="100"/>
      <c r="AO303" s="100"/>
      <c r="AP303" s="100"/>
      <c r="AQ303" s="100"/>
      <c r="AR303" s="100"/>
      <c r="AS303" s="100"/>
      <c r="AT303" s="100"/>
      <c r="AU303" s="101"/>
    </row>
    <row r="304" spans="29:47" ht="18.75" x14ac:dyDescent="0.3">
      <c r="AC304" s="99"/>
      <c r="AD304" s="100"/>
      <c r="AE304" s="100"/>
      <c r="AF304" s="100"/>
      <c r="AG304" s="100"/>
      <c r="AH304" s="100"/>
      <c r="AI304" s="100"/>
      <c r="AJ304" s="101"/>
      <c r="AK304" s="99"/>
      <c r="AL304" s="100"/>
      <c r="AM304" s="100"/>
      <c r="AN304" s="100"/>
      <c r="AO304" s="100"/>
      <c r="AP304" s="100"/>
      <c r="AQ304" s="100"/>
      <c r="AR304" s="100"/>
      <c r="AS304" s="100"/>
      <c r="AT304" s="100"/>
      <c r="AU304" s="101"/>
    </row>
    <row r="305" spans="29:47" ht="18.75" x14ac:dyDescent="0.3">
      <c r="AC305" s="99"/>
      <c r="AD305" s="100"/>
      <c r="AE305" s="100"/>
      <c r="AF305" s="100"/>
      <c r="AG305" s="100"/>
      <c r="AH305" s="100"/>
      <c r="AI305" s="100"/>
      <c r="AJ305" s="101"/>
      <c r="AK305" s="99"/>
      <c r="AL305" s="100"/>
      <c r="AM305" s="100"/>
      <c r="AN305" s="100"/>
      <c r="AO305" s="100"/>
      <c r="AP305" s="100"/>
      <c r="AQ305" s="100"/>
      <c r="AR305" s="100"/>
      <c r="AS305" s="100"/>
      <c r="AT305" s="100"/>
      <c r="AU305" s="101"/>
    </row>
    <row r="306" spans="29:47" ht="18.75" x14ac:dyDescent="0.3">
      <c r="AC306" s="99"/>
      <c r="AD306" s="100"/>
      <c r="AE306" s="100"/>
      <c r="AF306" s="100"/>
      <c r="AG306" s="100"/>
      <c r="AH306" s="100"/>
      <c r="AI306" s="100"/>
      <c r="AJ306" s="101"/>
      <c r="AK306" s="99"/>
      <c r="AL306" s="100"/>
      <c r="AM306" s="100"/>
      <c r="AN306" s="100"/>
      <c r="AO306" s="100"/>
      <c r="AP306" s="100"/>
      <c r="AQ306" s="100"/>
      <c r="AR306" s="100"/>
      <c r="AS306" s="100"/>
      <c r="AT306" s="100"/>
      <c r="AU306" s="101"/>
    </row>
    <row r="307" spans="29:47" ht="18.75" x14ac:dyDescent="0.3">
      <c r="AC307" s="99"/>
      <c r="AD307" s="100"/>
      <c r="AE307" s="100"/>
      <c r="AF307" s="100"/>
      <c r="AG307" s="100"/>
      <c r="AH307" s="100"/>
      <c r="AI307" s="100"/>
      <c r="AJ307" s="101"/>
      <c r="AK307" s="99"/>
      <c r="AL307" s="100"/>
      <c r="AM307" s="100"/>
      <c r="AN307" s="100"/>
      <c r="AO307" s="100"/>
      <c r="AP307" s="100"/>
      <c r="AQ307" s="100"/>
      <c r="AR307" s="100"/>
      <c r="AS307" s="100"/>
      <c r="AT307" s="100"/>
      <c r="AU307" s="101"/>
    </row>
    <row r="308" spans="29:47" ht="18.75" x14ac:dyDescent="0.3">
      <c r="AC308" s="99"/>
      <c r="AD308" s="100"/>
      <c r="AE308" s="100"/>
      <c r="AF308" s="100"/>
      <c r="AG308" s="100"/>
      <c r="AH308" s="100"/>
      <c r="AI308" s="100"/>
      <c r="AJ308" s="101"/>
      <c r="AK308" s="99"/>
      <c r="AL308" s="100"/>
      <c r="AM308" s="100"/>
      <c r="AN308" s="100"/>
      <c r="AO308" s="100"/>
      <c r="AP308" s="100"/>
      <c r="AQ308" s="100"/>
      <c r="AR308" s="100"/>
      <c r="AS308" s="100"/>
      <c r="AT308" s="100"/>
      <c r="AU308" s="101"/>
    </row>
    <row r="309" spans="29:47" ht="18.75" x14ac:dyDescent="0.3">
      <c r="AC309" s="99"/>
      <c r="AD309" s="100"/>
      <c r="AE309" s="100"/>
      <c r="AF309" s="100"/>
      <c r="AG309" s="100"/>
      <c r="AH309" s="100"/>
      <c r="AI309" s="100"/>
      <c r="AJ309" s="101"/>
      <c r="AK309" s="99"/>
      <c r="AL309" s="100"/>
      <c r="AM309" s="100"/>
      <c r="AN309" s="100"/>
      <c r="AO309" s="100"/>
      <c r="AP309" s="100"/>
      <c r="AQ309" s="100"/>
      <c r="AR309" s="100"/>
      <c r="AS309" s="100"/>
      <c r="AT309" s="100"/>
      <c r="AU309" s="101"/>
    </row>
    <row r="310" spans="29:47" ht="18.75" x14ac:dyDescent="0.3">
      <c r="AC310" s="99"/>
      <c r="AD310" s="100"/>
      <c r="AE310" s="100"/>
      <c r="AF310" s="100"/>
      <c r="AG310" s="100"/>
      <c r="AH310" s="100"/>
      <c r="AI310" s="100"/>
      <c r="AJ310" s="101"/>
      <c r="AK310" s="99"/>
      <c r="AL310" s="100"/>
      <c r="AM310" s="100"/>
      <c r="AN310" s="100"/>
      <c r="AO310" s="100"/>
      <c r="AP310" s="100"/>
      <c r="AQ310" s="100"/>
      <c r="AR310" s="100"/>
      <c r="AS310" s="100"/>
      <c r="AT310" s="100"/>
      <c r="AU310" s="101"/>
    </row>
    <row r="311" spans="29:47" ht="18.75" x14ac:dyDescent="0.3">
      <c r="AC311" s="99"/>
      <c r="AD311" s="100"/>
      <c r="AE311" s="100"/>
      <c r="AF311" s="100"/>
      <c r="AG311" s="100"/>
      <c r="AH311" s="100"/>
      <c r="AI311" s="100"/>
      <c r="AJ311" s="101"/>
      <c r="AK311" s="99"/>
      <c r="AL311" s="100"/>
      <c r="AM311" s="100"/>
      <c r="AN311" s="100"/>
      <c r="AO311" s="100"/>
      <c r="AP311" s="100"/>
      <c r="AQ311" s="100"/>
      <c r="AR311" s="100"/>
      <c r="AS311" s="100"/>
      <c r="AT311" s="100"/>
      <c r="AU311" s="101"/>
    </row>
    <row r="312" spans="29:47" ht="18.75" x14ac:dyDescent="0.3">
      <c r="AC312" s="99"/>
      <c r="AD312" s="100"/>
      <c r="AE312" s="100"/>
      <c r="AF312" s="100"/>
      <c r="AG312" s="100"/>
      <c r="AH312" s="100"/>
      <c r="AI312" s="100"/>
      <c r="AJ312" s="101"/>
      <c r="AK312" s="99"/>
      <c r="AL312" s="100"/>
      <c r="AM312" s="100"/>
      <c r="AN312" s="100"/>
      <c r="AO312" s="100"/>
      <c r="AP312" s="100"/>
      <c r="AQ312" s="100"/>
      <c r="AR312" s="100"/>
      <c r="AS312" s="100"/>
      <c r="AT312" s="100"/>
      <c r="AU312" s="101"/>
    </row>
    <row r="313" spans="29:47" ht="18.75" x14ac:dyDescent="0.3">
      <c r="AC313" s="99"/>
      <c r="AD313" s="100"/>
      <c r="AE313" s="100"/>
      <c r="AF313" s="100"/>
      <c r="AG313" s="100"/>
      <c r="AH313" s="100"/>
      <c r="AI313" s="100"/>
      <c r="AJ313" s="101"/>
      <c r="AK313" s="99"/>
      <c r="AL313" s="100"/>
      <c r="AM313" s="100"/>
      <c r="AN313" s="100"/>
      <c r="AO313" s="100"/>
      <c r="AP313" s="100"/>
      <c r="AQ313" s="100"/>
      <c r="AR313" s="100"/>
      <c r="AS313" s="100"/>
      <c r="AT313" s="100"/>
      <c r="AU313" s="101"/>
    </row>
    <row r="314" spans="29:47" ht="18.75" x14ac:dyDescent="0.3">
      <c r="AC314" s="99"/>
      <c r="AD314" s="100"/>
      <c r="AE314" s="100"/>
      <c r="AF314" s="100"/>
      <c r="AG314" s="100"/>
      <c r="AH314" s="100"/>
      <c r="AI314" s="100"/>
      <c r="AJ314" s="101"/>
      <c r="AK314" s="99"/>
      <c r="AL314" s="100"/>
      <c r="AM314" s="100"/>
      <c r="AN314" s="100"/>
      <c r="AO314" s="100"/>
      <c r="AP314" s="100"/>
      <c r="AQ314" s="100"/>
      <c r="AR314" s="100"/>
      <c r="AS314" s="100"/>
      <c r="AT314" s="100"/>
      <c r="AU314" s="101"/>
    </row>
    <row r="315" spans="29:47" ht="18.75" x14ac:dyDescent="0.3">
      <c r="AC315" s="99"/>
      <c r="AD315" s="100"/>
      <c r="AE315" s="100"/>
      <c r="AF315" s="100"/>
      <c r="AG315" s="100"/>
      <c r="AH315" s="100"/>
      <c r="AI315" s="100"/>
      <c r="AJ315" s="101"/>
      <c r="AK315" s="99"/>
      <c r="AL315" s="100"/>
      <c r="AM315" s="100"/>
      <c r="AN315" s="100"/>
      <c r="AO315" s="100"/>
      <c r="AP315" s="100"/>
      <c r="AQ315" s="100"/>
      <c r="AR315" s="100"/>
      <c r="AS315" s="100"/>
      <c r="AT315" s="100"/>
      <c r="AU315" s="101"/>
    </row>
    <row r="316" spans="29:47" ht="18.75" x14ac:dyDescent="0.3">
      <c r="AC316" s="99"/>
      <c r="AD316" s="100"/>
      <c r="AE316" s="100"/>
      <c r="AF316" s="100"/>
      <c r="AG316" s="100"/>
      <c r="AH316" s="100"/>
      <c r="AI316" s="100"/>
      <c r="AJ316" s="101"/>
      <c r="AK316" s="99"/>
      <c r="AL316" s="100"/>
      <c r="AM316" s="100"/>
      <c r="AN316" s="100"/>
      <c r="AO316" s="100"/>
      <c r="AP316" s="100"/>
      <c r="AQ316" s="100"/>
      <c r="AR316" s="100"/>
      <c r="AS316" s="100"/>
      <c r="AT316" s="100"/>
      <c r="AU316" s="101"/>
    </row>
    <row r="317" spans="29:47" ht="18.75" x14ac:dyDescent="0.3">
      <c r="AC317" s="99"/>
      <c r="AD317" s="100"/>
      <c r="AE317" s="100"/>
      <c r="AF317" s="100"/>
      <c r="AG317" s="100"/>
      <c r="AH317" s="100"/>
      <c r="AI317" s="100"/>
      <c r="AJ317" s="101"/>
      <c r="AK317" s="99"/>
      <c r="AL317" s="100"/>
      <c r="AM317" s="100"/>
      <c r="AN317" s="100"/>
      <c r="AO317" s="100"/>
      <c r="AP317" s="100"/>
      <c r="AQ317" s="100"/>
      <c r="AR317" s="100"/>
      <c r="AS317" s="100"/>
      <c r="AT317" s="100"/>
      <c r="AU317" s="101"/>
    </row>
    <row r="318" spans="29:47" ht="18.75" x14ac:dyDescent="0.3">
      <c r="AC318" s="99"/>
      <c r="AD318" s="100"/>
      <c r="AE318" s="100"/>
      <c r="AF318" s="100"/>
      <c r="AG318" s="100"/>
      <c r="AH318" s="100"/>
      <c r="AI318" s="100"/>
      <c r="AJ318" s="101"/>
      <c r="AK318" s="99"/>
      <c r="AL318" s="100"/>
      <c r="AM318" s="100"/>
      <c r="AN318" s="100"/>
      <c r="AO318" s="100"/>
      <c r="AP318" s="100"/>
      <c r="AQ318" s="100"/>
      <c r="AR318" s="100"/>
      <c r="AS318" s="100"/>
      <c r="AT318" s="100"/>
      <c r="AU318" s="101"/>
    </row>
    <row r="319" spans="29:47" ht="18.75" x14ac:dyDescent="0.3">
      <c r="AC319" s="99"/>
      <c r="AD319" s="100"/>
      <c r="AE319" s="100"/>
      <c r="AF319" s="100"/>
      <c r="AG319" s="100"/>
      <c r="AH319" s="100"/>
      <c r="AI319" s="100"/>
      <c r="AJ319" s="101"/>
      <c r="AK319" s="99"/>
      <c r="AL319" s="100"/>
      <c r="AM319" s="100"/>
      <c r="AN319" s="100"/>
      <c r="AO319" s="100"/>
      <c r="AP319" s="100"/>
      <c r="AQ319" s="100"/>
      <c r="AR319" s="100"/>
      <c r="AS319" s="100"/>
      <c r="AT319" s="100"/>
      <c r="AU319" s="101"/>
    </row>
    <row r="320" spans="29:47" ht="18.75" x14ac:dyDescent="0.3">
      <c r="AC320" s="99"/>
      <c r="AD320" s="100"/>
      <c r="AE320" s="100"/>
      <c r="AF320" s="100"/>
      <c r="AG320" s="100"/>
      <c r="AH320" s="100"/>
      <c r="AI320" s="100"/>
      <c r="AJ320" s="101"/>
      <c r="AK320" s="99"/>
      <c r="AL320" s="100"/>
      <c r="AM320" s="100"/>
      <c r="AN320" s="100"/>
      <c r="AO320" s="100"/>
      <c r="AP320" s="100"/>
      <c r="AQ320" s="100"/>
      <c r="AR320" s="100"/>
      <c r="AS320" s="100"/>
      <c r="AT320" s="100"/>
      <c r="AU320" s="101"/>
    </row>
    <row r="321" spans="29:47" ht="18.75" x14ac:dyDescent="0.3">
      <c r="AC321" s="99"/>
      <c r="AD321" s="100"/>
      <c r="AE321" s="100"/>
      <c r="AF321" s="100"/>
      <c r="AG321" s="100"/>
      <c r="AH321" s="100"/>
      <c r="AI321" s="100"/>
      <c r="AJ321" s="101"/>
      <c r="AK321" s="99"/>
      <c r="AL321" s="100"/>
      <c r="AM321" s="100"/>
      <c r="AN321" s="100"/>
      <c r="AO321" s="100"/>
      <c r="AP321" s="100"/>
      <c r="AQ321" s="100"/>
      <c r="AR321" s="100"/>
      <c r="AS321" s="100"/>
      <c r="AT321" s="100"/>
      <c r="AU321" s="101"/>
    </row>
    <row r="322" spans="29:47" ht="18.75" x14ac:dyDescent="0.3">
      <c r="AC322" s="99"/>
      <c r="AD322" s="100"/>
      <c r="AE322" s="100"/>
      <c r="AF322" s="100"/>
      <c r="AG322" s="100"/>
      <c r="AH322" s="100"/>
      <c r="AI322" s="100"/>
      <c r="AJ322" s="101"/>
      <c r="AK322" s="99"/>
      <c r="AL322" s="100"/>
      <c r="AM322" s="100"/>
      <c r="AN322" s="100"/>
      <c r="AO322" s="100"/>
      <c r="AP322" s="100"/>
      <c r="AQ322" s="100"/>
      <c r="AR322" s="100"/>
      <c r="AS322" s="100"/>
      <c r="AT322" s="100"/>
      <c r="AU322" s="101"/>
    </row>
    <row r="323" spans="29:47" ht="18.75" x14ac:dyDescent="0.3">
      <c r="AC323" s="99"/>
      <c r="AD323" s="100"/>
      <c r="AE323" s="100"/>
      <c r="AF323" s="100"/>
      <c r="AG323" s="100"/>
      <c r="AH323" s="100"/>
      <c r="AI323" s="100"/>
      <c r="AJ323" s="101"/>
      <c r="AK323" s="99"/>
      <c r="AL323" s="100"/>
      <c r="AM323" s="100"/>
      <c r="AN323" s="100"/>
      <c r="AO323" s="100"/>
      <c r="AP323" s="100"/>
      <c r="AQ323" s="100"/>
      <c r="AR323" s="100"/>
      <c r="AS323" s="100"/>
      <c r="AT323" s="100"/>
      <c r="AU323" s="101"/>
    </row>
    <row r="324" spans="29:47" ht="18.75" x14ac:dyDescent="0.3">
      <c r="AC324" s="99"/>
      <c r="AD324" s="100"/>
      <c r="AE324" s="100"/>
      <c r="AF324" s="100"/>
      <c r="AG324" s="100"/>
      <c r="AH324" s="100"/>
      <c r="AI324" s="100"/>
      <c r="AJ324" s="101"/>
      <c r="AK324" s="99"/>
      <c r="AL324" s="100"/>
      <c r="AM324" s="100"/>
      <c r="AN324" s="100"/>
      <c r="AO324" s="100"/>
      <c r="AP324" s="100"/>
      <c r="AQ324" s="100"/>
      <c r="AR324" s="100"/>
      <c r="AS324" s="100"/>
      <c r="AT324" s="100"/>
      <c r="AU324" s="101"/>
    </row>
    <row r="325" spans="29:47" ht="18.75" x14ac:dyDescent="0.3">
      <c r="AC325" s="99"/>
      <c r="AD325" s="100"/>
      <c r="AE325" s="100"/>
      <c r="AF325" s="100"/>
      <c r="AG325" s="100"/>
      <c r="AH325" s="100"/>
      <c r="AI325" s="100"/>
      <c r="AJ325" s="101"/>
      <c r="AK325" s="99"/>
      <c r="AL325" s="100"/>
      <c r="AM325" s="100"/>
      <c r="AN325" s="100"/>
      <c r="AO325" s="100"/>
      <c r="AP325" s="100"/>
      <c r="AQ325" s="100"/>
      <c r="AR325" s="100"/>
      <c r="AS325" s="100"/>
      <c r="AT325" s="100"/>
      <c r="AU325" s="101"/>
    </row>
    <row r="326" spans="29:47" ht="18.75" x14ac:dyDescent="0.3">
      <c r="AC326" s="99"/>
      <c r="AD326" s="100"/>
      <c r="AE326" s="100"/>
      <c r="AF326" s="100"/>
      <c r="AG326" s="100"/>
      <c r="AH326" s="100"/>
      <c r="AI326" s="100"/>
      <c r="AJ326" s="101"/>
      <c r="AK326" s="99"/>
      <c r="AL326" s="100"/>
      <c r="AM326" s="100"/>
      <c r="AN326" s="100"/>
      <c r="AO326" s="100"/>
      <c r="AP326" s="100"/>
      <c r="AQ326" s="100"/>
      <c r="AR326" s="100"/>
      <c r="AS326" s="100"/>
      <c r="AT326" s="100"/>
      <c r="AU326" s="101"/>
    </row>
    <row r="327" spans="29:47" ht="18.75" x14ac:dyDescent="0.3">
      <c r="AC327" s="99"/>
      <c r="AD327" s="100"/>
      <c r="AE327" s="100"/>
      <c r="AF327" s="100"/>
      <c r="AG327" s="100"/>
      <c r="AH327" s="100"/>
      <c r="AI327" s="100"/>
      <c r="AJ327" s="101"/>
      <c r="AK327" s="99"/>
      <c r="AL327" s="100"/>
      <c r="AM327" s="100"/>
      <c r="AN327" s="100"/>
      <c r="AO327" s="100"/>
      <c r="AP327" s="100"/>
      <c r="AQ327" s="100"/>
      <c r="AR327" s="100"/>
      <c r="AS327" s="100"/>
      <c r="AT327" s="100"/>
      <c r="AU327" s="101"/>
    </row>
    <row r="328" spans="29:47" ht="18.75" x14ac:dyDescent="0.3">
      <c r="AC328" s="99"/>
      <c r="AD328" s="100"/>
      <c r="AE328" s="100"/>
      <c r="AF328" s="100"/>
      <c r="AG328" s="100"/>
      <c r="AH328" s="100"/>
      <c r="AI328" s="100"/>
      <c r="AJ328" s="101"/>
      <c r="AK328" s="99"/>
      <c r="AL328" s="100"/>
      <c r="AM328" s="100"/>
      <c r="AN328" s="100"/>
      <c r="AO328" s="100"/>
      <c r="AP328" s="100"/>
      <c r="AQ328" s="100"/>
      <c r="AR328" s="100"/>
      <c r="AS328" s="100"/>
      <c r="AT328" s="100"/>
      <c r="AU328" s="101"/>
    </row>
    <row r="329" spans="29:47" ht="18.75" x14ac:dyDescent="0.3">
      <c r="AC329" s="99"/>
      <c r="AD329" s="100"/>
      <c r="AE329" s="100"/>
      <c r="AF329" s="100"/>
      <c r="AG329" s="100"/>
      <c r="AH329" s="100"/>
      <c r="AI329" s="100"/>
      <c r="AJ329" s="101"/>
      <c r="AK329" s="99"/>
      <c r="AL329" s="100"/>
      <c r="AM329" s="100"/>
      <c r="AN329" s="100"/>
      <c r="AO329" s="100"/>
      <c r="AP329" s="100"/>
      <c r="AQ329" s="100"/>
      <c r="AR329" s="100"/>
      <c r="AS329" s="100"/>
      <c r="AT329" s="100"/>
      <c r="AU329" s="101"/>
    </row>
    <row r="330" spans="29:47" ht="18.75" x14ac:dyDescent="0.3">
      <c r="AC330" s="99"/>
      <c r="AD330" s="100"/>
      <c r="AE330" s="100"/>
      <c r="AF330" s="100"/>
      <c r="AG330" s="100"/>
      <c r="AH330" s="100"/>
      <c r="AI330" s="100"/>
      <c r="AJ330" s="101"/>
      <c r="AK330" s="99"/>
      <c r="AL330" s="100"/>
      <c r="AM330" s="100"/>
      <c r="AN330" s="100"/>
      <c r="AO330" s="100"/>
      <c r="AP330" s="100"/>
      <c r="AQ330" s="100"/>
      <c r="AR330" s="100"/>
      <c r="AS330" s="100"/>
      <c r="AT330" s="100"/>
      <c r="AU330" s="101"/>
    </row>
    <row r="331" spans="29:47" ht="18.75" x14ac:dyDescent="0.3">
      <c r="AC331" s="99"/>
      <c r="AD331" s="100"/>
      <c r="AE331" s="100"/>
      <c r="AF331" s="100"/>
      <c r="AG331" s="100"/>
      <c r="AH331" s="100"/>
      <c r="AI331" s="100"/>
      <c r="AJ331" s="101"/>
      <c r="AK331" s="99"/>
      <c r="AL331" s="100"/>
      <c r="AM331" s="100"/>
      <c r="AN331" s="100"/>
      <c r="AO331" s="100"/>
      <c r="AP331" s="100"/>
      <c r="AQ331" s="100"/>
      <c r="AR331" s="100"/>
      <c r="AS331" s="100"/>
      <c r="AT331" s="100"/>
      <c r="AU331" s="101"/>
    </row>
    <row r="332" spans="29:47" ht="18.75" x14ac:dyDescent="0.3">
      <c r="AC332" s="99"/>
      <c r="AD332" s="100"/>
      <c r="AE332" s="100"/>
      <c r="AF332" s="100"/>
      <c r="AG332" s="100"/>
      <c r="AH332" s="100"/>
      <c r="AI332" s="100"/>
      <c r="AJ332" s="101"/>
      <c r="AK332" s="99"/>
      <c r="AL332" s="100"/>
      <c r="AM332" s="100"/>
      <c r="AN332" s="100"/>
      <c r="AO332" s="100"/>
      <c r="AP332" s="100"/>
      <c r="AQ332" s="100"/>
      <c r="AR332" s="100"/>
      <c r="AS332" s="100"/>
      <c r="AT332" s="100"/>
      <c r="AU332" s="101"/>
    </row>
    <row r="333" spans="29:47" ht="18.75" x14ac:dyDescent="0.3">
      <c r="AC333" s="99"/>
      <c r="AD333" s="100"/>
      <c r="AE333" s="100"/>
      <c r="AF333" s="100"/>
      <c r="AG333" s="100"/>
      <c r="AH333" s="100"/>
      <c r="AI333" s="100"/>
      <c r="AJ333" s="101"/>
      <c r="AK333" s="99"/>
      <c r="AL333" s="100"/>
      <c r="AM333" s="100"/>
      <c r="AN333" s="100"/>
      <c r="AO333" s="100"/>
      <c r="AP333" s="100"/>
      <c r="AQ333" s="100"/>
      <c r="AR333" s="100"/>
      <c r="AS333" s="100"/>
      <c r="AT333" s="100"/>
      <c r="AU333" s="101"/>
    </row>
    <row r="334" spans="29:47" ht="18.75" x14ac:dyDescent="0.3">
      <c r="AC334" s="99"/>
      <c r="AD334" s="100"/>
      <c r="AE334" s="100"/>
      <c r="AF334" s="100"/>
      <c r="AG334" s="100"/>
      <c r="AH334" s="100"/>
      <c r="AI334" s="100"/>
      <c r="AJ334" s="101"/>
      <c r="AK334" s="99"/>
      <c r="AL334" s="100"/>
      <c r="AM334" s="100"/>
      <c r="AN334" s="100"/>
      <c r="AO334" s="100"/>
      <c r="AP334" s="100"/>
      <c r="AQ334" s="100"/>
      <c r="AR334" s="100"/>
      <c r="AS334" s="100"/>
      <c r="AT334" s="100"/>
      <c r="AU334" s="101"/>
    </row>
    <row r="335" spans="29:47" ht="18.75" x14ac:dyDescent="0.3">
      <c r="AC335" s="99"/>
      <c r="AD335" s="100"/>
      <c r="AE335" s="100"/>
      <c r="AF335" s="100"/>
      <c r="AG335" s="100"/>
      <c r="AH335" s="100"/>
      <c r="AI335" s="100"/>
      <c r="AJ335" s="101"/>
      <c r="AK335" s="99"/>
      <c r="AL335" s="100"/>
      <c r="AM335" s="100"/>
      <c r="AN335" s="100"/>
      <c r="AO335" s="100"/>
      <c r="AP335" s="100"/>
      <c r="AQ335" s="100"/>
      <c r="AR335" s="100"/>
      <c r="AS335" s="100"/>
      <c r="AT335" s="100"/>
      <c r="AU335" s="101"/>
    </row>
    <row r="336" spans="29:47" ht="18.75" x14ac:dyDescent="0.3">
      <c r="AC336" s="99"/>
      <c r="AD336" s="100"/>
      <c r="AE336" s="100"/>
      <c r="AF336" s="100"/>
      <c r="AG336" s="100"/>
      <c r="AH336" s="100"/>
      <c r="AI336" s="100"/>
      <c r="AJ336" s="101"/>
      <c r="AK336" s="99"/>
      <c r="AL336" s="100"/>
      <c r="AM336" s="100"/>
      <c r="AN336" s="100"/>
      <c r="AO336" s="100"/>
      <c r="AP336" s="100"/>
      <c r="AQ336" s="100"/>
      <c r="AR336" s="100"/>
      <c r="AS336" s="100"/>
      <c r="AT336" s="100"/>
      <c r="AU336" s="101"/>
    </row>
    <row r="337" spans="29:47" ht="18.75" x14ac:dyDescent="0.3">
      <c r="AC337" s="99"/>
      <c r="AD337" s="100"/>
      <c r="AE337" s="100"/>
      <c r="AF337" s="100"/>
      <c r="AG337" s="100"/>
      <c r="AH337" s="100"/>
      <c r="AI337" s="100"/>
      <c r="AJ337" s="101"/>
      <c r="AK337" s="99"/>
      <c r="AL337" s="100"/>
      <c r="AM337" s="100"/>
      <c r="AN337" s="100"/>
      <c r="AO337" s="100"/>
      <c r="AP337" s="100"/>
      <c r="AQ337" s="100"/>
      <c r="AR337" s="100"/>
      <c r="AS337" s="100"/>
      <c r="AT337" s="100"/>
      <c r="AU337" s="101"/>
    </row>
    <row r="338" spans="29:47" ht="18.75" x14ac:dyDescent="0.3">
      <c r="AC338" s="99"/>
      <c r="AD338" s="100"/>
      <c r="AE338" s="100"/>
      <c r="AF338" s="100"/>
      <c r="AG338" s="100"/>
      <c r="AH338" s="100"/>
      <c r="AI338" s="100"/>
      <c r="AJ338" s="101"/>
      <c r="AK338" s="99"/>
      <c r="AL338" s="100"/>
      <c r="AM338" s="100"/>
      <c r="AN338" s="100"/>
      <c r="AO338" s="100"/>
      <c r="AP338" s="100"/>
      <c r="AQ338" s="100"/>
      <c r="AR338" s="100"/>
      <c r="AS338" s="100"/>
      <c r="AT338" s="100"/>
      <c r="AU338" s="101"/>
    </row>
    <row r="339" spans="29:47" ht="18.75" x14ac:dyDescent="0.3">
      <c r="AC339" s="99"/>
      <c r="AD339" s="100"/>
      <c r="AE339" s="100"/>
      <c r="AF339" s="100"/>
      <c r="AG339" s="100"/>
      <c r="AH339" s="100"/>
      <c r="AI339" s="100"/>
      <c r="AJ339" s="101"/>
      <c r="AK339" s="99"/>
      <c r="AL339" s="100"/>
      <c r="AM339" s="100"/>
      <c r="AN339" s="100"/>
      <c r="AO339" s="100"/>
      <c r="AP339" s="100"/>
      <c r="AQ339" s="100"/>
      <c r="AR339" s="100"/>
      <c r="AS339" s="100"/>
      <c r="AT339" s="100"/>
      <c r="AU339" s="101"/>
    </row>
    <row r="340" spans="29:47" ht="18.75" x14ac:dyDescent="0.3">
      <c r="AC340" s="99"/>
      <c r="AD340" s="100"/>
      <c r="AE340" s="100"/>
      <c r="AF340" s="100"/>
      <c r="AG340" s="100"/>
      <c r="AH340" s="100"/>
      <c r="AI340" s="100"/>
      <c r="AJ340" s="101"/>
      <c r="AK340" s="99"/>
      <c r="AL340" s="100"/>
      <c r="AM340" s="100"/>
      <c r="AN340" s="100"/>
      <c r="AO340" s="100"/>
      <c r="AP340" s="100"/>
      <c r="AQ340" s="100"/>
      <c r="AR340" s="100"/>
      <c r="AS340" s="100"/>
      <c r="AT340" s="100"/>
      <c r="AU340" s="101"/>
    </row>
    <row r="341" spans="29:47" ht="18.75" x14ac:dyDescent="0.3">
      <c r="AC341" s="99"/>
      <c r="AD341" s="100"/>
      <c r="AE341" s="100"/>
      <c r="AF341" s="100"/>
      <c r="AG341" s="100"/>
      <c r="AH341" s="100"/>
      <c r="AI341" s="100"/>
      <c r="AJ341" s="101"/>
      <c r="AK341" s="99"/>
      <c r="AL341" s="100"/>
      <c r="AM341" s="100"/>
      <c r="AN341" s="100"/>
      <c r="AO341" s="100"/>
      <c r="AP341" s="100"/>
      <c r="AQ341" s="100"/>
      <c r="AR341" s="100"/>
      <c r="AS341" s="100"/>
      <c r="AT341" s="100"/>
      <c r="AU341" s="101"/>
    </row>
    <row r="342" spans="29:47" ht="18.75" x14ac:dyDescent="0.3">
      <c r="AC342" s="99"/>
      <c r="AD342" s="100"/>
      <c r="AE342" s="100"/>
      <c r="AF342" s="100"/>
      <c r="AG342" s="100"/>
      <c r="AH342" s="100"/>
      <c r="AI342" s="100"/>
      <c r="AJ342" s="101"/>
      <c r="AK342" s="99"/>
      <c r="AL342" s="100"/>
      <c r="AM342" s="100"/>
      <c r="AN342" s="100"/>
      <c r="AO342" s="100"/>
      <c r="AP342" s="100"/>
      <c r="AQ342" s="100"/>
      <c r="AR342" s="100"/>
      <c r="AS342" s="100"/>
      <c r="AT342" s="100"/>
      <c r="AU342" s="101"/>
    </row>
    <row r="343" spans="29:47" ht="18.75" x14ac:dyDescent="0.3">
      <c r="AC343" s="99"/>
      <c r="AD343" s="100"/>
      <c r="AE343" s="100"/>
      <c r="AF343" s="100"/>
      <c r="AG343" s="100"/>
      <c r="AH343" s="100"/>
      <c r="AI343" s="100"/>
      <c r="AJ343" s="101"/>
      <c r="AK343" s="99"/>
      <c r="AL343" s="100"/>
      <c r="AM343" s="100"/>
      <c r="AN343" s="100"/>
      <c r="AO343" s="100"/>
      <c r="AP343" s="100"/>
      <c r="AQ343" s="100"/>
      <c r="AR343" s="100"/>
      <c r="AS343" s="100"/>
      <c r="AT343" s="100"/>
      <c r="AU343" s="101"/>
    </row>
    <row r="344" spans="29:47" ht="18.75" x14ac:dyDescent="0.3">
      <c r="AC344" s="99"/>
      <c r="AD344" s="100"/>
      <c r="AE344" s="100"/>
      <c r="AF344" s="100"/>
      <c r="AG344" s="100"/>
      <c r="AH344" s="100"/>
      <c r="AI344" s="100"/>
      <c r="AJ344" s="101"/>
      <c r="AK344" s="99"/>
      <c r="AL344" s="100"/>
      <c r="AM344" s="100"/>
      <c r="AN344" s="100"/>
      <c r="AO344" s="100"/>
      <c r="AP344" s="100"/>
      <c r="AQ344" s="100"/>
      <c r="AR344" s="100"/>
      <c r="AS344" s="100"/>
      <c r="AT344" s="100"/>
      <c r="AU344" s="101"/>
    </row>
    <row r="345" spans="29:47" ht="18.75" x14ac:dyDescent="0.3">
      <c r="AC345" s="99"/>
      <c r="AD345" s="100"/>
      <c r="AE345" s="100"/>
      <c r="AF345" s="100"/>
      <c r="AG345" s="100"/>
      <c r="AH345" s="100"/>
      <c r="AI345" s="100"/>
      <c r="AJ345" s="101"/>
      <c r="AK345" s="99"/>
      <c r="AL345" s="100"/>
      <c r="AM345" s="100"/>
      <c r="AN345" s="100"/>
      <c r="AO345" s="100"/>
      <c r="AP345" s="100"/>
      <c r="AQ345" s="100"/>
      <c r="AR345" s="100"/>
      <c r="AS345" s="100"/>
      <c r="AT345" s="100"/>
      <c r="AU345" s="101"/>
    </row>
    <row r="346" spans="29:47" ht="18.75" x14ac:dyDescent="0.3">
      <c r="AC346" s="99"/>
      <c r="AD346" s="100"/>
      <c r="AE346" s="100"/>
      <c r="AF346" s="100"/>
      <c r="AG346" s="100"/>
      <c r="AH346" s="100"/>
      <c r="AI346" s="100"/>
      <c r="AJ346" s="101"/>
      <c r="AK346" s="99"/>
      <c r="AL346" s="100"/>
      <c r="AM346" s="100"/>
      <c r="AN346" s="100"/>
      <c r="AO346" s="100"/>
      <c r="AP346" s="100"/>
      <c r="AQ346" s="100"/>
      <c r="AR346" s="100"/>
      <c r="AS346" s="100"/>
      <c r="AT346" s="100"/>
      <c r="AU346" s="101"/>
    </row>
    <row r="347" spans="29:47" ht="18.75" x14ac:dyDescent="0.3">
      <c r="AC347" s="99"/>
      <c r="AD347" s="100"/>
      <c r="AE347" s="100"/>
      <c r="AF347" s="100"/>
      <c r="AG347" s="100"/>
      <c r="AH347" s="100"/>
      <c r="AI347" s="100"/>
      <c r="AJ347" s="101"/>
      <c r="AK347" s="99"/>
      <c r="AL347" s="100"/>
      <c r="AM347" s="100"/>
      <c r="AN347" s="100"/>
      <c r="AO347" s="100"/>
      <c r="AP347" s="100"/>
      <c r="AQ347" s="100"/>
      <c r="AR347" s="100"/>
      <c r="AS347" s="100"/>
      <c r="AT347" s="100"/>
      <c r="AU347" s="101"/>
    </row>
    <row r="348" spans="29:47" ht="18.75" x14ac:dyDescent="0.3">
      <c r="AC348" s="99"/>
      <c r="AD348" s="100"/>
      <c r="AE348" s="100"/>
      <c r="AF348" s="100"/>
      <c r="AG348" s="100"/>
      <c r="AH348" s="100"/>
      <c r="AI348" s="100"/>
      <c r="AJ348" s="101"/>
      <c r="AK348" s="99"/>
      <c r="AL348" s="100"/>
      <c r="AM348" s="100"/>
      <c r="AN348" s="100"/>
      <c r="AO348" s="100"/>
      <c r="AP348" s="100"/>
      <c r="AQ348" s="100"/>
      <c r="AR348" s="100"/>
      <c r="AS348" s="100"/>
      <c r="AT348" s="100"/>
      <c r="AU348" s="101"/>
    </row>
    <row r="349" spans="29:47" ht="18.75" x14ac:dyDescent="0.3">
      <c r="AC349" s="99"/>
      <c r="AD349" s="100"/>
      <c r="AE349" s="100"/>
      <c r="AF349" s="100"/>
      <c r="AG349" s="100"/>
      <c r="AH349" s="100"/>
      <c r="AI349" s="100"/>
      <c r="AJ349" s="101"/>
      <c r="AK349" s="99"/>
      <c r="AL349" s="100"/>
      <c r="AM349" s="100"/>
      <c r="AN349" s="100"/>
      <c r="AO349" s="100"/>
      <c r="AP349" s="100"/>
      <c r="AQ349" s="100"/>
      <c r="AR349" s="100"/>
      <c r="AS349" s="100"/>
      <c r="AT349" s="100"/>
      <c r="AU349" s="101"/>
    </row>
    <row r="350" spans="29:47" ht="18.75" x14ac:dyDescent="0.3">
      <c r="AC350" s="99"/>
      <c r="AD350" s="100"/>
      <c r="AE350" s="100"/>
      <c r="AF350" s="100"/>
      <c r="AG350" s="100"/>
      <c r="AH350" s="100"/>
      <c r="AI350" s="100"/>
      <c r="AJ350" s="101"/>
      <c r="AK350" s="99"/>
      <c r="AL350" s="100"/>
      <c r="AM350" s="100"/>
      <c r="AN350" s="100"/>
      <c r="AO350" s="100"/>
      <c r="AP350" s="100"/>
      <c r="AQ350" s="100"/>
      <c r="AR350" s="100"/>
      <c r="AS350" s="100"/>
      <c r="AT350" s="100"/>
      <c r="AU350" s="101"/>
    </row>
    <row r="351" spans="29:47" ht="18.75" x14ac:dyDescent="0.3">
      <c r="AC351" s="99"/>
      <c r="AD351" s="100"/>
      <c r="AE351" s="100"/>
      <c r="AF351" s="100"/>
      <c r="AG351" s="100"/>
      <c r="AH351" s="100"/>
      <c r="AI351" s="100"/>
      <c r="AJ351" s="101"/>
      <c r="AK351" s="99"/>
      <c r="AL351" s="100"/>
      <c r="AM351" s="100"/>
      <c r="AN351" s="100"/>
      <c r="AO351" s="100"/>
      <c r="AP351" s="100"/>
      <c r="AQ351" s="100"/>
      <c r="AR351" s="100"/>
      <c r="AS351" s="100"/>
      <c r="AT351" s="100"/>
      <c r="AU351" s="101"/>
    </row>
    <row r="352" spans="29:47" ht="18.75" x14ac:dyDescent="0.3">
      <c r="AC352" s="99"/>
      <c r="AD352" s="100"/>
      <c r="AE352" s="100"/>
      <c r="AF352" s="100"/>
      <c r="AG352" s="100"/>
      <c r="AH352" s="100"/>
      <c r="AI352" s="100"/>
      <c r="AJ352" s="101"/>
      <c r="AK352" s="99"/>
      <c r="AL352" s="100"/>
      <c r="AM352" s="100"/>
      <c r="AN352" s="100"/>
      <c r="AO352" s="100"/>
      <c r="AP352" s="100"/>
      <c r="AQ352" s="100"/>
      <c r="AR352" s="100"/>
      <c r="AS352" s="100"/>
      <c r="AT352" s="100"/>
      <c r="AU352" s="101"/>
    </row>
    <row r="353" spans="29:47" ht="18.75" x14ac:dyDescent="0.3">
      <c r="AC353" s="99"/>
      <c r="AD353" s="100"/>
      <c r="AE353" s="100"/>
      <c r="AF353" s="100"/>
      <c r="AG353" s="100"/>
      <c r="AH353" s="100"/>
      <c r="AI353" s="100"/>
      <c r="AJ353" s="101"/>
      <c r="AK353" s="99"/>
      <c r="AL353" s="100"/>
      <c r="AM353" s="100"/>
      <c r="AN353" s="100"/>
      <c r="AO353" s="100"/>
      <c r="AP353" s="100"/>
      <c r="AQ353" s="100"/>
      <c r="AR353" s="100"/>
      <c r="AS353" s="100"/>
      <c r="AT353" s="100"/>
      <c r="AU353" s="101"/>
    </row>
    <row r="354" spans="29:47" ht="18.75" x14ac:dyDescent="0.3">
      <c r="AC354" s="99"/>
      <c r="AD354" s="100"/>
      <c r="AE354" s="100"/>
      <c r="AF354" s="100"/>
      <c r="AG354" s="100"/>
      <c r="AH354" s="100"/>
      <c r="AI354" s="100"/>
      <c r="AJ354" s="101"/>
      <c r="AK354" s="99"/>
      <c r="AL354" s="100"/>
      <c r="AM354" s="100"/>
      <c r="AN354" s="100"/>
      <c r="AO354" s="100"/>
      <c r="AP354" s="100"/>
      <c r="AQ354" s="100"/>
      <c r="AR354" s="100"/>
      <c r="AS354" s="100"/>
      <c r="AT354" s="100"/>
      <c r="AU354" s="101"/>
    </row>
    <row r="355" spans="29:47" ht="18.75" x14ac:dyDescent="0.3">
      <c r="AC355" s="99"/>
      <c r="AD355" s="100"/>
      <c r="AE355" s="100"/>
      <c r="AF355" s="100"/>
      <c r="AG355" s="100"/>
      <c r="AH355" s="100"/>
      <c r="AI355" s="100"/>
      <c r="AJ355" s="101"/>
      <c r="AK355" s="99"/>
      <c r="AL355" s="100"/>
      <c r="AM355" s="100"/>
      <c r="AN355" s="100"/>
      <c r="AO355" s="100"/>
      <c r="AP355" s="100"/>
      <c r="AQ355" s="100"/>
      <c r="AR355" s="100"/>
      <c r="AS355" s="100"/>
      <c r="AT355" s="100"/>
      <c r="AU355" s="101"/>
    </row>
    <row r="356" spans="29:47" ht="18.75" x14ac:dyDescent="0.3">
      <c r="AC356" s="99"/>
      <c r="AD356" s="100"/>
      <c r="AE356" s="100"/>
      <c r="AF356" s="100"/>
      <c r="AG356" s="100"/>
      <c r="AH356" s="100"/>
      <c r="AI356" s="100"/>
      <c r="AJ356" s="101"/>
      <c r="AK356" s="99"/>
      <c r="AL356" s="100"/>
      <c r="AM356" s="100"/>
      <c r="AN356" s="100"/>
      <c r="AO356" s="100"/>
      <c r="AP356" s="100"/>
      <c r="AQ356" s="100"/>
      <c r="AR356" s="100"/>
      <c r="AS356" s="100"/>
      <c r="AT356" s="100"/>
      <c r="AU356" s="101"/>
    </row>
    <row r="357" spans="29:47" ht="18.75" x14ac:dyDescent="0.3">
      <c r="AC357" s="99"/>
      <c r="AD357" s="100"/>
      <c r="AE357" s="100"/>
      <c r="AF357" s="100"/>
      <c r="AG357" s="100"/>
      <c r="AH357" s="100"/>
      <c r="AI357" s="100"/>
      <c r="AJ357" s="101"/>
      <c r="AK357" s="99"/>
      <c r="AL357" s="100"/>
      <c r="AM357" s="100"/>
      <c r="AN357" s="100"/>
      <c r="AO357" s="100"/>
      <c r="AP357" s="100"/>
      <c r="AQ357" s="100"/>
      <c r="AR357" s="100"/>
      <c r="AS357" s="100"/>
      <c r="AT357" s="100"/>
      <c r="AU357" s="101"/>
    </row>
    <row r="358" spans="29:47" ht="18.75" x14ac:dyDescent="0.3">
      <c r="AC358" s="99"/>
      <c r="AD358" s="100"/>
      <c r="AE358" s="100"/>
      <c r="AF358" s="100"/>
      <c r="AG358" s="100"/>
      <c r="AH358" s="100"/>
      <c r="AI358" s="100"/>
      <c r="AJ358" s="101"/>
      <c r="AK358" s="99"/>
      <c r="AL358" s="100"/>
      <c r="AM358" s="100"/>
      <c r="AN358" s="100"/>
      <c r="AO358" s="100"/>
      <c r="AP358" s="100"/>
      <c r="AQ358" s="100"/>
      <c r="AR358" s="100"/>
      <c r="AS358" s="100"/>
      <c r="AT358" s="100"/>
      <c r="AU358" s="101"/>
    </row>
    <row r="359" spans="29:47" ht="18.75" x14ac:dyDescent="0.3">
      <c r="AC359" s="99"/>
      <c r="AD359" s="100"/>
      <c r="AE359" s="100"/>
      <c r="AF359" s="100"/>
      <c r="AG359" s="100"/>
      <c r="AH359" s="100"/>
      <c r="AI359" s="100"/>
      <c r="AJ359" s="101"/>
      <c r="AK359" s="99"/>
      <c r="AL359" s="100"/>
      <c r="AM359" s="100"/>
      <c r="AN359" s="100"/>
      <c r="AO359" s="100"/>
      <c r="AP359" s="100"/>
      <c r="AQ359" s="100"/>
      <c r="AR359" s="100"/>
      <c r="AS359" s="100"/>
      <c r="AT359" s="100"/>
      <c r="AU359" s="101"/>
    </row>
    <row r="360" spans="29:47" ht="18.75" x14ac:dyDescent="0.3">
      <c r="AC360" s="99"/>
      <c r="AD360" s="100"/>
      <c r="AE360" s="100"/>
      <c r="AF360" s="100"/>
      <c r="AG360" s="100"/>
      <c r="AH360" s="100"/>
      <c r="AI360" s="100"/>
      <c r="AJ360" s="101"/>
      <c r="AK360" s="99"/>
      <c r="AL360" s="100"/>
      <c r="AM360" s="100"/>
      <c r="AN360" s="100"/>
      <c r="AO360" s="100"/>
      <c r="AP360" s="100"/>
      <c r="AQ360" s="100"/>
      <c r="AR360" s="100"/>
      <c r="AS360" s="100"/>
      <c r="AT360" s="100"/>
      <c r="AU360" s="101"/>
    </row>
    <row r="361" spans="29:47" ht="18.75" x14ac:dyDescent="0.3">
      <c r="AC361" s="99"/>
      <c r="AD361" s="100"/>
      <c r="AE361" s="100"/>
      <c r="AF361" s="100"/>
      <c r="AG361" s="100"/>
      <c r="AH361" s="100"/>
      <c r="AI361" s="100"/>
      <c r="AJ361" s="101"/>
      <c r="AK361" s="99"/>
      <c r="AL361" s="100"/>
      <c r="AM361" s="100"/>
      <c r="AN361" s="100"/>
      <c r="AO361" s="100"/>
      <c r="AP361" s="100"/>
      <c r="AQ361" s="100"/>
      <c r="AR361" s="100"/>
      <c r="AS361" s="100"/>
      <c r="AT361" s="100"/>
      <c r="AU361" s="101"/>
    </row>
    <row r="362" spans="29:47" ht="18.75" x14ac:dyDescent="0.3">
      <c r="AC362" s="99"/>
      <c r="AD362" s="100"/>
      <c r="AE362" s="100"/>
      <c r="AF362" s="100"/>
      <c r="AG362" s="100"/>
      <c r="AH362" s="100"/>
      <c r="AI362" s="100"/>
      <c r="AJ362" s="101"/>
      <c r="AK362" s="99"/>
      <c r="AL362" s="100"/>
      <c r="AM362" s="100"/>
      <c r="AN362" s="100"/>
      <c r="AO362" s="100"/>
      <c r="AP362" s="100"/>
      <c r="AQ362" s="100"/>
      <c r="AR362" s="100"/>
      <c r="AS362" s="100"/>
      <c r="AT362" s="100"/>
      <c r="AU362" s="101"/>
    </row>
    <row r="363" spans="29:47" ht="18.75" x14ac:dyDescent="0.3">
      <c r="AC363" s="99"/>
      <c r="AD363" s="100"/>
      <c r="AE363" s="100"/>
      <c r="AF363" s="100"/>
      <c r="AG363" s="100"/>
      <c r="AH363" s="100"/>
      <c r="AI363" s="100"/>
      <c r="AJ363" s="101"/>
      <c r="AK363" s="99"/>
      <c r="AL363" s="100"/>
      <c r="AM363" s="100"/>
      <c r="AN363" s="100"/>
      <c r="AO363" s="100"/>
      <c r="AP363" s="100"/>
      <c r="AQ363" s="100"/>
      <c r="AR363" s="100"/>
      <c r="AS363" s="100"/>
      <c r="AT363" s="100"/>
      <c r="AU363" s="101"/>
    </row>
    <row r="364" spans="29:47" ht="18.75" x14ac:dyDescent="0.3">
      <c r="AC364" s="99"/>
      <c r="AD364" s="100"/>
      <c r="AE364" s="100"/>
      <c r="AF364" s="100"/>
      <c r="AG364" s="100"/>
      <c r="AH364" s="100"/>
      <c r="AI364" s="100"/>
      <c r="AJ364" s="101"/>
      <c r="AK364" s="99"/>
      <c r="AL364" s="100"/>
      <c r="AM364" s="100"/>
      <c r="AN364" s="100"/>
      <c r="AO364" s="100"/>
      <c r="AP364" s="100"/>
      <c r="AQ364" s="100"/>
      <c r="AR364" s="100"/>
      <c r="AS364" s="100"/>
      <c r="AT364" s="100"/>
      <c r="AU364" s="101"/>
    </row>
    <row r="365" spans="29:47" ht="18.75" x14ac:dyDescent="0.3">
      <c r="AC365" s="99"/>
      <c r="AD365" s="100"/>
      <c r="AE365" s="100"/>
      <c r="AF365" s="100"/>
      <c r="AG365" s="100"/>
      <c r="AH365" s="100"/>
      <c r="AI365" s="100"/>
      <c r="AJ365" s="101"/>
      <c r="AK365" s="99"/>
      <c r="AL365" s="100"/>
      <c r="AM365" s="100"/>
      <c r="AN365" s="100"/>
      <c r="AO365" s="100"/>
      <c r="AP365" s="100"/>
      <c r="AQ365" s="100"/>
      <c r="AR365" s="100"/>
      <c r="AS365" s="100"/>
      <c r="AT365" s="100"/>
      <c r="AU365" s="101"/>
    </row>
    <row r="366" spans="29:47" ht="18.75" x14ac:dyDescent="0.3">
      <c r="AC366" s="99"/>
      <c r="AD366" s="100"/>
      <c r="AE366" s="100"/>
      <c r="AF366" s="100"/>
      <c r="AG366" s="100"/>
      <c r="AH366" s="100"/>
      <c r="AI366" s="100"/>
      <c r="AJ366" s="101"/>
      <c r="AK366" s="99"/>
      <c r="AL366" s="100"/>
      <c r="AM366" s="100"/>
      <c r="AN366" s="100"/>
      <c r="AO366" s="100"/>
      <c r="AP366" s="100"/>
      <c r="AQ366" s="100"/>
      <c r="AR366" s="100"/>
      <c r="AS366" s="100"/>
      <c r="AT366" s="100"/>
      <c r="AU366" s="101"/>
    </row>
    <row r="367" spans="29:47" ht="18.75" x14ac:dyDescent="0.3">
      <c r="AC367" s="99"/>
      <c r="AD367" s="100"/>
      <c r="AE367" s="100"/>
      <c r="AF367" s="100"/>
      <c r="AG367" s="100"/>
      <c r="AH367" s="100"/>
      <c r="AI367" s="100"/>
      <c r="AJ367" s="101"/>
      <c r="AK367" s="99"/>
      <c r="AL367" s="100"/>
      <c r="AM367" s="100"/>
      <c r="AN367" s="100"/>
      <c r="AO367" s="100"/>
      <c r="AP367" s="100"/>
      <c r="AQ367" s="100"/>
      <c r="AR367" s="100"/>
      <c r="AS367" s="100"/>
      <c r="AT367" s="100"/>
      <c r="AU367" s="101"/>
    </row>
    <row r="368" spans="29:47" ht="18.75" x14ac:dyDescent="0.3">
      <c r="AC368" s="99"/>
      <c r="AD368" s="100"/>
      <c r="AE368" s="100"/>
      <c r="AF368" s="100"/>
      <c r="AG368" s="100"/>
      <c r="AH368" s="100"/>
      <c r="AI368" s="100"/>
      <c r="AJ368" s="101"/>
      <c r="AK368" s="99"/>
      <c r="AL368" s="100"/>
      <c r="AM368" s="100"/>
      <c r="AN368" s="100"/>
      <c r="AO368" s="100"/>
      <c r="AP368" s="100"/>
      <c r="AQ368" s="100"/>
      <c r="AR368" s="100"/>
      <c r="AS368" s="100"/>
      <c r="AT368" s="100"/>
      <c r="AU368" s="101"/>
    </row>
    <row r="369" spans="29:47" ht="18.75" x14ac:dyDescent="0.3">
      <c r="AC369" s="99"/>
      <c r="AD369" s="100"/>
      <c r="AE369" s="100"/>
      <c r="AF369" s="100"/>
      <c r="AG369" s="100"/>
      <c r="AH369" s="100"/>
      <c r="AI369" s="100"/>
      <c r="AJ369" s="101"/>
      <c r="AK369" s="99"/>
      <c r="AL369" s="100"/>
      <c r="AM369" s="100"/>
      <c r="AN369" s="100"/>
      <c r="AO369" s="100"/>
      <c r="AP369" s="100"/>
      <c r="AQ369" s="100"/>
      <c r="AR369" s="100"/>
      <c r="AS369" s="100"/>
      <c r="AT369" s="100"/>
      <c r="AU369" s="101"/>
    </row>
    <row r="370" spans="29:47" ht="18.75" x14ac:dyDescent="0.3">
      <c r="AC370" s="99"/>
      <c r="AD370" s="100"/>
      <c r="AE370" s="100"/>
      <c r="AF370" s="100"/>
      <c r="AG370" s="100"/>
      <c r="AH370" s="100"/>
      <c r="AI370" s="100"/>
      <c r="AJ370" s="101"/>
      <c r="AK370" s="99"/>
      <c r="AL370" s="100"/>
      <c r="AM370" s="100"/>
      <c r="AN370" s="100"/>
      <c r="AO370" s="100"/>
      <c r="AP370" s="100"/>
      <c r="AQ370" s="100"/>
      <c r="AR370" s="100"/>
      <c r="AS370" s="100"/>
      <c r="AT370" s="100"/>
      <c r="AU370" s="101"/>
    </row>
    <row r="371" spans="29:47" ht="18.75" x14ac:dyDescent="0.3">
      <c r="AC371" s="99"/>
      <c r="AD371" s="100"/>
      <c r="AE371" s="100"/>
      <c r="AF371" s="100"/>
      <c r="AG371" s="100"/>
      <c r="AH371" s="100"/>
      <c r="AI371" s="100"/>
      <c r="AJ371" s="101"/>
      <c r="AK371" s="99"/>
      <c r="AL371" s="100"/>
      <c r="AM371" s="100"/>
      <c r="AN371" s="100"/>
      <c r="AO371" s="100"/>
      <c r="AP371" s="100"/>
      <c r="AQ371" s="100"/>
      <c r="AR371" s="100"/>
      <c r="AS371" s="100"/>
      <c r="AT371" s="100"/>
      <c r="AU371" s="101"/>
    </row>
    <row r="372" spans="29:47" ht="18.75" x14ac:dyDescent="0.3">
      <c r="AC372" s="99"/>
      <c r="AD372" s="100"/>
      <c r="AE372" s="100"/>
      <c r="AF372" s="100"/>
      <c r="AG372" s="100"/>
      <c r="AH372" s="100"/>
      <c r="AI372" s="100"/>
      <c r="AJ372" s="101"/>
      <c r="AK372" s="99"/>
      <c r="AL372" s="100"/>
      <c r="AM372" s="100"/>
      <c r="AN372" s="100"/>
      <c r="AO372" s="100"/>
      <c r="AP372" s="100"/>
      <c r="AQ372" s="100"/>
      <c r="AR372" s="100"/>
      <c r="AS372" s="100"/>
      <c r="AT372" s="100"/>
      <c r="AU372" s="101"/>
    </row>
    <row r="373" spans="29:47" ht="18.75" x14ac:dyDescent="0.3">
      <c r="AC373" s="99"/>
      <c r="AD373" s="100"/>
      <c r="AE373" s="100"/>
      <c r="AF373" s="100"/>
      <c r="AG373" s="100"/>
      <c r="AH373" s="100"/>
      <c r="AI373" s="100"/>
      <c r="AJ373" s="101"/>
      <c r="AK373" s="99"/>
      <c r="AL373" s="100"/>
      <c r="AM373" s="100"/>
      <c r="AN373" s="100"/>
      <c r="AO373" s="100"/>
      <c r="AP373" s="100"/>
      <c r="AQ373" s="100"/>
      <c r="AR373" s="100"/>
      <c r="AS373" s="100"/>
      <c r="AT373" s="100"/>
      <c r="AU373" s="101"/>
    </row>
    <row r="374" spans="29:47" ht="18.75" x14ac:dyDescent="0.3">
      <c r="AC374" s="99"/>
      <c r="AD374" s="100"/>
      <c r="AE374" s="100"/>
      <c r="AF374" s="100"/>
      <c r="AG374" s="100"/>
      <c r="AH374" s="100"/>
      <c r="AI374" s="100"/>
      <c r="AJ374" s="101"/>
      <c r="AK374" s="99"/>
      <c r="AL374" s="100"/>
      <c r="AM374" s="100"/>
      <c r="AN374" s="100"/>
      <c r="AO374" s="100"/>
      <c r="AP374" s="100"/>
      <c r="AQ374" s="100"/>
      <c r="AR374" s="100"/>
      <c r="AS374" s="100"/>
      <c r="AT374" s="100"/>
      <c r="AU374" s="101"/>
    </row>
    <row r="375" spans="29:47" ht="18.75" x14ac:dyDescent="0.3">
      <c r="AC375" s="99"/>
      <c r="AD375" s="100"/>
      <c r="AE375" s="100"/>
      <c r="AF375" s="100"/>
      <c r="AG375" s="100"/>
      <c r="AH375" s="100"/>
      <c r="AI375" s="100"/>
      <c r="AJ375" s="101"/>
      <c r="AK375" s="99"/>
      <c r="AL375" s="100"/>
      <c r="AM375" s="100"/>
      <c r="AN375" s="100"/>
      <c r="AO375" s="100"/>
      <c r="AP375" s="100"/>
      <c r="AQ375" s="100"/>
      <c r="AR375" s="100"/>
      <c r="AS375" s="100"/>
      <c r="AT375" s="100"/>
      <c r="AU375" s="101"/>
    </row>
    <row r="376" spans="29:47" ht="18.75" x14ac:dyDescent="0.3">
      <c r="AC376" s="99"/>
      <c r="AD376" s="100"/>
      <c r="AE376" s="100"/>
      <c r="AF376" s="100"/>
      <c r="AG376" s="100"/>
      <c r="AH376" s="100"/>
      <c r="AI376" s="100"/>
      <c r="AJ376" s="101"/>
      <c r="AK376" s="99"/>
      <c r="AL376" s="100"/>
      <c r="AM376" s="100"/>
      <c r="AN376" s="100"/>
      <c r="AO376" s="100"/>
      <c r="AP376" s="100"/>
      <c r="AQ376" s="100"/>
      <c r="AR376" s="100"/>
      <c r="AS376" s="100"/>
      <c r="AT376" s="100"/>
      <c r="AU376" s="101"/>
    </row>
    <row r="377" spans="29:47" ht="18.75" x14ac:dyDescent="0.3">
      <c r="AC377" s="99"/>
      <c r="AD377" s="100"/>
      <c r="AE377" s="100"/>
      <c r="AF377" s="100"/>
      <c r="AG377" s="100"/>
      <c r="AH377" s="100"/>
      <c r="AI377" s="100"/>
      <c r="AJ377" s="101"/>
      <c r="AK377" s="99"/>
      <c r="AL377" s="100"/>
      <c r="AM377" s="100"/>
      <c r="AN377" s="100"/>
      <c r="AO377" s="100"/>
      <c r="AP377" s="100"/>
      <c r="AQ377" s="100"/>
      <c r="AR377" s="100"/>
      <c r="AS377" s="100"/>
      <c r="AT377" s="100"/>
      <c r="AU377" s="101"/>
    </row>
    <row r="378" spans="29:47" ht="18.75" x14ac:dyDescent="0.3">
      <c r="AC378" s="99"/>
      <c r="AD378" s="100"/>
      <c r="AE378" s="100"/>
      <c r="AF378" s="100"/>
      <c r="AG378" s="100"/>
      <c r="AH378" s="100"/>
      <c r="AI378" s="100"/>
      <c r="AJ378" s="101"/>
      <c r="AK378" s="99"/>
      <c r="AL378" s="100"/>
      <c r="AM378" s="100"/>
      <c r="AN378" s="100"/>
      <c r="AO378" s="100"/>
      <c r="AP378" s="100"/>
      <c r="AQ378" s="100"/>
      <c r="AR378" s="100"/>
      <c r="AS378" s="100"/>
      <c r="AT378" s="100"/>
      <c r="AU378" s="101"/>
    </row>
    <row r="379" spans="29:47" ht="18.75" x14ac:dyDescent="0.3">
      <c r="AC379" s="99"/>
      <c r="AD379" s="100"/>
      <c r="AE379" s="100"/>
      <c r="AF379" s="100"/>
      <c r="AG379" s="100"/>
      <c r="AH379" s="100"/>
      <c r="AI379" s="100"/>
      <c r="AJ379" s="101"/>
      <c r="AK379" s="99"/>
      <c r="AL379" s="100"/>
      <c r="AM379" s="100"/>
      <c r="AN379" s="100"/>
      <c r="AO379" s="100"/>
      <c r="AP379" s="100"/>
      <c r="AQ379" s="100"/>
      <c r="AR379" s="100"/>
      <c r="AS379" s="100"/>
      <c r="AT379" s="100"/>
      <c r="AU379" s="101"/>
    </row>
    <row r="380" spans="29:47" ht="18.75" x14ac:dyDescent="0.3">
      <c r="AC380" s="99"/>
      <c r="AD380" s="100"/>
      <c r="AE380" s="100"/>
      <c r="AF380" s="100"/>
      <c r="AG380" s="100"/>
      <c r="AH380" s="100"/>
      <c r="AI380" s="100"/>
      <c r="AJ380" s="101"/>
      <c r="AK380" s="99"/>
      <c r="AL380" s="100"/>
      <c r="AM380" s="100"/>
      <c r="AN380" s="100"/>
      <c r="AO380" s="100"/>
      <c r="AP380" s="100"/>
      <c r="AQ380" s="100"/>
      <c r="AR380" s="100"/>
      <c r="AS380" s="100"/>
      <c r="AT380" s="100"/>
      <c r="AU380" s="101"/>
    </row>
    <row r="381" spans="29:47" ht="18.75" x14ac:dyDescent="0.3">
      <c r="AC381" s="99"/>
      <c r="AD381" s="100"/>
      <c r="AE381" s="100"/>
      <c r="AF381" s="100"/>
      <c r="AG381" s="100"/>
      <c r="AH381" s="100"/>
      <c r="AI381" s="100"/>
      <c r="AJ381" s="101"/>
      <c r="AK381" s="99"/>
      <c r="AL381" s="100"/>
      <c r="AM381" s="100"/>
      <c r="AN381" s="100"/>
      <c r="AO381" s="100"/>
      <c r="AP381" s="100"/>
      <c r="AQ381" s="100"/>
      <c r="AR381" s="100"/>
      <c r="AS381" s="100"/>
      <c r="AT381" s="100"/>
      <c r="AU381" s="101"/>
    </row>
    <row r="382" spans="29:47" ht="18.75" x14ac:dyDescent="0.3">
      <c r="AC382" s="99"/>
      <c r="AD382" s="100"/>
      <c r="AE382" s="100"/>
      <c r="AF382" s="100"/>
      <c r="AG382" s="100"/>
      <c r="AH382" s="100"/>
      <c r="AI382" s="100"/>
      <c r="AJ382" s="101"/>
      <c r="AK382" s="99"/>
      <c r="AL382" s="100"/>
      <c r="AM382" s="100"/>
      <c r="AN382" s="100"/>
      <c r="AO382" s="100"/>
      <c r="AP382" s="100"/>
      <c r="AQ382" s="100"/>
      <c r="AR382" s="100"/>
      <c r="AS382" s="100"/>
      <c r="AT382" s="100"/>
      <c r="AU382" s="101"/>
    </row>
    <row r="383" spans="29:47" ht="18.75" x14ac:dyDescent="0.3">
      <c r="AC383" s="99"/>
      <c r="AD383" s="100"/>
      <c r="AE383" s="100"/>
      <c r="AF383" s="100"/>
      <c r="AG383" s="100"/>
      <c r="AH383" s="100"/>
      <c r="AI383" s="100"/>
      <c r="AJ383" s="101"/>
      <c r="AK383" s="99"/>
      <c r="AL383" s="100"/>
      <c r="AM383" s="100"/>
      <c r="AN383" s="100"/>
      <c r="AO383" s="100"/>
      <c r="AP383" s="100"/>
      <c r="AQ383" s="100"/>
      <c r="AR383" s="100"/>
      <c r="AS383" s="100"/>
      <c r="AT383" s="100"/>
      <c r="AU383" s="101"/>
    </row>
    <row r="384" spans="29:47" ht="18.75" x14ac:dyDescent="0.3">
      <c r="AC384" s="99"/>
      <c r="AD384" s="100"/>
      <c r="AE384" s="100"/>
      <c r="AF384" s="100"/>
      <c r="AG384" s="100"/>
      <c r="AH384" s="100"/>
      <c r="AI384" s="100"/>
      <c r="AJ384" s="101"/>
      <c r="AK384" s="99"/>
      <c r="AL384" s="100"/>
      <c r="AM384" s="100"/>
      <c r="AN384" s="100"/>
      <c r="AO384" s="100"/>
      <c r="AP384" s="100"/>
      <c r="AQ384" s="100"/>
      <c r="AR384" s="100"/>
      <c r="AS384" s="100"/>
      <c r="AT384" s="100"/>
      <c r="AU384" s="101"/>
    </row>
    <row r="385" spans="29:47" ht="18.75" x14ac:dyDescent="0.3">
      <c r="AC385" s="99"/>
      <c r="AD385" s="100"/>
      <c r="AE385" s="100"/>
      <c r="AF385" s="100"/>
      <c r="AG385" s="100"/>
      <c r="AH385" s="100"/>
      <c r="AI385" s="100"/>
      <c r="AJ385" s="101"/>
      <c r="AK385" s="99"/>
      <c r="AL385" s="100"/>
      <c r="AM385" s="100"/>
      <c r="AN385" s="100"/>
      <c r="AO385" s="100"/>
      <c r="AP385" s="100"/>
      <c r="AQ385" s="100"/>
      <c r="AR385" s="100"/>
      <c r="AS385" s="100"/>
      <c r="AT385" s="100"/>
      <c r="AU385" s="101"/>
    </row>
    <row r="386" spans="29:47" ht="18.75" x14ac:dyDescent="0.3">
      <c r="AC386" s="99"/>
      <c r="AD386" s="100"/>
      <c r="AE386" s="100"/>
      <c r="AF386" s="100"/>
      <c r="AG386" s="100"/>
      <c r="AH386" s="100"/>
      <c r="AI386" s="100"/>
      <c r="AJ386" s="101"/>
      <c r="AK386" s="99"/>
      <c r="AL386" s="100"/>
      <c r="AM386" s="100"/>
      <c r="AN386" s="100"/>
      <c r="AO386" s="100"/>
      <c r="AP386" s="100"/>
      <c r="AQ386" s="100"/>
      <c r="AR386" s="100"/>
      <c r="AS386" s="100"/>
      <c r="AT386" s="100"/>
      <c r="AU386" s="101"/>
    </row>
    <row r="387" spans="29:47" ht="18.75" x14ac:dyDescent="0.3">
      <c r="AC387" s="99"/>
      <c r="AD387" s="100"/>
      <c r="AE387" s="100"/>
      <c r="AF387" s="100"/>
      <c r="AG387" s="100"/>
      <c r="AH387" s="100"/>
      <c r="AI387" s="100"/>
      <c r="AJ387" s="101"/>
      <c r="AK387" s="99"/>
      <c r="AL387" s="100"/>
      <c r="AM387" s="100"/>
      <c r="AN387" s="100"/>
      <c r="AO387" s="100"/>
      <c r="AP387" s="100"/>
      <c r="AQ387" s="100"/>
      <c r="AR387" s="100"/>
      <c r="AS387" s="100"/>
      <c r="AT387" s="100"/>
      <c r="AU387" s="101"/>
    </row>
    <row r="388" spans="29:47" ht="18.75" x14ac:dyDescent="0.3">
      <c r="AC388" s="99"/>
      <c r="AD388" s="100"/>
      <c r="AE388" s="100"/>
      <c r="AF388" s="100"/>
      <c r="AG388" s="100"/>
      <c r="AH388" s="100"/>
      <c r="AI388" s="100"/>
      <c r="AJ388" s="101"/>
      <c r="AK388" s="99"/>
      <c r="AL388" s="100"/>
      <c r="AM388" s="100"/>
      <c r="AN388" s="100"/>
      <c r="AO388" s="100"/>
      <c r="AP388" s="100"/>
      <c r="AQ388" s="100"/>
      <c r="AR388" s="100"/>
      <c r="AS388" s="100"/>
      <c r="AT388" s="100"/>
      <c r="AU388" s="101"/>
    </row>
    <row r="389" spans="29:47" ht="18.75" x14ac:dyDescent="0.3">
      <c r="AC389" s="99"/>
      <c r="AD389" s="100"/>
      <c r="AE389" s="100"/>
      <c r="AF389" s="100"/>
      <c r="AG389" s="100"/>
      <c r="AH389" s="100"/>
      <c r="AI389" s="100"/>
      <c r="AJ389" s="101"/>
      <c r="AK389" s="99"/>
      <c r="AL389" s="100"/>
      <c r="AM389" s="100"/>
      <c r="AN389" s="100"/>
      <c r="AO389" s="100"/>
      <c r="AP389" s="100"/>
      <c r="AQ389" s="100"/>
      <c r="AR389" s="100"/>
      <c r="AS389" s="100"/>
      <c r="AT389" s="100"/>
      <c r="AU389" s="101"/>
    </row>
    <row r="390" spans="29:47" ht="18.75" x14ac:dyDescent="0.3">
      <c r="AC390" s="99"/>
      <c r="AD390" s="100"/>
      <c r="AE390" s="100"/>
      <c r="AF390" s="100"/>
      <c r="AG390" s="100"/>
      <c r="AH390" s="100"/>
      <c r="AI390" s="100"/>
      <c r="AJ390" s="101"/>
      <c r="AK390" s="99"/>
      <c r="AL390" s="100"/>
      <c r="AM390" s="100"/>
      <c r="AN390" s="100"/>
      <c r="AO390" s="100"/>
      <c r="AP390" s="100"/>
      <c r="AQ390" s="100"/>
      <c r="AR390" s="100"/>
      <c r="AS390" s="100"/>
      <c r="AT390" s="100"/>
      <c r="AU390" s="101"/>
    </row>
    <row r="391" spans="29:47" ht="18.75" x14ac:dyDescent="0.3">
      <c r="AC391" s="99"/>
      <c r="AD391" s="100"/>
      <c r="AE391" s="100"/>
      <c r="AF391" s="100"/>
      <c r="AG391" s="100"/>
      <c r="AH391" s="100"/>
      <c r="AI391" s="100"/>
      <c r="AJ391" s="101"/>
      <c r="AK391" s="99"/>
      <c r="AL391" s="100"/>
      <c r="AM391" s="100"/>
      <c r="AN391" s="100"/>
      <c r="AO391" s="100"/>
      <c r="AP391" s="100"/>
      <c r="AQ391" s="100"/>
      <c r="AR391" s="100"/>
      <c r="AS391" s="100"/>
      <c r="AT391" s="100"/>
      <c r="AU391" s="101"/>
    </row>
    <row r="392" spans="29:47" ht="18.75" x14ac:dyDescent="0.3">
      <c r="AC392" s="99"/>
      <c r="AD392" s="100"/>
      <c r="AE392" s="100"/>
      <c r="AF392" s="100"/>
      <c r="AG392" s="100"/>
      <c r="AH392" s="100"/>
      <c r="AI392" s="100"/>
      <c r="AJ392" s="101"/>
      <c r="AK392" s="99"/>
      <c r="AL392" s="100"/>
      <c r="AM392" s="100"/>
      <c r="AN392" s="100"/>
      <c r="AO392" s="100"/>
      <c r="AP392" s="100"/>
      <c r="AQ392" s="100"/>
      <c r="AR392" s="100"/>
      <c r="AS392" s="100"/>
      <c r="AT392" s="100"/>
      <c r="AU392" s="101"/>
    </row>
    <row r="393" spans="29:47" ht="18.75" x14ac:dyDescent="0.3">
      <c r="AC393" s="99"/>
      <c r="AD393" s="100"/>
      <c r="AE393" s="100"/>
      <c r="AF393" s="100"/>
      <c r="AG393" s="100"/>
      <c r="AH393" s="100"/>
      <c r="AI393" s="100"/>
      <c r="AJ393" s="101"/>
      <c r="AK393" s="99"/>
      <c r="AL393" s="100"/>
      <c r="AM393" s="100"/>
      <c r="AN393" s="100"/>
      <c r="AO393" s="100"/>
      <c r="AP393" s="100"/>
      <c r="AQ393" s="100"/>
      <c r="AR393" s="100"/>
      <c r="AS393" s="100"/>
      <c r="AT393" s="100"/>
      <c r="AU393" s="101"/>
    </row>
    <row r="394" spans="29:47" ht="18.75" x14ac:dyDescent="0.3">
      <c r="AC394" s="99"/>
      <c r="AD394" s="100"/>
      <c r="AE394" s="100"/>
      <c r="AF394" s="100"/>
      <c r="AG394" s="100"/>
      <c r="AH394" s="100"/>
      <c r="AI394" s="100"/>
      <c r="AJ394" s="101"/>
      <c r="AK394" s="99"/>
      <c r="AL394" s="100"/>
      <c r="AM394" s="100"/>
      <c r="AN394" s="100"/>
      <c r="AO394" s="100"/>
      <c r="AP394" s="100"/>
      <c r="AQ394" s="100"/>
      <c r="AR394" s="100"/>
      <c r="AS394" s="100"/>
      <c r="AT394" s="100"/>
      <c r="AU394" s="101"/>
    </row>
    <row r="395" spans="29:47" ht="18.75" x14ac:dyDescent="0.3">
      <c r="AC395" s="99"/>
      <c r="AD395" s="100"/>
      <c r="AE395" s="100"/>
      <c r="AF395" s="100"/>
      <c r="AG395" s="100"/>
      <c r="AH395" s="100"/>
      <c r="AI395" s="100"/>
      <c r="AJ395" s="101"/>
      <c r="AK395" s="99"/>
      <c r="AL395" s="100"/>
      <c r="AM395" s="100"/>
      <c r="AN395" s="100"/>
      <c r="AO395" s="100"/>
      <c r="AP395" s="100"/>
      <c r="AQ395" s="100"/>
      <c r="AR395" s="100"/>
      <c r="AS395" s="100"/>
      <c r="AT395" s="100"/>
      <c r="AU395" s="101"/>
    </row>
    <row r="396" spans="29:47" ht="18.75" x14ac:dyDescent="0.3">
      <c r="AC396" s="99"/>
      <c r="AD396" s="100"/>
      <c r="AE396" s="100"/>
      <c r="AF396" s="100"/>
      <c r="AG396" s="100"/>
      <c r="AH396" s="100"/>
      <c r="AI396" s="100"/>
      <c r="AJ396" s="101"/>
      <c r="AK396" s="99"/>
      <c r="AL396" s="100"/>
      <c r="AM396" s="100"/>
      <c r="AN396" s="100"/>
      <c r="AO396" s="100"/>
      <c r="AP396" s="100"/>
      <c r="AQ396" s="100"/>
      <c r="AR396" s="100"/>
      <c r="AS396" s="100"/>
      <c r="AT396" s="100"/>
      <c r="AU396" s="101"/>
    </row>
    <row r="397" spans="29:47" ht="18.75" x14ac:dyDescent="0.3">
      <c r="AC397" s="99"/>
      <c r="AD397" s="100"/>
      <c r="AE397" s="100"/>
      <c r="AF397" s="100"/>
      <c r="AG397" s="100"/>
      <c r="AH397" s="100"/>
      <c r="AI397" s="100"/>
      <c r="AJ397" s="101"/>
      <c r="AK397" s="99"/>
      <c r="AL397" s="100"/>
      <c r="AM397" s="100"/>
      <c r="AN397" s="100"/>
      <c r="AO397" s="100"/>
      <c r="AP397" s="100"/>
      <c r="AQ397" s="100"/>
      <c r="AR397" s="100"/>
      <c r="AS397" s="100"/>
      <c r="AT397" s="100"/>
      <c r="AU397" s="101"/>
    </row>
    <row r="398" spans="29:47" ht="18.75" x14ac:dyDescent="0.3">
      <c r="AC398" s="99"/>
      <c r="AD398" s="100"/>
      <c r="AE398" s="100"/>
      <c r="AF398" s="100"/>
      <c r="AG398" s="100"/>
      <c r="AH398" s="100"/>
      <c r="AI398" s="100"/>
      <c r="AJ398" s="101"/>
      <c r="AK398" s="99"/>
      <c r="AL398" s="100"/>
      <c r="AM398" s="100"/>
      <c r="AN398" s="100"/>
      <c r="AO398" s="100"/>
      <c r="AP398" s="100"/>
      <c r="AQ398" s="100"/>
      <c r="AR398" s="100"/>
      <c r="AS398" s="100"/>
      <c r="AT398" s="100"/>
      <c r="AU398" s="101"/>
    </row>
    <row r="399" spans="29:47" ht="18.75" x14ac:dyDescent="0.3">
      <c r="AC399" s="99"/>
      <c r="AD399" s="100"/>
      <c r="AE399" s="100"/>
      <c r="AF399" s="100"/>
      <c r="AG399" s="100"/>
      <c r="AH399" s="100"/>
      <c r="AI399" s="100"/>
      <c r="AJ399" s="101"/>
      <c r="AK399" s="99"/>
      <c r="AL399" s="100"/>
      <c r="AM399" s="100"/>
      <c r="AN399" s="100"/>
      <c r="AO399" s="100"/>
      <c r="AP399" s="100"/>
      <c r="AQ399" s="100"/>
      <c r="AR399" s="100"/>
      <c r="AS399" s="100"/>
      <c r="AT399" s="100"/>
      <c r="AU399" s="101"/>
    </row>
    <row r="400" spans="29:47" ht="18.75" x14ac:dyDescent="0.3">
      <c r="AC400" s="99"/>
      <c r="AD400" s="100"/>
      <c r="AE400" s="100"/>
      <c r="AF400" s="100"/>
      <c r="AG400" s="100"/>
      <c r="AH400" s="100"/>
      <c r="AI400" s="100"/>
      <c r="AJ400" s="101"/>
      <c r="AK400" s="99"/>
      <c r="AL400" s="100"/>
      <c r="AM400" s="100"/>
      <c r="AN400" s="100"/>
      <c r="AO400" s="100"/>
      <c r="AP400" s="100"/>
      <c r="AQ400" s="100"/>
      <c r="AR400" s="100"/>
      <c r="AS400" s="100"/>
      <c r="AT400" s="100"/>
      <c r="AU400" s="101"/>
    </row>
    <row r="401" spans="29:47" ht="18.75" x14ac:dyDescent="0.3">
      <c r="AC401" s="99"/>
      <c r="AD401" s="100"/>
      <c r="AE401" s="100"/>
      <c r="AF401" s="100"/>
      <c r="AG401" s="100"/>
      <c r="AH401" s="100"/>
      <c r="AI401" s="100"/>
      <c r="AJ401" s="101"/>
      <c r="AK401" s="99"/>
      <c r="AL401" s="100"/>
      <c r="AM401" s="100"/>
      <c r="AN401" s="100"/>
      <c r="AO401" s="100"/>
      <c r="AP401" s="100"/>
      <c r="AQ401" s="100"/>
      <c r="AR401" s="100"/>
      <c r="AS401" s="100"/>
      <c r="AT401" s="100"/>
      <c r="AU401" s="101"/>
    </row>
    <row r="402" spans="29:47" ht="18.75" x14ac:dyDescent="0.3">
      <c r="AC402" s="99"/>
      <c r="AD402" s="100"/>
      <c r="AE402" s="100"/>
      <c r="AF402" s="100"/>
      <c r="AG402" s="100"/>
      <c r="AH402" s="100"/>
      <c r="AI402" s="100"/>
      <c r="AJ402" s="101"/>
      <c r="AK402" s="99"/>
      <c r="AL402" s="100"/>
      <c r="AM402" s="100"/>
      <c r="AN402" s="100"/>
      <c r="AO402" s="100"/>
      <c r="AP402" s="100"/>
      <c r="AQ402" s="100"/>
      <c r="AR402" s="100"/>
      <c r="AS402" s="100"/>
      <c r="AT402" s="100"/>
      <c r="AU402" s="101"/>
    </row>
    <row r="403" spans="29:47" ht="18.75" x14ac:dyDescent="0.3">
      <c r="AC403" s="99"/>
      <c r="AD403" s="100"/>
      <c r="AE403" s="100"/>
      <c r="AF403" s="100"/>
      <c r="AG403" s="100"/>
      <c r="AH403" s="100"/>
      <c r="AI403" s="100"/>
      <c r="AJ403" s="101"/>
      <c r="AK403" s="99"/>
      <c r="AL403" s="100"/>
      <c r="AM403" s="100"/>
      <c r="AN403" s="100"/>
      <c r="AO403" s="100"/>
      <c r="AP403" s="100"/>
      <c r="AQ403" s="100"/>
      <c r="AR403" s="100"/>
      <c r="AS403" s="100"/>
      <c r="AT403" s="100"/>
      <c r="AU403" s="101"/>
    </row>
    <row r="404" spans="29:47" ht="18.75" x14ac:dyDescent="0.3">
      <c r="AC404" s="99"/>
      <c r="AD404" s="100"/>
      <c r="AE404" s="100"/>
      <c r="AF404" s="100"/>
      <c r="AG404" s="100"/>
      <c r="AH404" s="100"/>
      <c r="AI404" s="100"/>
      <c r="AJ404" s="101"/>
      <c r="AK404" s="99"/>
      <c r="AL404" s="100"/>
      <c r="AM404" s="100"/>
      <c r="AN404" s="100"/>
      <c r="AO404" s="100"/>
      <c r="AP404" s="100"/>
      <c r="AQ404" s="100"/>
      <c r="AR404" s="100"/>
      <c r="AS404" s="100"/>
      <c r="AT404" s="100"/>
      <c r="AU404" s="101"/>
    </row>
    <row r="405" spans="29:47" ht="18.75" x14ac:dyDescent="0.3">
      <c r="AC405" s="99"/>
      <c r="AD405" s="100"/>
      <c r="AE405" s="100"/>
      <c r="AF405" s="100"/>
      <c r="AG405" s="100"/>
      <c r="AH405" s="100"/>
      <c r="AI405" s="100"/>
      <c r="AJ405" s="101"/>
      <c r="AK405" s="99"/>
      <c r="AL405" s="100"/>
      <c r="AM405" s="100"/>
      <c r="AN405" s="100"/>
      <c r="AO405" s="100"/>
      <c r="AP405" s="100"/>
      <c r="AQ405" s="100"/>
      <c r="AR405" s="100"/>
      <c r="AS405" s="100"/>
      <c r="AT405" s="100"/>
      <c r="AU405" s="101"/>
    </row>
    <row r="406" spans="29:47" ht="18.75" x14ac:dyDescent="0.3">
      <c r="AC406" s="99"/>
      <c r="AD406" s="100"/>
      <c r="AE406" s="100"/>
      <c r="AF406" s="100"/>
      <c r="AG406" s="100"/>
      <c r="AH406" s="100"/>
      <c r="AI406" s="100"/>
      <c r="AJ406" s="101"/>
      <c r="AK406" s="99"/>
      <c r="AL406" s="100"/>
      <c r="AM406" s="100"/>
      <c r="AN406" s="100"/>
      <c r="AO406" s="100"/>
      <c r="AP406" s="100"/>
      <c r="AQ406" s="100"/>
      <c r="AR406" s="100"/>
      <c r="AS406" s="100"/>
      <c r="AT406" s="100"/>
      <c r="AU406" s="101"/>
    </row>
    <row r="407" spans="29:47" ht="18.75" x14ac:dyDescent="0.3">
      <c r="AC407" s="99"/>
      <c r="AD407" s="100"/>
      <c r="AE407" s="100"/>
      <c r="AF407" s="100"/>
      <c r="AG407" s="100"/>
      <c r="AH407" s="100"/>
      <c r="AI407" s="100"/>
      <c r="AJ407" s="101"/>
      <c r="AK407" s="99"/>
      <c r="AL407" s="100"/>
      <c r="AM407" s="100"/>
      <c r="AN407" s="100"/>
      <c r="AO407" s="100"/>
      <c r="AP407" s="100"/>
      <c r="AQ407" s="100"/>
      <c r="AR407" s="100"/>
      <c r="AS407" s="100"/>
      <c r="AT407" s="100"/>
      <c r="AU407" s="101"/>
    </row>
    <row r="408" spans="29:47" ht="18.75" x14ac:dyDescent="0.3">
      <c r="AC408" s="99"/>
      <c r="AD408" s="100"/>
      <c r="AE408" s="100"/>
      <c r="AF408" s="100"/>
      <c r="AG408" s="100"/>
      <c r="AH408" s="100"/>
      <c r="AI408" s="100"/>
      <c r="AJ408" s="101"/>
      <c r="AK408" s="99"/>
      <c r="AL408" s="100"/>
      <c r="AM408" s="100"/>
      <c r="AN408" s="100"/>
      <c r="AO408" s="100"/>
      <c r="AP408" s="100"/>
      <c r="AQ408" s="100"/>
      <c r="AR408" s="100"/>
      <c r="AS408" s="100"/>
      <c r="AT408" s="100"/>
      <c r="AU408" s="101"/>
    </row>
    <row r="409" spans="29:47" ht="18.75" x14ac:dyDescent="0.3">
      <c r="AC409" s="99"/>
      <c r="AD409" s="100"/>
      <c r="AE409" s="100"/>
      <c r="AF409" s="100"/>
      <c r="AG409" s="100"/>
      <c r="AH409" s="100"/>
      <c r="AI409" s="100"/>
      <c r="AJ409" s="101"/>
      <c r="AK409" s="99"/>
      <c r="AL409" s="100"/>
      <c r="AM409" s="100"/>
      <c r="AN409" s="100"/>
      <c r="AO409" s="100"/>
      <c r="AP409" s="100"/>
      <c r="AQ409" s="100"/>
      <c r="AR409" s="100"/>
      <c r="AS409" s="100"/>
      <c r="AT409" s="100"/>
      <c r="AU409" s="101"/>
    </row>
    <row r="410" spans="29:47" ht="18.75" x14ac:dyDescent="0.3">
      <c r="AC410" s="99"/>
      <c r="AD410" s="100"/>
      <c r="AE410" s="100"/>
      <c r="AF410" s="100"/>
      <c r="AG410" s="100"/>
      <c r="AH410" s="100"/>
      <c r="AI410" s="100"/>
      <c r="AJ410" s="101"/>
      <c r="AK410" s="99"/>
      <c r="AL410" s="100"/>
      <c r="AM410" s="100"/>
      <c r="AN410" s="100"/>
      <c r="AO410" s="100"/>
      <c r="AP410" s="100"/>
      <c r="AQ410" s="100"/>
      <c r="AR410" s="100"/>
      <c r="AS410" s="100"/>
      <c r="AT410" s="100"/>
      <c r="AU410" s="101"/>
    </row>
    <row r="411" spans="29:47" ht="18.75" x14ac:dyDescent="0.3">
      <c r="AC411" s="99"/>
      <c r="AD411" s="100"/>
      <c r="AE411" s="100"/>
      <c r="AF411" s="100"/>
      <c r="AG411" s="100"/>
      <c r="AH411" s="100"/>
      <c r="AI411" s="100"/>
      <c r="AJ411" s="101"/>
      <c r="AK411" s="99"/>
      <c r="AL411" s="100"/>
      <c r="AM411" s="100"/>
      <c r="AN411" s="100"/>
      <c r="AO411" s="100"/>
      <c r="AP411" s="100"/>
      <c r="AQ411" s="100"/>
      <c r="AR411" s="100"/>
      <c r="AS411" s="100"/>
      <c r="AT411" s="100"/>
      <c r="AU411" s="101"/>
    </row>
    <row r="412" spans="29:47" ht="18.75" x14ac:dyDescent="0.3">
      <c r="AC412" s="99"/>
      <c r="AD412" s="100"/>
      <c r="AE412" s="100"/>
      <c r="AF412" s="100"/>
      <c r="AG412" s="100"/>
      <c r="AH412" s="100"/>
      <c r="AI412" s="100"/>
      <c r="AJ412" s="101"/>
      <c r="AK412" s="99"/>
      <c r="AL412" s="100"/>
      <c r="AM412" s="100"/>
      <c r="AN412" s="100"/>
      <c r="AO412" s="100"/>
      <c r="AP412" s="100"/>
      <c r="AQ412" s="100"/>
      <c r="AR412" s="100"/>
      <c r="AS412" s="100"/>
      <c r="AT412" s="100"/>
      <c r="AU412" s="101"/>
    </row>
    <row r="413" spans="29:47" ht="18.75" x14ac:dyDescent="0.3">
      <c r="AC413" s="99"/>
      <c r="AD413" s="100"/>
      <c r="AE413" s="100"/>
      <c r="AF413" s="100"/>
      <c r="AG413" s="100"/>
      <c r="AH413" s="100"/>
      <c r="AI413" s="100"/>
      <c r="AJ413" s="101"/>
      <c r="AK413" s="99"/>
      <c r="AL413" s="100"/>
      <c r="AM413" s="100"/>
      <c r="AN413" s="100"/>
      <c r="AO413" s="100"/>
      <c r="AP413" s="100"/>
      <c r="AQ413" s="100"/>
      <c r="AR413" s="100"/>
      <c r="AS413" s="100"/>
      <c r="AT413" s="100"/>
      <c r="AU413" s="101"/>
    </row>
    <row r="414" spans="29:47" ht="18.75" x14ac:dyDescent="0.3">
      <c r="AC414" s="99"/>
      <c r="AD414" s="100"/>
      <c r="AE414" s="100"/>
      <c r="AF414" s="100"/>
      <c r="AG414" s="100"/>
      <c r="AH414" s="100"/>
      <c r="AI414" s="100"/>
      <c r="AJ414" s="101"/>
      <c r="AK414" s="99"/>
      <c r="AL414" s="100"/>
      <c r="AM414" s="100"/>
      <c r="AN414" s="100"/>
      <c r="AO414" s="100"/>
      <c r="AP414" s="100"/>
      <c r="AQ414" s="100"/>
      <c r="AR414" s="100"/>
      <c r="AS414" s="100"/>
      <c r="AT414" s="100"/>
      <c r="AU414" s="101"/>
    </row>
    <row r="415" spans="29:47" ht="18.75" x14ac:dyDescent="0.3">
      <c r="AC415" s="99"/>
      <c r="AD415" s="100"/>
      <c r="AE415" s="100"/>
      <c r="AF415" s="100"/>
      <c r="AG415" s="100"/>
      <c r="AH415" s="100"/>
      <c r="AI415" s="100"/>
      <c r="AJ415" s="101"/>
      <c r="AK415" s="99"/>
      <c r="AL415" s="100"/>
      <c r="AM415" s="100"/>
      <c r="AN415" s="100"/>
      <c r="AO415" s="100"/>
      <c r="AP415" s="100"/>
      <c r="AQ415" s="100"/>
      <c r="AR415" s="100"/>
      <c r="AS415" s="100"/>
      <c r="AT415" s="100"/>
      <c r="AU415" s="101"/>
    </row>
    <row r="416" spans="29:47" ht="18.75" x14ac:dyDescent="0.3">
      <c r="AC416" s="99"/>
      <c r="AD416" s="100"/>
      <c r="AE416" s="100"/>
      <c r="AF416" s="100"/>
      <c r="AG416" s="100"/>
      <c r="AH416" s="100"/>
      <c r="AI416" s="100"/>
      <c r="AJ416" s="101"/>
      <c r="AK416" s="99"/>
      <c r="AL416" s="100"/>
      <c r="AM416" s="100"/>
      <c r="AN416" s="100"/>
      <c r="AO416" s="100"/>
      <c r="AP416" s="100"/>
      <c r="AQ416" s="100"/>
      <c r="AR416" s="100"/>
      <c r="AS416" s="100"/>
      <c r="AT416" s="100"/>
      <c r="AU416" s="101"/>
    </row>
    <row r="417" spans="29:47" ht="18.75" x14ac:dyDescent="0.3">
      <c r="AC417" s="99"/>
      <c r="AD417" s="100"/>
      <c r="AE417" s="100"/>
      <c r="AF417" s="100"/>
      <c r="AG417" s="100"/>
      <c r="AH417" s="100"/>
      <c r="AI417" s="100"/>
      <c r="AJ417" s="101"/>
      <c r="AK417" s="99"/>
      <c r="AL417" s="100"/>
      <c r="AM417" s="100"/>
      <c r="AN417" s="100"/>
      <c r="AO417" s="100"/>
      <c r="AP417" s="100"/>
      <c r="AQ417" s="100"/>
      <c r="AR417" s="100"/>
      <c r="AS417" s="100"/>
      <c r="AT417" s="100"/>
      <c r="AU417" s="101"/>
    </row>
    <row r="418" spans="29:47" ht="18.75" x14ac:dyDescent="0.3">
      <c r="AC418" s="99"/>
      <c r="AD418" s="100"/>
      <c r="AE418" s="100"/>
      <c r="AF418" s="100"/>
      <c r="AG418" s="100"/>
      <c r="AH418" s="100"/>
      <c r="AI418" s="100"/>
      <c r="AJ418" s="101"/>
      <c r="AK418" s="99"/>
      <c r="AL418" s="100"/>
      <c r="AM418" s="100"/>
      <c r="AN418" s="100"/>
      <c r="AO418" s="100"/>
      <c r="AP418" s="100"/>
      <c r="AQ418" s="100"/>
      <c r="AR418" s="100"/>
      <c r="AS418" s="100"/>
      <c r="AT418" s="100"/>
      <c r="AU418" s="101"/>
    </row>
    <row r="419" spans="29:47" ht="18.75" x14ac:dyDescent="0.3">
      <c r="AC419" s="99"/>
      <c r="AD419" s="100"/>
      <c r="AE419" s="100"/>
      <c r="AF419" s="100"/>
      <c r="AG419" s="100"/>
      <c r="AH419" s="100"/>
      <c r="AI419" s="100"/>
      <c r="AJ419" s="101"/>
      <c r="AK419" s="99"/>
      <c r="AL419" s="100"/>
      <c r="AM419" s="100"/>
      <c r="AN419" s="100"/>
      <c r="AO419" s="100"/>
      <c r="AP419" s="100"/>
      <c r="AQ419" s="100"/>
      <c r="AR419" s="100"/>
      <c r="AS419" s="100"/>
      <c r="AT419" s="100"/>
      <c r="AU419" s="101"/>
    </row>
    <row r="420" spans="29:47" ht="18.75" x14ac:dyDescent="0.3">
      <c r="AC420" s="99"/>
      <c r="AD420" s="100"/>
      <c r="AE420" s="100"/>
      <c r="AF420" s="100"/>
      <c r="AG420" s="100"/>
      <c r="AH420" s="100"/>
      <c r="AI420" s="100"/>
      <c r="AJ420" s="101"/>
      <c r="AK420" s="99"/>
      <c r="AL420" s="100"/>
      <c r="AM420" s="100"/>
      <c r="AN420" s="100"/>
      <c r="AO420" s="100"/>
      <c r="AP420" s="100"/>
      <c r="AQ420" s="100"/>
      <c r="AR420" s="100"/>
      <c r="AS420" s="100"/>
      <c r="AT420" s="100"/>
      <c r="AU420" s="101"/>
    </row>
    <row r="421" spans="29:47" ht="18.75" x14ac:dyDescent="0.3">
      <c r="AC421" s="99"/>
      <c r="AD421" s="100"/>
      <c r="AE421" s="100"/>
      <c r="AF421" s="100"/>
      <c r="AG421" s="100"/>
      <c r="AH421" s="100"/>
      <c r="AI421" s="100"/>
      <c r="AJ421" s="101"/>
      <c r="AK421" s="99"/>
      <c r="AL421" s="100"/>
      <c r="AM421" s="100"/>
      <c r="AN421" s="100"/>
      <c r="AO421" s="100"/>
      <c r="AP421" s="100"/>
      <c r="AQ421" s="100"/>
      <c r="AR421" s="100"/>
      <c r="AS421" s="100"/>
      <c r="AT421" s="100"/>
      <c r="AU421" s="101"/>
    </row>
    <row r="422" spans="29:47" ht="18.75" x14ac:dyDescent="0.3">
      <c r="AC422" s="99"/>
      <c r="AD422" s="100"/>
      <c r="AE422" s="100"/>
      <c r="AF422" s="100"/>
      <c r="AG422" s="100"/>
      <c r="AH422" s="100"/>
      <c r="AI422" s="100"/>
      <c r="AJ422" s="101"/>
      <c r="AK422" s="99"/>
      <c r="AL422" s="100"/>
      <c r="AM422" s="100"/>
      <c r="AN422" s="100"/>
      <c r="AO422" s="100"/>
      <c r="AP422" s="100"/>
      <c r="AQ422" s="100"/>
      <c r="AR422" s="100"/>
      <c r="AS422" s="100"/>
      <c r="AT422" s="100"/>
      <c r="AU422" s="101"/>
    </row>
    <row r="423" spans="29:47" ht="18.75" x14ac:dyDescent="0.3">
      <c r="AC423" s="99"/>
      <c r="AD423" s="100"/>
      <c r="AE423" s="100"/>
      <c r="AF423" s="100"/>
      <c r="AG423" s="100"/>
      <c r="AH423" s="100"/>
      <c r="AI423" s="100"/>
      <c r="AJ423" s="101"/>
      <c r="AK423" s="99"/>
      <c r="AL423" s="100"/>
      <c r="AM423" s="100"/>
      <c r="AN423" s="100"/>
      <c r="AO423" s="100"/>
      <c r="AP423" s="100"/>
      <c r="AQ423" s="100"/>
      <c r="AR423" s="100"/>
      <c r="AS423" s="100"/>
      <c r="AT423" s="100"/>
      <c r="AU423" s="101"/>
    </row>
    <row r="424" spans="29:47" ht="18.75" x14ac:dyDescent="0.3">
      <c r="AC424" s="99"/>
      <c r="AD424" s="100"/>
      <c r="AE424" s="100"/>
      <c r="AF424" s="100"/>
      <c r="AG424" s="100"/>
      <c r="AH424" s="100"/>
      <c r="AI424" s="100"/>
      <c r="AJ424" s="101"/>
      <c r="AK424" s="99"/>
      <c r="AL424" s="100"/>
      <c r="AM424" s="100"/>
      <c r="AN424" s="100"/>
      <c r="AO424" s="100"/>
      <c r="AP424" s="100"/>
      <c r="AQ424" s="100"/>
      <c r="AR424" s="100"/>
      <c r="AS424" s="100"/>
      <c r="AT424" s="100"/>
      <c r="AU424" s="101"/>
    </row>
    <row r="425" spans="29:47" ht="18.75" x14ac:dyDescent="0.3">
      <c r="AC425" s="99"/>
      <c r="AD425" s="100"/>
      <c r="AE425" s="100"/>
      <c r="AF425" s="100"/>
      <c r="AG425" s="100"/>
      <c r="AH425" s="100"/>
      <c r="AI425" s="100"/>
      <c r="AJ425" s="101"/>
      <c r="AK425" s="99"/>
      <c r="AL425" s="100"/>
      <c r="AM425" s="100"/>
      <c r="AN425" s="100"/>
      <c r="AO425" s="100"/>
      <c r="AP425" s="100"/>
      <c r="AQ425" s="100"/>
      <c r="AR425" s="100"/>
      <c r="AS425" s="100"/>
      <c r="AT425" s="100"/>
      <c r="AU425" s="101"/>
    </row>
    <row r="426" spans="29:47" ht="18.75" x14ac:dyDescent="0.3">
      <c r="AC426" s="99"/>
      <c r="AD426" s="100"/>
      <c r="AE426" s="100"/>
      <c r="AF426" s="100"/>
      <c r="AG426" s="100"/>
      <c r="AH426" s="100"/>
      <c r="AI426" s="100"/>
      <c r="AJ426" s="101"/>
      <c r="AK426" s="99"/>
      <c r="AL426" s="100"/>
      <c r="AM426" s="100"/>
      <c r="AN426" s="100"/>
      <c r="AO426" s="100"/>
      <c r="AP426" s="100"/>
      <c r="AQ426" s="100"/>
      <c r="AR426" s="100"/>
      <c r="AS426" s="100"/>
      <c r="AT426" s="100"/>
      <c r="AU426" s="101"/>
    </row>
    <row r="427" spans="29:47" ht="18.75" x14ac:dyDescent="0.3">
      <c r="AC427" s="99"/>
      <c r="AD427" s="100"/>
      <c r="AE427" s="100"/>
      <c r="AF427" s="100"/>
      <c r="AG427" s="100"/>
      <c r="AH427" s="100"/>
      <c r="AI427" s="100"/>
      <c r="AJ427" s="101"/>
      <c r="AK427" s="99"/>
      <c r="AL427" s="100"/>
      <c r="AM427" s="100"/>
      <c r="AN427" s="100"/>
      <c r="AO427" s="100"/>
      <c r="AP427" s="100"/>
      <c r="AQ427" s="100"/>
      <c r="AR427" s="100"/>
      <c r="AS427" s="100"/>
      <c r="AT427" s="100"/>
      <c r="AU427" s="101"/>
    </row>
    <row r="428" spans="29:47" ht="18.75" x14ac:dyDescent="0.3">
      <c r="AC428" s="99"/>
      <c r="AD428" s="100"/>
      <c r="AE428" s="100"/>
      <c r="AF428" s="100"/>
      <c r="AG428" s="100"/>
      <c r="AH428" s="100"/>
      <c r="AI428" s="100"/>
      <c r="AJ428" s="101"/>
      <c r="AK428" s="99"/>
      <c r="AL428" s="100"/>
      <c r="AM428" s="100"/>
      <c r="AN428" s="100"/>
      <c r="AO428" s="100"/>
      <c r="AP428" s="100"/>
      <c r="AQ428" s="100"/>
      <c r="AR428" s="100"/>
      <c r="AS428" s="100"/>
      <c r="AT428" s="100"/>
      <c r="AU428" s="101"/>
    </row>
    <row r="429" spans="29:47" ht="18.75" x14ac:dyDescent="0.3">
      <c r="AC429" s="99"/>
      <c r="AD429" s="100"/>
      <c r="AE429" s="100"/>
      <c r="AF429" s="100"/>
      <c r="AG429" s="100"/>
      <c r="AH429" s="100"/>
      <c r="AI429" s="100"/>
      <c r="AJ429" s="101"/>
      <c r="AK429" s="99"/>
      <c r="AL429" s="100"/>
      <c r="AM429" s="100"/>
      <c r="AN429" s="100"/>
      <c r="AO429" s="100"/>
      <c r="AP429" s="100"/>
      <c r="AQ429" s="100"/>
      <c r="AR429" s="100"/>
      <c r="AS429" s="100"/>
      <c r="AT429" s="100"/>
      <c r="AU429" s="101"/>
    </row>
    <row r="430" spans="29:47" ht="18.75" x14ac:dyDescent="0.3">
      <c r="AC430" s="99"/>
      <c r="AD430" s="100"/>
      <c r="AE430" s="100"/>
      <c r="AF430" s="100"/>
      <c r="AG430" s="100"/>
      <c r="AH430" s="100"/>
      <c r="AI430" s="100"/>
      <c r="AJ430" s="101"/>
      <c r="AK430" s="99"/>
      <c r="AL430" s="100"/>
      <c r="AM430" s="100"/>
      <c r="AN430" s="100"/>
      <c r="AO430" s="100"/>
      <c r="AP430" s="100"/>
      <c r="AQ430" s="100"/>
      <c r="AR430" s="100"/>
      <c r="AS430" s="100"/>
      <c r="AT430" s="100"/>
      <c r="AU430" s="101"/>
    </row>
    <row r="431" spans="29:47" ht="18.75" x14ac:dyDescent="0.3">
      <c r="AC431" s="99"/>
      <c r="AD431" s="100"/>
      <c r="AE431" s="100"/>
      <c r="AF431" s="100"/>
      <c r="AG431" s="100"/>
      <c r="AH431" s="100"/>
      <c r="AI431" s="100"/>
      <c r="AJ431" s="101"/>
      <c r="AK431" s="99"/>
      <c r="AL431" s="100"/>
      <c r="AM431" s="100"/>
      <c r="AN431" s="100"/>
      <c r="AO431" s="100"/>
      <c r="AP431" s="100"/>
      <c r="AQ431" s="100"/>
      <c r="AR431" s="100"/>
      <c r="AS431" s="100"/>
      <c r="AT431" s="100"/>
      <c r="AU431" s="101"/>
    </row>
    <row r="432" spans="29:47" ht="18.75" x14ac:dyDescent="0.3">
      <c r="AC432" s="99"/>
      <c r="AD432" s="100"/>
      <c r="AE432" s="100"/>
      <c r="AF432" s="100"/>
      <c r="AG432" s="100"/>
      <c r="AH432" s="100"/>
      <c r="AI432" s="100"/>
      <c r="AJ432" s="101"/>
      <c r="AK432" s="99"/>
      <c r="AL432" s="100"/>
      <c r="AM432" s="100"/>
      <c r="AN432" s="100"/>
      <c r="AO432" s="100"/>
      <c r="AP432" s="100"/>
      <c r="AQ432" s="100"/>
      <c r="AR432" s="100"/>
      <c r="AS432" s="100"/>
      <c r="AT432" s="100"/>
      <c r="AU432" s="101"/>
    </row>
    <row r="433" spans="29:47" ht="18.75" x14ac:dyDescent="0.3">
      <c r="AC433" s="99"/>
      <c r="AD433" s="100"/>
      <c r="AE433" s="100"/>
      <c r="AF433" s="100"/>
      <c r="AG433" s="100"/>
      <c r="AH433" s="100"/>
      <c r="AI433" s="100"/>
      <c r="AJ433" s="101"/>
      <c r="AK433" s="99"/>
      <c r="AL433" s="100"/>
      <c r="AM433" s="100"/>
      <c r="AN433" s="100"/>
      <c r="AO433" s="100"/>
      <c r="AP433" s="100"/>
      <c r="AQ433" s="100"/>
      <c r="AR433" s="100"/>
      <c r="AS433" s="100"/>
      <c r="AT433" s="100"/>
      <c r="AU433" s="101"/>
    </row>
    <row r="434" spans="29:47" ht="18.75" x14ac:dyDescent="0.3">
      <c r="AC434" s="99"/>
      <c r="AD434" s="100"/>
      <c r="AE434" s="100"/>
      <c r="AF434" s="100"/>
      <c r="AG434" s="100"/>
      <c r="AH434" s="100"/>
      <c r="AI434" s="100"/>
      <c r="AJ434" s="101"/>
      <c r="AK434" s="99"/>
      <c r="AL434" s="100"/>
      <c r="AM434" s="100"/>
      <c r="AN434" s="100"/>
      <c r="AO434" s="100"/>
      <c r="AP434" s="100"/>
      <c r="AQ434" s="100"/>
      <c r="AR434" s="100"/>
      <c r="AS434" s="100"/>
      <c r="AT434" s="100"/>
      <c r="AU434" s="101"/>
    </row>
    <row r="435" spans="29:47" ht="18.75" x14ac:dyDescent="0.3">
      <c r="AC435" s="99"/>
      <c r="AD435" s="100"/>
      <c r="AE435" s="100"/>
      <c r="AF435" s="100"/>
      <c r="AG435" s="100"/>
      <c r="AH435" s="100"/>
      <c r="AI435" s="100"/>
      <c r="AJ435" s="101"/>
      <c r="AK435" s="99"/>
      <c r="AL435" s="100"/>
      <c r="AM435" s="100"/>
      <c r="AN435" s="100"/>
      <c r="AO435" s="100"/>
      <c r="AP435" s="100"/>
      <c r="AQ435" s="100"/>
      <c r="AR435" s="100"/>
      <c r="AS435" s="100"/>
      <c r="AT435" s="100"/>
      <c r="AU435" s="101"/>
    </row>
    <row r="436" spans="29:47" ht="18.75" x14ac:dyDescent="0.3">
      <c r="AC436" s="99"/>
      <c r="AD436" s="100"/>
      <c r="AE436" s="100"/>
      <c r="AF436" s="100"/>
      <c r="AG436" s="100"/>
      <c r="AH436" s="100"/>
      <c r="AI436" s="100"/>
      <c r="AJ436" s="101"/>
      <c r="AK436" s="99"/>
      <c r="AL436" s="100"/>
      <c r="AM436" s="100"/>
      <c r="AN436" s="100"/>
      <c r="AO436" s="100"/>
      <c r="AP436" s="100"/>
      <c r="AQ436" s="100"/>
      <c r="AR436" s="100"/>
      <c r="AS436" s="100"/>
      <c r="AT436" s="100"/>
      <c r="AU436" s="101"/>
    </row>
    <row r="437" spans="29:47" ht="18.75" x14ac:dyDescent="0.3">
      <c r="AC437" s="99"/>
      <c r="AD437" s="100"/>
      <c r="AE437" s="100"/>
      <c r="AF437" s="100"/>
      <c r="AG437" s="100"/>
      <c r="AH437" s="100"/>
      <c r="AI437" s="100"/>
      <c r="AJ437" s="101"/>
      <c r="AK437" s="99"/>
      <c r="AL437" s="100"/>
      <c r="AM437" s="100"/>
      <c r="AN437" s="100"/>
      <c r="AO437" s="100"/>
      <c r="AP437" s="100"/>
      <c r="AQ437" s="100"/>
      <c r="AR437" s="100"/>
      <c r="AS437" s="100"/>
      <c r="AT437" s="100"/>
      <c r="AU437" s="101"/>
    </row>
    <row r="438" spans="29:47" ht="18.75" x14ac:dyDescent="0.3">
      <c r="AC438" s="99"/>
      <c r="AD438" s="100"/>
      <c r="AE438" s="100"/>
      <c r="AF438" s="100"/>
      <c r="AG438" s="100"/>
      <c r="AH438" s="100"/>
      <c r="AI438" s="100"/>
      <c r="AJ438" s="101"/>
      <c r="AK438" s="99"/>
      <c r="AL438" s="100"/>
      <c r="AM438" s="100"/>
      <c r="AN438" s="100"/>
      <c r="AO438" s="100"/>
      <c r="AP438" s="100"/>
      <c r="AQ438" s="100"/>
      <c r="AR438" s="100"/>
      <c r="AS438" s="100"/>
      <c r="AT438" s="100"/>
      <c r="AU438" s="101"/>
    </row>
    <row r="439" spans="29:47" ht="18.75" x14ac:dyDescent="0.3">
      <c r="AC439" s="99"/>
      <c r="AD439" s="100"/>
      <c r="AE439" s="100"/>
      <c r="AF439" s="100"/>
      <c r="AG439" s="100"/>
      <c r="AH439" s="100"/>
      <c r="AI439" s="100"/>
      <c r="AJ439" s="101"/>
      <c r="AK439" s="99"/>
      <c r="AL439" s="100"/>
      <c r="AM439" s="100"/>
      <c r="AN439" s="100"/>
      <c r="AO439" s="100"/>
      <c r="AP439" s="100"/>
      <c r="AQ439" s="100"/>
      <c r="AR439" s="100"/>
      <c r="AS439" s="100"/>
      <c r="AT439" s="100"/>
      <c r="AU439" s="101"/>
    </row>
    <row r="440" spans="29:47" ht="18.75" x14ac:dyDescent="0.3">
      <c r="AC440" s="99"/>
      <c r="AD440" s="100"/>
      <c r="AE440" s="100"/>
      <c r="AF440" s="100"/>
      <c r="AG440" s="100"/>
      <c r="AH440" s="100"/>
      <c r="AI440" s="100"/>
      <c r="AJ440" s="101"/>
      <c r="AK440" s="99"/>
      <c r="AL440" s="100"/>
      <c r="AM440" s="100"/>
      <c r="AN440" s="100"/>
      <c r="AO440" s="100"/>
      <c r="AP440" s="100"/>
      <c r="AQ440" s="100"/>
      <c r="AR440" s="100"/>
      <c r="AS440" s="100"/>
      <c r="AT440" s="100"/>
      <c r="AU440" s="101"/>
    </row>
    <row r="441" spans="29:47" ht="18.75" x14ac:dyDescent="0.3">
      <c r="AC441" s="99"/>
      <c r="AD441" s="100"/>
      <c r="AE441" s="100"/>
      <c r="AF441" s="100"/>
      <c r="AG441" s="100"/>
      <c r="AH441" s="100"/>
      <c r="AI441" s="100"/>
      <c r="AJ441" s="101"/>
      <c r="AK441" s="99"/>
      <c r="AL441" s="100"/>
      <c r="AM441" s="100"/>
      <c r="AN441" s="100"/>
      <c r="AO441" s="100"/>
      <c r="AP441" s="100"/>
      <c r="AQ441" s="100"/>
      <c r="AR441" s="100"/>
      <c r="AS441" s="100"/>
      <c r="AT441" s="100"/>
      <c r="AU441" s="101"/>
    </row>
    <row r="442" spans="29:47" ht="18.75" x14ac:dyDescent="0.3">
      <c r="AC442" s="99"/>
      <c r="AD442" s="100"/>
      <c r="AE442" s="100"/>
      <c r="AF442" s="100"/>
      <c r="AG442" s="100"/>
      <c r="AH442" s="100"/>
      <c r="AI442" s="100"/>
      <c r="AJ442" s="101"/>
      <c r="AK442" s="99"/>
      <c r="AL442" s="100"/>
      <c r="AM442" s="100"/>
      <c r="AN442" s="100"/>
      <c r="AO442" s="100"/>
      <c r="AP442" s="100"/>
      <c r="AQ442" s="100"/>
      <c r="AR442" s="100"/>
      <c r="AS442" s="100"/>
      <c r="AT442" s="100"/>
      <c r="AU442" s="101"/>
    </row>
    <row r="443" spans="29:47" ht="18.75" x14ac:dyDescent="0.3">
      <c r="AC443" s="99"/>
      <c r="AD443" s="100"/>
      <c r="AE443" s="100"/>
      <c r="AF443" s="100"/>
      <c r="AG443" s="100"/>
      <c r="AH443" s="100"/>
      <c r="AI443" s="100"/>
      <c r="AJ443" s="101"/>
      <c r="AK443" s="99"/>
      <c r="AL443" s="100"/>
      <c r="AM443" s="100"/>
      <c r="AN443" s="100"/>
      <c r="AO443" s="100"/>
      <c r="AP443" s="100"/>
      <c r="AQ443" s="100"/>
      <c r="AR443" s="100"/>
      <c r="AS443" s="100"/>
      <c r="AT443" s="100"/>
      <c r="AU443" s="101"/>
    </row>
    <row r="444" spans="29:47" ht="18.75" x14ac:dyDescent="0.3">
      <c r="AC444" s="99"/>
      <c r="AD444" s="100"/>
      <c r="AE444" s="100"/>
      <c r="AF444" s="100"/>
      <c r="AG444" s="100"/>
      <c r="AH444" s="100"/>
      <c r="AI444" s="100"/>
      <c r="AJ444" s="101"/>
      <c r="AK444" s="99"/>
      <c r="AL444" s="100"/>
      <c r="AM444" s="100"/>
      <c r="AN444" s="100"/>
      <c r="AO444" s="100"/>
      <c r="AP444" s="100"/>
      <c r="AQ444" s="100"/>
      <c r="AR444" s="100"/>
      <c r="AS444" s="100"/>
      <c r="AT444" s="100"/>
      <c r="AU444" s="101"/>
    </row>
    <row r="445" spans="29:47" ht="18.75" x14ac:dyDescent="0.3">
      <c r="AC445" s="99"/>
      <c r="AD445" s="100"/>
      <c r="AE445" s="100"/>
      <c r="AF445" s="100"/>
      <c r="AG445" s="100"/>
      <c r="AH445" s="100"/>
      <c r="AI445" s="100"/>
      <c r="AJ445" s="101"/>
      <c r="AK445" s="99"/>
      <c r="AL445" s="100"/>
      <c r="AM445" s="100"/>
      <c r="AN445" s="100"/>
      <c r="AO445" s="100"/>
      <c r="AP445" s="100"/>
      <c r="AQ445" s="100"/>
      <c r="AR445" s="100"/>
      <c r="AS445" s="100"/>
      <c r="AT445" s="100"/>
      <c r="AU445" s="101"/>
    </row>
    <row r="446" spans="29:47" ht="18.75" x14ac:dyDescent="0.3">
      <c r="AC446" s="99"/>
      <c r="AD446" s="100"/>
      <c r="AE446" s="100"/>
      <c r="AF446" s="100"/>
      <c r="AG446" s="100"/>
      <c r="AH446" s="100"/>
      <c r="AI446" s="100"/>
      <c r="AJ446" s="101"/>
      <c r="AK446" s="99"/>
      <c r="AL446" s="100"/>
      <c r="AM446" s="100"/>
      <c r="AN446" s="100"/>
      <c r="AO446" s="100"/>
      <c r="AP446" s="100"/>
      <c r="AQ446" s="100"/>
      <c r="AR446" s="100"/>
      <c r="AS446" s="100"/>
      <c r="AT446" s="100"/>
      <c r="AU446" s="101"/>
    </row>
    <row r="447" spans="29:47" ht="18.75" x14ac:dyDescent="0.3">
      <c r="AC447" s="99"/>
      <c r="AD447" s="100"/>
      <c r="AE447" s="100"/>
      <c r="AF447" s="100"/>
      <c r="AG447" s="100"/>
      <c r="AH447" s="100"/>
      <c r="AI447" s="100"/>
      <c r="AJ447" s="101"/>
      <c r="AK447" s="99"/>
      <c r="AL447" s="100"/>
      <c r="AM447" s="100"/>
      <c r="AN447" s="100"/>
      <c r="AO447" s="100"/>
      <c r="AP447" s="100"/>
      <c r="AQ447" s="100"/>
      <c r="AR447" s="100"/>
      <c r="AS447" s="100"/>
      <c r="AT447" s="100"/>
      <c r="AU447" s="101"/>
    </row>
    <row r="448" spans="29:47" ht="18.75" x14ac:dyDescent="0.3">
      <c r="AC448" s="99"/>
      <c r="AD448" s="100"/>
      <c r="AE448" s="100"/>
      <c r="AF448" s="100"/>
      <c r="AG448" s="100"/>
      <c r="AH448" s="100"/>
      <c r="AI448" s="100"/>
      <c r="AJ448" s="101"/>
      <c r="AK448" s="99"/>
      <c r="AL448" s="100"/>
      <c r="AM448" s="100"/>
      <c r="AN448" s="100"/>
      <c r="AO448" s="100"/>
      <c r="AP448" s="100"/>
      <c r="AQ448" s="100"/>
      <c r="AR448" s="100"/>
      <c r="AS448" s="100"/>
      <c r="AT448" s="100"/>
      <c r="AU448" s="101"/>
    </row>
    <row r="449" spans="29:47" ht="18.75" x14ac:dyDescent="0.3">
      <c r="AC449" s="99"/>
      <c r="AD449" s="100"/>
      <c r="AE449" s="100"/>
      <c r="AF449" s="100"/>
      <c r="AG449" s="100"/>
      <c r="AH449" s="100"/>
      <c r="AI449" s="100"/>
      <c r="AJ449" s="101"/>
      <c r="AK449" s="99"/>
      <c r="AL449" s="100"/>
      <c r="AM449" s="100"/>
      <c r="AN449" s="100"/>
      <c r="AO449" s="100"/>
      <c r="AP449" s="100"/>
      <c r="AQ449" s="100"/>
      <c r="AR449" s="100"/>
      <c r="AS449" s="100"/>
      <c r="AT449" s="100"/>
      <c r="AU449" s="101"/>
    </row>
    <row r="450" spans="29:47" ht="18.75" x14ac:dyDescent="0.3">
      <c r="AC450" s="99"/>
      <c r="AD450" s="100"/>
      <c r="AE450" s="100"/>
      <c r="AF450" s="100"/>
      <c r="AG450" s="100"/>
      <c r="AH450" s="100"/>
      <c r="AI450" s="100"/>
      <c r="AJ450" s="101"/>
      <c r="AK450" s="99"/>
      <c r="AL450" s="100"/>
      <c r="AM450" s="100"/>
      <c r="AN450" s="100"/>
      <c r="AO450" s="100"/>
      <c r="AP450" s="100"/>
      <c r="AQ450" s="100"/>
      <c r="AR450" s="100"/>
      <c r="AS450" s="100"/>
      <c r="AT450" s="100"/>
      <c r="AU450" s="101"/>
    </row>
    <row r="451" spans="29:47" ht="18.75" x14ac:dyDescent="0.3">
      <c r="AC451" s="99"/>
      <c r="AD451" s="100"/>
      <c r="AE451" s="100"/>
      <c r="AF451" s="100"/>
      <c r="AG451" s="100"/>
      <c r="AH451" s="100"/>
      <c r="AI451" s="100"/>
      <c r="AJ451" s="101"/>
      <c r="AK451" s="99"/>
      <c r="AL451" s="100"/>
      <c r="AM451" s="100"/>
      <c r="AN451" s="100"/>
      <c r="AO451" s="100"/>
      <c r="AP451" s="100"/>
      <c r="AQ451" s="100"/>
      <c r="AR451" s="100"/>
      <c r="AS451" s="100"/>
      <c r="AT451" s="100"/>
      <c r="AU451" s="101"/>
    </row>
    <row r="452" spans="29:47" ht="18.75" x14ac:dyDescent="0.3">
      <c r="AC452" s="99"/>
      <c r="AD452" s="100"/>
      <c r="AE452" s="100"/>
      <c r="AF452" s="100"/>
      <c r="AG452" s="100"/>
      <c r="AH452" s="100"/>
      <c r="AI452" s="100"/>
      <c r="AJ452" s="101"/>
      <c r="AK452" s="99"/>
      <c r="AL452" s="100"/>
      <c r="AM452" s="100"/>
      <c r="AN452" s="100"/>
      <c r="AO452" s="100"/>
      <c r="AP452" s="100"/>
      <c r="AQ452" s="100"/>
      <c r="AR452" s="100"/>
      <c r="AS452" s="100"/>
      <c r="AT452" s="100"/>
      <c r="AU452" s="101"/>
    </row>
    <row r="453" spans="29:47" ht="18.75" x14ac:dyDescent="0.3">
      <c r="AC453" s="99"/>
      <c r="AD453" s="100"/>
      <c r="AE453" s="100"/>
      <c r="AF453" s="100"/>
      <c r="AG453" s="100"/>
      <c r="AH453" s="100"/>
      <c r="AI453" s="100"/>
      <c r="AJ453" s="101"/>
      <c r="AK453" s="99"/>
      <c r="AL453" s="100"/>
      <c r="AM453" s="100"/>
      <c r="AN453" s="100"/>
      <c r="AO453" s="100"/>
      <c r="AP453" s="100"/>
      <c r="AQ453" s="100"/>
      <c r="AR453" s="100"/>
      <c r="AS453" s="100"/>
      <c r="AT453" s="100"/>
      <c r="AU453" s="101"/>
    </row>
    <row r="454" spans="29:47" ht="18.75" x14ac:dyDescent="0.3">
      <c r="AC454" s="99"/>
      <c r="AD454" s="100"/>
      <c r="AE454" s="100"/>
      <c r="AF454" s="100"/>
      <c r="AG454" s="100"/>
      <c r="AH454" s="100"/>
      <c r="AI454" s="100"/>
      <c r="AJ454" s="101"/>
      <c r="AK454" s="99"/>
      <c r="AL454" s="100"/>
      <c r="AM454" s="100"/>
      <c r="AN454" s="100"/>
      <c r="AO454" s="100"/>
      <c r="AP454" s="100"/>
      <c r="AQ454" s="100"/>
      <c r="AR454" s="100"/>
      <c r="AS454" s="100"/>
      <c r="AT454" s="100"/>
      <c r="AU454" s="101"/>
    </row>
    <row r="455" spans="29:47" ht="18.75" x14ac:dyDescent="0.3">
      <c r="AC455" s="99"/>
      <c r="AD455" s="100"/>
      <c r="AE455" s="100"/>
      <c r="AF455" s="100"/>
      <c r="AG455" s="100"/>
      <c r="AH455" s="100"/>
      <c r="AI455" s="100"/>
      <c r="AJ455" s="101"/>
      <c r="AK455" s="99"/>
      <c r="AL455" s="100"/>
      <c r="AM455" s="100"/>
      <c r="AN455" s="100"/>
      <c r="AO455" s="100"/>
      <c r="AP455" s="100"/>
      <c r="AQ455" s="100"/>
      <c r="AR455" s="100"/>
      <c r="AS455" s="100"/>
      <c r="AT455" s="100"/>
      <c r="AU455" s="101"/>
    </row>
    <row r="456" spans="29:47" ht="18.75" x14ac:dyDescent="0.3">
      <c r="AC456" s="99"/>
      <c r="AD456" s="100"/>
      <c r="AE456" s="100"/>
      <c r="AF456" s="100"/>
      <c r="AG456" s="100"/>
      <c r="AH456" s="100"/>
      <c r="AI456" s="100"/>
      <c r="AJ456" s="101"/>
      <c r="AK456" s="99"/>
      <c r="AL456" s="100"/>
      <c r="AM456" s="100"/>
      <c r="AN456" s="100"/>
      <c r="AO456" s="100"/>
      <c r="AP456" s="100"/>
      <c r="AQ456" s="100"/>
      <c r="AR456" s="100"/>
      <c r="AS456" s="100"/>
      <c r="AT456" s="100"/>
      <c r="AU456" s="101"/>
    </row>
    <row r="457" spans="29:47" ht="18.75" x14ac:dyDescent="0.3">
      <c r="AC457" s="99"/>
      <c r="AD457" s="100"/>
      <c r="AE457" s="100"/>
      <c r="AF457" s="100"/>
      <c r="AG457" s="100"/>
      <c r="AH457" s="100"/>
      <c r="AI457" s="100"/>
      <c r="AJ457" s="101"/>
      <c r="AK457" s="99"/>
      <c r="AL457" s="100"/>
      <c r="AM457" s="100"/>
      <c r="AN457" s="100"/>
      <c r="AO457" s="100"/>
      <c r="AP457" s="100"/>
      <c r="AQ457" s="100"/>
      <c r="AR457" s="100"/>
      <c r="AS457" s="100"/>
      <c r="AT457" s="100"/>
      <c r="AU457" s="101"/>
    </row>
    <row r="458" spans="29:47" ht="18.75" x14ac:dyDescent="0.3">
      <c r="AC458" s="99"/>
      <c r="AD458" s="100"/>
      <c r="AE458" s="100"/>
      <c r="AF458" s="100"/>
      <c r="AG458" s="100"/>
      <c r="AH458" s="100"/>
      <c r="AI458" s="100"/>
      <c r="AJ458" s="101"/>
      <c r="AK458" s="99"/>
      <c r="AL458" s="100"/>
      <c r="AM458" s="100"/>
      <c r="AN458" s="100"/>
      <c r="AO458" s="100"/>
      <c r="AP458" s="100"/>
      <c r="AQ458" s="100"/>
      <c r="AR458" s="100"/>
      <c r="AS458" s="100"/>
      <c r="AT458" s="100"/>
      <c r="AU458" s="101"/>
    </row>
    <row r="459" spans="29:47" ht="18.75" x14ac:dyDescent="0.3">
      <c r="AC459" s="99"/>
      <c r="AD459" s="100"/>
      <c r="AE459" s="100"/>
      <c r="AF459" s="100"/>
      <c r="AG459" s="100"/>
      <c r="AH459" s="100"/>
      <c r="AI459" s="100"/>
      <c r="AJ459" s="101"/>
      <c r="AK459" s="99"/>
      <c r="AL459" s="100"/>
      <c r="AM459" s="100"/>
      <c r="AN459" s="100"/>
      <c r="AO459" s="100"/>
      <c r="AP459" s="100"/>
      <c r="AQ459" s="100"/>
      <c r="AR459" s="100"/>
      <c r="AS459" s="100"/>
      <c r="AT459" s="100"/>
      <c r="AU459" s="101"/>
    </row>
    <row r="460" spans="29:47" ht="18.75" x14ac:dyDescent="0.3">
      <c r="AC460" s="99"/>
      <c r="AD460" s="100"/>
      <c r="AE460" s="100"/>
      <c r="AF460" s="100"/>
      <c r="AG460" s="100"/>
      <c r="AH460" s="100"/>
      <c r="AI460" s="100"/>
      <c r="AJ460" s="101"/>
      <c r="AK460" s="99"/>
      <c r="AL460" s="100"/>
      <c r="AM460" s="100"/>
      <c r="AN460" s="100"/>
      <c r="AO460" s="100"/>
      <c r="AP460" s="100"/>
      <c r="AQ460" s="100"/>
      <c r="AR460" s="100"/>
      <c r="AS460" s="100"/>
      <c r="AT460" s="100"/>
      <c r="AU460" s="101"/>
    </row>
    <row r="461" spans="29:47" ht="18.75" x14ac:dyDescent="0.3">
      <c r="AC461" s="99"/>
      <c r="AD461" s="100"/>
      <c r="AE461" s="100"/>
      <c r="AF461" s="100"/>
      <c r="AG461" s="100"/>
      <c r="AH461" s="100"/>
      <c r="AI461" s="100"/>
      <c r="AJ461" s="101"/>
      <c r="AK461" s="99"/>
      <c r="AL461" s="100"/>
      <c r="AM461" s="100"/>
      <c r="AN461" s="100"/>
      <c r="AO461" s="100"/>
      <c r="AP461" s="100"/>
      <c r="AQ461" s="100"/>
      <c r="AR461" s="100"/>
      <c r="AS461" s="100"/>
      <c r="AT461" s="100"/>
      <c r="AU461" s="101"/>
    </row>
    <row r="462" spans="29:47" ht="18.75" x14ac:dyDescent="0.3">
      <c r="AC462" s="99"/>
      <c r="AD462" s="100"/>
      <c r="AE462" s="100"/>
      <c r="AF462" s="100"/>
      <c r="AG462" s="100"/>
      <c r="AH462" s="100"/>
      <c r="AI462" s="100"/>
      <c r="AJ462" s="101"/>
      <c r="AK462" s="99"/>
      <c r="AL462" s="100"/>
      <c r="AM462" s="100"/>
      <c r="AN462" s="100"/>
      <c r="AO462" s="100"/>
      <c r="AP462" s="100"/>
      <c r="AQ462" s="100"/>
      <c r="AR462" s="100"/>
      <c r="AS462" s="100"/>
      <c r="AT462" s="100"/>
      <c r="AU462" s="101"/>
    </row>
    <row r="463" spans="29:47" ht="18.75" x14ac:dyDescent="0.3">
      <c r="AC463" s="99"/>
      <c r="AD463" s="100"/>
      <c r="AE463" s="100"/>
      <c r="AF463" s="100"/>
      <c r="AG463" s="100"/>
      <c r="AH463" s="100"/>
      <c r="AI463" s="100"/>
      <c r="AJ463" s="101"/>
      <c r="AK463" s="99"/>
      <c r="AL463" s="100"/>
      <c r="AM463" s="100"/>
      <c r="AN463" s="100"/>
      <c r="AO463" s="100"/>
      <c r="AP463" s="100"/>
      <c r="AQ463" s="100"/>
      <c r="AR463" s="100"/>
      <c r="AS463" s="100"/>
      <c r="AT463" s="100"/>
      <c r="AU463" s="101"/>
    </row>
    <row r="464" spans="29:47" ht="18.75" x14ac:dyDescent="0.3">
      <c r="AC464" s="99"/>
      <c r="AD464" s="100"/>
      <c r="AE464" s="100"/>
      <c r="AF464" s="100"/>
      <c r="AG464" s="100"/>
      <c r="AH464" s="100"/>
      <c r="AI464" s="100"/>
      <c r="AJ464" s="101"/>
      <c r="AK464" s="99"/>
      <c r="AL464" s="100"/>
      <c r="AM464" s="100"/>
      <c r="AN464" s="100"/>
      <c r="AO464" s="100"/>
      <c r="AP464" s="100"/>
      <c r="AQ464" s="100"/>
      <c r="AR464" s="100"/>
      <c r="AS464" s="100"/>
      <c r="AT464" s="100"/>
      <c r="AU464" s="101"/>
    </row>
    <row r="465" spans="29:47" ht="18.75" x14ac:dyDescent="0.3">
      <c r="AC465" s="99"/>
      <c r="AD465" s="100"/>
      <c r="AE465" s="100"/>
      <c r="AF465" s="100"/>
      <c r="AG465" s="100"/>
      <c r="AH465" s="100"/>
      <c r="AI465" s="100"/>
      <c r="AJ465" s="101"/>
      <c r="AK465" s="99"/>
      <c r="AL465" s="100"/>
      <c r="AM465" s="100"/>
      <c r="AN465" s="100"/>
      <c r="AO465" s="100"/>
      <c r="AP465" s="100"/>
      <c r="AQ465" s="100"/>
      <c r="AR465" s="100"/>
      <c r="AS465" s="100"/>
      <c r="AT465" s="100"/>
      <c r="AU465" s="101"/>
    </row>
    <row r="466" spans="29:47" ht="18.75" x14ac:dyDescent="0.3">
      <c r="AC466" s="99"/>
      <c r="AD466" s="100"/>
      <c r="AE466" s="100"/>
      <c r="AF466" s="100"/>
      <c r="AG466" s="100"/>
      <c r="AH466" s="100"/>
      <c r="AI466" s="100"/>
      <c r="AJ466" s="101"/>
      <c r="AK466" s="99"/>
      <c r="AL466" s="100"/>
      <c r="AM466" s="100"/>
      <c r="AN466" s="100"/>
      <c r="AO466" s="100"/>
      <c r="AP466" s="100"/>
      <c r="AQ466" s="100"/>
      <c r="AR466" s="100"/>
      <c r="AS466" s="100"/>
      <c r="AT466" s="100"/>
      <c r="AU466" s="101"/>
    </row>
    <row r="467" spans="29:47" ht="18.75" x14ac:dyDescent="0.3">
      <c r="AC467" s="99"/>
      <c r="AD467" s="100"/>
      <c r="AE467" s="100"/>
      <c r="AF467" s="100"/>
      <c r="AG467" s="100"/>
      <c r="AH467" s="100"/>
      <c r="AI467" s="100"/>
      <c r="AJ467" s="101"/>
      <c r="AK467" s="99"/>
      <c r="AL467" s="100"/>
      <c r="AM467" s="100"/>
      <c r="AN467" s="100"/>
      <c r="AO467" s="100"/>
      <c r="AP467" s="100"/>
      <c r="AQ467" s="100"/>
      <c r="AR467" s="100"/>
      <c r="AS467" s="100"/>
      <c r="AT467" s="100"/>
      <c r="AU467" s="101"/>
    </row>
    <row r="468" spans="29:47" ht="18.75" x14ac:dyDescent="0.3">
      <c r="AC468" s="99"/>
      <c r="AD468" s="100"/>
      <c r="AE468" s="100"/>
      <c r="AF468" s="100"/>
      <c r="AG468" s="100"/>
      <c r="AH468" s="100"/>
      <c r="AI468" s="100"/>
      <c r="AJ468" s="101"/>
      <c r="AK468" s="99"/>
      <c r="AL468" s="100"/>
      <c r="AM468" s="100"/>
      <c r="AN468" s="100"/>
      <c r="AO468" s="100"/>
      <c r="AP468" s="100"/>
      <c r="AQ468" s="100"/>
      <c r="AR468" s="100"/>
      <c r="AS468" s="100"/>
      <c r="AT468" s="100"/>
      <c r="AU468" s="101"/>
    </row>
    <row r="469" spans="29:47" ht="18.75" x14ac:dyDescent="0.3">
      <c r="AC469" s="99"/>
      <c r="AD469" s="100"/>
      <c r="AE469" s="100"/>
      <c r="AF469" s="100"/>
      <c r="AG469" s="100"/>
      <c r="AH469" s="100"/>
      <c r="AI469" s="100"/>
      <c r="AJ469" s="101"/>
      <c r="AK469" s="99"/>
      <c r="AL469" s="100"/>
      <c r="AM469" s="100"/>
      <c r="AN469" s="100"/>
      <c r="AO469" s="100"/>
      <c r="AP469" s="100"/>
      <c r="AQ469" s="100"/>
      <c r="AR469" s="100"/>
      <c r="AS469" s="100"/>
      <c r="AT469" s="100"/>
      <c r="AU469" s="101"/>
    </row>
    <row r="470" spans="29:47" ht="18.75" x14ac:dyDescent="0.3">
      <c r="AC470" s="99"/>
      <c r="AD470" s="100"/>
      <c r="AE470" s="100"/>
      <c r="AF470" s="100"/>
      <c r="AG470" s="100"/>
      <c r="AH470" s="100"/>
      <c r="AI470" s="100"/>
      <c r="AJ470" s="101"/>
      <c r="AK470" s="99"/>
      <c r="AL470" s="100"/>
      <c r="AM470" s="100"/>
      <c r="AN470" s="100"/>
      <c r="AO470" s="100"/>
      <c r="AP470" s="100"/>
      <c r="AQ470" s="100"/>
      <c r="AR470" s="100"/>
      <c r="AS470" s="100"/>
      <c r="AT470" s="100"/>
      <c r="AU470" s="101"/>
    </row>
    <row r="471" spans="29:47" ht="18.75" x14ac:dyDescent="0.3">
      <c r="AC471" s="99"/>
      <c r="AD471" s="100"/>
      <c r="AE471" s="100"/>
      <c r="AF471" s="100"/>
      <c r="AG471" s="100"/>
      <c r="AH471" s="100"/>
      <c r="AI471" s="100"/>
      <c r="AJ471" s="101"/>
      <c r="AK471" s="99"/>
      <c r="AL471" s="100"/>
      <c r="AM471" s="100"/>
      <c r="AN471" s="100"/>
      <c r="AO471" s="100"/>
      <c r="AP471" s="100"/>
      <c r="AQ471" s="100"/>
      <c r="AR471" s="100"/>
      <c r="AS471" s="100"/>
      <c r="AT471" s="100"/>
      <c r="AU471" s="101"/>
    </row>
    <row r="472" spans="29:47" ht="18.75" x14ac:dyDescent="0.3">
      <c r="AC472" s="99"/>
      <c r="AD472" s="100"/>
      <c r="AE472" s="100"/>
      <c r="AF472" s="100"/>
      <c r="AG472" s="100"/>
      <c r="AH472" s="100"/>
      <c r="AI472" s="100"/>
      <c r="AJ472" s="101"/>
      <c r="AK472" s="99"/>
      <c r="AL472" s="100"/>
      <c r="AM472" s="100"/>
      <c r="AN472" s="100"/>
      <c r="AO472" s="100"/>
      <c r="AP472" s="100"/>
      <c r="AQ472" s="100"/>
      <c r="AR472" s="100"/>
      <c r="AS472" s="100"/>
      <c r="AT472" s="100"/>
      <c r="AU472" s="101"/>
    </row>
    <row r="473" spans="29:47" ht="18.75" x14ac:dyDescent="0.3">
      <c r="AC473" s="99"/>
      <c r="AD473" s="100"/>
      <c r="AE473" s="100"/>
      <c r="AF473" s="100"/>
      <c r="AG473" s="100"/>
      <c r="AH473" s="100"/>
      <c r="AI473" s="100"/>
      <c r="AJ473" s="101"/>
      <c r="AK473" s="99"/>
      <c r="AL473" s="100"/>
      <c r="AM473" s="100"/>
      <c r="AN473" s="100"/>
      <c r="AO473" s="100"/>
      <c r="AP473" s="100"/>
      <c r="AQ473" s="100"/>
      <c r="AR473" s="100"/>
      <c r="AS473" s="100"/>
      <c r="AT473" s="100"/>
      <c r="AU473" s="101"/>
    </row>
    <row r="474" spans="29:47" ht="18.75" x14ac:dyDescent="0.3">
      <c r="AC474" s="99"/>
      <c r="AD474" s="100"/>
      <c r="AE474" s="100"/>
      <c r="AF474" s="100"/>
      <c r="AG474" s="100"/>
      <c r="AH474" s="100"/>
      <c r="AI474" s="100"/>
      <c r="AJ474" s="101"/>
      <c r="AK474" s="99"/>
      <c r="AL474" s="100"/>
      <c r="AM474" s="100"/>
      <c r="AN474" s="100"/>
      <c r="AO474" s="100"/>
      <c r="AP474" s="100"/>
      <c r="AQ474" s="100"/>
      <c r="AR474" s="100"/>
      <c r="AS474" s="100"/>
      <c r="AT474" s="100"/>
      <c r="AU474" s="101"/>
    </row>
    <row r="475" spans="29:47" ht="18.75" x14ac:dyDescent="0.3">
      <c r="AC475" s="99"/>
      <c r="AD475" s="100"/>
      <c r="AE475" s="100"/>
      <c r="AF475" s="100"/>
      <c r="AG475" s="100"/>
      <c r="AH475" s="100"/>
      <c r="AI475" s="100"/>
      <c r="AJ475" s="101"/>
      <c r="AK475" s="99"/>
      <c r="AL475" s="100"/>
      <c r="AM475" s="100"/>
      <c r="AN475" s="100"/>
      <c r="AO475" s="100"/>
      <c r="AP475" s="100"/>
      <c r="AQ475" s="100"/>
      <c r="AR475" s="100"/>
      <c r="AS475" s="100"/>
      <c r="AT475" s="100"/>
      <c r="AU475" s="101"/>
    </row>
    <row r="476" spans="29:47" ht="18.75" x14ac:dyDescent="0.3">
      <c r="AC476" s="99"/>
      <c r="AD476" s="100"/>
      <c r="AE476" s="100"/>
      <c r="AF476" s="100"/>
      <c r="AG476" s="100"/>
      <c r="AH476" s="100"/>
      <c r="AI476" s="100"/>
      <c r="AJ476" s="101"/>
      <c r="AK476" s="99"/>
      <c r="AL476" s="100"/>
      <c r="AM476" s="100"/>
      <c r="AN476" s="100"/>
      <c r="AO476" s="100"/>
      <c r="AP476" s="100"/>
      <c r="AQ476" s="100"/>
      <c r="AR476" s="100"/>
      <c r="AS476" s="100"/>
      <c r="AT476" s="100"/>
      <c r="AU476" s="101"/>
    </row>
    <row r="477" spans="29:47" ht="18.75" x14ac:dyDescent="0.3">
      <c r="AC477" s="99"/>
      <c r="AD477" s="100"/>
      <c r="AE477" s="100"/>
      <c r="AF477" s="100"/>
      <c r="AG477" s="100"/>
      <c r="AH477" s="100"/>
      <c r="AI477" s="100"/>
      <c r="AJ477" s="101"/>
      <c r="AK477" s="99"/>
      <c r="AL477" s="100"/>
      <c r="AM477" s="100"/>
      <c r="AN477" s="100"/>
      <c r="AO477" s="100"/>
      <c r="AP477" s="100"/>
      <c r="AQ477" s="100"/>
      <c r="AR477" s="100"/>
      <c r="AS477" s="100"/>
      <c r="AT477" s="100"/>
      <c r="AU477" s="101"/>
    </row>
    <row r="478" spans="29:47" ht="18.75" x14ac:dyDescent="0.3">
      <c r="AC478" s="99"/>
      <c r="AD478" s="100"/>
      <c r="AE478" s="100"/>
      <c r="AF478" s="100"/>
      <c r="AG478" s="100"/>
      <c r="AH478" s="100"/>
      <c r="AI478" s="100"/>
      <c r="AJ478" s="101"/>
      <c r="AK478" s="99"/>
      <c r="AL478" s="100"/>
      <c r="AM478" s="100"/>
      <c r="AN478" s="100"/>
      <c r="AO478" s="100"/>
      <c r="AP478" s="100"/>
      <c r="AQ478" s="100"/>
      <c r="AR478" s="100"/>
      <c r="AS478" s="100"/>
      <c r="AT478" s="100"/>
      <c r="AU478" s="101"/>
    </row>
    <row r="479" spans="29:47" ht="18.75" x14ac:dyDescent="0.3">
      <c r="AC479" s="99"/>
      <c r="AD479" s="100"/>
      <c r="AE479" s="100"/>
      <c r="AF479" s="100"/>
      <c r="AG479" s="100"/>
      <c r="AH479" s="100"/>
      <c r="AI479" s="100"/>
      <c r="AJ479" s="101"/>
      <c r="AK479" s="99"/>
      <c r="AL479" s="100"/>
      <c r="AM479" s="100"/>
      <c r="AN479" s="100"/>
      <c r="AO479" s="100"/>
      <c r="AP479" s="100"/>
      <c r="AQ479" s="100"/>
      <c r="AR479" s="100"/>
      <c r="AS479" s="100"/>
      <c r="AT479" s="100"/>
      <c r="AU479" s="101"/>
    </row>
    <row r="480" spans="29:47" ht="18.75" x14ac:dyDescent="0.3">
      <c r="AC480" s="99"/>
      <c r="AD480" s="100"/>
      <c r="AE480" s="100"/>
      <c r="AF480" s="100"/>
      <c r="AG480" s="100"/>
      <c r="AH480" s="100"/>
      <c r="AI480" s="100"/>
      <c r="AJ480" s="101"/>
      <c r="AK480" s="99"/>
      <c r="AL480" s="100"/>
      <c r="AM480" s="100"/>
      <c r="AN480" s="100"/>
      <c r="AO480" s="100"/>
      <c r="AP480" s="100"/>
      <c r="AQ480" s="100"/>
      <c r="AR480" s="100"/>
      <c r="AS480" s="100"/>
      <c r="AT480" s="100"/>
      <c r="AU480" s="101"/>
    </row>
    <row r="481" spans="29:47" ht="18.75" x14ac:dyDescent="0.3">
      <c r="AC481" s="99"/>
      <c r="AD481" s="100"/>
      <c r="AE481" s="100"/>
      <c r="AF481" s="100"/>
      <c r="AG481" s="100"/>
      <c r="AH481" s="100"/>
      <c r="AI481" s="100"/>
      <c r="AJ481" s="101"/>
      <c r="AK481" s="99"/>
      <c r="AL481" s="100"/>
      <c r="AM481" s="100"/>
      <c r="AN481" s="100"/>
      <c r="AO481" s="100"/>
      <c r="AP481" s="100"/>
      <c r="AQ481" s="100"/>
      <c r="AR481" s="100"/>
      <c r="AS481" s="100"/>
      <c r="AT481" s="100"/>
      <c r="AU481" s="101"/>
    </row>
    <row r="482" spans="29:47" ht="18.75" x14ac:dyDescent="0.3">
      <c r="AC482" s="99"/>
      <c r="AD482" s="100"/>
      <c r="AE482" s="100"/>
      <c r="AF482" s="100"/>
      <c r="AG482" s="100"/>
      <c r="AH482" s="100"/>
      <c r="AI482" s="100"/>
      <c r="AJ482" s="101"/>
      <c r="AK482" s="99"/>
      <c r="AL482" s="100"/>
      <c r="AM482" s="100"/>
      <c r="AN482" s="100"/>
      <c r="AO482" s="100"/>
      <c r="AP482" s="100"/>
      <c r="AQ482" s="100"/>
      <c r="AR482" s="100"/>
      <c r="AS482" s="100"/>
      <c r="AT482" s="100"/>
      <c r="AU482" s="101"/>
    </row>
    <row r="483" spans="29:47" ht="18.75" x14ac:dyDescent="0.3">
      <c r="AC483" s="99"/>
      <c r="AD483" s="100"/>
      <c r="AE483" s="100"/>
      <c r="AF483" s="100"/>
      <c r="AG483" s="100"/>
      <c r="AH483" s="100"/>
      <c r="AI483" s="100"/>
      <c r="AJ483" s="101"/>
      <c r="AK483" s="99"/>
      <c r="AL483" s="100"/>
      <c r="AM483" s="100"/>
      <c r="AN483" s="100"/>
      <c r="AO483" s="100"/>
      <c r="AP483" s="100"/>
      <c r="AQ483" s="100"/>
      <c r="AR483" s="100"/>
      <c r="AS483" s="100"/>
      <c r="AT483" s="100"/>
      <c r="AU483" s="101"/>
    </row>
    <row r="484" spans="29:47" ht="18.75" x14ac:dyDescent="0.3">
      <c r="AC484" s="99"/>
      <c r="AD484" s="100"/>
      <c r="AE484" s="100"/>
      <c r="AF484" s="100"/>
      <c r="AG484" s="100"/>
      <c r="AH484" s="100"/>
      <c r="AI484" s="100"/>
      <c r="AJ484" s="101"/>
      <c r="AK484" s="99"/>
      <c r="AL484" s="100"/>
      <c r="AM484" s="100"/>
      <c r="AN484" s="100"/>
      <c r="AO484" s="100"/>
      <c r="AP484" s="100"/>
      <c r="AQ484" s="100"/>
      <c r="AR484" s="100"/>
      <c r="AS484" s="100"/>
      <c r="AT484" s="100"/>
      <c r="AU484" s="101"/>
    </row>
    <row r="485" spans="29:47" ht="18.75" x14ac:dyDescent="0.3">
      <c r="AC485" s="99"/>
      <c r="AD485" s="100"/>
      <c r="AE485" s="100"/>
      <c r="AF485" s="100"/>
      <c r="AG485" s="100"/>
      <c r="AH485" s="100"/>
      <c r="AI485" s="100"/>
      <c r="AJ485" s="101"/>
      <c r="AK485" s="99"/>
      <c r="AL485" s="100"/>
      <c r="AM485" s="100"/>
      <c r="AN485" s="100"/>
      <c r="AO485" s="100"/>
      <c r="AP485" s="100"/>
      <c r="AQ485" s="100"/>
      <c r="AR485" s="100"/>
      <c r="AS485" s="100"/>
      <c r="AT485" s="100"/>
      <c r="AU485" s="101"/>
    </row>
    <row r="486" spans="29:47" ht="18.75" x14ac:dyDescent="0.3">
      <c r="AC486" s="99"/>
      <c r="AD486" s="100"/>
      <c r="AE486" s="100"/>
      <c r="AF486" s="100"/>
      <c r="AG486" s="100"/>
      <c r="AH486" s="100"/>
      <c r="AI486" s="100"/>
      <c r="AJ486" s="101"/>
      <c r="AK486" s="99"/>
      <c r="AL486" s="100"/>
      <c r="AM486" s="100"/>
      <c r="AN486" s="100"/>
      <c r="AO486" s="100"/>
      <c r="AP486" s="100"/>
      <c r="AQ486" s="100"/>
      <c r="AR486" s="100"/>
      <c r="AS486" s="100"/>
      <c r="AT486" s="100"/>
      <c r="AU486" s="101"/>
    </row>
    <row r="487" spans="29:47" ht="18.75" x14ac:dyDescent="0.3">
      <c r="AC487" s="99"/>
      <c r="AD487" s="100"/>
      <c r="AE487" s="100"/>
      <c r="AF487" s="100"/>
      <c r="AG487" s="100"/>
      <c r="AH487" s="100"/>
      <c r="AI487" s="100"/>
      <c r="AJ487" s="101"/>
      <c r="AK487" s="99"/>
      <c r="AL487" s="100"/>
      <c r="AM487" s="100"/>
      <c r="AN487" s="100"/>
      <c r="AO487" s="100"/>
      <c r="AP487" s="100"/>
      <c r="AQ487" s="100"/>
      <c r="AR487" s="100"/>
      <c r="AS487" s="100"/>
      <c r="AT487" s="100"/>
      <c r="AU487" s="101"/>
    </row>
    <row r="488" spans="29:47" ht="18.75" x14ac:dyDescent="0.3">
      <c r="AC488" s="99"/>
      <c r="AD488" s="100"/>
      <c r="AE488" s="100"/>
      <c r="AF488" s="100"/>
      <c r="AG488" s="100"/>
      <c r="AH488" s="100"/>
      <c r="AI488" s="100"/>
      <c r="AJ488" s="101"/>
      <c r="AK488" s="99"/>
      <c r="AL488" s="100"/>
      <c r="AM488" s="100"/>
      <c r="AN488" s="100"/>
      <c r="AO488" s="100"/>
      <c r="AP488" s="100"/>
      <c r="AQ488" s="100"/>
      <c r="AR488" s="100"/>
      <c r="AS488" s="100"/>
      <c r="AT488" s="100"/>
      <c r="AU488" s="101"/>
    </row>
    <row r="489" spans="29:47" ht="18.75" x14ac:dyDescent="0.3">
      <c r="AC489" s="99"/>
      <c r="AD489" s="100"/>
      <c r="AE489" s="100"/>
      <c r="AF489" s="100"/>
      <c r="AG489" s="100"/>
      <c r="AH489" s="100"/>
      <c r="AI489" s="100"/>
      <c r="AJ489" s="101"/>
      <c r="AK489" s="99"/>
      <c r="AL489" s="100"/>
      <c r="AM489" s="100"/>
      <c r="AN489" s="100"/>
      <c r="AO489" s="100"/>
      <c r="AP489" s="100"/>
      <c r="AQ489" s="100"/>
      <c r="AR489" s="100"/>
      <c r="AS489" s="100"/>
      <c r="AT489" s="100"/>
      <c r="AU489" s="101"/>
    </row>
    <row r="490" spans="29:47" ht="18.75" x14ac:dyDescent="0.3">
      <c r="AC490" s="99"/>
      <c r="AD490" s="100"/>
      <c r="AE490" s="100"/>
      <c r="AF490" s="100"/>
      <c r="AG490" s="100"/>
      <c r="AH490" s="100"/>
      <c r="AI490" s="100"/>
      <c r="AJ490" s="101"/>
      <c r="AK490" s="99"/>
      <c r="AL490" s="100"/>
      <c r="AM490" s="100"/>
      <c r="AN490" s="100"/>
      <c r="AO490" s="100"/>
      <c r="AP490" s="100"/>
      <c r="AQ490" s="100"/>
      <c r="AR490" s="100"/>
      <c r="AS490" s="100"/>
      <c r="AT490" s="100"/>
      <c r="AU490" s="101"/>
    </row>
    <row r="491" spans="29:47" ht="18.75" x14ac:dyDescent="0.3">
      <c r="AC491" s="99"/>
      <c r="AD491" s="100"/>
      <c r="AE491" s="100"/>
      <c r="AF491" s="100"/>
      <c r="AG491" s="100"/>
      <c r="AH491" s="100"/>
      <c r="AI491" s="100"/>
      <c r="AJ491" s="101"/>
      <c r="AK491" s="99"/>
      <c r="AL491" s="100"/>
      <c r="AM491" s="100"/>
      <c r="AN491" s="100"/>
      <c r="AO491" s="100"/>
      <c r="AP491" s="100"/>
      <c r="AQ491" s="100"/>
      <c r="AR491" s="100"/>
      <c r="AS491" s="100"/>
      <c r="AT491" s="100"/>
      <c r="AU491" s="101"/>
    </row>
    <row r="492" spans="29:47" ht="18.75" x14ac:dyDescent="0.3">
      <c r="AC492" s="99"/>
      <c r="AD492" s="100"/>
      <c r="AE492" s="100"/>
      <c r="AF492" s="100"/>
      <c r="AG492" s="100"/>
      <c r="AH492" s="100"/>
      <c r="AI492" s="100"/>
      <c r="AJ492" s="101"/>
      <c r="AK492" s="99"/>
      <c r="AL492" s="100"/>
      <c r="AM492" s="100"/>
      <c r="AN492" s="100"/>
      <c r="AO492" s="100"/>
      <c r="AP492" s="100"/>
      <c r="AQ492" s="100"/>
      <c r="AR492" s="100"/>
      <c r="AS492" s="100"/>
      <c r="AT492" s="100"/>
      <c r="AU492" s="101"/>
    </row>
    <row r="493" spans="29:47" ht="18.75" x14ac:dyDescent="0.3">
      <c r="AC493" s="99"/>
      <c r="AD493" s="100"/>
      <c r="AE493" s="100"/>
      <c r="AF493" s="100"/>
      <c r="AG493" s="100"/>
      <c r="AH493" s="100"/>
      <c r="AI493" s="100"/>
      <c r="AJ493" s="101"/>
      <c r="AK493" s="99"/>
      <c r="AL493" s="100"/>
      <c r="AM493" s="100"/>
      <c r="AN493" s="100"/>
      <c r="AO493" s="100"/>
      <c r="AP493" s="100"/>
      <c r="AQ493" s="100"/>
      <c r="AR493" s="100"/>
      <c r="AS493" s="100"/>
      <c r="AT493" s="100"/>
      <c r="AU493" s="101"/>
    </row>
    <row r="494" spans="29:47" ht="18.75" x14ac:dyDescent="0.3">
      <c r="AC494" s="99"/>
      <c r="AD494" s="100"/>
      <c r="AE494" s="100"/>
      <c r="AF494" s="100"/>
      <c r="AG494" s="100"/>
      <c r="AH494" s="100"/>
      <c r="AI494" s="100"/>
      <c r="AJ494" s="101"/>
      <c r="AK494" s="99"/>
      <c r="AL494" s="100"/>
      <c r="AM494" s="100"/>
      <c r="AN494" s="100"/>
      <c r="AO494" s="100"/>
      <c r="AP494" s="100"/>
      <c r="AQ494" s="100"/>
      <c r="AR494" s="100"/>
      <c r="AS494" s="100"/>
      <c r="AT494" s="100"/>
      <c r="AU494" s="101"/>
    </row>
    <row r="495" spans="29:47" ht="18.75" x14ac:dyDescent="0.3">
      <c r="AC495" s="99"/>
      <c r="AD495" s="100"/>
      <c r="AE495" s="100"/>
      <c r="AF495" s="100"/>
      <c r="AG495" s="100"/>
      <c r="AH495" s="100"/>
      <c r="AI495" s="100"/>
      <c r="AJ495" s="101"/>
      <c r="AK495" s="99"/>
      <c r="AL495" s="100"/>
      <c r="AM495" s="100"/>
      <c r="AN495" s="100"/>
      <c r="AO495" s="100"/>
      <c r="AP495" s="100"/>
      <c r="AQ495" s="100"/>
      <c r="AR495" s="100"/>
      <c r="AS495" s="100"/>
      <c r="AT495" s="100"/>
      <c r="AU495" s="101"/>
    </row>
    <row r="496" spans="29:47" ht="18.75" x14ac:dyDescent="0.3">
      <c r="AC496" s="99"/>
      <c r="AD496" s="100"/>
      <c r="AE496" s="100"/>
      <c r="AF496" s="100"/>
      <c r="AG496" s="100"/>
      <c r="AH496" s="100"/>
      <c r="AI496" s="100"/>
      <c r="AJ496" s="101"/>
      <c r="AK496" s="99"/>
      <c r="AL496" s="100"/>
      <c r="AM496" s="100"/>
      <c r="AN496" s="100"/>
      <c r="AO496" s="100"/>
      <c r="AP496" s="100"/>
      <c r="AQ496" s="100"/>
      <c r="AR496" s="100"/>
      <c r="AS496" s="100"/>
      <c r="AT496" s="100"/>
      <c r="AU496" s="101"/>
    </row>
    <row r="497" spans="29:47" ht="18.75" x14ac:dyDescent="0.3">
      <c r="AC497" s="99"/>
      <c r="AD497" s="100"/>
      <c r="AE497" s="100"/>
      <c r="AF497" s="100"/>
      <c r="AG497" s="100"/>
      <c r="AH497" s="100"/>
      <c r="AI497" s="100"/>
      <c r="AJ497" s="101"/>
      <c r="AK497" s="99"/>
      <c r="AL497" s="100"/>
      <c r="AM497" s="100"/>
      <c r="AN497" s="100"/>
      <c r="AO497" s="100"/>
      <c r="AP497" s="100"/>
      <c r="AQ497" s="100"/>
      <c r="AR497" s="100"/>
      <c r="AS497" s="100"/>
      <c r="AT497" s="100"/>
      <c r="AU497" s="101"/>
    </row>
    <row r="498" spans="29:47" ht="18.75" x14ac:dyDescent="0.3">
      <c r="AC498" s="99"/>
      <c r="AD498" s="100"/>
      <c r="AE498" s="100"/>
      <c r="AF498" s="100"/>
      <c r="AG498" s="100"/>
      <c r="AH498" s="100"/>
      <c r="AI498" s="100"/>
      <c r="AJ498" s="101"/>
      <c r="AK498" s="99"/>
      <c r="AL498" s="100"/>
      <c r="AM498" s="100"/>
      <c r="AN498" s="100"/>
      <c r="AO498" s="100"/>
      <c r="AP498" s="100"/>
      <c r="AQ498" s="100"/>
      <c r="AR498" s="100"/>
      <c r="AS498" s="100"/>
      <c r="AT498" s="100"/>
      <c r="AU498" s="101"/>
    </row>
    <row r="499" spans="29:47" ht="18.75" x14ac:dyDescent="0.3">
      <c r="AC499" s="99"/>
      <c r="AD499" s="100"/>
      <c r="AE499" s="100"/>
      <c r="AF499" s="100"/>
      <c r="AG499" s="100"/>
      <c r="AH499" s="100"/>
      <c r="AI499" s="100"/>
      <c r="AJ499" s="101"/>
      <c r="AK499" s="99"/>
      <c r="AL499" s="100"/>
      <c r="AM499" s="100"/>
      <c r="AN499" s="100"/>
      <c r="AO499" s="100"/>
      <c r="AP499" s="100"/>
      <c r="AQ499" s="100"/>
      <c r="AR499" s="100"/>
      <c r="AS499" s="100"/>
      <c r="AT499" s="100"/>
      <c r="AU499" s="101"/>
    </row>
    <row r="500" spans="29:47" ht="18.75" x14ac:dyDescent="0.3">
      <c r="AC500" s="99"/>
      <c r="AD500" s="100"/>
      <c r="AE500" s="100"/>
      <c r="AF500" s="100"/>
      <c r="AG500" s="100"/>
      <c r="AH500" s="100"/>
      <c r="AI500" s="100"/>
      <c r="AJ500" s="101"/>
      <c r="AK500" s="99"/>
      <c r="AL500" s="100"/>
      <c r="AM500" s="100"/>
      <c r="AN500" s="100"/>
      <c r="AO500" s="100"/>
      <c r="AP500" s="100"/>
      <c r="AQ500" s="100"/>
      <c r="AR500" s="100"/>
      <c r="AS500" s="100"/>
      <c r="AT500" s="100"/>
      <c r="AU500" s="101"/>
    </row>
    <row r="501" spans="29:47" ht="18.75" x14ac:dyDescent="0.3">
      <c r="AC501" s="99"/>
      <c r="AD501" s="100"/>
      <c r="AE501" s="100"/>
      <c r="AF501" s="100"/>
      <c r="AG501" s="100"/>
      <c r="AH501" s="100"/>
      <c r="AI501" s="100"/>
      <c r="AJ501" s="101"/>
      <c r="AK501" s="99"/>
      <c r="AL501" s="100"/>
      <c r="AM501" s="100"/>
      <c r="AN501" s="100"/>
      <c r="AO501" s="100"/>
      <c r="AP501" s="100"/>
      <c r="AQ501" s="100"/>
      <c r="AR501" s="100"/>
      <c r="AS501" s="100"/>
      <c r="AT501" s="100"/>
      <c r="AU501" s="101"/>
    </row>
    <row r="502" spans="29:47" ht="18.75" x14ac:dyDescent="0.3">
      <c r="AC502" s="99"/>
      <c r="AD502" s="100"/>
      <c r="AE502" s="100"/>
      <c r="AF502" s="100"/>
      <c r="AG502" s="100"/>
      <c r="AH502" s="100"/>
      <c r="AI502" s="100"/>
      <c r="AJ502" s="101"/>
      <c r="AK502" s="99"/>
      <c r="AL502" s="100"/>
      <c r="AM502" s="100"/>
      <c r="AN502" s="100"/>
      <c r="AO502" s="100"/>
      <c r="AP502" s="100"/>
      <c r="AQ502" s="100"/>
      <c r="AR502" s="100"/>
      <c r="AS502" s="100"/>
      <c r="AT502" s="100"/>
      <c r="AU502" s="101"/>
    </row>
    <row r="503" spans="29:47" ht="18.75" x14ac:dyDescent="0.3">
      <c r="AC503" s="99"/>
      <c r="AD503" s="100"/>
      <c r="AE503" s="100"/>
      <c r="AF503" s="100"/>
      <c r="AG503" s="100"/>
      <c r="AH503" s="100"/>
      <c r="AI503" s="100"/>
      <c r="AJ503" s="101"/>
      <c r="AK503" s="99"/>
      <c r="AL503" s="100"/>
      <c r="AM503" s="100"/>
      <c r="AN503" s="100"/>
      <c r="AO503" s="100"/>
      <c r="AP503" s="100"/>
      <c r="AQ503" s="100"/>
      <c r="AR503" s="100"/>
      <c r="AS503" s="100"/>
      <c r="AT503" s="100"/>
      <c r="AU503" s="101"/>
    </row>
    <row r="504" spans="29:47" ht="18.75" x14ac:dyDescent="0.3">
      <c r="AC504" s="99"/>
      <c r="AD504" s="100"/>
      <c r="AE504" s="100"/>
      <c r="AF504" s="100"/>
      <c r="AG504" s="100"/>
      <c r="AH504" s="100"/>
      <c r="AI504" s="100"/>
      <c r="AJ504" s="101"/>
      <c r="AK504" s="99"/>
      <c r="AL504" s="100"/>
      <c r="AM504" s="100"/>
      <c r="AN504" s="100"/>
      <c r="AO504" s="100"/>
      <c r="AP504" s="100"/>
      <c r="AQ504" s="100"/>
      <c r="AR504" s="100"/>
      <c r="AS504" s="100"/>
      <c r="AT504" s="100"/>
      <c r="AU504" s="101"/>
    </row>
    <row r="505" spans="29:47" ht="18.75" x14ac:dyDescent="0.3">
      <c r="AC505" s="99"/>
      <c r="AD505" s="100"/>
      <c r="AE505" s="100"/>
      <c r="AF505" s="100"/>
      <c r="AG505" s="100"/>
      <c r="AH505" s="100"/>
      <c r="AI505" s="100"/>
      <c r="AJ505" s="101"/>
      <c r="AK505" s="99"/>
      <c r="AL505" s="100"/>
      <c r="AM505" s="100"/>
      <c r="AN505" s="100"/>
      <c r="AO505" s="100"/>
      <c r="AP505" s="100"/>
      <c r="AQ505" s="100"/>
      <c r="AR505" s="100"/>
      <c r="AS505" s="100"/>
      <c r="AT505" s="100"/>
      <c r="AU505" s="101"/>
    </row>
    <row r="506" spans="29:47" ht="18.75" x14ac:dyDescent="0.3">
      <c r="AC506" s="99"/>
      <c r="AD506" s="100"/>
      <c r="AE506" s="100"/>
      <c r="AF506" s="100"/>
      <c r="AG506" s="100"/>
      <c r="AH506" s="100"/>
      <c r="AI506" s="100"/>
      <c r="AJ506" s="101"/>
      <c r="AK506" s="99"/>
      <c r="AL506" s="100"/>
      <c r="AM506" s="100"/>
      <c r="AN506" s="100"/>
      <c r="AO506" s="100"/>
      <c r="AP506" s="100"/>
      <c r="AQ506" s="100"/>
      <c r="AR506" s="100"/>
      <c r="AS506" s="100"/>
      <c r="AT506" s="100"/>
      <c r="AU506" s="101"/>
    </row>
    <row r="507" spans="29:47" ht="18.75" x14ac:dyDescent="0.3">
      <c r="AC507" s="99"/>
      <c r="AD507" s="100"/>
      <c r="AE507" s="100"/>
      <c r="AF507" s="100"/>
      <c r="AG507" s="100"/>
      <c r="AH507" s="100"/>
      <c r="AI507" s="100"/>
      <c r="AJ507" s="101"/>
      <c r="AK507" s="99"/>
      <c r="AL507" s="100"/>
      <c r="AM507" s="100"/>
      <c r="AN507" s="100"/>
      <c r="AO507" s="100"/>
      <c r="AP507" s="100"/>
      <c r="AQ507" s="100"/>
      <c r="AR507" s="100"/>
      <c r="AS507" s="100"/>
      <c r="AT507" s="100"/>
      <c r="AU507" s="101"/>
    </row>
    <row r="508" spans="29:47" ht="18.75" x14ac:dyDescent="0.3">
      <c r="AC508" s="99"/>
      <c r="AD508" s="100"/>
      <c r="AE508" s="100"/>
      <c r="AF508" s="100"/>
      <c r="AG508" s="100"/>
      <c r="AH508" s="100"/>
      <c r="AI508" s="100"/>
      <c r="AJ508" s="101"/>
      <c r="AK508" s="99"/>
      <c r="AL508" s="100"/>
      <c r="AM508" s="100"/>
      <c r="AN508" s="100"/>
      <c r="AO508" s="100"/>
      <c r="AP508" s="100"/>
      <c r="AQ508" s="100"/>
      <c r="AR508" s="100"/>
      <c r="AS508" s="100"/>
      <c r="AT508" s="100"/>
      <c r="AU508" s="101"/>
    </row>
    <row r="509" spans="29:47" ht="18.75" x14ac:dyDescent="0.3">
      <c r="AC509" s="99"/>
      <c r="AD509" s="100"/>
      <c r="AE509" s="100"/>
      <c r="AF509" s="100"/>
      <c r="AG509" s="100"/>
      <c r="AH509" s="100"/>
      <c r="AI509" s="100"/>
      <c r="AJ509" s="101"/>
      <c r="AK509" s="99"/>
      <c r="AL509" s="100"/>
      <c r="AM509" s="100"/>
      <c r="AN509" s="100"/>
      <c r="AO509" s="100"/>
      <c r="AP509" s="100"/>
      <c r="AQ509" s="100"/>
      <c r="AR509" s="100"/>
      <c r="AS509" s="100"/>
      <c r="AT509" s="100"/>
      <c r="AU509" s="101"/>
    </row>
    <row r="510" spans="29:47" ht="18.75" x14ac:dyDescent="0.3">
      <c r="AC510" s="99"/>
      <c r="AD510" s="100"/>
      <c r="AE510" s="100"/>
      <c r="AF510" s="100"/>
      <c r="AG510" s="100"/>
      <c r="AH510" s="100"/>
      <c r="AI510" s="100"/>
      <c r="AJ510" s="101"/>
      <c r="AK510" s="99"/>
      <c r="AL510" s="100"/>
      <c r="AM510" s="100"/>
      <c r="AN510" s="100"/>
      <c r="AO510" s="100"/>
      <c r="AP510" s="100"/>
      <c r="AQ510" s="100"/>
      <c r="AR510" s="100"/>
      <c r="AS510" s="100"/>
      <c r="AT510" s="100"/>
      <c r="AU510" s="101"/>
    </row>
    <row r="511" spans="29:47" ht="18.75" x14ac:dyDescent="0.3">
      <c r="AC511" s="99"/>
      <c r="AD511" s="100"/>
      <c r="AE511" s="100"/>
      <c r="AF511" s="100"/>
      <c r="AG511" s="100"/>
      <c r="AH511" s="100"/>
      <c r="AI511" s="100"/>
      <c r="AJ511" s="101"/>
      <c r="AK511" s="99"/>
      <c r="AL511" s="100"/>
      <c r="AM511" s="100"/>
      <c r="AN511" s="100"/>
      <c r="AO511" s="100"/>
      <c r="AP511" s="100"/>
      <c r="AQ511" s="100"/>
      <c r="AR511" s="100"/>
      <c r="AS511" s="100"/>
      <c r="AT511" s="100"/>
      <c r="AU511" s="101"/>
    </row>
    <row r="512" spans="29:47" ht="18.75" x14ac:dyDescent="0.3">
      <c r="AC512" s="99"/>
      <c r="AD512" s="100"/>
      <c r="AE512" s="100"/>
      <c r="AF512" s="100"/>
      <c r="AG512" s="100"/>
      <c r="AH512" s="100"/>
      <c r="AI512" s="100"/>
      <c r="AJ512" s="101"/>
      <c r="AK512" s="99"/>
      <c r="AL512" s="100"/>
      <c r="AM512" s="100"/>
      <c r="AN512" s="100"/>
      <c r="AO512" s="100"/>
      <c r="AP512" s="100"/>
      <c r="AQ512" s="100"/>
      <c r="AR512" s="100"/>
      <c r="AS512" s="100"/>
      <c r="AT512" s="100"/>
      <c r="AU512" s="101"/>
    </row>
    <row r="513" spans="29:47" ht="18.75" x14ac:dyDescent="0.3">
      <c r="AC513" s="99"/>
      <c r="AD513" s="100"/>
      <c r="AE513" s="100"/>
      <c r="AF513" s="100"/>
      <c r="AG513" s="100"/>
      <c r="AH513" s="100"/>
      <c r="AI513" s="100"/>
      <c r="AJ513" s="101"/>
      <c r="AK513" s="99"/>
      <c r="AL513" s="100"/>
      <c r="AM513" s="100"/>
      <c r="AN513" s="100"/>
      <c r="AO513" s="100"/>
      <c r="AP513" s="100"/>
      <c r="AQ513" s="100"/>
      <c r="AR513" s="100"/>
      <c r="AS513" s="100"/>
      <c r="AT513" s="100"/>
      <c r="AU513" s="101"/>
    </row>
    <row r="514" spans="29:47" ht="18.75" x14ac:dyDescent="0.3">
      <c r="AC514" s="99"/>
      <c r="AD514" s="100"/>
      <c r="AE514" s="100"/>
      <c r="AF514" s="100"/>
      <c r="AG514" s="100"/>
      <c r="AH514" s="100"/>
      <c r="AI514" s="100"/>
      <c r="AJ514" s="101"/>
      <c r="AK514" s="99"/>
      <c r="AL514" s="100"/>
      <c r="AM514" s="100"/>
      <c r="AN514" s="100"/>
      <c r="AO514" s="100"/>
      <c r="AP514" s="100"/>
      <c r="AQ514" s="100"/>
      <c r="AR514" s="100"/>
      <c r="AS514" s="100"/>
      <c r="AT514" s="100"/>
      <c r="AU514" s="101"/>
    </row>
    <row r="515" spans="29:47" ht="18.75" x14ac:dyDescent="0.3">
      <c r="AC515" s="99"/>
      <c r="AD515" s="100"/>
      <c r="AE515" s="100"/>
      <c r="AF515" s="100"/>
      <c r="AG515" s="100"/>
      <c r="AH515" s="100"/>
      <c r="AI515" s="100"/>
      <c r="AJ515" s="101"/>
      <c r="AK515" s="99"/>
      <c r="AL515" s="100"/>
      <c r="AM515" s="100"/>
      <c r="AN515" s="100"/>
      <c r="AO515" s="100"/>
      <c r="AP515" s="100"/>
      <c r="AQ515" s="100"/>
      <c r="AR515" s="100"/>
      <c r="AS515" s="100"/>
      <c r="AT515" s="100"/>
      <c r="AU515" s="101"/>
    </row>
    <row r="516" spans="29:47" ht="18.75" x14ac:dyDescent="0.3">
      <c r="AC516" s="99"/>
      <c r="AD516" s="100"/>
      <c r="AE516" s="100"/>
      <c r="AF516" s="100"/>
      <c r="AG516" s="100"/>
      <c r="AH516" s="100"/>
      <c r="AI516" s="100"/>
      <c r="AJ516" s="101"/>
      <c r="AK516" s="99"/>
      <c r="AL516" s="100"/>
      <c r="AM516" s="100"/>
      <c r="AN516" s="100"/>
      <c r="AO516" s="100"/>
      <c r="AP516" s="100"/>
      <c r="AQ516" s="100"/>
      <c r="AR516" s="100"/>
      <c r="AS516" s="100"/>
      <c r="AT516" s="100"/>
      <c r="AU516" s="101"/>
    </row>
    <row r="517" spans="29:47" ht="18.75" x14ac:dyDescent="0.3">
      <c r="AC517" s="99"/>
      <c r="AD517" s="100"/>
      <c r="AE517" s="100"/>
      <c r="AF517" s="100"/>
      <c r="AG517" s="100"/>
      <c r="AH517" s="100"/>
      <c r="AI517" s="100"/>
      <c r="AJ517" s="101"/>
      <c r="AK517" s="99"/>
      <c r="AL517" s="100"/>
      <c r="AM517" s="100"/>
      <c r="AN517" s="100"/>
      <c r="AO517" s="100"/>
      <c r="AP517" s="100"/>
      <c r="AQ517" s="100"/>
      <c r="AR517" s="100"/>
      <c r="AS517" s="100"/>
      <c r="AT517" s="100"/>
      <c r="AU517" s="101"/>
    </row>
    <row r="518" spans="29:47" ht="18.75" x14ac:dyDescent="0.3">
      <c r="AC518" s="99"/>
      <c r="AD518" s="100"/>
      <c r="AE518" s="100"/>
      <c r="AF518" s="100"/>
      <c r="AG518" s="100"/>
      <c r="AH518" s="100"/>
      <c r="AI518" s="100"/>
      <c r="AJ518" s="101"/>
      <c r="AK518" s="99"/>
      <c r="AL518" s="100"/>
      <c r="AM518" s="100"/>
      <c r="AN518" s="100"/>
      <c r="AO518" s="100"/>
      <c r="AP518" s="100"/>
      <c r="AQ518" s="100"/>
      <c r="AR518" s="100"/>
      <c r="AS518" s="100"/>
      <c r="AT518" s="100"/>
      <c r="AU518" s="101"/>
    </row>
    <row r="519" spans="29:47" ht="18.75" x14ac:dyDescent="0.3">
      <c r="AC519" s="99"/>
      <c r="AD519" s="100"/>
      <c r="AE519" s="100"/>
      <c r="AF519" s="100"/>
      <c r="AG519" s="100"/>
      <c r="AH519" s="100"/>
      <c r="AI519" s="100"/>
      <c r="AJ519" s="101"/>
      <c r="AK519" s="99"/>
      <c r="AL519" s="100"/>
      <c r="AM519" s="100"/>
      <c r="AN519" s="100"/>
      <c r="AO519" s="100"/>
      <c r="AP519" s="100"/>
      <c r="AQ519" s="100"/>
      <c r="AR519" s="100"/>
      <c r="AS519" s="100"/>
      <c r="AT519" s="100"/>
      <c r="AU519" s="101"/>
    </row>
    <row r="520" spans="29:47" ht="18.75" x14ac:dyDescent="0.3">
      <c r="AC520" s="99"/>
      <c r="AD520" s="100"/>
      <c r="AE520" s="100"/>
      <c r="AF520" s="100"/>
      <c r="AG520" s="100"/>
      <c r="AH520" s="100"/>
      <c r="AI520" s="100"/>
      <c r="AJ520" s="101"/>
      <c r="AK520" s="99"/>
      <c r="AL520" s="100"/>
      <c r="AM520" s="100"/>
      <c r="AN520" s="100"/>
      <c r="AO520" s="100"/>
      <c r="AP520" s="100"/>
      <c r="AQ520" s="100"/>
      <c r="AR520" s="100"/>
      <c r="AS520" s="100"/>
      <c r="AT520" s="100"/>
      <c r="AU520" s="101"/>
    </row>
    <row r="521" spans="29:47" ht="18.75" x14ac:dyDescent="0.3">
      <c r="AC521" s="99"/>
      <c r="AD521" s="100"/>
      <c r="AE521" s="100"/>
      <c r="AF521" s="100"/>
      <c r="AG521" s="100"/>
      <c r="AH521" s="100"/>
      <c r="AI521" s="100"/>
      <c r="AJ521" s="101"/>
      <c r="AK521" s="99"/>
      <c r="AL521" s="100"/>
      <c r="AM521" s="100"/>
      <c r="AN521" s="100"/>
      <c r="AO521" s="100"/>
      <c r="AP521" s="100"/>
      <c r="AQ521" s="100"/>
      <c r="AR521" s="100"/>
      <c r="AS521" s="100"/>
      <c r="AT521" s="100"/>
      <c r="AU521" s="101"/>
    </row>
    <row r="522" spans="29:47" ht="18.75" x14ac:dyDescent="0.3">
      <c r="AC522" s="99"/>
      <c r="AD522" s="100"/>
      <c r="AE522" s="100"/>
      <c r="AF522" s="100"/>
      <c r="AG522" s="100"/>
      <c r="AH522" s="100"/>
      <c r="AI522" s="100"/>
      <c r="AJ522" s="101"/>
      <c r="AK522" s="99"/>
      <c r="AL522" s="100"/>
      <c r="AM522" s="100"/>
      <c r="AN522" s="100"/>
      <c r="AO522" s="100"/>
      <c r="AP522" s="100"/>
      <c r="AQ522" s="100"/>
      <c r="AR522" s="100"/>
      <c r="AS522" s="100"/>
      <c r="AT522" s="100"/>
      <c r="AU522" s="101"/>
    </row>
    <row r="523" spans="29:47" ht="18.75" x14ac:dyDescent="0.3">
      <c r="AC523" s="99"/>
      <c r="AD523" s="100"/>
      <c r="AE523" s="100"/>
      <c r="AF523" s="100"/>
      <c r="AG523" s="100"/>
      <c r="AH523" s="100"/>
      <c r="AI523" s="100"/>
      <c r="AJ523" s="101"/>
      <c r="AK523" s="99"/>
      <c r="AL523" s="100"/>
      <c r="AM523" s="100"/>
      <c r="AN523" s="100"/>
      <c r="AO523" s="100"/>
      <c r="AP523" s="100"/>
      <c r="AQ523" s="100"/>
      <c r="AR523" s="100"/>
      <c r="AS523" s="100"/>
      <c r="AT523" s="100"/>
      <c r="AU523" s="101"/>
    </row>
    <row r="524" spans="29:47" ht="18.75" x14ac:dyDescent="0.3">
      <c r="AC524" s="99"/>
      <c r="AD524" s="100"/>
      <c r="AE524" s="100"/>
      <c r="AF524" s="100"/>
      <c r="AG524" s="100"/>
      <c r="AH524" s="100"/>
      <c r="AI524" s="100"/>
      <c r="AJ524" s="101"/>
      <c r="AK524" s="99"/>
      <c r="AL524" s="100"/>
      <c r="AM524" s="100"/>
      <c r="AN524" s="100"/>
      <c r="AO524" s="100"/>
      <c r="AP524" s="100"/>
      <c r="AQ524" s="100"/>
      <c r="AR524" s="100"/>
      <c r="AS524" s="100"/>
      <c r="AT524" s="100"/>
      <c r="AU524" s="101"/>
    </row>
    <row r="525" spans="29:47" ht="18.75" x14ac:dyDescent="0.3">
      <c r="AC525" s="99"/>
      <c r="AD525" s="100"/>
      <c r="AE525" s="100"/>
      <c r="AF525" s="100"/>
      <c r="AG525" s="100"/>
      <c r="AH525" s="100"/>
      <c r="AI525" s="100"/>
      <c r="AJ525" s="101"/>
      <c r="AK525" s="99"/>
      <c r="AL525" s="100"/>
      <c r="AM525" s="100"/>
      <c r="AN525" s="100"/>
      <c r="AO525" s="100"/>
      <c r="AP525" s="100"/>
      <c r="AQ525" s="100"/>
      <c r="AR525" s="100"/>
      <c r="AS525" s="100"/>
      <c r="AT525" s="100"/>
      <c r="AU525" s="101"/>
    </row>
    <row r="526" spans="29:47" ht="18.75" x14ac:dyDescent="0.3">
      <c r="AC526" s="99"/>
      <c r="AD526" s="100"/>
      <c r="AE526" s="100"/>
      <c r="AF526" s="100"/>
      <c r="AG526" s="100"/>
      <c r="AH526" s="100"/>
      <c r="AI526" s="100"/>
      <c r="AJ526" s="101"/>
      <c r="AK526" s="99"/>
      <c r="AL526" s="100"/>
      <c r="AM526" s="100"/>
      <c r="AN526" s="100"/>
      <c r="AO526" s="100"/>
      <c r="AP526" s="100"/>
      <c r="AQ526" s="100"/>
      <c r="AR526" s="100"/>
      <c r="AS526" s="100"/>
      <c r="AT526" s="100"/>
      <c r="AU526" s="101"/>
    </row>
    <row r="527" spans="29:47" ht="18.75" x14ac:dyDescent="0.3">
      <c r="AC527" s="99"/>
      <c r="AD527" s="100"/>
      <c r="AE527" s="100"/>
      <c r="AF527" s="100"/>
      <c r="AG527" s="100"/>
      <c r="AH527" s="100"/>
      <c r="AI527" s="100"/>
      <c r="AJ527" s="101"/>
      <c r="AK527" s="99"/>
      <c r="AL527" s="100"/>
      <c r="AM527" s="100"/>
      <c r="AN527" s="100"/>
      <c r="AO527" s="100"/>
      <c r="AP527" s="100"/>
      <c r="AQ527" s="100"/>
      <c r="AR527" s="100"/>
      <c r="AS527" s="100"/>
      <c r="AT527" s="100"/>
      <c r="AU527" s="101"/>
    </row>
    <row r="528" spans="29:47" ht="18.75" x14ac:dyDescent="0.3">
      <c r="AC528" s="99"/>
      <c r="AD528" s="100"/>
      <c r="AE528" s="100"/>
      <c r="AF528" s="100"/>
      <c r="AG528" s="100"/>
      <c r="AH528" s="100"/>
      <c r="AI528" s="100"/>
      <c r="AJ528" s="101"/>
      <c r="AK528" s="99"/>
      <c r="AL528" s="100"/>
      <c r="AM528" s="100"/>
      <c r="AN528" s="100"/>
      <c r="AO528" s="100"/>
      <c r="AP528" s="100"/>
      <c r="AQ528" s="100"/>
      <c r="AR528" s="100"/>
      <c r="AS528" s="100"/>
      <c r="AT528" s="100"/>
      <c r="AU528" s="101"/>
    </row>
    <row r="529" spans="29:47" ht="18.75" x14ac:dyDescent="0.3">
      <c r="AC529" s="99"/>
      <c r="AD529" s="100"/>
      <c r="AE529" s="100"/>
      <c r="AF529" s="100"/>
      <c r="AG529" s="100"/>
      <c r="AH529" s="100"/>
      <c r="AI529" s="100"/>
      <c r="AJ529" s="101"/>
      <c r="AK529" s="99"/>
      <c r="AL529" s="100"/>
      <c r="AM529" s="100"/>
      <c r="AN529" s="100"/>
      <c r="AO529" s="100"/>
      <c r="AP529" s="100"/>
      <c r="AQ529" s="100"/>
      <c r="AR529" s="100"/>
      <c r="AS529" s="100"/>
      <c r="AT529" s="100"/>
      <c r="AU529" s="101"/>
    </row>
    <row r="530" spans="29:47" ht="18.75" x14ac:dyDescent="0.3">
      <c r="AC530" s="99"/>
      <c r="AD530" s="100"/>
      <c r="AE530" s="100"/>
      <c r="AF530" s="100"/>
      <c r="AG530" s="100"/>
      <c r="AH530" s="100"/>
      <c r="AI530" s="100"/>
      <c r="AJ530" s="101"/>
      <c r="AK530" s="99"/>
      <c r="AL530" s="100"/>
      <c r="AM530" s="100"/>
      <c r="AN530" s="100"/>
      <c r="AO530" s="100"/>
      <c r="AP530" s="100"/>
      <c r="AQ530" s="100"/>
      <c r="AR530" s="100"/>
      <c r="AS530" s="100"/>
      <c r="AT530" s="100"/>
      <c r="AU530" s="101"/>
    </row>
    <row r="531" spans="29:47" ht="18.75" x14ac:dyDescent="0.3">
      <c r="AC531" s="99"/>
      <c r="AD531" s="100"/>
      <c r="AE531" s="100"/>
      <c r="AF531" s="100"/>
      <c r="AG531" s="100"/>
      <c r="AH531" s="100"/>
      <c r="AI531" s="100"/>
      <c r="AJ531" s="101"/>
      <c r="AK531" s="99"/>
      <c r="AL531" s="100"/>
      <c r="AM531" s="100"/>
      <c r="AN531" s="100"/>
      <c r="AO531" s="100"/>
      <c r="AP531" s="100"/>
      <c r="AQ531" s="100"/>
      <c r="AR531" s="100"/>
      <c r="AS531" s="100"/>
      <c r="AT531" s="100"/>
      <c r="AU531" s="101"/>
    </row>
    <row r="532" spans="29:47" ht="18.75" x14ac:dyDescent="0.3">
      <c r="AC532" s="99"/>
      <c r="AD532" s="100"/>
      <c r="AE532" s="100"/>
      <c r="AF532" s="100"/>
      <c r="AG532" s="100"/>
      <c r="AH532" s="100"/>
      <c r="AI532" s="100"/>
      <c r="AJ532" s="101"/>
      <c r="AK532" s="99"/>
      <c r="AL532" s="100"/>
      <c r="AM532" s="100"/>
      <c r="AN532" s="100"/>
      <c r="AO532" s="100"/>
      <c r="AP532" s="100"/>
      <c r="AQ532" s="100"/>
      <c r="AR532" s="100"/>
      <c r="AS532" s="100"/>
      <c r="AT532" s="100"/>
      <c r="AU532" s="101"/>
    </row>
    <row r="533" spans="29:47" ht="18.75" x14ac:dyDescent="0.3">
      <c r="AC533" s="99"/>
      <c r="AD533" s="100"/>
      <c r="AE533" s="100"/>
      <c r="AF533" s="100"/>
      <c r="AG533" s="100"/>
      <c r="AH533" s="100"/>
      <c r="AI533" s="100"/>
      <c r="AJ533" s="101"/>
      <c r="AK533" s="99"/>
      <c r="AL533" s="100"/>
      <c r="AM533" s="100"/>
      <c r="AN533" s="100"/>
      <c r="AO533" s="100"/>
      <c r="AP533" s="100"/>
      <c r="AQ533" s="100"/>
      <c r="AR533" s="100"/>
      <c r="AS533" s="100"/>
      <c r="AT533" s="100"/>
      <c r="AU533" s="101"/>
    </row>
    <row r="534" spans="29:47" ht="18.75" x14ac:dyDescent="0.3">
      <c r="AC534" s="99"/>
      <c r="AD534" s="100"/>
      <c r="AE534" s="100"/>
      <c r="AF534" s="100"/>
      <c r="AG534" s="100"/>
      <c r="AH534" s="100"/>
      <c r="AI534" s="100"/>
      <c r="AJ534" s="101"/>
      <c r="AK534" s="99"/>
      <c r="AL534" s="100"/>
      <c r="AM534" s="100"/>
      <c r="AN534" s="100"/>
      <c r="AO534" s="100"/>
      <c r="AP534" s="100"/>
      <c r="AQ534" s="100"/>
      <c r="AR534" s="100"/>
      <c r="AS534" s="100"/>
      <c r="AT534" s="100"/>
      <c r="AU534" s="101"/>
    </row>
    <row r="535" spans="29:47" ht="18.75" x14ac:dyDescent="0.3">
      <c r="AC535" s="99"/>
      <c r="AD535" s="100"/>
      <c r="AE535" s="100"/>
      <c r="AF535" s="100"/>
      <c r="AG535" s="100"/>
      <c r="AH535" s="100"/>
      <c r="AI535" s="100"/>
      <c r="AJ535" s="101"/>
      <c r="AK535" s="99"/>
      <c r="AL535" s="100"/>
      <c r="AM535" s="100"/>
      <c r="AN535" s="100"/>
      <c r="AO535" s="100"/>
      <c r="AP535" s="100"/>
      <c r="AQ535" s="100"/>
      <c r="AR535" s="100"/>
      <c r="AS535" s="100"/>
      <c r="AT535" s="100"/>
      <c r="AU535" s="101"/>
    </row>
    <row r="536" spans="29:47" ht="18.75" x14ac:dyDescent="0.3">
      <c r="AC536" s="99"/>
      <c r="AD536" s="100"/>
      <c r="AE536" s="100"/>
      <c r="AF536" s="100"/>
      <c r="AG536" s="100"/>
      <c r="AH536" s="100"/>
      <c r="AI536" s="100"/>
      <c r="AJ536" s="101"/>
      <c r="AK536" s="99"/>
      <c r="AL536" s="100"/>
      <c r="AM536" s="100"/>
      <c r="AN536" s="100"/>
      <c r="AO536" s="100"/>
      <c r="AP536" s="100"/>
      <c r="AQ536" s="100"/>
      <c r="AR536" s="100"/>
      <c r="AS536" s="100"/>
      <c r="AT536" s="100"/>
      <c r="AU536" s="101"/>
    </row>
    <row r="537" spans="29:47" ht="18.75" x14ac:dyDescent="0.3">
      <c r="AC537" s="99"/>
      <c r="AD537" s="100"/>
      <c r="AE537" s="100"/>
      <c r="AF537" s="100"/>
      <c r="AG537" s="100"/>
      <c r="AH537" s="100"/>
      <c r="AI537" s="100"/>
      <c r="AJ537" s="101"/>
      <c r="AK537" s="99"/>
      <c r="AL537" s="100"/>
      <c r="AM537" s="100"/>
      <c r="AN537" s="100"/>
      <c r="AO537" s="100"/>
      <c r="AP537" s="100"/>
      <c r="AQ537" s="100"/>
      <c r="AR537" s="100"/>
      <c r="AS537" s="100"/>
      <c r="AT537" s="100"/>
      <c r="AU537" s="101"/>
    </row>
    <row r="538" spans="29:47" ht="18.75" x14ac:dyDescent="0.3">
      <c r="AC538" s="99"/>
      <c r="AD538" s="100"/>
      <c r="AE538" s="100"/>
      <c r="AF538" s="100"/>
      <c r="AG538" s="100"/>
      <c r="AH538" s="100"/>
      <c r="AI538" s="100"/>
      <c r="AJ538" s="101"/>
      <c r="AK538" s="99"/>
      <c r="AL538" s="100"/>
      <c r="AM538" s="100"/>
      <c r="AN538" s="100"/>
      <c r="AO538" s="100"/>
      <c r="AP538" s="100"/>
      <c r="AQ538" s="100"/>
      <c r="AR538" s="100"/>
      <c r="AS538" s="100"/>
      <c r="AT538" s="100"/>
      <c r="AU538" s="101"/>
    </row>
    <row r="539" spans="29:47" ht="18.75" x14ac:dyDescent="0.3">
      <c r="AC539" s="99"/>
      <c r="AD539" s="100"/>
      <c r="AE539" s="100"/>
      <c r="AF539" s="100"/>
      <c r="AG539" s="100"/>
      <c r="AH539" s="100"/>
      <c r="AI539" s="100"/>
      <c r="AJ539" s="101"/>
      <c r="AK539" s="99"/>
      <c r="AL539" s="100"/>
      <c r="AM539" s="100"/>
      <c r="AN539" s="100"/>
      <c r="AO539" s="100"/>
      <c r="AP539" s="100"/>
      <c r="AQ539" s="100"/>
      <c r="AR539" s="100"/>
      <c r="AS539" s="100"/>
      <c r="AT539" s="100"/>
      <c r="AU539" s="101"/>
    </row>
    <row r="540" spans="29:47" ht="18.75" x14ac:dyDescent="0.3">
      <c r="AC540" s="99"/>
      <c r="AD540" s="100"/>
      <c r="AE540" s="100"/>
      <c r="AF540" s="100"/>
      <c r="AG540" s="100"/>
      <c r="AH540" s="100"/>
      <c r="AI540" s="100"/>
      <c r="AJ540" s="101"/>
      <c r="AK540" s="99"/>
      <c r="AL540" s="100"/>
      <c r="AM540" s="100"/>
      <c r="AN540" s="100"/>
      <c r="AO540" s="100"/>
      <c r="AP540" s="100"/>
      <c r="AQ540" s="100"/>
      <c r="AR540" s="100"/>
      <c r="AS540" s="100"/>
      <c r="AT540" s="100"/>
      <c r="AU540" s="101"/>
    </row>
    <row r="541" spans="29:47" ht="18.75" x14ac:dyDescent="0.3">
      <c r="AC541" s="99"/>
      <c r="AD541" s="100"/>
      <c r="AE541" s="100"/>
      <c r="AF541" s="100"/>
      <c r="AG541" s="100"/>
      <c r="AH541" s="100"/>
      <c r="AI541" s="100"/>
      <c r="AJ541" s="101"/>
      <c r="AK541" s="99"/>
      <c r="AL541" s="100"/>
      <c r="AM541" s="100"/>
      <c r="AN541" s="100"/>
      <c r="AO541" s="100"/>
      <c r="AP541" s="100"/>
      <c r="AQ541" s="100"/>
      <c r="AR541" s="100"/>
      <c r="AS541" s="100"/>
      <c r="AT541" s="100"/>
      <c r="AU541" s="101"/>
    </row>
    <row r="542" spans="29:47" ht="18.75" x14ac:dyDescent="0.3">
      <c r="AC542" s="99"/>
      <c r="AD542" s="100"/>
      <c r="AE542" s="100"/>
      <c r="AF542" s="100"/>
      <c r="AG542" s="100"/>
      <c r="AH542" s="100"/>
      <c r="AI542" s="100"/>
      <c r="AJ542" s="101"/>
      <c r="AK542" s="99"/>
      <c r="AL542" s="100"/>
      <c r="AM542" s="100"/>
      <c r="AN542" s="100"/>
      <c r="AO542" s="100"/>
      <c r="AP542" s="100"/>
      <c r="AQ542" s="100"/>
      <c r="AR542" s="100"/>
      <c r="AS542" s="100"/>
      <c r="AT542" s="100"/>
      <c r="AU542" s="101"/>
    </row>
    <row r="543" spans="29:47" ht="18.75" x14ac:dyDescent="0.3">
      <c r="AC543" s="99"/>
      <c r="AD543" s="100"/>
      <c r="AE543" s="100"/>
      <c r="AF543" s="100"/>
      <c r="AG543" s="100"/>
      <c r="AH543" s="100"/>
      <c r="AI543" s="100"/>
      <c r="AJ543" s="101"/>
      <c r="AK543" s="99"/>
      <c r="AL543" s="100"/>
      <c r="AM543" s="100"/>
      <c r="AN543" s="100"/>
      <c r="AO543" s="100"/>
      <c r="AP543" s="100"/>
      <c r="AQ543" s="100"/>
      <c r="AR543" s="100"/>
      <c r="AS543" s="100"/>
      <c r="AT543" s="100"/>
      <c r="AU543" s="101"/>
    </row>
    <row r="544" spans="29:47" ht="18.75" x14ac:dyDescent="0.3">
      <c r="AC544" s="99"/>
      <c r="AD544" s="100"/>
      <c r="AE544" s="100"/>
      <c r="AF544" s="100"/>
      <c r="AG544" s="100"/>
      <c r="AH544" s="100"/>
      <c r="AI544" s="100"/>
      <c r="AJ544" s="101"/>
      <c r="AK544" s="99"/>
      <c r="AL544" s="100"/>
      <c r="AM544" s="100"/>
      <c r="AN544" s="100"/>
      <c r="AO544" s="100"/>
      <c r="AP544" s="100"/>
      <c r="AQ544" s="100"/>
      <c r="AR544" s="100"/>
      <c r="AS544" s="100"/>
      <c r="AT544" s="100"/>
      <c r="AU544" s="101"/>
    </row>
    <row r="545" spans="29:47" ht="18.75" x14ac:dyDescent="0.3">
      <c r="AC545" s="99"/>
      <c r="AD545" s="100"/>
      <c r="AE545" s="100"/>
      <c r="AF545" s="100"/>
      <c r="AG545" s="100"/>
      <c r="AH545" s="100"/>
      <c r="AI545" s="100"/>
      <c r="AJ545" s="101"/>
      <c r="AK545" s="99"/>
      <c r="AL545" s="100"/>
      <c r="AM545" s="100"/>
      <c r="AN545" s="100"/>
      <c r="AO545" s="100"/>
      <c r="AP545" s="100"/>
      <c r="AQ545" s="100"/>
      <c r="AR545" s="100"/>
      <c r="AS545" s="100"/>
      <c r="AT545" s="100"/>
      <c r="AU545" s="101"/>
    </row>
    <row r="546" spans="29:47" ht="18.75" x14ac:dyDescent="0.3">
      <c r="AC546" s="99"/>
      <c r="AD546" s="100"/>
      <c r="AE546" s="100"/>
      <c r="AF546" s="100"/>
      <c r="AG546" s="100"/>
      <c r="AH546" s="100"/>
      <c r="AI546" s="100"/>
      <c r="AJ546" s="101"/>
      <c r="AK546" s="99"/>
      <c r="AL546" s="100"/>
      <c r="AM546" s="100"/>
      <c r="AN546" s="100"/>
      <c r="AO546" s="100"/>
      <c r="AP546" s="100"/>
      <c r="AQ546" s="100"/>
      <c r="AR546" s="100"/>
      <c r="AS546" s="100"/>
      <c r="AT546" s="100"/>
      <c r="AU546" s="101"/>
    </row>
    <row r="547" spans="29:47" ht="18.75" x14ac:dyDescent="0.3">
      <c r="AC547" s="99"/>
      <c r="AD547" s="100"/>
      <c r="AE547" s="100"/>
      <c r="AF547" s="100"/>
      <c r="AG547" s="100"/>
      <c r="AH547" s="100"/>
      <c r="AI547" s="100"/>
      <c r="AJ547" s="101"/>
      <c r="AK547" s="99"/>
      <c r="AL547" s="100"/>
      <c r="AM547" s="100"/>
      <c r="AN547" s="100"/>
      <c r="AO547" s="100"/>
      <c r="AP547" s="100"/>
      <c r="AQ547" s="100"/>
      <c r="AR547" s="100"/>
      <c r="AS547" s="100"/>
      <c r="AT547" s="100"/>
      <c r="AU547" s="101"/>
    </row>
    <row r="548" spans="29:47" ht="18.75" x14ac:dyDescent="0.3">
      <c r="AC548" s="99"/>
      <c r="AD548" s="100"/>
      <c r="AE548" s="100"/>
      <c r="AF548" s="100"/>
      <c r="AG548" s="100"/>
      <c r="AH548" s="100"/>
      <c r="AI548" s="100"/>
      <c r="AJ548" s="101"/>
      <c r="AK548" s="99"/>
      <c r="AL548" s="100"/>
      <c r="AM548" s="100"/>
      <c r="AN548" s="100"/>
      <c r="AO548" s="100"/>
      <c r="AP548" s="100"/>
      <c r="AQ548" s="100"/>
      <c r="AR548" s="100"/>
      <c r="AS548" s="100"/>
      <c r="AT548" s="100"/>
      <c r="AU548" s="101"/>
    </row>
    <row r="549" spans="29:47" ht="18.75" x14ac:dyDescent="0.3">
      <c r="AC549" s="99"/>
      <c r="AD549" s="100"/>
      <c r="AE549" s="100"/>
      <c r="AF549" s="100"/>
      <c r="AG549" s="100"/>
      <c r="AH549" s="100"/>
      <c r="AI549" s="100"/>
      <c r="AJ549" s="101"/>
      <c r="AK549" s="99"/>
      <c r="AL549" s="100"/>
      <c r="AM549" s="100"/>
      <c r="AN549" s="100"/>
      <c r="AO549" s="100"/>
      <c r="AP549" s="100"/>
      <c r="AQ549" s="100"/>
      <c r="AR549" s="100"/>
      <c r="AS549" s="100"/>
      <c r="AT549" s="100"/>
      <c r="AU549" s="101"/>
    </row>
    <row r="550" spans="29:47" ht="18.75" x14ac:dyDescent="0.3">
      <c r="AC550" s="99"/>
      <c r="AD550" s="100"/>
      <c r="AE550" s="100"/>
      <c r="AF550" s="100"/>
      <c r="AG550" s="100"/>
      <c r="AH550" s="100"/>
      <c r="AI550" s="100"/>
      <c r="AJ550" s="101"/>
      <c r="AK550" s="99"/>
      <c r="AL550" s="100"/>
      <c r="AM550" s="100"/>
      <c r="AN550" s="100"/>
      <c r="AO550" s="100"/>
      <c r="AP550" s="100"/>
      <c r="AQ550" s="100"/>
      <c r="AR550" s="100"/>
      <c r="AS550" s="100"/>
      <c r="AT550" s="100"/>
      <c r="AU550" s="101"/>
    </row>
    <row r="551" spans="29:47" ht="18.75" x14ac:dyDescent="0.3">
      <c r="AC551" s="99"/>
      <c r="AD551" s="100"/>
      <c r="AE551" s="100"/>
      <c r="AF551" s="100"/>
      <c r="AG551" s="100"/>
      <c r="AH551" s="100"/>
      <c r="AI551" s="100"/>
      <c r="AJ551" s="101"/>
      <c r="AK551" s="99"/>
      <c r="AL551" s="100"/>
      <c r="AM551" s="100"/>
      <c r="AN551" s="100"/>
      <c r="AO551" s="100"/>
      <c r="AP551" s="100"/>
      <c r="AQ551" s="100"/>
      <c r="AR551" s="100"/>
      <c r="AS551" s="100"/>
      <c r="AT551" s="100"/>
      <c r="AU551" s="101"/>
    </row>
    <row r="552" spans="29:47" ht="18.75" x14ac:dyDescent="0.3">
      <c r="AC552" s="99"/>
      <c r="AD552" s="100"/>
      <c r="AE552" s="100"/>
      <c r="AF552" s="100"/>
      <c r="AG552" s="100"/>
      <c r="AH552" s="100"/>
      <c r="AI552" s="100"/>
      <c r="AJ552" s="101"/>
      <c r="AK552" s="99"/>
      <c r="AL552" s="100"/>
      <c r="AM552" s="100"/>
      <c r="AN552" s="100"/>
      <c r="AO552" s="100"/>
      <c r="AP552" s="100"/>
      <c r="AQ552" s="100"/>
      <c r="AR552" s="100"/>
      <c r="AS552" s="100"/>
      <c r="AT552" s="100"/>
      <c r="AU552" s="101"/>
    </row>
    <row r="553" spans="29:47" ht="18.75" x14ac:dyDescent="0.3">
      <c r="AC553" s="99"/>
      <c r="AD553" s="100"/>
      <c r="AE553" s="100"/>
      <c r="AF553" s="100"/>
      <c r="AG553" s="100"/>
      <c r="AH553" s="100"/>
      <c r="AI553" s="100"/>
      <c r="AJ553" s="101"/>
      <c r="AK553" s="99"/>
      <c r="AL553" s="100"/>
      <c r="AM553" s="100"/>
      <c r="AN553" s="100"/>
      <c r="AO553" s="100"/>
      <c r="AP553" s="100"/>
      <c r="AQ553" s="100"/>
      <c r="AR553" s="100"/>
      <c r="AS553" s="100"/>
      <c r="AT553" s="100"/>
      <c r="AU553" s="101"/>
    </row>
    <row r="554" spans="29:47" ht="18.75" x14ac:dyDescent="0.3">
      <c r="AC554" s="99"/>
      <c r="AD554" s="100"/>
      <c r="AE554" s="100"/>
      <c r="AF554" s="100"/>
      <c r="AG554" s="100"/>
      <c r="AH554" s="100"/>
      <c r="AI554" s="100"/>
      <c r="AJ554" s="101"/>
      <c r="AK554" s="99"/>
      <c r="AL554" s="100"/>
      <c r="AM554" s="100"/>
      <c r="AN554" s="100"/>
      <c r="AO554" s="100"/>
      <c r="AP554" s="100"/>
      <c r="AQ554" s="100"/>
      <c r="AR554" s="100"/>
      <c r="AS554" s="100"/>
      <c r="AT554" s="100"/>
      <c r="AU554" s="101"/>
    </row>
    <row r="555" spans="29:47" ht="18.75" x14ac:dyDescent="0.3">
      <c r="AC555" s="99"/>
      <c r="AD555" s="100"/>
      <c r="AE555" s="100"/>
      <c r="AF555" s="100"/>
      <c r="AG555" s="100"/>
      <c r="AH555" s="100"/>
      <c r="AI555" s="100"/>
      <c r="AJ555" s="101"/>
      <c r="AK555" s="99"/>
      <c r="AL555" s="100"/>
      <c r="AM555" s="100"/>
      <c r="AN555" s="100"/>
      <c r="AO555" s="100"/>
      <c r="AP555" s="100"/>
      <c r="AQ555" s="100"/>
      <c r="AR555" s="100"/>
      <c r="AS555" s="100"/>
      <c r="AT555" s="100"/>
      <c r="AU555" s="101"/>
    </row>
    <row r="556" spans="29:47" ht="18.75" x14ac:dyDescent="0.3">
      <c r="AC556" s="99"/>
      <c r="AD556" s="100"/>
      <c r="AE556" s="100"/>
      <c r="AF556" s="100"/>
      <c r="AG556" s="100"/>
      <c r="AH556" s="100"/>
      <c r="AI556" s="100"/>
      <c r="AJ556" s="101"/>
      <c r="AK556" s="99"/>
      <c r="AL556" s="100"/>
      <c r="AM556" s="100"/>
      <c r="AN556" s="100"/>
      <c r="AO556" s="100"/>
      <c r="AP556" s="100"/>
      <c r="AQ556" s="100"/>
      <c r="AR556" s="100"/>
      <c r="AS556" s="100"/>
      <c r="AT556" s="100"/>
      <c r="AU556" s="101"/>
    </row>
    <row r="557" spans="29:47" ht="18.75" x14ac:dyDescent="0.3">
      <c r="AC557" s="99"/>
      <c r="AD557" s="100"/>
      <c r="AE557" s="100"/>
      <c r="AF557" s="100"/>
      <c r="AG557" s="100"/>
      <c r="AH557" s="100"/>
      <c r="AI557" s="100"/>
      <c r="AJ557" s="101"/>
      <c r="AK557" s="99"/>
      <c r="AL557" s="100"/>
      <c r="AM557" s="100"/>
      <c r="AN557" s="100"/>
      <c r="AO557" s="100"/>
      <c r="AP557" s="100"/>
      <c r="AQ557" s="100"/>
      <c r="AR557" s="100"/>
      <c r="AS557" s="100"/>
      <c r="AT557" s="100"/>
      <c r="AU557" s="101"/>
    </row>
    <row r="558" spans="29:47" ht="18.75" x14ac:dyDescent="0.3">
      <c r="AC558" s="99"/>
      <c r="AD558" s="100"/>
      <c r="AE558" s="100"/>
      <c r="AF558" s="100"/>
      <c r="AG558" s="100"/>
      <c r="AH558" s="100"/>
      <c r="AI558" s="100"/>
      <c r="AJ558" s="101"/>
      <c r="AK558" s="99"/>
      <c r="AL558" s="100"/>
      <c r="AM558" s="100"/>
      <c r="AN558" s="100"/>
      <c r="AO558" s="100"/>
      <c r="AP558" s="100"/>
      <c r="AQ558" s="100"/>
      <c r="AR558" s="100"/>
      <c r="AS558" s="100"/>
      <c r="AT558" s="100"/>
      <c r="AU558" s="101"/>
    </row>
    <row r="559" spans="29:47" ht="18.75" x14ac:dyDescent="0.3">
      <c r="AC559" s="99"/>
      <c r="AD559" s="100"/>
      <c r="AE559" s="100"/>
      <c r="AF559" s="100"/>
      <c r="AG559" s="100"/>
      <c r="AH559" s="100"/>
      <c r="AI559" s="100"/>
      <c r="AJ559" s="101"/>
      <c r="AK559" s="99"/>
      <c r="AL559" s="100"/>
      <c r="AM559" s="100"/>
      <c r="AN559" s="100"/>
      <c r="AO559" s="100"/>
      <c r="AP559" s="100"/>
      <c r="AQ559" s="100"/>
      <c r="AR559" s="100"/>
      <c r="AS559" s="100"/>
      <c r="AT559" s="100"/>
      <c r="AU559" s="101"/>
    </row>
    <row r="560" spans="29:47" ht="18.75" x14ac:dyDescent="0.3">
      <c r="AC560" s="99"/>
      <c r="AD560" s="100"/>
      <c r="AE560" s="100"/>
      <c r="AF560" s="100"/>
      <c r="AG560" s="100"/>
      <c r="AH560" s="100"/>
      <c r="AI560" s="100"/>
      <c r="AJ560" s="101"/>
      <c r="AK560" s="99"/>
      <c r="AL560" s="100"/>
      <c r="AM560" s="100"/>
      <c r="AN560" s="100"/>
      <c r="AO560" s="100"/>
      <c r="AP560" s="100"/>
      <c r="AQ560" s="100"/>
      <c r="AR560" s="100"/>
      <c r="AS560" s="100"/>
      <c r="AT560" s="100"/>
      <c r="AU560" s="101"/>
    </row>
    <row r="561" spans="29:47" ht="18.75" x14ac:dyDescent="0.3">
      <c r="AC561" s="99"/>
      <c r="AD561" s="100"/>
      <c r="AE561" s="100"/>
      <c r="AF561" s="100"/>
      <c r="AG561" s="100"/>
      <c r="AH561" s="100"/>
      <c r="AI561" s="100"/>
      <c r="AJ561" s="101"/>
      <c r="AK561" s="99"/>
      <c r="AL561" s="100"/>
      <c r="AM561" s="100"/>
      <c r="AN561" s="100"/>
      <c r="AO561" s="100"/>
      <c r="AP561" s="100"/>
      <c r="AQ561" s="100"/>
      <c r="AR561" s="100"/>
      <c r="AS561" s="100"/>
      <c r="AT561" s="100"/>
      <c r="AU561" s="101"/>
    </row>
    <row r="562" spans="29:47" ht="18.75" x14ac:dyDescent="0.3">
      <c r="AC562" s="99"/>
      <c r="AD562" s="100"/>
      <c r="AE562" s="100"/>
      <c r="AF562" s="100"/>
      <c r="AG562" s="100"/>
      <c r="AH562" s="100"/>
      <c r="AI562" s="100"/>
      <c r="AJ562" s="101"/>
      <c r="AK562" s="99"/>
      <c r="AL562" s="100"/>
      <c r="AM562" s="100"/>
      <c r="AN562" s="100"/>
      <c r="AO562" s="100"/>
      <c r="AP562" s="100"/>
      <c r="AQ562" s="100"/>
      <c r="AR562" s="100"/>
      <c r="AS562" s="100"/>
      <c r="AT562" s="100"/>
      <c r="AU562" s="101"/>
    </row>
    <row r="563" spans="29:47" ht="18.75" x14ac:dyDescent="0.3">
      <c r="AC563" s="99"/>
      <c r="AD563" s="100"/>
      <c r="AE563" s="100"/>
      <c r="AF563" s="100"/>
      <c r="AG563" s="100"/>
      <c r="AH563" s="100"/>
      <c r="AI563" s="100"/>
      <c r="AJ563" s="101"/>
      <c r="AK563" s="99"/>
      <c r="AL563" s="100"/>
      <c r="AM563" s="100"/>
      <c r="AN563" s="100"/>
      <c r="AO563" s="100"/>
      <c r="AP563" s="100"/>
      <c r="AQ563" s="100"/>
      <c r="AR563" s="100"/>
      <c r="AS563" s="100"/>
      <c r="AT563" s="100"/>
      <c r="AU563" s="101"/>
    </row>
    <row r="564" spans="29:47" ht="18.75" x14ac:dyDescent="0.3">
      <c r="AC564" s="99"/>
      <c r="AD564" s="100"/>
      <c r="AE564" s="100"/>
      <c r="AF564" s="100"/>
      <c r="AG564" s="100"/>
      <c r="AH564" s="100"/>
      <c r="AI564" s="100"/>
      <c r="AJ564" s="101"/>
      <c r="AK564" s="99"/>
      <c r="AL564" s="100"/>
      <c r="AM564" s="100"/>
      <c r="AN564" s="100"/>
      <c r="AO564" s="100"/>
      <c r="AP564" s="100"/>
      <c r="AQ564" s="100"/>
      <c r="AR564" s="100"/>
      <c r="AS564" s="100"/>
      <c r="AT564" s="100"/>
      <c r="AU564" s="101"/>
    </row>
    <row r="565" spans="29:47" ht="18.75" x14ac:dyDescent="0.3">
      <c r="AC565" s="99"/>
      <c r="AD565" s="100"/>
      <c r="AE565" s="100"/>
      <c r="AF565" s="100"/>
      <c r="AG565" s="100"/>
      <c r="AH565" s="100"/>
      <c r="AI565" s="100"/>
      <c r="AJ565" s="101"/>
      <c r="AK565" s="99"/>
      <c r="AL565" s="100"/>
      <c r="AM565" s="100"/>
      <c r="AN565" s="100"/>
      <c r="AO565" s="100"/>
      <c r="AP565" s="100"/>
      <c r="AQ565" s="100"/>
      <c r="AR565" s="100"/>
      <c r="AS565" s="100"/>
      <c r="AT565" s="100"/>
      <c r="AU565" s="101"/>
    </row>
    <row r="566" spans="29:47" ht="18.75" x14ac:dyDescent="0.3">
      <c r="AC566" s="99"/>
      <c r="AD566" s="100"/>
      <c r="AE566" s="100"/>
      <c r="AF566" s="100"/>
      <c r="AG566" s="100"/>
      <c r="AH566" s="100"/>
      <c r="AI566" s="100"/>
      <c r="AJ566" s="101"/>
      <c r="AK566" s="99"/>
      <c r="AL566" s="100"/>
      <c r="AM566" s="100"/>
      <c r="AN566" s="100"/>
      <c r="AO566" s="100"/>
      <c r="AP566" s="100"/>
      <c r="AQ566" s="100"/>
      <c r="AR566" s="100"/>
      <c r="AS566" s="100"/>
      <c r="AT566" s="100"/>
      <c r="AU566" s="101"/>
    </row>
    <row r="567" spans="29:47" ht="18.75" x14ac:dyDescent="0.3">
      <c r="AC567" s="99"/>
      <c r="AD567" s="100"/>
      <c r="AE567" s="100"/>
      <c r="AF567" s="100"/>
      <c r="AG567" s="100"/>
      <c r="AH567" s="100"/>
      <c r="AI567" s="100"/>
      <c r="AJ567" s="101"/>
      <c r="AK567" s="99"/>
      <c r="AL567" s="100"/>
      <c r="AM567" s="100"/>
      <c r="AN567" s="100"/>
      <c r="AO567" s="100"/>
      <c r="AP567" s="100"/>
      <c r="AQ567" s="100"/>
      <c r="AR567" s="100"/>
      <c r="AS567" s="100"/>
      <c r="AT567" s="100"/>
      <c r="AU567" s="101"/>
    </row>
    <row r="568" spans="29:47" ht="18.75" x14ac:dyDescent="0.3">
      <c r="AC568" s="99"/>
      <c r="AD568" s="100"/>
      <c r="AE568" s="100"/>
      <c r="AF568" s="100"/>
      <c r="AG568" s="100"/>
      <c r="AH568" s="100"/>
      <c r="AI568" s="100"/>
      <c r="AJ568" s="101"/>
      <c r="AK568" s="99"/>
      <c r="AL568" s="100"/>
      <c r="AM568" s="100"/>
      <c r="AN568" s="100"/>
      <c r="AO568" s="100"/>
      <c r="AP568" s="100"/>
      <c r="AQ568" s="100"/>
      <c r="AR568" s="100"/>
      <c r="AS568" s="100"/>
      <c r="AT568" s="100"/>
      <c r="AU568" s="101"/>
    </row>
    <row r="569" spans="29:47" ht="18.75" x14ac:dyDescent="0.3">
      <c r="AC569" s="99"/>
      <c r="AD569" s="100"/>
      <c r="AE569" s="100"/>
      <c r="AF569" s="100"/>
      <c r="AG569" s="100"/>
      <c r="AH569" s="100"/>
      <c r="AI569" s="100"/>
      <c r="AJ569" s="101"/>
      <c r="AK569" s="99"/>
      <c r="AL569" s="100"/>
      <c r="AM569" s="100"/>
      <c r="AN569" s="100"/>
      <c r="AO569" s="100"/>
      <c r="AP569" s="100"/>
      <c r="AQ569" s="100"/>
      <c r="AR569" s="100"/>
      <c r="AS569" s="100"/>
      <c r="AT569" s="100"/>
      <c r="AU569" s="101"/>
    </row>
    <row r="570" spans="29:47" ht="18.75" x14ac:dyDescent="0.3">
      <c r="AC570" s="99"/>
      <c r="AD570" s="100"/>
      <c r="AE570" s="100"/>
      <c r="AF570" s="100"/>
      <c r="AG570" s="100"/>
      <c r="AH570" s="100"/>
      <c r="AI570" s="100"/>
      <c r="AJ570" s="101"/>
      <c r="AK570" s="99"/>
      <c r="AL570" s="100"/>
      <c r="AM570" s="100"/>
      <c r="AN570" s="100"/>
      <c r="AO570" s="100"/>
      <c r="AP570" s="100"/>
      <c r="AQ570" s="100"/>
      <c r="AR570" s="100"/>
      <c r="AS570" s="100"/>
      <c r="AT570" s="100"/>
      <c r="AU570" s="101"/>
    </row>
    <row r="571" spans="29:47" ht="18.75" x14ac:dyDescent="0.3">
      <c r="AC571" s="99"/>
      <c r="AD571" s="100"/>
      <c r="AE571" s="100"/>
      <c r="AF571" s="100"/>
      <c r="AG571" s="100"/>
      <c r="AH571" s="100"/>
      <c r="AI571" s="100"/>
      <c r="AJ571" s="101"/>
      <c r="AK571" s="99"/>
      <c r="AL571" s="100"/>
      <c r="AM571" s="100"/>
      <c r="AN571" s="100"/>
      <c r="AO571" s="100"/>
      <c r="AP571" s="100"/>
      <c r="AQ571" s="100"/>
      <c r="AR571" s="100"/>
      <c r="AS571" s="100"/>
      <c r="AT571" s="100"/>
      <c r="AU571" s="101"/>
    </row>
    <row r="572" spans="29:47" ht="18.75" x14ac:dyDescent="0.3">
      <c r="AC572" s="99"/>
      <c r="AD572" s="100"/>
      <c r="AE572" s="100"/>
      <c r="AF572" s="100"/>
      <c r="AG572" s="100"/>
      <c r="AH572" s="100"/>
      <c r="AI572" s="100"/>
      <c r="AJ572" s="101"/>
      <c r="AK572" s="99"/>
      <c r="AL572" s="100"/>
      <c r="AM572" s="100"/>
      <c r="AN572" s="100"/>
      <c r="AO572" s="100"/>
      <c r="AP572" s="100"/>
      <c r="AQ572" s="100"/>
      <c r="AR572" s="100"/>
      <c r="AS572" s="100"/>
      <c r="AT572" s="100"/>
      <c r="AU572" s="101"/>
    </row>
    <row r="573" spans="29:47" ht="18.75" x14ac:dyDescent="0.3">
      <c r="AC573" s="99"/>
      <c r="AD573" s="100"/>
      <c r="AE573" s="100"/>
      <c r="AF573" s="100"/>
      <c r="AG573" s="100"/>
      <c r="AH573" s="100"/>
      <c r="AI573" s="100"/>
      <c r="AJ573" s="101"/>
      <c r="AK573" s="99"/>
      <c r="AL573" s="100"/>
      <c r="AM573" s="100"/>
      <c r="AN573" s="100"/>
      <c r="AO573" s="100"/>
      <c r="AP573" s="100"/>
      <c r="AQ573" s="100"/>
      <c r="AR573" s="100"/>
      <c r="AS573" s="100"/>
      <c r="AT573" s="100"/>
      <c r="AU573" s="101"/>
    </row>
    <row r="574" spans="29:47" ht="18.75" x14ac:dyDescent="0.3">
      <c r="AC574" s="99"/>
      <c r="AD574" s="100"/>
      <c r="AE574" s="100"/>
      <c r="AF574" s="100"/>
      <c r="AG574" s="100"/>
      <c r="AH574" s="100"/>
      <c r="AI574" s="100"/>
      <c r="AJ574" s="101"/>
      <c r="AK574" s="99"/>
      <c r="AL574" s="100"/>
      <c r="AM574" s="100"/>
      <c r="AN574" s="100"/>
      <c r="AO574" s="100"/>
      <c r="AP574" s="100"/>
      <c r="AQ574" s="100"/>
      <c r="AR574" s="100"/>
      <c r="AS574" s="100"/>
      <c r="AT574" s="100"/>
      <c r="AU574" s="101"/>
    </row>
    <row r="575" spans="29:47" ht="18.75" x14ac:dyDescent="0.3">
      <c r="AC575" s="99"/>
      <c r="AD575" s="100"/>
      <c r="AE575" s="100"/>
      <c r="AF575" s="100"/>
      <c r="AG575" s="100"/>
      <c r="AH575" s="100"/>
      <c r="AI575" s="100"/>
      <c r="AJ575" s="101"/>
      <c r="AK575" s="99"/>
      <c r="AL575" s="100"/>
      <c r="AM575" s="100"/>
      <c r="AN575" s="100"/>
      <c r="AO575" s="100"/>
      <c r="AP575" s="100"/>
      <c r="AQ575" s="100"/>
      <c r="AR575" s="100"/>
      <c r="AS575" s="100"/>
      <c r="AT575" s="100"/>
      <c r="AU575" s="101"/>
    </row>
    <row r="576" spans="29:47" ht="18.75" x14ac:dyDescent="0.3">
      <c r="AC576" s="99"/>
      <c r="AD576" s="100"/>
      <c r="AE576" s="100"/>
      <c r="AF576" s="100"/>
      <c r="AG576" s="100"/>
      <c r="AH576" s="100"/>
      <c r="AI576" s="100"/>
      <c r="AJ576" s="101"/>
      <c r="AK576" s="99"/>
      <c r="AL576" s="100"/>
      <c r="AM576" s="100"/>
      <c r="AN576" s="100"/>
      <c r="AO576" s="100"/>
      <c r="AP576" s="100"/>
      <c r="AQ576" s="100"/>
      <c r="AR576" s="100"/>
      <c r="AS576" s="100"/>
      <c r="AT576" s="100"/>
      <c r="AU576" s="101"/>
    </row>
    <row r="577" spans="29:47" ht="18.75" x14ac:dyDescent="0.3">
      <c r="AC577" s="99"/>
      <c r="AD577" s="100"/>
      <c r="AE577" s="100"/>
      <c r="AF577" s="100"/>
      <c r="AG577" s="100"/>
      <c r="AH577" s="100"/>
      <c r="AI577" s="100"/>
      <c r="AJ577" s="101"/>
      <c r="AK577" s="99"/>
      <c r="AL577" s="100"/>
      <c r="AM577" s="100"/>
      <c r="AN577" s="100"/>
      <c r="AO577" s="100"/>
      <c r="AP577" s="100"/>
      <c r="AQ577" s="100"/>
      <c r="AR577" s="100"/>
      <c r="AS577" s="100"/>
      <c r="AT577" s="100"/>
      <c r="AU577" s="101"/>
    </row>
    <row r="578" spans="29:47" ht="18.75" x14ac:dyDescent="0.3">
      <c r="AC578" s="99"/>
      <c r="AD578" s="100"/>
      <c r="AE578" s="100"/>
      <c r="AF578" s="100"/>
      <c r="AG578" s="100"/>
      <c r="AH578" s="100"/>
      <c r="AI578" s="100"/>
      <c r="AJ578" s="101"/>
      <c r="AK578" s="99"/>
      <c r="AL578" s="100"/>
      <c r="AM578" s="100"/>
      <c r="AN578" s="100"/>
      <c r="AO578" s="100"/>
      <c r="AP578" s="100"/>
      <c r="AQ578" s="100"/>
      <c r="AR578" s="100"/>
      <c r="AS578" s="100"/>
      <c r="AT578" s="100"/>
      <c r="AU578" s="101"/>
    </row>
    <row r="579" spans="29:47" ht="18.75" x14ac:dyDescent="0.3">
      <c r="AC579" s="99"/>
      <c r="AD579" s="100"/>
      <c r="AE579" s="100"/>
      <c r="AF579" s="100"/>
      <c r="AG579" s="100"/>
      <c r="AH579" s="100"/>
      <c r="AI579" s="100"/>
      <c r="AJ579" s="101"/>
      <c r="AK579" s="99"/>
      <c r="AL579" s="100"/>
      <c r="AM579" s="100"/>
      <c r="AN579" s="100"/>
      <c r="AO579" s="100"/>
      <c r="AP579" s="100"/>
      <c r="AQ579" s="100"/>
      <c r="AR579" s="100"/>
      <c r="AS579" s="100"/>
      <c r="AT579" s="100"/>
      <c r="AU579" s="101"/>
    </row>
    <row r="580" spans="29:47" ht="18.75" x14ac:dyDescent="0.3">
      <c r="AC580" s="99"/>
      <c r="AD580" s="100"/>
      <c r="AE580" s="100"/>
      <c r="AF580" s="100"/>
      <c r="AG580" s="100"/>
      <c r="AH580" s="100"/>
      <c r="AI580" s="100"/>
      <c r="AJ580" s="101"/>
      <c r="AK580" s="99"/>
      <c r="AL580" s="100"/>
      <c r="AM580" s="100"/>
      <c r="AN580" s="100"/>
      <c r="AO580" s="100"/>
      <c r="AP580" s="100"/>
      <c r="AQ580" s="100"/>
      <c r="AR580" s="100"/>
      <c r="AS580" s="100"/>
      <c r="AT580" s="100"/>
      <c r="AU580" s="101"/>
    </row>
    <row r="581" spans="29:47" ht="18.75" x14ac:dyDescent="0.3">
      <c r="AC581" s="99"/>
      <c r="AD581" s="100"/>
      <c r="AE581" s="100"/>
      <c r="AF581" s="100"/>
      <c r="AG581" s="100"/>
      <c r="AH581" s="100"/>
      <c r="AI581" s="100"/>
      <c r="AJ581" s="101"/>
      <c r="AK581" s="99"/>
      <c r="AL581" s="100"/>
      <c r="AM581" s="100"/>
      <c r="AN581" s="100"/>
      <c r="AO581" s="100"/>
      <c r="AP581" s="100"/>
      <c r="AQ581" s="100"/>
      <c r="AR581" s="100"/>
      <c r="AS581" s="100"/>
      <c r="AT581" s="100"/>
      <c r="AU581" s="101"/>
    </row>
    <row r="582" spans="29:47" ht="18.75" x14ac:dyDescent="0.3">
      <c r="AC582" s="99"/>
      <c r="AD582" s="100"/>
      <c r="AE582" s="100"/>
      <c r="AF582" s="100"/>
      <c r="AG582" s="100"/>
      <c r="AH582" s="100"/>
      <c r="AI582" s="100"/>
      <c r="AJ582" s="101"/>
      <c r="AK582" s="99"/>
      <c r="AL582" s="100"/>
      <c r="AM582" s="100"/>
      <c r="AN582" s="100"/>
      <c r="AO582" s="100"/>
      <c r="AP582" s="100"/>
      <c r="AQ582" s="100"/>
      <c r="AR582" s="100"/>
      <c r="AS582" s="100"/>
      <c r="AT582" s="100"/>
      <c r="AU582" s="101"/>
    </row>
    <row r="583" spans="29:47" ht="18.75" x14ac:dyDescent="0.3">
      <c r="AC583" s="99"/>
      <c r="AD583" s="100"/>
      <c r="AE583" s="100"/>
      <c r="AF583" s="100"/>
      <c r="AG583" s="100"/>
      <c r="AH583" s="100"/>
      <c r="AI583" s="100"/>
      <c r="AJ583" s="101"/>
      <c r="AK583" s="99"/>
      <c r="AL583" s="100"/>
      <c r="AM583" s="100"/>
      <c r="AN583" s="100"/>
      <c r="AO583" s="100"/>
      <c r="AP583" s="100"/>
      <c r="AQ583" s="100"/>
      <c r="AR583" s="100"/>
      <c r="AS583" s="100"/>
      <c r="AT583" s="100"/>
      <c r="AU583" s="101"/>
    </row>
    <row r="584" spans="29:47" ht="18.75" x14ac:dyDescent="0.3">
      <c r="AC584" s="99"/>
      <c r="AD584" s="100"/>
      <c r="AE584" s="100"/>
      <c r="AF584" s="100"/>
      <c r="AG584" s="100"/>
      <c r="AH584" s="100"/>
      <c r="AI584" s="100"/>
      <c r="AJ584" s="101"/>
      <c r="AK584" s="99"/>
      <c r="AL584" s="100"/>
      <c r="AM584" s="100"/>
      <c r="AN584" s="100"/>
      <c r="AO584" s="100"/>
      <c r="AP584" s="100"/>
      <c r="AQ584" s="100"/>
      <c r="AR584" s="100"/>
      <c r="AS584" s="100"/>
      <c r="AT584" s="100"/>
      <c r="AU584" s="101"/>
    </row>
    <row r="585" spans="29:47" ht="18.75" x14ac:dyDescent="0.3">
      <c r="AC585" s="99"/>
      <c r="AD585" s="100"/>
      <c r="AE585" s="100"/>
      <c r="AF585" s="100"/>
      <c r="AG585" s="100"/>
      <c r="AH585" s="100"/>
      <c r="AI585" s="100"/>
      <c r="AJ585" s="101"/>
      <c r="AK585" s="99"/>
      <c r="AL585" s="100"/>
      <c r="AM585" s="100"/>
      <c r="AN585" s="100"/>
      <c r="AO585" s="100"/>
      <c r="AP585" s="100"/>
      <c r="AQ585" s="100"/>
      <c r="AR585" s="100"/>
      <c r="AS585" s="100"/>
      <c r="AT585" s="100"/>
      <c r="AU585" s="101"/>
    </row>
    <row r="586" spans="29:47" ht="18.75" x14ac:dyDescent="0.3">
      <c r="AC586" s="99"/>
      <c r="AD586" s="100"/>
      <c r="AE586" s="100"/>
      <c r="AF586" s="100"/>
      <c r="AG586" s="100"/>
      <c r="AH586" s="100"/>
      <c r="AI586" s="100"/>
      <c r="AJ586" s="101"/>
      <c r="AK586" s="99"/>
      <c r="AL586" s="100"/>
      <c r="AM586" s="100"/>
      <c r="AN586" s="100"/>
      <c r="AO586" s="100"/>
      <c r="AP586" s="100"/>
      <c r="AQ586" s="100"/>
      <c r="AR586" s="100"/>
      <c r="AS586" s="100"/>
      <c r="AT586" s="100"/>
      <c r="AU586" s="101"/>
    </row>
    <row r="587" spans="29:47" ht="18.75" x14ac:dyDescent="0.3">
      <c r="AC587" s="99"/>
      <c r="AD587" s="100"/>
      <c r="AE587" s="100"/>
      <c r="AF587" s="100"/>
      <c r="AG587" s="100"/>
      <c r="AH587" s="100"/>
      <c r="AI587" s="100"/>
      <c r="AJ587" s="101"/>
      <c r="AK587" s="99"/>
      <c r="AL587" s="100"/>
      <c r="AM587" s="100"/>
      <c r="AN587" s="100"/>
      <c r="AO587" s="100"/>
      <c r="AP587" s="100"/>
      <c r="AQ587" s="100"/>
      <c r="AR587" s="100"/>
      <c r="AS587" s="100"/>
      <c r="AT587" s="100"/>
      <c r="AU587" s="101"/>
    </row>
    <row r="588" spans="29:47" ht="18.75" x14ac:dyDescent="0.3">
      <c r="AC588" s="99"/>
      <c r="AD588" s="100"/>
      <c r="AE588" s="100"/>
      <c r="AF588" s="100"/>
      <c r="AG588" s="100"/>
      <c r="AH588" s="100"/>
      <c r="AI588" s="100"/>
      <c r="AJ588" s="101"/>
      <c r="AK588" s="99"/>
      <c r="AL588" s="100"/>
      <c r="AM588" s="100"/>
      <c r="AN588" s="100"/>
      <c r="AO588" s="100"/>
      <c r="AP588" s="100"/>
      <c r="AQ588" s="100"/>
      <c r="AR588" s="100"/>
      <c r="AS588" s="100"/>
      <c r="AT588" s="100"/>
      <c r="AU588" s="101"/>
    </row>
    <row r="589" spans="29:47" ht="18.75" x14ac:dyDescent="0.3">
      <c r="AC589" s="99"/>
      <c r="AD589" s="100"/>
      <c r="AE589" s="100"/>
      <c r="AF589" s="100"/>
      <c r="AG589" s="100"/>
      <c r="AH589" s="100"/>
      <c r="AI589" s="100"/>
      <c r="AJ589" s="101"/>
      <c r="AK589" s="99"/>
      <c r="AL589" s="100"/>
      <c r="AM589" s="100"/>
      <c r="AN589" s="100"/>
      <c r="AO589" s="100"/>
      <c r="AP589" s="100"/>
      <c r="AQ589" s="100"/>
      <c r="AR589" s="100"/>
      <c r="AS589" s="100"/>
      <c r="AT589" s="100"/>
      <c r="AU589" s="101"/>
    </row>
    <row r="590" spans="29:47" ht="18.75" x14ac:dyDescent="0.3">
      <c r="AC590" s="99"/>
      <c r="AD590" s="100"/>
      <c r="AE590" s="100"/>
      <c r="AF590" s="100"/>
      <c r="AG590" s="100"/>
      <c r="AH590" s="100"/>
      <c r="AI590" s="100"/>
      <c r="AJ590" s="101"/>
      <c r="AK590" s="99"/>
      <c r="AL590" s="100"/>
      <c r="AM590" s="100"/>
      <c r="AN590" s="100"/>
      <c r="AO590" s="100"/>
      <c r="AP590" s="100"/>
      <c r="AQ590" s="100"/>
      <c r="AR590" s="100"/>
      <c r="AS590" s="100"/>
      <c r="AT590" s="100"/>
      <c r="AU590" s="101"/>
    </row>
    <row r="591" spans="29:47" ht="18.75" x14ac:dyDescent="0.3">
      <c r="AC591" s="99"/>
      <c r="AD591" s="100"/>
      <c r="AE591" s="100"/>
      <c r="AF591" s="100"/>
      <c r="AG591" s="100"/>
      <c r="AH591" s="100"/>
      <c r="AI591" s="100"/>
      <c r="AJ591" s="101"/>
      <c r="AK591" s="99"/>
      <c r="AL591" s="100"/>
      <c r="AM591" s="100"/>
      <c r="AN591" s="100"/>
      <c r="AO591" s="100"/>
      <c r="AP591" s="100"/>
      <c r="AQ591" s="100"/>
      <c r="AR591" s="100"/>
      <c r="AS591" s="100"/>
      <c r="AT591" s="100"/>
      <c r="AU591" s="101"/>
    </row>
    <row r="592" spans="29:47" ht="18.75" x14ac:dyDescent="0.3">
      <c r="AC592" s="99"/>
      <c r="AD592" s="100"/>
      <c r="AE592" s="100"/>
      <c r="AF592" s="100"/>
      <c r="AG592" s="100"/>
      <c r="AH592" s="100"/>
      <c r="AI592" s="100"/>
      <c r="AJ592" s="101"/>
      <c r="AK592" s="99"/>
      <c r="AL592" s="100"/>
      <c r="AM592" s="100"/>
      <c r="AN592" s="100"/>
      <c r="AO592" s="100"/>
      <c r="AP592" s="100"/>
      <c r="AQ592" s="100"/>
      <c r="AR592" s="100"/>
      <c r="AS592" s="100"/>
      <c r="AT592" s="100"/>
      <c r="AU592" s="101"/>
    </row>
    <row r="593" spans="29:47" ht="18.75" x14ac:dyDescent="0.3">
      <c r="AC593" s="99"/>
      <c r="AD593" s="100"/>
      <c r="AE593" s="100"/>
      <c r="AF593" s="100"/>
      <c r="AG593" s="100"/>
      <c r="AH593" s="100"/>
      <c r="AI593" s="100"/>
      <c r="AJ593" s="101"/>
      <c r="AK593" s="99"/>
      <c r="AL593" s="100"/>
      <c r="AM593" s="100"/>
      <c r="AN593" s="100"/>
      <c r="AO593" s="100"/>
      <c r="AP593" s="100"/>
      <c r="AQ593" s="100"/>
      <c r="AR593" s="100"/>
      <c r="AS593" s="100"/>
      <c r="AT593" s="100"/>
      <c r="AU593" s="101"/>
    </row>
    <row r="594" spans="29:47" ht="18.75" x14ac:dyDescent="0.3">
      <c r="AC594" s="99"/>
      <c r="AD594" s="100"/>
      <c r="AE594" s="100"/>
      <c r="AF594" s="100"/>
      <c r="AG594" s="100"/>
      <c r="AH594" s="100"/>
      <c r="AI594" s="100"/>
      <c r="AJ594" s="101"/>
      <c r="AK594" s="99"/>
      <c r="AL594" s="100"/>
      <c r="AM594" s="100"/>
      <c r="AN594" s="100"/>
      <c r="AO594" s="100"/>
      <c r="AP594" s="100"/>
      <c r="AQ594" s="100"/>
      <c r="AR594" s="100"/>
      <c r="AS594" s="100"/>
      <c r="AT594" s="100"/>
      <c r="AU594" s="101"/>
    </row>
    <row r="595" spans="29:47" ht="18.75" x14ac:dyDescent="0.3">
      <c r="AC595" s="99"/>
      <c r="AD595" s="100"/>
      <c r="AE595" s="100"/>
      <c r="AF595" s="100"/>
      <c r="AG595" s="100"/>
      <c r="AH595" s="100"/>
      <c r="AI595" s="100"/>
      <c r="AJ595" s="101"/>
      <c r="AK595" s="99"/>
      <c r="AL595" s="100"/>
      <c r="AM595" s="100"/>
      <c r="AN595" s="100"/>
      <c r="AO595" s="100"/>
      <c r="AP595" s="100"/>
      <c r="AQ595" s="100"/>
      <c r="AR595" s="100"/>
      <c r="AS595" s="100"/>
      <c r="AT595" s="100"/>
      <c r="AU595" s="101"/>
    </row>
    <row r="596" spans="29:47" ht="18.75" x14ac:dyDescent="0.3">
      <c r="AC596" s="99"/>
      <c r="AD596" s="100"/>
      <c r="AE596" s="100"/>
      <c r="AF596" s="100"/>
      <c r="AG596" s="100"/>
      <c r="AH596" s="100"/>
      <c r="AI596" s="100"/>
      <c r="AJ596" s="101"/>
      <c r="AK596" s="99"/>
      <c r="AL596" s="100"/>
      <c r="AM596" s="100"/>
      <c r="AN596" s="100"/>
      <c r="AO596" s="100"/>
      <c r="AP596" s="100"/>
      <c r="AQ596" s="100"/>
      <c r="AR596" s="100"/>
      <c r="AS596" s="100"/>
      <c r="AT596" s="100"/>
      <c r="AU596" s="101"/>
    </row>
    <row r="597" spans="29:47" ht="18.75" x14ac:dyDescent="0.3">
      <c r="AC597" s="99"/>
      <c r="AD597" s="100"/>
      <c r="AE597" s="100"/>
      <c r="AF597" s="100"/>
      <c r="AG597" s="100"/>
      <c r="AH597" s="100"/>
      <c r="AI597" s="100"/>
      <c r="AJ597" s="101"/>
      <c r="AK597" s="99"/>
      <c r="AL597" s="100"/>
      <c r="AM597" s="100"/>
      <c r="AN597" s="100"/>
      <c r="AO597" s="100"/>
      <c r="AP597" s="100"/>
      <c r="AQ597" s="100"/>
      <c r="AR597" s="100"/>
      <c r="AS597" s="100"/>
      <c r="AT597" s="100"/>
      <c r="AU597" s="101"/>
    </row>
    <row r="598" spans="29:47" ht="18.75" x14ac:dyDescent="0.3">
      <c r="AC598" s="99"/>
      <c r="AD598" s="100"/>
      <c r="AE598" s="100"/>
      <c r="AF598" s="100"/>
      <c r="AG598" s="100"/>
      <c r="AH598" s="100"/>
      <c r="AI598" s="100"/>
      <c r="AJ598" s="101"/>
      <c r="AK598" s="99"/>
      <c r="AL598" s="100"/>
      <c r="AM598" s="100"/>
      <c r="AN598" s="100"/>
      <c r="AO598" s="100"/>
      <c r="AP598" s="100"/>
      <c r="AQ598" s="100"/>
      <c r="AR598" s="100"/>
      <c r="AS598" s="100"/>
      <c r="AT598" s="100"/>
      <c r="AU598" s="101"/>
    </row>
    <row r="599" spans="29:47" ht="18.75" x14ac:dyDescent="0.3">
      <c r="AC599" s="99"/>
      <c r="AD599" s="100"/>
      <c r="AE599" s="100"/>
      <c r="AF599" s="100"/>
      <c r="AG599" s="100"/>
      <c r="AH599" s="100"/>
      <c r="AI599" s="100"/>
      <c r="AJ599" s="101"/>
      <c r="AK599" s="99"/>
      <c r="AL599" s="100"/>
      <c r="AM599" s="100"/>
      <c r="AN599" s="100"/>
      <c r="AO599" s="100"/>
      <c r="AP599" s="100"/>
      <c r="AQ599" s="100"/>
      <c r="AR599" s="100"/>
      <c r="AS599" s="100"/>
      <c r="AT599" s="100"/>
      <c r="AU599" s="101"/>
    </row>
    <row r="600" spans="29:47" ht="18.75" x14ac:dyDescent="0.3">
      <c r="AC600" s="99"/>
      <c r="AD600" s="100"/>
      <c r="AE600" s="100"/>
      <c r="AF600" s="100"/>
      <c r="AG600" s="100"/>
      <c r="AH600" s="100"/>
      <c r="AI600" s="100"/>
      <c r="AJ600" s="101"/>
      <c r="AK600" s="99"/>
      <c r="AL600" s="100"/>
      <c r="AM600" s="100"/>
      <c r="AN600" s="100"/>
      <c r="AO600" s="100"/>
      <c r="AP600" s="100"/>
      <c r="AQ600" s="100"/>
      <c r="AR600" s="100"/>
      <c r="AS600" s="100"/>
      <c r="AT600" s="100"/>
      <c r="AU600" s="101"/>
    </row>
    <row r="601" spans="29:47" ht="18.75" x14ac:dyDescent="0.3">
      <c r="AC601" s="99"/>
      <c r="AD601" s="100"/>
      <c r="AE601" s="100"/>
      <c r="AF601" s="100"/>
      <c r="AG601" s="100"/>
      <c r="AH601" s="100"/>
      <c r="AI601" s="100"/>
      <c r="AJ601" s="101"/>
      <c r="AK601" s="99"/>
      <c r="AL601" s="100"/>
      <c r="AM601" s="100"/>
      <c r="AN601" s="100"/>
      <c r="AO601" s="100"/>
      <c r="AP601" s="100"/>
      <c r="AQ601" s="100"/>
      <c r="AR601" s="100"/>
      <c r="AS601" s="100"/>
      <c r="AT601" s="100"/>
      <c r="AU601" s="101"/>
    </row>
    <row r="602" spans="29:47" ht="18.75" x14ac:dyDescent="0.3">
      <c r="AC602" s="99"/>
      <c r="AD602" s="100"/>
      <c r="AE602" s="100"/>
      <c r="AF602" s="100"/>
      <c r="AG602" s="100"/>
      <c r="AH602" s="100"/>
      <c r="AI602" s="100"/>
      <c r="AJ602" s="101"/>
      <c r="AK602" s="99"/>
      <c r="AL602" s="100"/>
      <c r="AM602" s="100"/>
      <c r="AN602" s="100"/>
      <c r="AO602" s="100"/>
      <c r="AP602" s="100"/>
      <c r="AQ602" s="100"/>
      <c r="AR602" s="100"/>
      <c r="AS602" s="100"/>
      <c r="AT602" s="100"/>
      <c r="AU602" s="101"/>
    </row>
    <row r="603" spans="29:47" ht="18.75" x14ac:dyDescent="0.3">
      <c r="AC603" s="99"/>
      <c r="AD603" s="100"/>
      <c r="AE603" s="100"/>
      <c r="AF603" s="100"/>
      <c r="AG603" s="100"/>
      <c r="AH603" s="100"/>
      <c r="AI603" s="100"/>
      <c r="AJ603" s="101"/>
      <c r="AK603" s="99"/>
      <c r="AL603" s="100"/>
      <c r="AM603" s="100"/>
      <c r="AN603" s="100"/>
      <c r="AO603" s="100"/>
      <c r="AP603" s="100"/>
      <c r="AQ603" s="100"/>
      <c r="AR603" s="100"/>
      <c r="AS603" s="100"/>
      <c r="AT603" s="100"/>
      <c r="AU603" s="101"/>
    </row>
    <row r="604" spans="29:47" ht="18.75" x14ac:dyDescent="0.3">
      <c r="AC604" s="99"/>
      <c r="AD604" s="100"/>
      <c r="AE604" s="100"/>
      <c r="AF604" s="100"/>
      <c r="AG604" s="100"/>
      <c r="AH604" s="100"/>
      <c r="AI604" s="100"/>
      <c r="AJ604" s="101"/>
      <c r="AK604" s="99"/>
      <c r="AL604" s="100"/>
      <c r="AM604" s="100"/>
      <c r="AN604" s="100"/>
      <c r="AO604" s="100"/>
      <c r="AP604" s="100"/>
      <c r="AQ604" s="100"/>
      <c r="AR604" s="100"/>
      <c r="AS604" s="100"/>
      <c r="AT604" s="100"/>
      <c r="AU604" s="101"/>
    </row>
    <row r="605" spans="29:47" ht="18.75" x14ac:dyDescent="0.3">
      <c r="AC605" s="99"/>
      <c r="AD605" s="100"/>
      <c r="AE605" s="100"/>
      <c r="AF605" s="100"/>
      <c r="AG605" s="100"/>
      <c r="AH605" s="100"/>
      <c r="AI605" s="100"/>
      <c r="AJ605" s="101"/>
      <c r="AK605" s="99"/>
      <c r="AL605" s="100"/>
      <c r="AM605" s="100"/>
      <c r="AN605" s="100"/>
      <c r="AO605" s="100"/>
      <c r="AP605" s="100"/>
      <c r="AQ605" s="100"/>
      <c r="AR605" s="100"/>
      <c r="AS605" s="100"/>
      <c r="AT605" s="100"/>
      <c r="AU605" s="101"/>
    </row>
    <row r="606" spans="29:47" ht="18.75" x14ac:dyDescent="0.3">
      <c r="AC606" s="99"/>
      <c r="AD606" s="100"/>
      <c r="AE606" s="100"/>
      <c r="AF606" s="100"/>
      <c r="AG606" s="100"/>
      <c r="AH606" s="100"/>
      <c r="AI606" s="100"/>
      <c r="AJ606" s="101"/>
      <c r="AK606" s="99"/>
      <c r="AL606" s="100"/>
      <c r="AM606" s="100"/>
      <c r="AN606" s="100"/>
      <c r="AO606" s="100"/>
      <c r="AP606" s="100"/>
      <c r="AQ606" s="100"/>
      <c r="AR606" s="100"/>
      <c r="AS606" s="100"/>
      <c r="AT606" s="100"/>
      <c r="AU606" s="101"/>
    </row>
    <row r="607" spans="29:47" ht="18.75" x14ac:dyDescent="0.3">
      <c r="AC607" s="99"/>
      <c r="AD607" s="100"/>
      <c r="AE607" s="100"/>
      <c r="AF607" s="100"/>
      <c r="AG607" s="100"/>
      <c r="AH607" s="100"/>
      <c r="AI607" s="100"/>
      <c r="AJ607" s="101"/>
      <c r="AK607" s="99"/>
      <c r="AL607" s="100"/>
      <c r="AM607" s="100"/>
      <c r="AN607" s="100"/>
      <c r="AO607" s="100"/>
      <c r="AP607" s="100"/>
      <c r="AQ607" s="100"/>
      <c r="AR607" s="100"/>
      <c r="AS607" s="100"/>
      <c r="AT607" s="100"/>
      <c r="AU607" s="101"/>
    </row>
    <row r="608" spans="29:47" ht="18.75" x14ac:dyDescent="0.3">
      <c r="AC608" s="99"/>
      <c r="AD608" s="100"/>
      <c r="AE608" s="100"/>
      <c r="AF608" s="100"/>
      <c r="AG608" s="100"/>
      <c r="AH608" s="100"/>
      <c r="AI608" s="100"/>
      <c r="AJ608" s="101"/>
      <c r="AK608" s="99"/>
      <c r="AL608" s="100"/>
      <c r="AM608" s="100"/>
      <c r="AN608" s="100"/>
      <c r="AO608" s="100"/>
      <c r="AP608" s="100"/>
      <c r="AQ608" s="100"/>
      <c r="AR608" s="100"/>
      <c r="AS608" s="100"/>
      <c r="AT608" s="100"/>
      <c r="AU608" s="101"/>
    </row>
    <row r="609" spans="29:47" ht="18.75" x14ac:dyDescent="0.3">
      <c r="AC609" s="99"/>
      <c r="AD609" s="100"/>
      <c r="AE609" s="100"/>
      <c r="AF609" s="100"/>
      <c r="AG609" s="100"/>
      <c r="AH609" s="100"/>
      <c r="AI609" s="100"/>
      <c r="AJ609" s="101"/>
      <c r="AK609" s="99"/>
      <c r="AL609" s="100"/>
      <c r="AM609" s="100"/>
      <c r="AN609" s="100"/>
      <c r="AO609" s="100"/>
      <c r="AP609" s="100"/>
      <c r="AQ609" s="100"/>
      <c r="AR609" s="100"/>
      <c r="AS609" s="100"/>
      <c r="AT609" s="100"/>
      <c r="AU609" s="101"/>
    </row>
    <row r="610" spans="29:47" ht="18.75" x14ac:dyDescent="0.3">
      <c r="AC610" s="99"/>
      <c r="AD610" s="100"/>
      <c r="AE610" s="100"/>
      <c r="AF610" s="100"/>
      <c r="AG610" s="100"/>
      <c r="AH610" s="100"/>
      <c r="AI610" s="100"/>
      <c r="AJ610" s="101"/>
      <c r="AK610" s="99"/>
      <c r="AL610" s="100"/>
      <c r="AM610" s="100"/>
      <c r="AN610" s="100"/>
      <c r="AO610" s="100"/>
      <c r="AP610" s="100"/>
      <c r="AQ610" s="100"/>
      <c r="AR610" s="100"/>
      <c r="AS610" s="100"/>
      <c r="AT610" s="100"/>
      <c r="AU610" s="101"/>
    </row>
    <row r="611" spans="29:47" ht="18.75" x14ac:dyDescent="0.3">
      <c r="AC611" s="99"/>
      <c r="AD611" s="100"/>
      <c r="AE611" s="100"/>
      <c r="AF611" s="100"/>
      <c r="AG611" s="100"/>
      <c r="AH611" s="100"/>
      <c r="AI611" s="100"/>
      <c r="AJ611" s="101"/>
      <c r="AK611" s="99"/>
      <c r="AL611" s="100"/>
      <c r="AM611" s="100"/>
      <c r="AN611" s="100"/>
      <c r="AO611" s="100"/>
      <c r="AP611" s="100"/>
      <c r="AQ611" s="100"/>
      <c r="AR611" s="100"/>
      <c r="AS611" s="100"/>
      <c r="AT611" s="100"/>
      <c r="AU611" s="101"/>
    </row>
    <row r="612" spans="29:47" ht="18.75" x14ac:dyDescent="0.3">
      <c r="AC612" s="99"/>
      <c r="AD612" s="100"/>
      <c r="AE612" s="100"/>
      <c r="AF612" s="100"/>
      <c r="AG612" s="100"/>
      <c r="AH612" s="100"/>
      <c r="AI612" s="100"/>
      <c r="AJ612" s="101"/>
      <c r="AK612" s="99"/>
      <c r="AL612" s="100"/>
      <c r="AM612" s="100"/>
      <c r="AN612" s="100"/>
      <c r="AO612" s="100"/>
      <c r="AP612" s="100"/>
      <c r="AQ612" s="100"/>
      <c r="AR612" s="100"/>
      <c r="AS612" s="100"/>
      <c r="AT612" s="100"/>
      <c r="AU612" s="101"/>
    </row>
    <row r="613" spans="29:47" ht="18.75" x14ac:dyDescent="0.3">
      <c r="AC613" s="99"/>
      <c r="AD613" s="100"/>
      <c r="AE613" s="100"/>
      <c r="AF613" s="100"/>
      <c r="AG613" s="100"/>
      <c r="AH613" s="100"/>
      <c r="AI613" s="100"/>
      <c r="AJ613" s="101"/>
      <c r="AK613" s="99"/>
      <c r="AL613" s="100"/>
      <c r="AM613" s="100"/>
      <c r="AN613" s="100"/>
      <c r="AO613" s="100"/>
      <c r="AP613" s="100"/>
      <c r="AQ613" s="100"/>
      <c r="AR613" s="100"/>
      <c r="AS613" s="100"/>
      <c r="AT613" s="100"/>
      <c r="AU613" s="101"/>
    </row>
    <row r="614" spans="29:47" ht="18.75" x14ac:dyDescent="0.3">
      <c r="AC614" s="99"/>
      <c r="AD614" s="100"/>
      <c r="AE614" s="100"/>
      <c r="AF614" s="100"/>
      <c r="AG614" s="100"/>
      <c r="AH614" s="100"/>
      <c r="AI614" s="100"/>
      <c r="AJ614" s="101"/>
      <c r="AK614" s="99"/>
      <c r="AL614" s="100"/>
      <c r="AM614" s="100"/>
      <c r="AN614" s="100"/>
      <c r="AO614" s="100"/>
      <c r="AP614" s="100"/>
      <c r="AQ614" s="100"/>
      <c r="AR614" s="100"/>
      <c r="AS614" s="100"/>
      <c r="AT614" s="100"/>
      <c r="AU614" s="101"/>
    </row>
    <row r="615" spans="29:47" ht="18.75" x14ac:dyDescent="0.3">
      <c r="AC615" s="99"/>
      <c r="AD615" s="100"/>
      <c r="AE615" s="100"/>
      <c r="AF615" s="100"/>
      <c r="AG615" s="100"/>
      <c r="AH615" s="100"/>
      <c r="AI615" s="100"/>
      <c r="AJ615" s="101"/>
      <c r="AK615" s="99"/>
      <c r="AL615" s="100"/>
      <c r="AM615" s="100"/>
      <c r="AN615" s="100"/>
      <c r="AO615" s="100"/>
      <c r="AP615" s="100"/>
      <c r="AQ615" s="100"/>
      <c r="AR615" s="100"/>
      <c r="AS615" s="100"/>
      <c r="AT615" s="100"/>
      <c r="AU615" s="101"/>
    </row>
    <row r="616" spans="29:47" ht="18.75" x14ac:dyDescent="0.3">
      <c r="AC616" s="99"/>
      <c r="AD616" s="100"/>
      <c r="AE616" s="100"/>
      <c r="AF616" s="100"/>
      <c r="AG616" s="100"/>
      <c r="AH616" s="100"/>
      <c r="AI616" s="100"/>
      <c r="AJ616" s="101"/>
      <c r="AK616" s="99"/>
      <c r="AL616" s="100"/>
      <c r="AM616" s="100"/>
      <c r="AN616" s="100"/>
      <c r="AO616" s="100"/>
      <c r="AP616" s="100"/>
      <c r="AQ616" s="100"/>
      <c r="AR616" s="100"/>
      <c r="AS616" s="100"/>
      <c r="AT616" s="100"/>
      <c r="AU616" s="101"/>
    </row>
    <row r="617" spans="29:47" ht="18.75" x14ac:dyDescent="0.3">
      <c r="AC617" s="99"/>
      <c r="AD617" s="100"/>
      <c r="AE617" s="100"/>
      <c r="AF617" s="100"/>
      <c r="AG617" s="100"/>
      <c r="AH617" s="100"/>
      <c r="AI617" s="100"/>
      <c r="AJ617" s="101"/>
      <c r="AK617" s="99"/>
      <c r="AL617" s="100"/>
      <c r="AM617" s="100"/>
      <c r="AN617" s="100"/>
      <c r="AO617" s="100"/>
      <c r="AP617" s="100"/>
      <c r="AQ617" s="100"/>
      <c r="AR617" s="100"/>
      <c r="AS617" s="100"/>
      <c r="AT617" s="100"/>
      <c r="AU617" s="101"/>
    </row>
    <row r="618" spans="29:47" ht="18.75" x14ac:dyDescent="0.3">
      <c r="AC618" s="99"/>
      <c r="AD618" s="100"/>
      <c r="AE618" s="100"/>
      <c r="AF618" s="100"/>
      <c r="AG618" s="100"/>
      <c r="AH618" s="100"/>
      <c r="AI618" s="100"/>
      <c r="AJ618" s="101"/>
      <c r="AK618" s="99"/>
      <c r="AL618" s="100"/>
      <c r="AM618" s="100"/>
      <c r="AN618" s="100"/>
      <c r="AO618" s="100"/>
      <c r="AP618" s="100"/>
      <c r="AQ618" s="100"/>
      <c r="AR618" s="100"/>
      <c r="AS618" s="100"/>
      <c r="AT618" s="100"/>
      <c r="AU618" s="101"/>
    </row>
    <row r="619" spans="29:47" ht="18.75" x14ac:dyDescent="0.3">
      <c r="AC619" s="99"/>
      <c r="AD619" s="100"/>
      <c r="AE619" s="100"/>
      <c r="AF619" s="100"/>
      <c r="AG619" s="100"/>
      <c r="AH619" s="100"/>
      <c r="AI619" s="100"/>
      <c r="AJ619" s="101"/>
      <c r="AK619" s="99"/>
      <c r="AL619" s="100"/>
      <c r="AM619" s="100"/>
      <c r="AN619" s="100"/>
      <c r="AO619" s="100"/>
      <c r="AP619" s="100"/>
      <c r="AQ619" s="100"/>
      <c r="AR619" s="100"/>
      <c r="AS619" s="100"/>
      <c r="AT619" s="100"/>
      <c r="AU619" s="101"/>
    </row>
    <row r="620" spans="29:47" ht="18.75" x14ac:dyDescent="0.3">
      <c r="AC620" s="99"/>
      <c r="AD620" s="100"/>
      <c r="AE620" s="100"/>
      <c r="AF620" s="100"/>
      <c r="AG620" s="100"/>
      <c r="AH620" s="100"/>
      <c r="AI620" s="100"/>
      <c r="AJ620" s="101"/>
      <c r="AK620" s="99"/>
      <c r="AL620" s="100"/>
      <c r="AM620" s="100"/>
      <c r="AN620" s="100"/>
      <c r="AO620" s="100"/>
      <c r="AP620" s="100"/>
      <c r="AQ620" s="100"/>
      <c r="AR620" s="100"/>
      <c r="AS620" s="100"/>
      <c r="AT620" s="100"/>
      <c r="AU620" s="101"/>
    </row>
    <row r="621" spans="29:47" ht="18.75" x14ac:dyDescent="0.3">
      <c r="AC621" s="99"/>
      <c r="AD621" s="100"/>
      <c r="AE621" s="100"/>
      <c r="AF621" s="100"/>
      <c r="AG621" s="100"/>
      <c r="AH621" s="100"/>
      <c r="AI621" s="100"/>
      <c r="AJ621" s="101"/>
      <c r="AK621" s="99"/>
      <c r="AL621" s="100"/>
      <c r="AM621" s="100"/>
      <c r="AN621" s="100"/>
      <c r="AO621" s="100"/>
      <c r="AP621" s="100"/>
      <c r="AQ621" s="100"/>
      <c r="AR621" s="100"/>
      <c r="AS621" s="100"/>
      <c r="AT621" s="100"/>
      <c r="AU621" s="101"/>
    </row>
    <row r="622" spans="29:47" ht="18.75" x14ac:dyDescent="0.3">
      <c r="AC622" s="99"/>
      <c r="AD622" s="100"/>
      <c r="AE622" s="100"/>
      <c r="AF622" s="100"/>
      <c r="AG622" s="100"/>
      <c r="AH622" s="100"/>
      <c r="AI622" s="100"/>
      <c r="AJ622" s="101"/>
      <c r="AK622" s="99"/>
      <c r="AL622" s="100"/>
      <c r="AM622" s="100"/>
      <c r="AN622" s="100"/>
      <c r="AO622" s="100"/>
      <c r="AP622" s="100"/>
      <c r="AQ622" s="100"/>
      <c r="AR622" s="100"/>
      <c r="AS622" s="100"/>
      <c r="AT622" s="100"/>
      <c r="AU622" s="101"/>
    </row>
    <row r="623" spans="29:47" ht="18.75" x14ac:dyDescent="0.3">
      <c r="AC623" s="99"/>
      <c r="AD623" s="100"/>
      <c r="AE623" s="100"/>
      <c r="AF623" s="100"/>
      <c r="AG623" s="100"/>
      <c r="AH623" s="100"/>
      <c r="AI623" s="100"/>
      <c r="AJ623" s="101"/>
      <c r="AK623" s="99"/>
      <c r="AL623" s="100"/>
      <c r="AM623" s="100"/>
      <c r="AN623" s="100"/>
      <c r="AO623" s="100"/>
      <c r="AP623" s="100"/>
      <c r="AQ623" s="100"/>
      <c r="AR623" s="100"/>
      <c r="AS623" s="100"/>
      <c r="AT623" s="100"/>
      <c r="AU623" s="101"/>
    </row>
    <row r="624" spans="29:47" ht="18.75" x14ac:dyDescent="0.3">
      <c r="AC624" s="99"/>
      <c r="AD624" s="100"/>
      <c r="AE624" s="100"/>
      <c r="AF624" s="100"/>
      <c r="AG624" s="100"/>
      <c r="AH624" s="100"/>
      <c r="AI624" s="100"/>
      <c r="AJ624" s="101"/>
      <c r="AK624" s="99"/>
      <c r="AL624" s="100"/>
      <c r="AM624" s="100"/>
      <c r="AN624" s="100"/>
      <c r="AO624" s="100"/>
      <c r="AP624" s="100"/>
      <c r="AQ624" s="100"/>
      <c r="AR624" s="100"/>
      <c r="AS624" s="100"/>
      <c r="AT624" s="100"/>
      <c r="AU624" s="101"/>
    </row>
    <row r="625" spans="29:47" ht="18.75" x14ac:dyDescent="0.3">
      <c r="AC625" s="99"/>
      <c r="AD625" s="100"/>
      <c r="AE625" s="100"/>
      <c r="AF625" s="100"/>
      <c r="AG625" s="100"/>
      <c r="AH625" s="100"/>
      <c r="AI625" s="100"/>
      <c r="AJ625" s="101"/>
      <c r="AK625" s="99"/>
      <c r="AL625" s="100"/>
      <c r="AM625" s="100"/>
      <c r="AN625" s="100"/>
      <c r="AO625" s="100"/>
      <c r="AP625" s="100"/>
      <c r="AQ625" s="100"/>
      <c r="AR625" s="100"/>
      <c r="AS625" s="100"/>
      <c r="AT625" s="100"/>
      <c r="AU625" s="101"/>
    </row>
    <row r="626" spans="29:47" ht="18.75" x14ac:dyDescent="0.3">
      <c r="AC626" s="99"/>
      <c r="AD626" s="100"/>
      <c r="AE626" s="100"/>
      <c r="AF626" s="100"/>
      <c r="AG626" s="100"/>
      <c r="AH626" s="100"/>
      <c r="AI626" s="100"/>
      <c r="AJ626" s="101"/>
      <c r="AK626" s="99"/>
      <c r="AL626" s="100"/>
      <c r="AM626" s="100"/>
      <c r="AN626" s="100"/>
      <c r="AO626" s="100"/>
      <c r="AP626" s="100"/>
      <c r="AQ626" s="100"/>
      <c r="AR626" s="100"/>
      <c r="AS626" s="100"/>
      <c r="AT626" s="100"/>
      <c r="AU626" s="101"/>
    </row>
    <row r="627" spans="29:47" ht="18.75" x14ac:dyDescent="0.3">
      <c r="AC627" s="99"/>
      <c r="AD627" s="100"/>
      <c r="AE627" s="100"/>
      <c r="AF627" s="100"/>
      <c r="AG627" s="100"/>
      <c r="AH627" s="100"/>
      <c r="AI627" s="100"/>
      <c r="AJ627" s="101"/>
      <c r="AK627" s="99"/>
      <c r="AL627" s="100"/>
      <c r="AM627" s="100"/>
      <c r="AN627" s="100"/>
      <c r="AO627" s="100"/>
      <c r="AP627" s="100"/>
      <c r="AQ627" s="100"/>
      <c r="AR627" s="100"/>
      <c r="AS627" s="100"/>
      <c r="AT627" s="100"/>
      <c r="AU627" s="101"/>
    </row>
    <row r="628" spans="29:47" ht="18.75" x14ac:dyDescent="0.3">
      <c r="AC628" s="99"/>
      <c r="AD628" s="100"/>
      <c r="AE628" s="100"/>
      <c r="AF628" s="100"/>
      <c r="AG628" s="100"/>
      <c r="AH628" s="100"/>
      <c r="AI628" s="100"/>
      <c r="AJ628" s="101"/>
      <c r="AK628" s="99"/>
      <c r="AL628" s="100"/>
      <c r="AM628" s="100"/>
      <c r="AN628" s="100"/>
      <c r="AO628" s="100"/>
      <c r="AP628" s="100"/>
      <c r="AQ628" s="100"/>
      <c r="AR628" s="100"/>
      <c r="AS628" s="100"/>
      <c r="AT628" s="100"/>
      <c r="AU628" s="101"/>
    </row>
    <row r="629" spans="29:47" ht="18.75" x14ac:dyDescent="0.3">
      <c r="AC629" s="99"/>
      <c r="AD629" s="100"/>
      <c r="AE629" s="100"/>
      <c r="AF629" s="100"/>
      <c r="AG629" s="100"/>
      <c r="AH629" s="100"/>
      <c r="AI629" s="100"/>
      <c r="AJ629" s="101"/>
      <c r="AK629" s="99"/>
      <c r="AL629" s="100"/>
      <c r="AM629" s="100"/>
      <c r="AN629" s="100"/>
      <c r="AO629" s="100"/>
      <c r="AP629" s="100"/>
      <c r="AQ629" s="100"/>
      <c r="AR629" s="100"/>
      <c r="AS629" s="100"/>
      <c r="AT629" s="100"/>
      <c r="AU629" s="101"/>
    </row>
    <row r="630" spans="29:47" ht="18.75" x14ac:dyDescent="0.3">
      <c r="AC630" s="99"/>
      <c r="AD630" s="100"/>
      <c r="AE630" s="100"/>
      <c r="AF630" s="100"/>
      <c r="AG630" s="100"/>
      <c r="AH630" s="100"/>
      <c r="AI630" s="100"/>
      <c r="AJ630" s="101"/>
      <c r="AK630" s="99"/>
      <c r="AL630" s="100"/>
      <c r="AM630" s="100"/>
      <c r="AN630" s="100"/>
      <c r="AO630" s="100"/>
      <c r="AP630" s="100"/>
      <c r="AQ630" s="100"/>
      <c r="AR630" s="100"/>
      <c r="AS630" s="100"/>
      <c r="AT630" s="100"/>
      <c r="AU630" s="101"/>
    </row>
    <row r="631" spans="29:47" ht="18.75" x14ac:dyDescent="0.3">
      <c r="AC631" s="99"/>
      <c r="AD631" s="100"/>
      <c r="AE631" s="100"/>
      <c r="AF631" s="100"/>
      <c r="AG631" s="100"/>
      <c r="AH631" s="100"/>
      <c r="AI631" s="100"/>
      <c r="AJ631" s="101"/>
      <c r="AK631" s="99"/>
      <c r="AL631" s="100"/>
      <c r="AM631" s="100"/>
      <c r="AN631" s="100"/>
      <c r="AO631" s="100"/>
      <c r="AP631" s="100"/>
      <c r="AQ631" s="100"/>
      <c r="AR631" s="100"/>
      <c r="AS631" s="100"/>
      <c r="AT631" s="100"/>
      <c r="AU631" s="101"/>
    </row>
    <row r="632" spans="29:47" ht="18.75" x14ac:dyDescent="0.3">
      <c r="AC632" s="99"/>
      <c r="AD632" s="100"/>
      <c r="AE632" s="100"/>
      <c r="AF632" s="100"/>
      <c r="AG632" s="100"/>
      <c r="AH632" s="100"/>
      <c r="AI632" s="100"/>
      <c r="AJ632" s="101"/>
      <c r="AK632" s="99"/>
      <c r="AL632" s="100"/>
      <c r="AM632" s="100"/>
      <c r="AN632" s="100"/>
      <c r="AO632" s="100"/>
      <c r="AP632" s="100"/>
      <c r="AQ632" s="100"/>
      <c r="AR632" s="100"/>
      <c r="AS632" s="100"/>
      <c r="AT632" s="100"/>
      <c r="AU632" s="101"/>
    </row>
    <row r="633" spans="29:47" ht="18.75" x14ac:dyDescent="0.3">
      <c r="AC633" s="99"/>
      <c r="AD633" s="100"/>
      <c r="AE633" s="100"/>
      <c r="AF633" s="100"/>
      <c r="AG633" s="100"/>
      <c r="AH633" s="100"/>
      <c r="AI633" s="100"/>
      <c r="AJ633" s="101"/>
      <c r="AK633" s="99"/>
      <c r="AL633" s="100"/>
      <c r="AM633" s="100"/>
      <c r="AN633" s="100"/>
      <c r="AO633" s="100"/>
      <c r="AP633" s="100"/>
      <c r="AQ633" s="100"/>
      <c r="AR633" s="100"/>
      <c r="AS633" s="100"/>
      <c r="AT633" s="100"/>
      <c r="AU633" s="101"/>
    </row>
    <row r="634" spans="29:47" ht="18.75" x14ac:dyDescent="0.3">
      <c r="AC634" s="99"/>
      <c r="AD634" s="100"/>
      <c r="AE634" s="100"/>
      <c r="AF634" s="100"/>
      <c r="AG634" s="100"/>
      <c r="AH634" s="100"/>
      <c r="AI634" s="100"/>
      <c r="AJ634" s="101"/>
      <c r="AK634" s="99"/>
      <c r="AL634" s="100"/>
      <c r="AM634" s="100"/>
      <c r="AN634" s="100"/>
      <c r="AO634" s="100"/>
      <c r="AP634" s="100"/>
      <c r="AQ634" s="100"/>
      <c r="AR634" s="100"/>
      <c r="AS634" s="100"/>
      <c r="AT634" s="100"/>
      <c r="AU634" s="101"/>
    </row>
    <row r="635" spans="29:47" ht="18.75" x14ac:dyDescent="0.3">
      <c r="AC635" s="99"/>
      <c r="AD635" s="100"/>
      <c r="AE635" s="100"/>
      <c r="AF635" s="100"/>
      <c r="AG635" s="100"/>
      <c r="AH635" s="100"/>
      <c r="AI635" s="100"/>
      <c r="AJ635" s="101"/>
      <c r="AK635" s="99"/>
      <c r="AL635" s="100"/>
      <c r="AM635" s="100"/>
      <c r="AN635" s="100"/>
      <c r="AO635" s="100"/>
      <c r="AP635" s="100"/>
      <c r="AQ635" s="100"/>
      <c r="AR635" s="100"/>
      <c r="AS635" s="100"/>
      <c r="AT635" s="100"/>
      <c r="AU635" s="101"/>
    </row>
    <row r="636" spans="29:47" ht="18.75" x14ac:dyDescent="0.3">
      <c r="AC636" s="99"/>
      <c r="AD636" s="100"/>
      <c r="AE636" s="100"/>
      <c r="AF636" s="100"/>
      <c r="AG636" s="100"/>
      <c r="AH636" s="100"/>
      <c r="AI636" s="100"/>
      <c r="AJ636" s="101"/>
      <c r="AK636" s="99"/>
      <c r="AL636" s="100"/>
      <c r="AM636" s="100"/>
      <c r="AN636" s="100"/>
      <c r="AO636" s="100"/>
      <c r="AP636" s="100"/>
      <c r="AQ636" s="100"/>
      <c r="AR636" s="100"/>
      <c r="AS636" s="100"/>
      <c r="AT636" s="100"/>
      <c r="AU636" s="101"/>
    </row>
    <row r="637" spans="29:47" ht="18.75" x14ac:dyDescent="0.3">
      <c r="AC637" s="99"/>
      <c r="AD637" s="100"/>
      <c r="AE637" s="100"/>
      <c r="AF637" s="100"/>
      <c r="AG637" s="100"/>
      <c r="AH637" s="100"/>
      <c r="AI637" s="100"/>
      <c r="AJ637" s="101"/>
      <c r="AK637" s="99"/>
      <c r="AL637" s="100"/>
      <c r="AM637" s="100"/>
      <c r="AN637" s="100"/>
      <c r="AO637" s="100"/>
      <c r="AP637" s="100"/>
      <c r="AQ637" s="100"/>
      <c r="AR637" s="100"/>
      <c r="AS637" s="100"/>
      <c r="AT637" s="100"/>
      <c r="AU637" s="101"/>
    </row>
    <row r="638" spans="29:47" ht="18.75" x14ac:dyDescent="0.3">
      <c r="AC638" s="99"/>
      <c r="AD638" s="100"/>
      <c r="AE638" s="100"/>
      <c r="AF638" s="100"/>
      <c r="AG638" s="100"/>
      <c r="AH638" s="100"/>
      <c r="AI638" s="100"/>
      <c r="AJ638" s="101"/>
      <c r="AK638" s="99"/>
      <c r="AL638" s="100"/>
      <c r="AM638" s="100"/>
      <c r="AN638" s="100"/>
      <c r="AO638" s="100"/>
      <c r="AP638" s="100"/>
      <c r="AQ638" s="100"/>
      <c r="AR638" s="100"/>
      <c r="AS638" s="100"/>
      <c r="AT638" s="100"/>
      <c r="AU638" s="101"/>
    </row>
    <row r="639" spans="29:47" ht="18.75" x14ac:dyDescent="0.3">
      <c r="AC639" s="99"/>
      <c r="AD639" s="100"/>
      <c r="AE639" s="100"/>
      <c r="AF639" s="100"/>
      <c r="AG639" s="100"/>
      <c r="AH639" s="100"/>
      <c r="AI639" s="100"/>
      <c r="AJ639" s="101"/>
      <c r="AK639" s="99"/>
      <c r="AL639" s="100"/>
      <c r="AM639" s="100"/>
      <c r="AN639" s="100"/>
      <c r="AO639" s="100"/>
      <c r="AP639" s="100"/>
      <c r="AQ639" s="100"/>
      <c r="AR639" s="100"/>
      <c r="AS639" s="100"/>
      <c r="AT639" s="100"/>
      <c r="AU639" s="101"/>
    </row>
    <row r="640" spans="29:47" ht="18.75" x14ac:dyDescent="0.3">
      <c r="AC640" s="99"/>
      <c r="AD640" s="100"/>
      <c r="AE640" s="100"/>
      <c r="AF640" s="100"/>
      <c r="AG640" s="100"/>
      <c r="AH640" s="100"/>
      <c r="AI640" s="100"/>
      <c r="AJ640" s="101"/>
      <c r="AK640" s="99"/>
      <c r="AL640" s="100"/>
      <c r="AM640" s="100"/>
      <c r="AN640" s="100"/>
      <c r="AO640" s="100"/>
      <c r="AP640" s="100"/>
      <c r="AQ640" s="100"/>
      <c r="AR640" s="100"/>
      <c r="AS640" s="100"/>
      <c r="AT640" s="100"/>
      <c r="AU640" s="101"/>
    </row>
    <row r="641" spans="29:47" ht="18.75" x14ac:dyDescent="0.3">
      <c r="AC641" s="99"/>
      <c r="AD641" s="100"/>
      <c r="AE641" s="100"/>
      <c r="AF641" s="100"/>
      <c r="AG641" s="100"/>
      <c r="AH641" s="100"/>
      <c r="AI641" s="100"/>
      <c r="AJ641" s="101"/>
      <c r="AK641" s="99"/>
      <c r="AL641" s="100"/>
      <c r="AM641" s="100"/>
      <c r="AN641" s="100"/>
      <c r="AO641" s="100"/>
      <c r="AP641" s="100"/>
      <c r="AQ641" s="100"/>
      <c r="AR641" s="100"/>
      <c r="AS641" s="100"/>
      <c r="AT641" s="100"/>
      <c r="AU641" s="101"/>
    </row>
    <row r="642" spans="29:47" ht="18.75" x14ac:dyDescent="0.3">
      <c r="AC642" s="99"/>
      <c r="AD642" s="100"/>
      <c r="AE642" s="100"/>
      <c r="AF642" s="100"/>
      <c r="AG642" s="100"/>
      <c r="AH642" s="100"/>
      <c r="AI642" s="100"/>
      <c r="AJ642" s="101"/>
      <c r="AK642" s="99"/>
      <c r="AL642" s="100"/>
      <c r="AM642" s="100"/>
      <c r="AN642" s="100"/>
      <c r="AO642" s="100"/>
      <c r="AP642" s="100"/>
      <c r="AQ642" s="100"/>
      <c r="AR642" s="100"/>
      <c r="AS642" s="100"/>
      <c r="AT642" s="100"/>
      <c r="AU642" s="101"/>
    </row>
    <row r="643" spans="29:47" ht="18.75" x14ac:dyDescent="0.3">
      <c r="AC643" s="99"/>
      <c r="AD643" s="100"/>
      <c r="AE643" s="100"/>
      <c r="AF643" s="100"/>
      <c r="AG643" s="100"/>
      <c r="AH643" s="100"/>
      <c r="AI643" s="100"/>
      <c r="AJ643" s="101"/>
      <c r="AK643" s="99"/>
      <c r="AL643" s="100"/>
      <c r="AM643" s="100"/>
      <c r="AN643" s="100"/>
      <c r="AO643" s="100"/>
      <c r="AP643" s="100"/>
      <c r="AQ643" s="100"/>
      <c r="AR643" s="100"/>
      <c r="AS643" s="100"/>
      <c r="AT643" s="100"/>
      <c r="AU643" s="101"/>
    </row>
    <row r="644" spans="29:47" ht="18.75" x14ac:dyDescent="0.3">
      <c r="AC644" s="99"/>
      <c r="AD644" s="100"/>
      <c r="AE644" s="100"/>
      <c r="AF644" s="100"/>
      <c r="AG644" s="100"/>
      <c r="AH644" s="100"/>
      <c r="AI644" s="100"/>
      <c r="AJ644" s="101"/>
      <c r="AK644" s="99"/>
      <c r="AL644" s="100"/>
      <c r="AM644" s="100"/>
      <c r="AN644" s="100"/>
      <c r="AO644" s="100"/>
      <c r="AP644" s="100"/>
      <c r="AQ644" s="100"/>
      <c r="AR644" s="100"/>
      <c r="AS644" s="100"/>
      <c r="AT644" s="100"/>
      <c r="AU644" s="101"/>
    </row>
    <row r="645" spans="29:47" ht="18.75" x14ac:dyDescent="0.3">
      <c r="AC645" s="99"/>
      <c r="AD645" s="100"/>
      <c r="AE645" s="100"/>
      <c r="AF645" s="100"/>
      <c r="AG645" s="100"/>
      <c r="AH645" s="100"/>
      <c r="AI645" s="100"/>
      <c r="AJ645" s="101"/>
      <c r="AK645" s="99"/>
      <c r="AL645" s="100"/>
      <c r="AM645" s="100"/>
      <c r="AN645" s="100"/>
      <c r="AO645" s="100"/>
      <c r="AP645" s="100"/>
      <c r="AQ645" s="100"/>
      <c r="AR645" s="100"/>
      <c r="AS645" s="100"/>
      <c r="AT645" s="100"/>
      <c r="AU645" s="101"/>
    </row>
    <row r="646" spans="29:47" ht="18.75" x14ac:dyDescent="0.3">
      <c r="AC646" s="99"/>
      <c r="AD646" s="100"/>
      <c r="AE646" s="100"/>
      <c r="AF646" s="100"/>
      <c r="AG646" s="100"/>
      <c r="AH646" s="100"/>
      <c r="AI646" s="100"/>
      <c r="AJ646" s="101"/>
      <c r="AK646" s="99"/>
      <c r="AL646" s="100"/>
      <c r="AM646" s="100"/>
      <c r="AN646" s="100"/>
      <c r="AO646" s="100"/>
      <c r="AP646" s="100"/>
      <c r="AQ646" s="100"/>
      <c r="AR646" s="100"/>
      <c r="AS646" s="100"/>
      <c r="AT646" s="100"/>
      <c r="AU646" s="101"/>
    </row>
    <row r="647" spans="29:47" ht="18.75" x14ac:dyDescent="0.3">
      <c r="AC647" s="99"/>
      <c r="AD647" s="100"/>
      <c r="AE647" s="100"/>
      <c r="AF647" s="100"/>
      <c r="AG647" s="100"/>
      <c r="AH647" s="100"/>
      <c r="AI647" s="100"/>
      <c r="AJ647" s="101"/>
      <c r="AK647" s="99"/>
      <c r="AL647" s="100"/>
      <c r="AM647" s="100"/>
      <c r="AN647" s="100"/>
      <c r="AO647" s="100"/>
      <c r="AP647" s="100"/>
      <c r="AQ647" s="100"/>
      <c r="AR647" s="100"/>
      <c r="AS647" s="100"/>
      <c r="AT647" s="100"/>
      <c r="AU647" s="101"/>
    </row>
    <row r="648" spans="29:47" ht="18.75" x14ac:dyDescent="0.3">
      <c r="AC648" s="99"/>
      <c r="AD648" s="100"/>
      <c r="AE648" s="100"/>
      <c r="AF648" s="100"/>
      <c r="AG648" s="100"/>
      <c r="AH648" s="100"/>
      <c r="AI648" s="100"/>
      <c r="AJ648" s="101"/>
      <c r="AK648" s="99"/>
      <c r="AL648" s="100"/>
      <c r="AM648" s="100"/>
      <c r="AN648" s="100"/>
      <c r="AO648" s="100"/>
      <c r="AP648" s="100"/>
      <c r="AQ648" s="100"/>
      <c r="AR648" s="100"/>
      <c r="AS648" s="100"/>
      <c r="AT648" s="100"/>
      <c r="AU648" s="101"/>
    </row>
    <row r="649" spans="29:47" ht="18.75" x14ac:dyDescent="0.3">
      <c r="AC649" s="99"/>
      <c r="AD649" s="100"/>
      <c r="AE649" s="100"/>
      <c r="AF649" s="100"/>
      <c r="AG649" s="100"/>
      <c r="AH649" s="100"/>
      <c r="AI649" s="100"/>
      <c r="AJ649" s="101"/>
      <c r="AK649" s="99"/>
      <c r="AL649" s="100"/>
      <c r="AM649" s="100"/>
      <c r="AN649" s="100"/>
      <c r="AO649" s="100"/>
      <c r="AP649" s="100"/>
      <c r="AQ649" s="100"/>
      <c r="AR649" s="100"/>
      <c r="AS649" s="100"/>
      <c r="AT649" s="100"/>
      <c r="AU649" s="101"/>
    </row>
    <row r="650" spans="29:47" ht="18.75" x14ac:dyDescent="0.3">
      <c r="AC650" s="99"/>
      <c r="AD650" s="100"/>
      <c r="AE650" s="100"/>
      <c r="AF650" s="100"/>
      <c r="AG650" s="100"/>
      <c r="AH650" s="100"/>
      <c r="AI650" s="100"/>
      <c r="AJ650" s="101"/>
      <c r="AK650" s="99"/>
      <c r="AL650" s="100"/>
      <c r="AM650" s="100"/>
      <c r="AN650" s="100"/>
      <c r="AO650" s="100"/>
      <c r="AP650" s="100"/>
      <c r="AQ650" s="100"/>
      <c r="AR650" s="100"/>
      <c r="AS650" s="100"/>
      <c r="AT650" s="100"/>
      <c r="AU650" s="101"/>
    </row>
    <row r="651" spans="29:47" ht="18.75" x14ac:dyDescent="0.3">
      <c r="AC651" s="99"/>
      <c r="AD651" s="100"/>
      <c r="AE651" s="100"/>
      <c r="AF651" s="100"/>
      <c r="AG651" s="100"/>
      <c r="AH651" s="100"/>
      <c r="AI651" s="100"/>
      <c r="AJ651" s="101"/>
      <c r="AK651" s="99"/>
      <c r="AL651" s="100"/>
      <c r="AM651" s="100"/>
      <c r="AN651" s="100"/>
      <c r="AO651" s="100"/>
      <c r="AP651" s="100"/>
      <c r="AQ651" s="100"/>
      <c r="AR651" s="100"/>
      <c r="AS651" s="100"/>
      <c r="AT651" s="100"/>
      <c r="AU651" s="101"/>
    </row>
    <row r="652" spans="29:47" ht="18.75" x14ac:dyDescent="0.3">
      <c r="AC652" s="99"/>
      <c r="AD652" s="100"/>
      <c r="AE652" s="100"/>
      <c r="AF652" s="100"/>
      <c r="AG652" s="100"/>
      <c r="AH652" s="100"/>
      <c r="AI652" s="100"/>
      <c r="AJ652" s="101"/>
      <c r="AK652" s="99"/>
      <c r="AL652" s="100"/>
      <c r="AM652" s="100"/>
      <c r="AN652" s="100"/>
      <c r="AO652" s="100"/>
      <c r="AP652" s="100"/>
      <c r="AQ652" s="100"/>
      <c r="AR652" s="100"/>
      <c r="AS652" s="100"/>
      <c r="AT652" s="100"/>
      <c r="AU652" s="101"/>
    </row>
    <row r="653" spans="29:47" ht="18.75" x14ac:dyDescent="0.3">
      <c r="AC653" s="99"/>
      <c r="AD653" s="100"/>
      <c r="AE653" s="100"/>
      <c r="AF653" s="100"/>
      <c r="AG653" s="100"/>
      <c r="AH653" s="100"/>
      <c r="AI653" s="100"/>
      <c r="AJ653" s="101"/>
      <c r="AK653" s="99"/>
      <c r="AL653" s="100"/>
      <c r="AM653" s="100"/>
      <c r="AN653" s="100"/>
      <c r="AO653" s="100"/>
      <c r="AP653" s="100"/>
      <c r="AQ653" s="100"/>
      <c r="AR653" s="100"/>
      <c r="AS653" s="100"/>
      <c r="AT653" s="100"/>
      <c r="AU653" s="101"/>
    </row>
    <row r="654" spans="29:47" ht="18.75" x14ac:dyDescent="0.3">
      <c r="AC654" s="99"/>
      <c r="AD654" s="100"/>
      <c r="AE654" s="100"/>
      <c r="AF654" s="100"/>
      <c r="AG654" s="100"/>
      <c r="AH654" s="100"/>
      <c r="AI654" s="100"/>
      <c r="AJ654" s="101"/>
      <c r="AK654" s="99"/>
      <c r="AL654" s="100"/>
      <c r="AM654" s="100"/>
      <c r="AN654" s="100"/>
      <c r="AO654" s="100"/>
      <c r="AP654" s="100"/>
      <c r="AQ654" s="100"/>
      <c r="AR654" s="100"/>
      <c r="AS654" s="100"/>
      <c r="AT654" s="100"/>
      <c r="AU654" s="101"/>
    </row>
    <row r="655" spans="29:47" ht="18.75" x14ac:dyDescent="0.3">
      <c r="AC655" s="99"/>
      <c r="AD655" s="100"/>
      <c r="AE655" s="100"/>
      <c r="AF655" s="100"/>
      <c r="AG655" s="100"/>
      <c r="AH655" s="100"/>
      <c r="AI655" s="100"/>
      <c r="AJ655" s="101"/>
      <c r="AK655" s="99"/>
      <c r="AL655" s="100"/>
      <c r="AM655" s="100"/>
      <c r="AN655" s="100"/>
      <c r="AO655" s="100"/>
      <c r="AP655" s="100"/>
      <c r="AQ655" s="100"/>
      <c r="AR655" s="100"/>
      <c r="AS655" s="100"/>
      <c r="AT655" s="100"/>
      <c r="AU655" s="101"/>
    </row>
    <row r="656" spans="29:47" ht="18.75" x14ac:dyDescent="0.3">
      <c r="AC656" s="99"/>
      <c r="AD656" s="100"/>
      <c r="AE656" s="100"/>
      <c r="AF656" s="100"/>
      <c r="AG656" s="100"/>
      <c r="AH656" s="100"/>
      <c r="AI656" s="100"/>
      <c r="AJ656" s="101"/>
      <c r="AK656" s="99"/>
      <c r="AL656" s="100"/>
      <c r="AM656" s="100"/>
      <c r="AN656" s="100"/>
      <c r="AO656" s="100"/>
      <c r="AP656" s="100"/>
      <c r="AQ656" s="100"/>
      <c r="AR656" s="100"/>
      <c r="AS656" s="100"/>
      <c r="AT656" s="100"/>
      <c r="AU656" s="101"/>
    </row>
    <row r="657" spans="29:47" ht="18.75" x14ac:dyDescent="0.3">
      <c r="AC657" s="99"/>
      <c r="AD657" s="100"/>
      <c r="AE657" s="100"/>
      <c r="AF657" s="100"/>
      <c r="AG657" s="100"/>
      <c r="AH657" s="100"/>
      <c r="AI657" s="100"/>
      <c r="AJ657" s="101"/>
      <c r="AK657" s="99"/>
      <c r="AL657" s="100"/>
      <c r="AM657" s="100"/>
      <c r="AN657" s="100"/>
      <c r="AO657" s="100"/>
      <c r="AP657" s="100"/>
      <c r="AQ657" s="100"/>
      <c r="AR657" s="100"/>
      <c r="AS657" s="100"/>
      <c r="AT657" s="100"/>
      <c r="AU657" s="101"/>
    </row>
    <row r="658" spans="29:47" ht="18.75" x14ac:dyDescent="0.3">
      <c r="AC658" s="99"/>
      <c r="AD658" s="100"/>
      <c r="AE658" s="100"/>
      <c r="AF658" s="100"/>
      <c r="AG658" s="100"/>
      <c r="AH658" s="100"/>
      <c r="AI658" s="100"/>
      <c r="AJ658" s="101"/>
      <c r="AK658" s="99"/>
      <c r="AL658" s="100"/>
      <c r="AM658" s="100"/>
      <c r="AN658" s="100"/>
      <c r="AO658" s="100"/>
      <c r="AP658" s="100"/>
      <c r="AQ658" s="100"/>
      <c r="AR658" s="100"/>
      <c r="AS658" s="100"/>
      <c r="AT658" s="100"/>
      <c r="AU658" s="101"/>
    </row>
    <row r="659" spans="29:47" ht="18.75" x14ac:dyDescent="0.3">
      <c r="AC659" s="99"/>
      <c r="AD659" s="100"/>
      <c r="AE659" s="100"/>
      <c r="AF659" s="100"/>
      <c r="AG659" s="100"/>
      <c r="AH659" s="100"/>
      <c r="AI659" s="100"/>
      <c r="AJ659" s="101"/>
      <c r="AK659" s="99"/>
      <c r="AL659" s="100"/>
      <c r="AM659" s="100"/>
      <c r="AN659" s="100"/>
      <c r="AO659" s="100"/>
      <c r="AP659" s="100"/>
      <c r="AQ659" s="100"/>
      <c r="AR659" s="100"/>
      <c r="AS659" s="100"/>
      <c r="AT659" s="100"/>
      <c r="AU659" s="101"/>
    </row>
    <row r="660" spans="29:47" ht="18.75" x14ac:dyDescent="0.3">
      <c r="AC660" s="99"/>
      <c r="AD660" s="100"/>
      <c r="AE660" s="100"/>
      <c r="AF660" s="100"/>
      <c r="AG660" s="100"/>
      <c r="AH660" s="100"/>
      <c r="AI660" s="100"/>
      <c r="AJ660" s="101"/>
      <c r="AK660" s="99"/>
      <c r="AL660" s="100"/>
      <c r="AM660" s="100"/>
      <c r="AN660" s="100"/>
      <c r="AO660" s="100"/>
      <c r="AP660" s="100"/>
      <c r="AQ660" s="100"/>
      <c r="AR660" s="100"/>
      <c r="AS660" s="100"/>
      <c r="AT660" s="100"/>
      <c r="AU660" s="101"/>
    </row>
    <row r="661" spans="29:47" ht="18.75" x14ac:dyDescent="0.3">
      <c r="AC661" s="99"/>
      <c r="AD661" s="100"/>
      <c r="AE661" s="100"/>
      <c r="AF661" s="100"/>
      <c r="AG661" s="100"/>
      <c r="AH661" s="100"/>
      <c r="AI661" s="100"/>
      <c r="AJ661" s="101"/>
      <c r="AK661" s="99"/>
      <c r="AL661" s="100"/>
      <c r="AM661" s="100"/>
      <c r="AN661" s="100"/>
      <c r="AO661" s="100"/>
      <c r="AP661" s="100"/>
      <c r="AQ661" s="100"/>
      <c r="AR661" s="100"/>
      <c r="AS661" s="100"/>
      <c r="AT661" s="100"/>
      <c r="AU661" s="101"/>
    </row>
    <row r="662" spans="29:47" ht="18.75" x14ac:dyDescent="0.3">
      <c r="AC662" s="99"/>
      <c r="AD662" s="100"/>
      <c r="AE662" s="100"/>
      <c r="AF662" s="100"/>
      <c r="AG662" s="100"/>
      <c r="AH662" s="100"/>
      <c r="AI662" s="100"/>
      <c r="AJ662" s="101"/>
      <c r="AK662" s="99"/>
      <c r="AL662" s="100"/>
      <c r="AM662" s="100"/>
      <c r="AN662" s="100"/>
      <c r="AO662" s="100"/>
      <c r="AP662" s="100"/>
      <c r="AQ662" s="100"/>
      <c r="AR662" s="100"/>
      <c r="AS662" s="100"/>
      <c r="AT662" s="100"/>
      <c r="AU662" s="101"/>
    </row>
    <row r="663" spans="29:47" ht="18.75" x14ac:dyDescent="0.3">
      <c r="AC663" s="99"/>
      <c r="AD663" s="100"/>
      <c r="AE663" s="100"/>
      <c r="AF663" s="100"/>
      <c r="AG663" s="100"/>
      <c r="AH663" s="100"/>
      <c r="AI663" s="100"/>
      <c r="AJ663" s="101"/>
      <c r="AK663" s="99"/>
      <c r="AL663" s="100"/>
      <c r="AM663" s="100"/>
      <c r="AN663" s="100"/>
      <c r="AO663" s="100"/>
      <c r="AP663" s="100"/>
      <c r="AQ663" s="100"/>
      <c r="AR663" s="100"/>
      <c r="AS663" s="100"/>
      <c r="AT663" s="100"/>
      <c r="AU663" s="101"/>
    </row>
    <row r="664" spans="29:47" ht="18.75" x14ac:dyDescent="0.3">
      <c r="AC664" s="99"/>
      <c r="AD664" s="100"/>
      <c r="AE664" s="100"/>
      <c r="AF664" s="100"/>
      <c r="AG664" s="100"/>
      <c r="AH664" s="100"/>
      <c r="AI664" s="100"/>
      <c r="AJ664" s="101"/>
      <c r="AK664" s="99"/>
      <c r="AL664" s="100"/>
      <c r="AM664" s="100"/>
      <c r="AN664" s="100"/>
      <c r="AO664" s="100"/>
      <c r="AP664" s="100"/>
      <c r="AQ664" s="100"/>
      <c r="AR664" s="100"/>
      <c r="AS664" s="100"/>
      <c r="AT664" s="100"/>
      <c r="AU664" s="101"/>
    </row>
    <row r="665" spans="29:47" ht="18.75" x14ac:dyDescent="0.3">
      <c r="AC665" s="99"/>
      <c r="AD665" s="100"/>
      <c r="AE665" s="100"/>
      <c r="AF665" s="100"/>
      <c r="AG665" s="100"/>
      <c r="AH665" s="100"/>
      <c r="AI665" s="100"/>
      <c r="AJ665" s="101"/>
      <c r="AK665" s="99"/>
      <c r="AL665" s="100"/>
      <c r="AM665" s="100"/>
      <c r="AN665" s="100"/>
      <c r="AO665" s="100"/>
      <c r="AP665" s="100"/>
      <c r="AQ665" s="100"/>
      <c r="AR665" s="100"/>
      <c r="AS665" s="100"/>
      <c r="AT665" s="100"/>
      <c r="AU665" s="101"/>
    </row>
    <row r="666" spans="29:47" ht="18.75" x14ac:dyDescent="0.3">
      <c r="AC666" s="99"/>
      <c r="AD666" s="100"/>
      <c r="AE666" s="100"/>
      <c r="AF666" s="100"/>
      <c r="AG666" s="100"/>
      <c r="AH666" s="100"/>
      <c r="AI666" s="100"/>
      <c r="AJ666" s="101"/>
      <c r="AK666" s="99"/>
      <c r="AL666" s="100"/>
      <c r="AM666" s="100"/>
      <c r="AN666" s="100"/>
      <c r="AO666" s="100"/>
      <c r="AP666" s="100"/>
      <c r="AQ666" s="100"/>
      <c r="AR666" s="100"/>
      <c r="AS666" s="100"/>
      <c r="AT666" s="100"/>
      <c r="AU666" s="101"/>
    </row>
    <row r="667" spans="29:47" ht="18.75" x14ac:dyDescent="0.3">
      <c r="AC667" s="99"/>
      <c r="AD667" s="100"/>
      <c r="AE667" s="100"/>
      <c r="AF667" s="100"/>
      <c r="AG667" s="100"/>
      <c r="AH667" s="100"/>
      <c r="AI667" s="100"/>
      <c r="AJ667" s="101"/>
      <c r="AK667" s="99"/>
      <c r="AL667" s="100"/>
      <c r="AM667" s="100"/>
      <c r="AN667" s="100"/>
      <c r="AO667" s="100"/>
      <c r="AP667" s="100"/>
      <c r="AQ667" s="100"/>
      <c r="AR667" s="100"/>
      <c r="AS667" s="100"/>
      <c r="AT667" s="100"/>
      <c r="AU667" s="101"/>
    </row>
    <row r="668" spans="29:47" ht="18.75" x14ac:dyDescent="0.3">
      <c r="AC668" s="99"/>
      <c r="AD668" s="100"/>
      <c r="AE668" s="100"/>
      <c r="AF668" s="100"/>
      <c r="AG668" s="100"/>
      <c r="AH668" s="100"/>
      <c r="AI668" s="100"/>
      <c r="AJ668" s="101"/>
      <c r="AK668" s="99"/>
      <c r="AL668" s="100"/>
      <c r="AM668" s="100"/>
      <c r="AN668" s="100"/>
      <c r="AO668" s="100"/>
      <c r="AP668" s="100"/>
      <c r="AQ668" s="100"/>
      <c r="AR668" s="100"/>
      <c r="AS668" s="100"/>
      <c r="AT668" s="100"/>
      <c r="AU668" s="101"/>
    </row>
    <row r="669" spans="29:47" ht="18.75" x14ac:dyDescent="0.3">
      <c r="AC669" s="99"/>
      <c r="AD669" s="100"/>
      <c r="AE669" s="100"/>
      <c r="AF669" s="100"/>
      <c r="AG669" s="100"/>
      <c r="AH669" s="100"/>
      <c r="AI669" s="100"/>
      <c r="AJ669" s="101"/>
      <c r="AK669" s="99"/>
      <c r="AL669" s="100"/>
      <c r="AM669" s="100"/>
      <c r="AN669" s="100"/>
      <c r="AO669" s="100"/>
      <c r="AP669" s="100"/>
      <c r="AQ669" s="100"/>
      <c r="AR669" s="100"/>
      <c r="AS669" s="100"/>
      <c r="AT669" s="100"/>
      <c r="AU669" s="101"/>
    </row>
    <row r="670" spans="29:47" ht="18.75" x14ac:dyDescent="0.3">
      <c r="AC670" s="99"/>
      <c r="AD670" s="100"/>
      <c r="AE670" s="100"/>
      <c r="AF670" s="100"/>
      <c r="AG670" s="100"/>
      <c r="AH670" s="100"/>
      <c r="AI670" s="100"/>
      <c r="AJ670" s="101"/>
      <c r="AK670" s="99"/>
      <c r="AL670" s="100"/>
      <c r="AM670" s="100"/>
      <c r="AN670" s="100"/>
      <c r="AO670" s="100"/>
      <c r="AP670" s="100"/>
      <c r="AQ670" s="100"/>
      <c r="AR670" s="100"/>
      <c r="AS670" s="100"/>
      <c r="AT670" s="100"/>
      <c r="AU670" s="101"/>
    </row>
    <row r="671" spans="29:47" ht="18.75" x14ac:dyDescent="0.3">
      <c r="AC671" s="99"/>
      <c r="AD671" s="100"/>
      <c r="AE671" s="100"/>
      <c r="AF671" s="100"/>
      <c r="AG671" s="100"/>
      <c r="AH671" s="100"/>
      <c r="AI671" s="100"/>
      <c r="AJ671" s="101"/>
      <c r="AK671" s="99"/>
      <c r="AL671" s="100"/>
      <c r="AM671" s="100"/>
      <c r="AN671" s="100"/>
      <c r="AO671" s="100"/>
      <c r="AP671" s="100"/>
      <c r="AQ671" s="100"/>
      <c r="AR671" s="100"/>
      <c r="AS671" s="100"/>
      <c r="AT671" s="100"/>
      <c r="AU671" s="101"/>
    </row>
    <row r="672" spans="29:47" ht="18.75" x14ac:dyDescent="0.3">
      <c r="AC672" s="99"/>
      <c r="AD672" s="100"/>
      <c r="AE672" s="100"/>
      <c r="AF672" s="100"/>
      <c r="AG672" s="100"/>
      <c r="AH672" s="100"/>
      <c r="AI672" s="100"/>
      <c r="AJ672" s="101"/>
      <c r="AK672" s="99"/>
      <c r="AL672" s="100"/>
      <c r="AM672" s="100"/>
      <c r="AN672" s="100"/>
      <c r="AO672" s="100"/>
      <c r="AP672" s="100"/>
      <c r="AQ672" s="100"/>
      <c r="AR672" s="100"/>
      <c r="AS672" s="100"/>
      <c r="AT672" s="100"/>
      <c r="AU672" s="101"/>
    </row>
    <row r="673" spans="29:47" ht="18.75" x14ac:dyDescent="0.3">
      <c r="AC673" s="99"/>
      <c r="AD673" s="100"/>
      <c r="AE673" s="100"/>
      <c r="AF673" s="100"/>
      <c r="AG673" s="100"/>
      <c r="AH673" s="100"/>
      <c r="AI673" s="100"/>
      <c r="AJ673" s="101"/>
      <c r="AK673" s="99"/>
      <c r="AL673" s="100"/>
      <c r="AM673" s="100"/>
      <c r="AN673" s="100"/>
      <c r="AO673" s="100"/>
      <c r="AP673" s="100"/>
      <c r="AQ673" s="100"/>
      <c r="AR673" s="100"/>
      <c r="AS673" s="100"/>
      <c r="AT673" s="100"/>
      <c r="AU673" s="101"/>
    </row>
    <row r="674" spans="29:47" ht="18.75" x14ac:dyDescent="0.3">
      <c r="AC674" s="99"/>
      <c r="AD674" s="100"/>
      <c r="AE674" s="100"/>
      <c r="AF674" s="100"/>
      <c r="AG674" s="100"/>
      <c r="AH674" s="100"/>
      <c r="AI674" s="100"/>
      <c r="AJ674" s="101"/>
      <c r="AK674" s="99"/>
      <c r="AL674" s="100"/>
      <c r="AM674" s="100"/>
      <c r="AN674" s="100"/>
      <c r="AO674" s="100"/>
      <c r="AP674" s="100"/>
      <c r="AQ674" s="100"/>
      <c r="AR674" s="100"/>
      <c r="AS674" s="100"/>
      <c r="AT674" s="100"/>
      <c r="AU674" s="101"/>
    </row>
    <row r="675" spans="29:47" ht="18.75" x14ac:dyDescent="0.3">
      <c r="AC675" s="99"/>
      <c r="AD675" s="100"/>
      <c r="AE675" s="100"/>
      <c r="AF675" s="100"/>
      <c r="AG675" s="100"/>
      <c r="AH675" s="100"/>
      <c r="AI675" s="100"/>
      <c r="AJ675" s="101"/>
      <c r="AK675" s="99"/>
      <c r="AL675" s="100"/>
      <c r="AM675" s="100"/>
      <c r="AN675" s="100"/>
      <c r="AO675" s="100"/>
      <c r="AP675" s="100"/>
      <c r="AQ675" s="100"/>
      <c r="AR675" s="100"/>
      <c r="AS675" s="100"/>
      <c r="AT675" s="100"/>
      <c r="AU675" s="101"/>
    </row>
    <row r="676" spans="29:47" ht="18.75" x14ac:dyDescent="0.3">
      <c r="AC676" s="99"/>
      <c r="AD676" s="100"/>
      <c r="AE676" s="100"/>
      <c r="AF676" s="100"/>
      <c r="AG676" s="100"/>
      <c r="AH676" s="100"/>
      <c r="AI676" s="100"/>
      <c r="AJ676" s="101"/>
      <c r="AK676" s="99"/>
      <c r="AL676" s="100"/>
      <c r="AM676" s="100"/>
      <c r="AN676" s="100"/>
      <c r="AO676" s="100"/>
      <c r="AP676" s="100"/>
      <c r="AQ676" s="100"/>
      <c r="AR676" s="100"/>
      <c r="AS676" s="100"/>
      <c r="AT676" s="100"/>
      <c r="AU676" s="101"/>
    </row>
    <row r="677" spans="29:47" ht="18.75" x14ac:dyDescent="0.3">
      <c r="AC677" s="99"/>
      <c r="AD677" s="100"/>
      <c r="AE677" s="100"/>
      <c r="AF677" s="100"/>
      <c r="AG677" s="100"/>
      <c r="AH677" s="100"/>
      <c r="AI677" s="100"/>
      <c r="AJ677" s="101"/>
      <c r="AK677" s="99"/>
      <c r="AL677" s="100"/>
      <c r="AM677" s="100"/>
      <c r="AN677" s="100"/>
      <c r="AO677" s="100"/>
      <c r="AP677" s="100"/>
      <c r="AQ677" s="100"/>
      <c r="AR677" s="100"/>
      <c r="AS677" s="100"/>
      <c r="AT677" s="100"/>
      <c r="AU677" s="101"/>
    </row>
    <row r="678" spans="29:47" ht="18.75" x14ac:dyDescent="0.3">
      <c r="AC678" s="99"/>
      <c r="AD678" s="100"/>
      <c r="AE678" s="100"/>
      <c r="AF678" s="100"/>
      <c r="AG678" s="100"/>
      <c r="AH678" s="100"/>
      <c r="AI678" s="100"/>
      <c r="AJ678" s="101"/>
      <c r="AK678" s="99"/>
      <c r="AL678" s="100"/>
      <c r="AM678" s="100"/>
      <c r="AN678" s="100"/>
      <c r="AO678" s="100"/>
      <c r="AP678" s="100"/>
      <c r="AQ678" s="100"/>
      <c r="AR678" s="100"/>
      <c r="AS678" s="100"/>
      <c r="AT678" s="100"/>
      <c r="AU678" s="101"/>
    </row>
    <row r="679" spans="29:47" ht="18.75" x14ac:dyDescent="0.3">
      <c r="AC679" s="99"/>
      <c r="AD679" s="100"/>
      <c r="AE679" s="100"/>
      <c r="AF679" s="100"/>
      <c r="AG679" s="100"/>
      <c r="AH679" s="100"/>
      <c r="AI679" s="100"/>
      <c r="AJ679" s="101"/>
      <c r="AK679" s="99"/>
      <c r="AL679" s="100"/>
      <c r="AM679" s="100"/>
      <c r="AN679" s="100"/>
      <c r="AO679" s="100"/>
      <c r="AP679" s="100"/>
      <c r="AQ679" s="100"/>
      <c r="AR679" s="100"/>
      <c r="AS679" s="100"/>
      <c r="AT679" s="100"/>
      <c r="AU679" s="101"/>
    </row>
    <row r="680" spans="29:47" ht="18.75" x14ac:dyDescent="0.3">
      <c r="AC680" s="99"/>
      <c r="AD680" s="100"/>
      <c r="AE680" s="100"/>
      <c r="AF680" s="100"/>
      <c r="AG680" s="100"/>
      <c r="AH680" s="100"/>
      <c r="AI680" s="100"/>
      <c r="AJ680" s="101"/>
      <c r="AK680" s="99"/>
      <c r="AL680" s="100"/>
      <c r="AM680" s="100"/>
      <c r="AN680" s="100"/>
      <c r="AO680" s="100"/>
      <c r="AP680" s="100"/>
      <c r="AQ680" s="100"/>
      <c r="AR680" s="100"/>
      <c r="AS680" s="100"/>
      <c r="AT680" s="100"/>
      <c r="AU680" s="101"/>
    </row>
    <row r="681" spans="29:47" ht="18.75" x14ac:dyDescent="0.3">
      <c r="AC681" s="99"/>
      <c r="AD681" s="100"/>
      <c r="AE681" s="100"/>
      <c r="AF681" s="100"/>
      <c r="AG681" s="100"/>
      <c r="AH681" s="100"/>
      <c r="AI681" s="100"/>
      <c r="AJ681" s="101"/>
      <c r="AK681" s="99"/>
      <c r="AL681" s="100"/>
      <c r="AM681" s="100"/>
      <c r="AN681" s="100"/>
      <c r="AO681" s="100"/>
      <c r="AP681" s="100"/>
      <c r="AQ681" s="100"/>
      <c r="AR681" s="100"/>
      <c r="AS681" s="100"/>
      <c r="AT681" s="100"/>
      <c r="AU681" s="101"/>
    </row>
    <row r="682" spans="29:47" ht="18.75" x14ac:dyDescent="0.3">
      <c r="AC682" s="99"/>
      <c r="AD682" s="100"/>
      <c r="AE682" s="100"/>
      <c r="AF682" s="100"/>
      <c r="AG682" s="100"/>
      <c r="AH682" s="100"/>
      <c r="AI682" s="100"/>
      <c r="AJ682" s="101"/>
      <c r="AK682" s="99"/>
      <c r="AL682" s="100"/>
      <c r="AM682" s="100"/>
      <c r="AN682" s="100"/>
      <c r="AO682" s="100"/>
      <c r="AP682" s="100"/>
      <c r="AQ682" s="100"/>
      <c r="AR682" s="100"/>
      <c r="AS682" s="100"/>
      <c r="AT682" s="100"/>
      <c r="AU682" s="101"/>
    </row>
    <row r="683" spans="29:47" ht="18.75" x14ac:dyDescent="0.3">
      <c r="AC683" s="99"/>
      <c r="AD683" s="100"/>
      <c r="AE683" s="100"/>
      <c r="AF683" s="100"/>
      <c r="AG683" s="100"/>
      <c r="AH683" s="100"/>
      <c r="AI683" s="100"/>
      <c r="AJ683" s="101"/>
      <c r="AK683" s="99"/>
      <c r="AL683" s="100"/>
      <c r="AM683" s="100"/>
      <c r="AN683" s="100"/>
      <c r="AO683" s="100"/>
      <c r="AP683" s="100"/>
      <c r="AQ683" s="100"/>
      <c r="AR683" s="100"/>
      <c r="AS683" s="100"/>
      <c r="AT683" s="100"/>
      <c r="AU683" s="101"/>
    </row>
    <row r="684" spans="29:47" ht="18.75" x14ac:dyDescent="0.3">
      <c r="AC684" s="99"/>
      <c r="AD684" s="100"/>
      <c r="AE684" s="100"/>
      <c r="AF684" s="100"/>
      <c r="AG684" s="100"/>
      <c r="AH684" s="100"/>
      <c r="AI684" s="100"/>
      <c r="AJ684" s="101"/>
      <c r="AK684" s="99"/>
      <c r="AL684" s="100"/>
      <c r="AM684" s="100"/>
      <c r="AN684" s="100"/>
      <c r="AO684" s="100"/>
      <c r="AP684" s="100"/>
      <c r="AQ684" s="100"/>
      <c r="AR684" s="100"/>
      <c r="AS684" s="100"/>
      <c r="AT684" s="100"/>
      <c r="AU684" s="101"/>
    </row>
    <row r="685" spans="29:47" ht="18.75" x14ac:dyDescent="0.3">
      <c r="AC685" s="99"/>
      <c r="AD685" s="100"/>
      <c r="AE685" s="100"/>
      <c r="AF685" s="100"/>
      <c r="AG685" s="100"/>
      <c r="AH685" s="100"/>
      <c r="AI685" s="100"/>
      <c r="AJ685" s="101"/>
      <c r="AK685" s="99"/>
      <c r="AL685" s="100"/>
      <c r="AM685" s="100"/>
      <c r="AN685" s="100"/>
      <c r="AO685" s="100"/>
      <c r="AP685" s="100"/>
      <c r="AQ685" s="100"/>
      <c r="AR685" s="100"/>
      <c r="AS685" s="100"/>
      <c r="AT685" s="100"/>
      <c r="AU685" s="101"/>
    </row>
    <row r="686" spans="29:47" ht="18.75" x14ac:dyDescent="0.3">
      <c r="AC686" s="99"/>
      <c r="AD686" s="100"/>
      <c r="AE686" s="100"/>
      <c r="AF686" s="100"/>
      <c r="AG686" s="100"/>
      <c r="AH686" s="100"/>
      <c r="AI686" s="100"/>
      <c r="AJ686" s="101"/>
      <c r="AK686" s="99"/>
      <c r="AL686" s="100"/>
      <c r="AM686" s="100"/>
      <c r="AN686" s="100"/>
      <c r="AO686" s="100"/>
      <c r="AP686" s="100"/>
      <c r="AQ686" s="100"/>
      <c r="AR686" s="100"/>
      <c r="AS686" s="100"/>
      <c r="AT686" s="100"/>
      <c r="AU686" s="101"/>
    </row>
    <row r="687" spans="29:47" ht="18.75" x14ac:dyDescent="0.3">
      <c r="AC687" s="99"/>
      <c r="AD687" s="100"/>
      <c r="AE687" s="100"/>
      <c r="AF687" s="100"/>
      <c r="AG687" s="100"/>
      <c r="AH687" s="100"/>
      <c r="AI687" s="100"/>
      <c r="AJ687" s="101"/>
      <c r="AK687" s="99"/>
      <c r="AL687" s="100"/>
      <c r="AM687" s="100"/>
      <c r="AN687" s="100"/>
      <c r="AO687" s="100"/>
      <c r="AP687" s="100"/>
      <c r="AQ687" s="100"/>
      <c r="AR687" s="100"/>
      <c r="AS687" s="100"/>
      <c r="AT687" s="100"/>
      <c r="AU687" s="101"/>
    </row>
    <row r="688" spans="29:47" ht="18.75" x14ac:dyDescent="0.3">
      <c r="AC688" s="99"/>
      <c r="AD688" s="100"/>
      <c r="AE688" s="100"/>
      <c r="AF688" s="100"/>
      <c r="AG688" s="100"/>
      <c r="AH688" s="100"/>
      <c r="AI688" s="100"/>
      <c r="AJ688" s="101"/>
      <c r="AK688" s="99"/>
      <c r="AL688" s="100"/>
      <c r="AM688" s="100"/>
      <c r="AN688" s="100"/>
      <c r="AO688" s="100"/>
      <c r="AP688" s="100"/>
      <c r="AQ688" s="100"/>
      <c r="AR688" s="100"/>
      <c r="AS688" s="100"/>
      <c r="AT688" s="100"/>
      <c r="AU688" s="101"/>
    </row>
    <row r="689" spans="29:47" ht="18.75" x14ac:dyDescent="0.3">
      <c r="AC689" s="99"/>
      <c r="AD689" s="100"/>
      <c r="AE689" s="100"/>
      <c r="AF689" s="100"/>
      <c r="AG689" s="100"/>
      <c r="AH689" s="100"/>
      <c r="AI689" s="100"/>
      <c r="AJ689" s="101"/>
      <c r="AK689" s="99"/>
      <c r="AL689" s="100"/>
      <c r="AM689" s="100"/>
      <c r="AN689" s="100"/>
      <c r="AO689" s="100"/>
      <c r="AP689" s="100"/>
      <c r="AQ689" s="100"/>
      <c r="AR689" s="100"/>
      <c r="AS689" s="100"/>
      <c r="AT689" s="100"/>
      <c r="AU689" s="101"/>
    </row>
    <row r="690" spans="29:47" ht="18.75" x14ac:dyDescent="0.3">
      <c r="AC690" s="99"/>
      <c r="AD690" s="100"/>
      <c r="AE690" s="100"/>
      <c r="AF690" s="100"/>
      <c r="AG690" s="100"/>
      <c r="AH690" s="100"/>
      <c r="AI690" s="100"/>
      <c r="AJ690" s="101"/>
      <c r="AK690" s="99"/>
      <c r="AL690" s="100"/>
      <c r="AM690" s="100"/>
      <c r="AN690" s="100"/>
      <c r="AO690" s="100"/>
      <c r="AP690" s="100"/>
      <c r="AQ690" s="100"/>
      <c r="AR690" s="100"/>
      <c r="AS690" s="100"/>
      <c r="AT690" s="100"/>
      <c r="AU690" s="101"/>
    </row>
    <row r="691" spans="29:47" ht="18.75" x14ac:dyDescent="0.3">
      <c r="AC691" s="99"/>
      <c r="AD691" s="100"/>
      <c r="AE691" s="100"/>
      <c r="AF691" s="100"/>
      <c r="AG691" s="100"/>
      <c r="AH691" s="100"/>
      <c r="AI691" s="100"/>
      <c r="AJ691" s="101"/>
      <c r="AK691" s="99"/>
      <c r="AL691" s="100"/>
      <c r="AM691" s="100"/>
      <c r="AN691" s="100"/>
      <c r="AO691" s="100"/>
      <c r="AP691" s="100"/>
      <c r="AQ691" s="100"/>
      <c r="AR691" s="100"/>
      <c r="AS691" s="100"/>
      <c r="AT691" s="100"/>
      <c r="AU691" s="101"/>
    </row>
    <row r="692" spans="29:47" ht="18.75" x14ac:dyDescent="0.3">
      <c r="AC692" s="99"/>
      <c r="AD692" s="100"/>
      <c r="AE692" s="100"/>
      <c r="AF692" s="100"/>
      <c r="AG692" s="100"/>
      <c r="AH692" s="100"/>
      <c r="AI692" s="100"/>
      <c r="AJ692" s="101"/>
      <c r="AK692" s="99"/>
      <c r="AL692" s="100"/>
      <c r="AM692" s="100"/>
      <c r="AN692" s="100"/>
      <c r="AO692" s="100"/>
      <c r="AP692" s="100"/>
      <c r="AQ692" s="100"/>
      <c r="AR692" s="100"/>
      <c r="AS692" s="100"/>
      <c r="AT692" s="100"/>
      <c r="AU692" s="101"/>
    </row>
    <row r="693" spans="29:47" ht="18.75" x14ac:dyDescent="0.3">
      <c r="AC693" s="99"/>
      <c r="AD693" s="100"/>
      <c r="AE693" s="100"/>
      <c r="AF693" s="100"/>
      <c r="AG693" s="100"/>
      <c r="AH693" s="100"/>
      <c r="AI693" s="100"/>
      <c r="AJ693" s="101"/>
      <c r="AK693" s="99"/>
      <c r="AL693" s="100"/>
      <c r="AM693" s="100"/>
      <c r="AN693" s="100"/>
      <c r="AO693" s="100"/>
      <c r="AP693" s="100"/>
      <c r="AQ693" s="100"/>
      <c r="AR693" s="100"/>
      <c r="AS693" s="100"/>
      <c r="AT693" s="100"/>
      <c r="AU693" s="101"/>
    </row>
    <row r="694" spans="29:47" ht="18.75" x14ac:dyDescent="0.3">
      <c r="AC694" s="99"/>
      <c r="AD694" s="100"/>
      <c r="AE694" s="100"/>
      <c r="AF694" s="100"/>
      <c r="AG694" s="100"/>
      <c r="AH694" s="100"/>
      <c r="AI694" s="100"/>
      <c r="AJ694" s="101"/>
      <c r="AK694" s="99"/>
      <c r="AL694" s="100"/>
      <c r="AM694" s="100"/>
      <c r="AN694" s="100"/>
      <c r="AO694" s="100"/>
      <c r="AP694" s="100"/>
      <c r="AQ694" s="100"/>
      <c r="AR694" s="100"/>
      <c r="AS694" s="100"/>
      <c r="AT694" s="100"/>
      <c r="AU694" s="101"/>
    </row>
    <row r="695" spans="29:47" ht="18.75" x14ac:dyDescent="0.3">
      <c r="AC695" s="99"/>
      <c r="AD695" s="100"/>
      <c r="AE695" s="100"/>
      <c r="AF695" s="100"/>
      <c r="AG695" s="100"/>
      <c r="AH695" s="100"/>
      <c r="AI695" s="100"/>
      <c r="AJ695" s="101"/>
      <c r="AK695" s="99"/>
      <c r="AL695" s="100"/>
      <c r="AM695" s="100"/>
      <c r="AN695" s="100"/>
      <c r="AO695" s="100"/>
      <c r="AP695" s="100"/>
      <c r="AQ695" s="100"/>
      <c r="AR695" s="100"/>
      <c r="AS695" s="100"/>
      <c r="AT695" s="100"/>
      <c r="AU695" s="101"/>
    </row>
    <row r="696" spans="29:47" ht="18.75" x14ac:dyDescent="0.3">
      <c r="AC696" s="99"/>
      <c r="AD696" s="100"/>
      <c r="AE696" s="100"/>
      <c r="AF696" s="100"/>
      <c r="AG696" s="100"/>
      <c r="AH696" s="100"/>
      <c r="AI696" s="100"/>
      <c r="AJ696" s="101"/>
      <c r="AK696" s="99"/>
      <c r="AL696" s="100"/>
      <c r="AM696" s="100"/>
      <c r="AN696" s="100"/>
      <c r="AO696" s="100"/>
      <c r="AP696" s="100"/>
      <c r="AQ696" s="100"/>
      <c r="AR696" s="100"/>
      <c r="AS696" s="100"/>
      <c r="AT696" s="100"/>
      <c r="AU696" s="101"/>
    </row>
    <row r="697" spans="29:47" ht="18.75" x14ac:dyDescent="0.3">
      <c r="AC697" s="99"/>
      <c r="AD697" s="100"/>
      <c r="AE697" s="100"/>
      <c r="AF697" s="100"/>
      <c r="AG697" s="100"/>
      <c r="AH697" s="100"/>
      <c r="AI697" s="100"/>
      <c r="AJ697" s="101"/>
      <c r="AK697" s="99"/>
      <c r="AL697" s="100"/>
      <c r="AM697" s="100"/>
      <c r="AN697" s="100"/>
      <c r="AO697" s="100"/>
      <c r="AP697" s="100"/>
      <c r="AQ697" s="100"/>
      <c r="AR697" s="100"/>
      <c r="AS697" s="100"/>
      <c r="AT697" s="100"/>
      <c r="AU697" s="101"/>
    </row>
    <row r="698" spans="29:47" ht="18.75" x14ac:dyDescent="0.3">
      <c r="AC698" s="99"/>
      <c r="AD698" s="100"/>
      <c r="AE698" s="100"/>
      <c r="AF698" s="100"/>
      <c r="AG698" s="100"/>
      <c r="AH698" s="100"/>
      <c r="AI698" s="100"/>
      <c r="AJ698" s="101"/>
      <c r="AK698" s="99"/>
      <c r="AL698" s="100"/>
      <c r="AM698" s="100"/>
      <c r="AN698" s="100"/>
      <c r="AO698" s="100"/>
      <c r="AP698" s="100"/>
      <c r="AQ698" s="100"/>
      <c r="AR698" s="100"/>
      <c r="AS698" s="100"/>
      <c r="AT698" s="100"/>
      <c r="AU698" s="101"/>
    </row>
    <row r="699" spans="29:47" ht="18.75" x14ac:dyDescent="0.3">
      <c r="AC699" s="99"/>
      <c r="AD699" s="100"/>
      <c r="AE699" s="100"/>
      <c r="AF699" s="100"/>
      <c r="AG699" s="100"/>
      <c r="AH699" s="100"/>
      <c r="AI699" s="100"/>
      <c r="AJ699" s="101"/>
      <c r="AK699" s="99"/>
      <c r="AL699" s="100"/>
      <c r="AM699" s="100"/>
      <c r="AN699" s="100"/>
      <c r="AO699" s="100"/>
      <c r="AP699" s="100"/>
      <c r="AQ699" s="100"/>
      <c r="AR699" s="100"/>
      <c r="AS699" s="100"/>
      <c r="AT699" s="100"/>
      <c r="AU699" s="101"/>
    </row>
    <row r="700" spans="29:47" ht="18.75" x14ac:dyDescent="0.3">
      <c r="AC700" s="99"/>
      <c r="AD700" s="100"/>
      <c r="AE700" s="100"/>
      <c r="AF700" s="100"/>
      <c r="AG700" s="100"/>
      <c r="AH700" s="100"/>
      <c r="AI700" s="100"/>
      <c r="AJ700" s="101"/>
      <c r="AK700" s="99"/>
      <c r="AL700" s="100"/>
      <c r="AM700" s="100"/>
      <c r="AN700" s="100"/>
      <c r="AO700" s="100"/>
      <c r="AP700" s="100"/>
      <c r="AQ700" s="100"/>
      <c r="AR700" s="100"/>
      <c r="AS700" s="100"/>
      <c r="AT700" s="100"/>
      <c r="AU700" s="101"/>
    </row>
    <row r="701" spans="29:47" ht="18.75" x14ac:dyDescent="0.3">
      <c r="AC701" s="99"/>
      <c r="AD701" s="100"/>
      <c r="AE701" s="100"/>
      <c r="AF701" s="100"/>
      <c r="AG701" s="100"/>
      <c r="AH701" s="100"/>
      <c r="AI701" s="100"/>
      <c r="AJ701" s="101"/>
      <c r="AK701" s="99"/>
      <c r="AL701" s="100"/>
      <c r="AM701" s="100"/>
      <c r="AN701" s="100"/>
      <c r="AO701" s="100"/>
      <c r="AP701" s="100"/>
      <c r="AQ701" s="100"/>
      <c r="AR701" s="100"/>
      <c r="AS701" s="100"/>
      <c r="AT701" s="100"/>
      <c r="AU701" s="101"/>
    </row>
    <row r="702" spans="29:47" ht="18.75" x14ac:dyDescent="0.3">
      <c r="AC702" s="99"/>
      <c r="AD702" s="100"/>
      <c r="AE702" s="100"/>
      <c r="AF702" s="100"/>
      <c r="AG702" s="100"/>
      <c r="AH702" s="100"/>
      <c r="AI702" s="100"/>
      <c r="AJ702" s="101"/>
      <c r="AK702" s="99"/>
      <c r="AL702" s="100"/>
      <c r="AM702" s="100"/>
      <c r="AN702" s="100"/>
      <c r="AO702" s="100"/>
      <c r="AP702" s="100"/>
      <c r="AQ702" s="100"/>
      <c r="AR702" s="100"/>
      <c r="AS702" s="100"/>
      <c r="AT702" s="100"/>
      <c r="AU702" s="101"/>
    </row>
    <row r="703" spans="29:47" ht="18.75" x14ac:dyDescent="0.3">
      <c r="AC703" s="99"/>
      <c r="AD703" s="100"/>
      <c r="AE703" s="100"/>
      <c r="AF703" s="100"/>
      <c r="AG703" s="100"/>
      <c r="AH703" s="100"/>
      <c r="AI703" s="100"/>
      <c r="AJ703" s="101"/>
      <c r="AK703" s="99"/>
      <c r="AL703" s="100"/>
      <c r="AM703" s="100"/>
      <c r="AN703" s="100"/>
      <c r="AO703" s="100"/>
      <c r="AP703" s="100"/>
      <c r="AQ703" s="100"/>
      <c r="AR703" s="100"/>
      <c r="AS703" s="100"/>
      <c r="AT703" s="100"/>
      <c r="AU703" s="101"/>
    </row>
    <row r="704" spans="29:47" ht="18.75" x14ac:dyDescent="0.3">
      <c r="AC704" s="99"/>
      <c r="AD704" s="100"/>
      <c r="AE704" s="100"/>
      <c r="AF704" s="100"/>
      <c r="AG704" s="100"/>
      <c r="AH704" s="100"/>
      <c r="AI704" s="100"/>
      <c r="AJ704" s="101"/>
      <c r="AK704" s="99"/>
      <c r="AL704" s="100"/>
      <c r="AM704" s="100"/>
      <c r="AN704" s="100"/>
      <c r="AO704" s="100"/>
      <c r="AP704" s="100"/>
      <c r="AQ704" s="100"/>
      <c r="AR704" s="100"/>
      <c r="AS704" s="100"/>
      <c r="AT704" s="100"/>
      <c r="AU704" s="101"/>
    </row>
    <row r="705" spans="29:47" ht="18.75" x14ac:dyDescent="0.3">
      <c r="AC705" s="99"/>
      <c r="AD705" s="100"/>
      <c r="AE705" s="100"/>
      <c r="AF705" s="100"/>
      <c r="AG705" s="100"/>
      <c r="AH705" s="100"/>
      <c r="AI705" s="100"/>
      <c r="AJ705" s="101"/>
      <c r="AK705" s="99"/>
      <c r="AL705" s="100"/>
      <c r="AM705" s="100"/>
      <c r="AN705" s="100"/>
      <c r="AO705" s="100"/>
      <c r="AP705" s="100"/>
      <c r="AQ705" s="100"/>
      <c r="AR705" s="100"/>
      <c r="AS705" s="100"/>
      <c r="AT705" s="100"/>
      <c r="AU705" s="101"/>
    </row>
    <row r="706" spans="29:47" ht="18.75" x14ac:dyDescent="0.3">
      <c r="AC706" s="99"/>
      <c r="AD706" s="100"/>
      <c r="AE706" s="100"/>
      <c r="AF706" s="100"/>
      <c r="AG706" s="100"/>
      <c r="AH706" s="100"/>
      <c r="AI706" s="100"/>
      <c r="AJ706" s="101"/>
      <c r="AK706" s="99"/>
      <c r="AL706" s="100"/>
      <c r="AM706" s="100"/>
      <c r="AN706" s="100"/>
      <c r="AO706" s="100"/>
      <c r="AP706" s="100"/>
      <c r="AQ706" s="100"/>
      <c r="AR706" s="100"/>
      <c r="AS706" s="100"/>
      <c r="AT706" s="100"/>
      <c r="AU706" s="101"/>
    </row>
    <row r="707" spans="29:47" ht="18.75" x14ac:dyDescent="0.3">
      <c r="AC707" s="99"/>
      <c r="AD707" s="100"/>
      <c r="AE707" s="100"/>
      <c r="AF707" s="100"/>
      <c r="AG707" s="100"/>
      <c r="AH707" s="100"/>
      <c r="AI707" s="100"/>
      <c r="AJ707" s="101"/>
      <c r="AK707" s="99"/>
      <c r="AL707" s="100"/>
      <c r="AM707" s="100"/>
      <c r="AN707" s="100"/>
      <c r="AO707" s="100"/>
      <c r="AP707" s="100"/>
      <c r="AQ707" s="100"/>
      <c r="AR707" s="100"/>
      <c r="AS707" s="100"/>
      <c r="AT707" s="100"/>
      <c r="AU707" s="101"/>
    </row>
    <row r="708" spans="29:47" ht="18.75" x14ac:dyDescent="0.3">
      <c r="AC708" s="99"/>
      <c r="AD708" s="100"/>
      <c r="AE708" s="100"/>
      <c r="AF708" s="100"/>
      <c r="AG708" s="100"/>
      <c r="AH708" s="100"/>
      <c r="AI708" s="100"/>
      <c r="AJ708" s="101"/>
      <c r="AK708" s="99"/>
      <c r="AL708" s="100"/>
      <c r="AM708" s="100"/>
      <c r="AN708" s="100"/>
      <c r="AO708" s="100"/>
      <c r="AP708" s="100"/>
      <c r="AQ708" s="100"/>
      <c r="AR708" s="100"/>
      <c r="AS708" s="100"/>
      <c r="AT708" s="100"/>
      <c r="AU708" s="101"/>
    </row>
    <row r="709" spans="29:47" ht="18.75" x14ac:dyDescent="0.3">
      <c r="AC709" s="99"/>
      <c r="AD709" s="100"/>
      <c r="AE709" s="100"/>
      <c r="AF709" s="100"/>
      <c r="AG709" s="100"/>
      <c r="AH709" s="100"/>
      <c r="AI709" s="100"/>
      <c r="AJ709" s="101"/>
      <c r="AK709" s="99"/>
      <c r="AL709" s="100"/>
      <c r="AM709" s="100"/>
      <c r="AN709" s="100"/>
      <c r="AO709" s="100"/>
      <c r="AP709" s="100"/>
      <c r="AQ709" s="100"/>
      <c r="AR709" s="100"/>
      <c r="AS709" s="100"/>
      <c r="AT709" s="100"/>
      <c r="AU709" s="101"/>
    </row>
    <row r="710" spans="29:47" ht="18.75" x14ac:dyDescent="0.3">
      <c r="AC710" s="99"/>
      <c r="AD710" s="100"/>
      <c r="AE710" s="100"/>
      <c r="AF710" s="100"/>
      <c r="AG710" s="100"/>
      <c r="AH710" s="100"/>
      <c r="AI710" s="100"/>
      <c r="AJ710" s="101"/>
      <c r="AK710" s="99"/>
      <c r="AL710" s="100"/>
      <c r="AM710" s="100"/>
      <c r="AN710" s="100"/>
      <c r="AO710" s="100"/>
      <c r="AP710" s="100"/>
      <c r="AQ710" s="100"/>
      <c r="AR710" s="100"/>
      <c r="AS710" s="100"/>
      <c r="AT710" s="100"/>
      <c r="AU710" s="101"/>
    </row>
    <row r="711" spans="29:47" ht="18.75" x14ac:dyDescent="0.3">
      <c r="AC711" s="99"/>
      <c r="AD711" s="100"/>
      <c r="AE711" s="100"/>
      <c r="AF711" s="100"/>
      <c r="AG711" s="100"/>
      <c r="AH711" s="100"/>
      <c r="AI711" s="100"/>
      <c r="AJ711" s="101"/>
      <c r="AK711" s="99"/>
      <c r="AL711" s="100"/>
      <c r="AM711" s="100"/>
      <c r="AN711" s="100"/>
      <c r="AO711" s="100"/>
      <c r="AP711" s="100"/>
      <c r="AQ711" s="100"/>
      <c r="AR711" s="100"/>
      <c r="AS711" s="100"/>
      <c r="AT711" s="100"/>
      <c r="AU711" s="101"/>
    </row>
    <row r="712" spans="29:47" ht="18.75" x14ac:dyDescent="0.3">
      <c r="AC712" s="99"/>
      <c r="AD712" s="100"/>
      <c r="AE712" s="100"/>
      <c r="AF712" s="100"/>
      <c r="AG712" s="100"/>
      <c r="AH712" s="100"/>
      <c r="AI712" s="100"/>
      <c r="AJ712" s="101"/>
      <c r="AK712" s="99"/>
      <c r="AL712" s="100"/>
      <c r="AM712" s="100"/>
      <c r="AN712" s="100"/>
      <c r="AO712" s="100"/>
      <c r="AP712" s="100"/>
      <c r="AQ712" s="100"/>
      <c r="AR712" s="100"/>
      <c r="AS712" s="100"/>
      <c r="AT712" s="100"/>
      <c r="AU712" s="101"/>
    </row>
    <row r="713" spans="29:47" ht="18.75" x14ac:dyDescent="0.3">
      <c r="AC713" s="99"/>
      <c r="AD713" s="100"/>
      <c r="AE713" s="100"/>
      <c r="AF713" s="100"/>
      <c r="AG713" s="100"/>
      <c r="AH713" s="100"/>
      <c r="AI713" s="100"/>
      <c r="AJ713" s="101"/>
      <c r="AK713" s="99"/>
      <c r="AL713" s="100"/>
      <c r="AM713" s="100"/>
      <c r="AN713" s="100"/>
      <c r="AO713" s="100"/>
      <c r="AP713" s="100"/>
      <c r="AQ713" s="100"/>
      <c r="AR713" s="100"/>
      <c r="AS713" s="100"/>
      <c r="AT713" s="100"/>
      <c r="AU713" s="101"/>
    </row>
    <row r="714" spans="29:47" ht="18.75" x14ac:dyDescent="0.3">
      <c r="AC714" s="99"/>
      <c r="AD714" s="100"/>
      <c r="AE714" s="100"/>
      <c r="AF714" s="100"/>
      <c r="AG714" s="100"/>
      <c r="AH714" s="100"/>
      <c r="AI714" s="100"/>
      <c r="AJ714" s="101"/>
      <c r="AK714" s="99"/>
      <c r="AL714" s="100"/>
      <c r="AM714" s="100"/>
      <c r="AN714" s="100"/>
      <c r="AO714" s="100"/>
      <c r="AP714" s="100"/>
      <c r="AQ714" s="100"/>
      <c r="AR714" s="100"/>
      <c r="AS714" s="100"/>
      <c r="AT714" s="100"/>
      <c r="AU714" s="101"/>
    </row>
    <row r="715" spans="29:47" ht="18.75" x14ac:dyDescent="0.3">
      <c r="AC715" s="99"/>
      <c r="AD715" s="100"/>
      <c r="AE715" s="100"/>
      <c r="AF715" s="100"/>
      <c r="AG715" s="100"/>
      <c r="AH715" s="100"/>
      <c r="AI715" s="100"/>
      <c r="AJ715" s="101"/>
      <c r="AK715" s="99"/>
      <c r="AL715" s="100"/>
      <c r="AM715" s="100"/>
      <c r="AN715" s="100"/>
      <c r="AO715" s="100"/>
      <c r="AP715" s="100"/>
      <c r="AQ715" s="100"/>
      <c r="AR715" s="100"/>
      <c r="AS715" s="100"/>
      <c r="AT715" s="100"/>
      <c r="AU715" s="101"/>
    </row>
    <row r="716" spans="29:47" ht="18.75" x14ac:dyDescent="0.3">
      <c r="AC716" s="99"/>
      <c r="AD716" s="100"/>
      <c r="AE716" s="100"/>
      <c r="AF716" s="100"/>
      <c r="AG716" s="100"/>
      <c r="AH716" s="100"/>
      <c r="AI716" s="100"/>
      <c r="AJ716" s="101"/>
      <c r="AK716" s="99"/>
      <c r="AL716" s="100"/>
      <c r="AM716" s="100"/>
      <c r="AN716" s="100"/>
      <c r="AO716" s="100"/>
      <c r="AP716" s="100"/>
      <c r="AQ716" s="100"/>
      <c r="AR716" s="100"/>
      <c r="AS716" s="100"/>
      <c r="AT716" s="100"/>
      <c r="AU716" s="101"/>
    </row>
    <row r="717" spans="29:47" ht="18.75" x14ac:dyDescent="0.3">
      <c r="AC717" s="99"/>
      <c r="AD717" s="100"/>
      <c r="AE717" s="100"/>
      <c r="AF717" s="100"/>
      <c r="AG717" s="100"/>
      <c r="AH717" s="100"/>
      <c r="AI717" s="100"/>
      <c r="AJ717" s="101"/>
      <c r="AK717" s="99"/>
      <c r="AL717" s="100"/>
      <c r="AM717" s="100"/>
      <c r="AN717" s="100"/>
      <c r="AO717" s="100"/>
      <c r="AP717" s="100"/>
      <c r="AQ717" s="100"/>
      <c r="AR717" s="100"/>
      <c r="AS717" s="100"/>
      <c r="AT717" s="100"/>
      <c r="AU717" s="101"/>
    </row>
    <row r="718" spans="29:47" ht="18.75" x14ac:dyDescent="0.3">
      <c r="AC718" s="99"/>
      <c r="AD718" s="100"/>
      <c r="AE718" s="100"/>
      <c r="AF718" s="100"/>
      <c r="AG718" s="100"/>
      <c r="AH718" s="100"/>
      <c r="AI718" s="100"/>
      <c r="AJ718" s="101"/>
      <c r="AK718" s="99"/>
      <c r="AL718" s="100"/>
      <c r="AM718" s="100"/>
      <c r="AN718" s="100"/>
      <c r="AO718" s="100"/>
      <c r="AP718" s="100"/>
      <c r="AQ718" s="100"/>
      <c r="AR718" s="100"/>
      <c r="AS718" s="100"/>
      <c r="AT718" s="100"/>
      <c r="AU718" s="101"/>
    </row>
    <row r="719" spans="29:47" ht="18.75" x14ac:dyDescent="0.3">
      <c r="AC719" s="99"/>
      <c r="AD719" s="100"/>
      <c r="AE719" s="100"/>
      <c r="AF719" s="100"/>
      <c r="AG719" s="100"/>
      <c r="AH719" s="100"/>
      <c r="AI719" s="100"/>
      <c r="AJ719" s="101"/>
      <c r="AK719" s="99"/>
      <c r="AL719" s="100"/>
      <c r="AM719" s="100"/>
      <c r="AN719" s="100"/>
      <c r="AO719" s="100"/>
      <c r="AP719" s="100"/>
      <c r="AQ719" s="100"/>
      <c r="AR719" s="100"/>
      <c r="AS719" s="100"/>
      <c r="AT719" s="100"/>
      <c r="AU719" s="101"/>
    </row>
    <row r="720" spans="29:47" ht="18.75" x14ac:dyDescent="0.3">
      <c r="AC720" s="99"/>
      <c r="AD720" s="100"/>
      <c r="AE720" s="100"/>
      <c r="AF720" s="100"/>
      <c r="AG720" s="100"/>
      <c r="AH720" s="100"/>
      <c r="AI720" s="100"/>
      <c r="AJ720" s="101"/>
      <c r="AK720" s="99"/>
      <c r="AL720" s="100"/>
      <c r="AM720" s="100"/>
      <c r="AN720" s="100"/>
      <c r="AO720" s="100"/>
      <c r="AP720" s="100"/>
      <c r="AQ720" s="100"/>
      <c r="AR720" s="100"/>
      <c r="AS720" s="100"/>
      <c r="AT720" s="100"/>
      <c r="AU720" s="101"/>
    </row>
    <row r="721" spans="29:47" ht="18.75" x14ac:dyDescent="0.3">
      <c r="AC721" s="99"/>
      <c r="AD721" s="100"/>
      <c r="AE721" s="100"/>
      <c r="AF721" s="100"/>
      <c r="AG721" s="100"/>
      <c r="AH721" s="100"/>
      <c r="AI721" s="100"/>
      <c r="AJ721" s="101"/>
      <c r="AK721" s="99"/>
      <c r="AL721" s="100"/>
      <c r="AM721" s="100"/>
      <c r="AN721" s="100"/>
      <c r="AO721" s="100"/>
      <c r="AP721" s="100"/>
      <c r="AQ721" s="100"/>
      <c r="AR721" s="100"/>
      <c r="AS721" s="100"/>
      <c r="AT721" s="100"/>
      <c r="AU721" s="101"/>
    </row>
    <row r="722" spans="29:47" ht="18.75" x14ac:dyDescent="0.3">
      <c r="AC722" s="99"/>
      <c r="AD722" s="100"/>
      <c r="AE722" s="100"/>
      <c r="AF722" s="100"/>
      <c r="AG722" s="100"/>
      <c r="AH722" s="100"/>
      <c r="AI722" s="100"/>
      <c r="AJ722" s="101"/>
      <c r="AK722" s="99"/>
      <c r="AL722" s="100"/>
      <c r="AM722" s="100"/>
      <c r="AN722" s="100"/>
      <c r="AO722" s="100"/>
      <c r="AP722" s="100"/>
      <c r="AQ722" s="100"/>
      <c r="AR722" s="100"/>
      <c r="AS722" s="100"/>
      <c r="AT722" s="100"/>
      <c r="AU722" s="101"/>
    </row>
    <row r="723" spans="29:47" ht="18.75" x14ac:dyDescent="0.3">
      <c r="AC723" s="99"/>
      <c r="AD723" s="100"/>
      <c r="AE723" s="100"/>
      <c r="AF723" s="100"/>
      <c r="AG723" s="100"/>
      <c r="AH723" s="100"/>
      <c r="AI723" s="100"/>
      <c r="AJ723" s="101"/>
      <c r="AK723" s="99"/>
      <c r="AL723" s="100"/>
      <c r="AM723" s="100"/>
      <c r="AN723" s="100"/>
      <c r="AO723" s="100"/>
      <c r="AP723" s="100"/>
      <c r="AQ723" s="100"/>
      <c r="AR723" s="100"/>
      <c r="AS723" s="100"/>
      <c r="AT723" s="100"/>
      <c r="AU723" s="101"/>
    </row>
    <row r="724" spans="29:47" ht="18.75" x14ac:dyDescent="0.3">
      <c r="AC724" s="99"/>
      <c r="AD724" s="100"/>
      <c r="AE724" s="100"/>
      <c r="AF724" s="100"/>
      <c r="AG724" s="100"/>
      <c r="AH724" s="100"/>
      <c r="AI724" s="100"/>
      <c r="AJ724" s="101"/>
      <c r="AK724" s="99"/>
      <c r="AL724" s="100"/>
      <c r="AM724" s="100"/>
      <c r="AN724" s="100"/>
      <c r="AO724" s="100"/>
      <c r="AP724" s="100"/>
      <c r="AQ724" s="100"/>
      <c r="AR724" s="100"/>
      <c r="AS724" s="100"/>
      <c r="AT724" s="100"/>
      <c r="AU724" s="101"/>
    </row>
    <row r="725" spans="29:47" ht="18.75" x14ac:dyDescent="0.3">
      <c r="AC725" s="99"/>
      <c r="AD725" s="100"/>
      <c r="AE725" s="100"/>
      <c r="AF725" s="100"/>
      <c r="AG725" s="100"/>
      <c r="AH725" s="100"/>
      <c r="AI725" s="100"/>
      <c r="AJ725" s="101"/>
      <c r="AK725" s="99"/>
      <c r="AL725" s="100"/>
      <c r="AM725" s="100"/>
      <c r="AN725" s="100"/>
      <c r="AO725" s="100"/>
      <c r="AP725" s="100"/>
      <c r="AQ725" s="100"/>
      <c r="AR725" s="100"/>
      <c r="AS725" s="100"/>
      <c r="AT725" s="100"/>
      <c r="AU725" s="101"/>
    </row>
    <row r="726" spans="29:47" ht="18.75" x14ac:dyDescent="0.3">
      <c r="AC726" s="99"/>
      <c r="AD726" s="100"/>
      <c r="AE726" s="100"/>
      <c r="AF726" s="100"/>
      <c r="AG726" s="100"/>
      <c r="AH726" s="100"/>
      <c r="AI726" s="100"/>
      <c r="AJ726" s="101"/>
      <c r="AK726" s="99"/>
      <c r="AL726" s="100"/>
      <c r="AM726" s="100"/>
      <c r="AN726" s="100"/>
      <c r="AO726" s="100"/>
      <c r="AP726" s="100"/>
      <c r="AQ726" s="100"/>
      <c r="AR726" s="100"/>
      <c r="AS726" s="100"/>
      <c r="AT726" s="100"/>
      <c r="AU726" s="101"/>
    </row>
    <row r="727" spans="29:47" ht="18.75" x14ac:dyDescent="0.3">
      <c r="AC727" s="99"/>
      <c r="AD727" s="100"/>
      <c r="AE727" s="100"/>
      <c r="AF727" s="100"/>
      <c r="AG727" s="100"/>
      <c r="AH727" s="100"/>
      <c r="AI727" s="100"/>
      <c r="AJ727" s="101"/>
      <c r="AK727" s="99"/>
      <c r="AL727" s="100"/>
      <c r="AM727" s="100"/>
      <c r="AN727" s="100"/>
      <c r="AO727" s="100"/>
      <c r="AP727" s="100"/>
      <c r="AQ727" s="100"/>
      <c r="AR727" s="100"/>
      <c r="AS727" s="100"/>
      <c r="AT727" s="100"/>
      <c r="AU727" s="101"/>
    </row>
    <row r="728" spans="29:47" ht="18.75" x14ac:dyDescent="0.3">
      <c r="AC728" s="99"/>
      <c r="AD728" s="100"/>
      <c r="AE728" s="100"/>
      <c r="AF728" s="100"/>
      <c r="AG728" s="100"/>
      <c r="AH728" s="100"/>
      <c r="AI728" s="100"/>
      <c r="AJ728" s="101"/>
      <c r="AK728" s="99"/>
      <c r="AL728" s="100"/>
      <c r="AM728" s="100"/>
      <c r="AN728" s="100"/>
      <c r="AO728" s="100"/>
      <c r="AP728" s="100"/>
      <c r="AQ728" s="100"/>
      <c r="AR728" s="100"/>
      <c r="AS728" s="100"/>
      <c r="AT728" s="100"/>
      <c r="AU728" s="101"/>
    </row>
    <row r="729" spans="29:47" ht="18.75" x14ac:dyDescent="0.3">
      <c r="AC729" s="99"/>
      <c r="AD729" s="100"/>
      <c r="AE729" s="100"/>
      <c r="AF729" s="100"/>
      <c r="AG729" s="100"/>
      <c r="AH729" s="100"/>
      <c r="AI729" s="100"/>
      <c r="AJ729" s="101"/>
      <c r="AK729" s="99"/>
      <c r="AL729" s="100"/>
      <c r="AM729" s="100"/>
      <c r="AN729" s="100"/>
      <c r="AO729" s="100"/>
      <c r="AP729" s="100"/>
      <c r="AQ729" s="100"/>
      <c r="AR729" s="100"/>
      <c r="AS729" s="100"/>
      <c r="AT729" s="100"/>
      <c r="AU729" s="101"/>
    </row>
    <row r="730" spans="29:47" ht="18.75" x14ac:dyDescent="0.3">
      <c r="AC730" s="99"/>
      <c r="AD730" s="100"/>
      <c r="AE730" s="100"/>
      <c r="AF730" s="100"/>
      <c r="AG730" s="100"/>
      <c r="AH730" s="100"/>
      <c r="AI730" s="100"/>
      <c r="AJ730" s="101"/>
      <c r="AK730" s="99"/>
      <c r="AL730" s="100"/>
      <c r="AM730" s="100"/>
      <c r="AN730" s="100"/>
      <c r="AO730" s="100"/>
      <c r="AP730" s="100"/>
      <c r="AQ730" s="100"/>
      <c r="AR730" s="100"/>
      <c r="AS730" s="100"/>
      <c r="AT730" s="100"/>
      <c r="AU730" s="101"/>
    </row>
    <row r="731" spans="29:47" ht="18.75" x14ac:dyDescent="0.3">
      <c r="AC731" s="99"/>
      <c r="AD731" s="100"/>
      <c r="AE731" s="100"/>
      <c r="AF731" s="100"/>
      <c r="AG731" s="100"/>
      <c r="AH731" s="100"/>
      <c r="AI731" s="100"/>
      <c r="AJ731" s="101"/>
      <c r="AK731" s="99"/>
      <c r="AL731" s="100"/>
      <c r="AM731" s="100"/>
      <c r="AN731" s="100"/>
      <c r="AO731" s="100"/>
      <c r="AP731" s="100"/>
      <c r="AQ731" s="100"/>
      <c r="AR731" s="100"/>
      <c r="AS731" s="100"/>
      <c r="AT731" s="100"/>
      <c r="AU731" s="101"/>
    </row>
    <row r="732" spans="29:47" ht="18.75" x14ac:dyDescent="0.3">
      <c r="AC732" s="99"/>
      <c r="AD732" s="100"/>
      <c r="AE732" s="100"/>
      <c r="AF732" s="100"/>
      <c r="AG732" s="100"/>
      <c r="AH732" s="100"/>
      <c r="AI732" s="100"/>
      <c r="AJ732" s="101"/>
      <c r="AK732" s="99"/>
      <c r="AL732" s="100"/>
      <c r="AM732" s="100"/>
      <c r="AN732" s="100"/>
      <c r="AO732" s="100"/>
      <c r="AP732" s="100"/>
      <c r="AQ732" s="100"/>
      <c r="AR732" s="100"/>
      <c r="AS732" s="100"/>
      <c r="AT732" s="100"/>
      <c r="AU732" s="101"/>
    </row>
    <row r="733" spans="29:47" ht="18.75" x14ac:dyDescent="0.3">
      <c r="AC733" s="99"/>
      <c r="AD733" s="100"/>
      <c r="AE733" s="100"/>
      <c r="AF733" s="100"/>
      <c r="AG733" s="100"/>
      <c r="AH733" s="100"/>
      <c r="AI733" s="100"/>
      <c r="AJ733" s="101"/>
      <c r="AK733" s="99"/>
      <c r="AL733" s="100"/>
      <c r="AM733" s="100"/>
      <c r="AN733" s="100"/>
      <c r="AO733" s="100"/>
      <c r="AP733" s="100"/>
      <c r="AQ733" s="100"/>
      <c r="AR733" s="100"/>
      <c r="AS733" s="100"/>
      <c r="AT733" s="100"/>
      <c r="AU733" s="101"/>
    </row>
    <row r="734" spans="29:47" ht="18.75" x14ac:dyDescent="0.3">
      <c r="AC734" s="99"/>
      <c r="AD734" s="100"/>
      <c r="AE734" s="100"/>
      <c r="AF734" s="100"/>
      <c r="AG734" s="100"/>
      <c r="AH734" s="100"/>
      <c r="AI734" s="100"/>
      <c r="AJ734" s="101"/>
      <c r="AK734" s="99"/>
      <c r="AL734" s="100"/>
      <c r="AM734" s="100"/>
      <c r="AN734" s="100"/>
      <c r="AO734" s="100"/>
      <c r="AP734" s="100"/>
      <c r="AQ734" s="100"/>
      <c r="AR734" s="100"/>
      <c r="AS734" s="100"/>
      <c r="AT734" s="100"/>
      <c r="AU734" s="101"/>
    </row>
    <row r="735" spans="29:47" ht="18.75" x14ac:dyDescent="0.3">
      <c r="AC735" s="99"/>
      <c r="AD735" s="100"/>
      <c r="AE735" s="100"/>
      <c r="AF735" s="100"/>
      <c r="AG735" s="100"/>
      <c r="AH735" s="100"/>
      <c r="AI735" s="100"/>
      <c r="AJ735" s="101"/>
      <c r="AK735" s="99"/>
      <c r="AL735" s="100"/>
      <c r="AM735" s="100"/>
      <c r="AN735" s="100"/>
      <c r="AO735" s="100"/>
      <c r="AP735" s="100"/>
      <c r="AQ735" s="100"/>
      <c r="AR735" s="100"/>
      <c r="AS735" s="100"/>
      <c r="AT735" s="100"/>
      <c r="AU735" s="101"/>
    </row>
    <row r="736" spans="29:47" ht="18.75" x14ac:dyDescent="0.3">
      <c r="AC736" s="99"/>
      <c r="AD736" s="100"/>
      <c r="AE736" s="100"/>
      <c r="AF736" s="100"/>
      <c r="AG736" s="100"/>
      <c r="AH736" s="100"/>
      <c r="AI736" s="100"/>
      <c r="AJ736" s="101"/>
      <c r="AK736" s="99"/>
      <c r="AL736" s="100"/>
      <c r="AM736" s="100"/>
      <c r="AN736" s="100"/>
      <c r="AO736" s="100"/>
      <c r="AP736" s="100"/>
      <c r="AQ736" s="100"/>
      <c r="AR736" s="100"/>
      <c r="AS736" s="100"/>
      <c r="AT736" s="100"/>
      <c r="AU736" s="101"/>
    </row>
    <row r="737" spans="29:47" ht="18.75" x14ac:dyDescent="0.3">
      <c r="AC737" s="99"/>
      <c r="AD737" s="100"/>
      <c r="AE737" s="100"/>
      <c r="AF737" s="100"/>
      <c r="AG737" s="100"/>
      <c r="AH737" s="100"/>
      <c r="AI737" s="100"/>
      <c r="AJ737" s="101"/>
      <c r="AK737" s="99"/>
      <c r="AL737" s="100"/>
      <c r="AM737" s="100"/>
      <c r="AN737" s="100"/>
      <c r="AO737" s="100"/>
      <c r="AP737" s="100"/>
      <c r="AQ737" s="100"/>
      <c r="AR737" s="100"/>
      <c r="AS737" s="100"/>
      <c r="AT737" s="100"/>
      <c r="AU737" s="101"/>
    </row>
    <row r="738" spans="29:47" ht="18.75" x14ac:dyDescent="0.3">
      <c r="AC738" s="99"/>
      <c r="AD738" s="100"/>
      <c r="AE738" s="100"/>
      <c r="AF738" s="100"/>
      <c r="AG738" s="100"/>
      <c r="AH738" s="100"/>
      <c r="AI738" s="100"/>
      <c r="AJ738" s="101"/>
      <c r="AK738" s="99"/>
      <c r="AL738" s="100"/>
      <c r="AM738" s="100"/>
      <c r="AN738" s="100"/>
      <c r="AO738" s="100"/>
      <c r="AP738" s="100"/>
      <c r="AQ738" s="100"/>
      <c r="AR738" s="100"/>
      <c r="AS738" s="100"/>
      <c r="AT738" s="100"/>
      <c r="AU738" s="101"/>
    </row>
    <row r="739" spans="29:47" ht="18.75" x14ac:dyDescent="0.3">
      <c r="AC739" s="99"/>
      <c r="AD739" s="100"/>
      <c r="AE739" s="100"/>
      <c r="AF739" s="100"/>
      <c r="AG739" s="100"/>
      <c r="AH739" s="100"/>
      <c r="AI739" s="100"/>
      <c r="AJ739" s="101"/>
      <c r="AK739" s="99"/>
      <c r="AL739" s="100"/>
      <c r="AM739" s="100"/>
      <c r="AN739" s="100"/>
      <c r="AO739" s="100"/>
      <c r="AP739" s="100"/>
      <c r="AQ739" s="100"/>
      <c r="AR739" s="100"/>
      <c r="AS739" s="100"/>
      <c r="AT739" s="100"/>
      <c r="AU739" s="101"/>
    </row>
    <row r="740" spans="29:47" ht="18.75" x14ac:dyDescent="0.3">
      <c r="AC740" s="99"/>
      <c r="AD740" s="100"/>
      <c r="AE740" s="100"/>
      <c r="AF740" s="100"/>
      <c r="AG740" s="100"/>
      <c r="AH740" s="100"/>
      <c r="AI740" s="100"/>
      <c r="AJ740" s="101"/>
      <c r="AK740" s="99"/>
      <c r="AL740" s="100"/>
      <c r="AM740" s="100"/>
      <c r="AN740" s="100"/>
      <c r="AO740" s="100"/>
      <c r="AP740" s="100"/>
      <c r="AQ740" s="100"/>
      <c r="AR740" s="100"/>
      <c r="AS740" s="100"/>
      <c r="AT740" s="100"/>
      <c r="AU740" s="101"/>
    </row>
    <row r="741" spans="29:47" ht="18.75" x14ac:dyDescent="0.3">
      <c r="AC741" s="99"/>
      <c r="AD741" s="100"/>
      <c r="AE741" s="100"/>
      <c r="AF741" s="100"/>
      <c r="AG741" s="100"/>
      <c r="AH741" s="100"/>
      <c r="AI741" s="100"/>
      <c r="AJ741" s="101"/>
      <c r="AK741" s="99"/>
      <c r="AL741" s="100"/>
      <c r="AM741" s="100"/>
      <c r="AN741" s="100"/>
      <c r="AO741" s="100"/>
      <c r="AP741" s="100"/>
      <c r="AQ741" s="100"/>
      <c r="AR741" s="100"/>
      <c r="AS741" s="100"/>
      <c r="AT741" s="100"/>
      <c r="AU741" s="101"/>
    </row>
    <row r="742" spans="29:47" ht="18.75" x14ac:dyDescent="0.3">
      <c r="AC742" s="99"/>
      <c r="AD742" s="100"/>
      <c r="AE742" s="100"/>
      <c r="AF742" s="100"/>
      <c r="AG742" s="100"/>
      <c r="AH742" s="100"/>
      <c r="AI742" s="100"/>
      <c r="AJ742" s="101"/>
      <c r="AK742" s="99"/>
      <c r="AL742" s="100"/>
      <c r="AM742" s="100"/>
      <c r="AN742" s="100"/>
      <c r="AO742" s="100"/>
      <c r="AP742" s="100"/>
      <c r="AQ742" s="100"/>
      <c r="AR742" s="100"/>
      <c r="AS742" s="100"/>
      <c r="AT742" s="100"/>
      <c r="AU742" s="101"/>
    </row>
    <row r="743" spans="29:47" ht="18.75" x14ac:dyDescent="0.3">
      <c r="AC743" s="99"/>
      <c r="AD743" s="100"/>
      <c r="AE743" s="100"/>
      <c r="AF743" s="100"/>
      <c r="AG743" s="100"/>
      <c r="AH743" s="100"/>
      <c r="AI743" s="100"/>
      <c r="AJ743" s="101"/>
      <c r="AK743" s="99"/>
      <c r="AL743" s="100"/>
      <c r="AM743" s="100"/>
      <c r="AN743" s="100"/>
      <c r="AO743" s="100"/>
      <c r="AP743" s="100"/>
      <c r="AQ743" s="100"/>
      <c r="AR743" s="100"/>
      <c r="AS743" s="100"/>
      <c r="AT743" s="100"/>
      <c r="AU743" s="101"/>
    </row>
    <row r="744" spans="29:47" ht="18.75" x14ac:dyDescent="0.3">
      <c r="AC744" s="99"/>
      <c r="AD744" s="100"/>
      <c r="AE744" s="100"/>
      <c r="AF744" s="100"/>
      <c r="AG744" s="100"/>
      <c r="AH744" s="100"/>
      <c r="AI744" s="100"/>
      <c r="AJ744" s="101"/>
      <c r="AK744" s="99"/>
      <c r="AL744" s="100"/>
      <c r="AM744" s="100"/>
      <c r="AN744" s="100"/>
      <c r="AO744" s="100"/>
      <c r="AP744" s="100"/>
      <c r="AQ744" s="100"/>
      <c r="AR744" s="100"/>
      <c r="AS744" s="100"/>
      <c r="AT744" s="100"/>
      <c r="AU744" s="101"/>
    </row>
    <row r="745" spans="29:47" ht="18.75" x14ac:dyDescent="0.3">
      <c r="AC745" s="99"/>
      <c r="AD745" s="100"/>
      <c r="AE745" s="100"/>
      <c r="AF745" s="100"/>
      <c r="AG745" s="100"/>
      <c r="AH745" s="100"/>
      <c r="AI745" s="100"/>
      <c r="AJ745" s="101"/>
      <c r="AK745" s="99"/>
      <c r="AL745" s="100"/>
      <c r="AM745" s="100"/>
      <c r="AN745" s="100"/>
      <c r="AO745" s="100"/>
      <c r="AP745" s="100"/>
      <c r="AQ745" s="100"/>
      <c r="AR745" s="100"/>
      <c r="AS745" s="100"/>
      <c r="AT745" s="100"/>
      <c r="AU745" s="101"/>
    </row>
    <row r="746" spans="29:47" ht="18.75" x14ac:dyDescent="0.3">
      <c r="AC746" s="99"/>
      <c r="AD746" s="100"/>
      <c r="AE746" s="100"/>
      <c r="AF746" s="100"/>
      <c r="AG746" s="100"/>
      <c r="AH746" s="100"/>
      <c r="AI746" s="100"/>
      <c r="AJ746" s="101"/>
      <c r="AK746" s="99"/>
      <c r="AL746" s="100"/>
      <c r="AM746" s="100"/>
      <c r="AN746" s="100"/>
      <c r="AO746" s="100"/>
      <c r="AP746" s="100"/>
      <c r="AQ746" s="100"/>
      <c r="AR746" s="100"/>
      <c r="AS746" s="100"/>
      <c r="AT746" s="100"/>
      <c r="AU746" s="101"/>
    </row>
    <row r="747" spans="29:47" ht="18.75" x14ac:dyDescent="0.3">
      <c r="AC747" s="99"/>
      <c r="AD747" s="100"/>
      <c r="AE747" s="100"/>
      <c r="AF747" s="100"/>
      <c r="AG747" s="100"/>
      <c r="AH747" s="100"/>
      <c r="AI747" s="100"/>
      <c r="AJ747" s="101"/>
      <c r="AK747" s="99"/>
      <c r="AL747" s="100"/>
      <c r="AM747" s="100"/>
      <c r="AN747" s="100"/>
      <c r="AO747" s="100"/>
      <c r="AP747" s="100"/>
      <c r="AQ747" s="100"/>
      <c r="AR747" s="100"/>
      <c r="AS747" s="100"/>
      <c r="AT747" s="100"/>
      <c r="AU747" s="101"/>
    </row>
    <row r="748" spans="29:47" ht="18.75" x14ac:dyDescent="0.3">
      <c r="AC748" s="99"/>
      <c r="AD748" s="100"/>
      <c r="AE748" s="100"/>
      <c r="AF748" s="100"/>
      <c r="AG748" s="100"/>
      <c r="AH748" s="100"/>
      <c r="AI748" s="100"/>
      <c r="AJ748" s="101"/>
      <c r="AK748" s="99"/>
      <c r="AL748" s="100"/>
      <c r="AM748" s="100"/>
      <c r="AN748" s="100"/>
      <c r="AO748" s="100"/>
      <c r="AP748" s="100"/>
      <c r="AQ748" s="100"/>
      <c r="AR748" s="100"/>
      <c r="AS748" s="100"/>
      <c r="AT748" s="100"/>
      <c r="AU748" s="101"/>
    </row>
    <row r="749" spans="29:47" ht="18.75" x14ac:dyDescent="0.3">
      <c r="AC749" s="99"/>
      <c r="AD749" s="100"/>
      <c r="AE749" s="100"/>
      <c r="AF749" s="100"/>
      <c r="AG749" s="100"/>
      <c r="AH749" s="100"/>
      <c r="AI749" s="100"/>
      <c r="AJ749" s="101"/>
      <c r="AK749" s="99"/>
      <c r="AL749" s="100"/>
      <c r="AM749" s="100"/>
      <c r="AN749" s="100"/>
      <c r="AO749" s="100"/>
      <c r="AP749" s="100"/>
      <c r="AQ749" s="100"/>
      <c r="AR749" s="100"/>
      <c r="AS749" s="100"/>
      <c r="AT749" s="100"/>
      <c r="AU749" s="101"/>
    </row>
    <row r="750" spans="29:47" ht="18.75" x14ac:dyDescent="0.3">
      <c r="AC750" s="99"/>
      <c r="AD750" s="100"/>
      <c r="AE750" s="100"/>
      <c r="AF750" s="100"/>
      <c r="AG750" s="100"/>
      <c r="AH750" s="100"/>
      <c r="AI750" s="100"/>
      <c r="AJ750" s="101"/>
      <c r="AK750" s="99"/>
      <c r="AL750" s="100"/>
      <c r="AM750" s="100"/>
      <c r="AN750" s="100"/>
      <c r="AO750" s="100"/>
      <c r="AP750" s="100"/>
      <c r="AQ750" s="100"/>
      <c r="AR750" s="100"/>
      <c r="AS750" s="100"/>
      <c r="AT750" s="100"/>
      <c r="AU750" s="101"/>
    </row>
    <row r="751" spans="29:47" ht="18.75" x14ac:dyDescent="0.3">
      <c r="AC751" s="99"/>
      <c r="AD751" s="100"/>
      <c r="AE751" s="100"/>
      <c r="AF751" s="100"/>
      <c r="AG751" s="100"/>
      <c r="AH751" s="100"/>
      <c r="AI751" s="100"/>
      <c r="AJ751" s="101"/>
      <c r="AK751" s="99"/>
      <c r="AL751" s="100"/>
      <c r="AM751" s="100"/>
      <c r="AN751" s="100"/>
      <c r="AO751" s="100"/>
      <c r="AP751" s="100"/>
      <c r="AQ751" s="100"/>
      <c r="AR751" s="100"/>
      <c r="AS751" s="100"/>
      <c r="AT751" s="100"/>
      <c r="AU751" s="101"/>
    </row>
    <row r="752" spans="29:47" ht="18.75" x14ac:dyDescent="0.3">
      <c r="AC752" s="99"/>
      <c r="AD752" s="100"/>
      <c r="AE752" s="100"/>
      <c r="AF752" s="100"/>
      <c r="AG752" s="100"/>
      <c r="AH752" s="100"/>
      <c r="AI752" s="100"/>
      <c r="AJ752" s="101"/>
      <c r="AK752" s="99"/>
      <c r="AL752" s="100"/>
      <c r="AM752" s="100"/>
      <c r="AN752" s="100"/>
      <c r="AO752" s="100"/>
      <c r="AP752" s="100"/>
      <c r="AQ752" s="100"/>
      <c r="AR752" s="100"/>
      <c r="AS752" s="100"/>
      <c r="AT752" s="100"/>
      <c r="AU752" s="101"/>
    </row>
    <row r="753" spans="29:47" ht="18.75" x14ac:dyDescent="0.3">
      <c r="AC753" s="99"/>
      <c r="AD753" s="100"/>
      <c r="AE753" s="100"/>
      <c r="AF753" s="100"/>
      <c r="AG753" s="100"/>
      <c r="AH753" s="100"/>
      <c r="AI753" s="100"/>
      <c r="AJ753" s="101"/>
      <c r="AK753" s="99"/>
      <c r="AL753" s="100"/>
      <c r="AM753" s="100"/>
      <c r="AN753" s="100"/>
      <c r="AO753" s="100"/>
      <c r="AP753" s="100"/>
      <c r="AQ753" s="100"/>
      <c r="AR753" s="100"/>
      <c r="AS753" s="100"/>
      <c r="AT753" s="100"/>
      <c r="AU753" s="101"/>
    </row>
    <row r="754" spans="29:47" ht="18.75" x14ac:dyDescent="0.3">
      <c r="AC754" s="99"/>
      <c r="AD754" s="100"/>
      <c r="AE754" s="100"/>
      <c r="AF754" s="100"/>
      <c r="AG754" s="100"/>
      <c r="AH754" s="100"/>
      <c r="AI754" s="100"/>
      <c r="AJ754" s="101"/>
      <c r="AK754" s="99"/>
      <c r="AL754" s="100"/>
      <c r="AM754" s="100"/>
      <c r="AN754" s="100"/>
      <c r="AO754" s="100"/>
      <c r="AP754" s="100"/>
      <c r="AQ754" s="100"/>
      <c r="AR754" s="100"/>
      <c r="AS754" s="100"/>
      <c r="AT754" s="100"/>
      <c r="AU754" s="101"/>
    </row>
    <row r="755" spans="29:47" ht="18.75" x14ac:dyDescent="0.3">
      <c r="AC755" s="99"/>
      <c r="AD755" s="100"/>
      <c r="AE755" s="100"/>
      <c r="AF755" s="100"/>
      <c r="AG755" s="100"/>
      <c r="AH755" s="100"/>
      <c r="AI755" s="100"/>
      <c r="AJ755" s="101"/>
      <c r="AK755" s="99"/>
      <c r="AL755" s="100"/>
      <c r="AM755" s="100"/>
      <c r="AN755" s="100"/>
      <c r="AO755" s="100"/>
      <c r="AP755" s="100"/>
      <c r="AQ755" s="100"/>
      <c r="AR755" s="100"/>
      <c r="AS755" s="100"/>
      <c r="AT755" s="100"/>
      <c r="AU755" s="101"/>
    </row>
    <row r="756" spans="29:47" ht="18.75" x14ac:dyDescent="0.3">
      <c r="AC756" s="99"/>
      <c r="AD756" s="100"/>
      <c r="AE756" s="100"/>
      <c r="AF756" s="100"/>
      <c r="AG756" s="100"/>
      <c r="AH756" s="100"/>
      <c r="AI756" s="100"/>
      <c r="AJ756" s="101"/>
      <c r="AK756" s="99"/>
      <c r="AL756" s="100"/>
      <c r="AM756" s="100"/>
      <c r="AN756" s="100"/>
      <c r="AO756" s="100"/>
      <c r="AP756" s="100"/>
      <c r="AQ756" s="100"/>
      <c r="AR756" s="100"/>
      <c r="AS756" s="100"/>
      <c r="AT756" s="100"/>
      <c r="AU756" s="101"/>
    </row>
    <row r="757" spans="29:47" ht="18.75" x14ac:dyDescent="0.3">
      <c r="AC757" s="99"/>
      <c r="AD757" s="100"/>
      <c r="AE757" s="100"/>
      <c r="AF757" s="100"/>
      <c r="AG757" s="100"/>
      <c r="AH757" s="100"/>
      <c r="AI757" s="100"/>
      <c r="AJ757" s="101"/>
      <c r="AK757" s="99"/>
      <c r="AL757" s="100"/>
      <c r="AM757" s="100"/>
      <c r="AN757" s="100"/>
      <c r="AO757" s="100"/>
      <c r="AP757" s="100"/>
      <c r="AQ757" s="100"/>
      <c r="AR757" s="100"/>
      <c r="AS757" s="100"/>
      <c r="AT757" s="100"/>
      <c r="AU757" s="101"/>
    </row>
    <row r="758" spans="29:47" ht="18.75" x14ac:dyDescent="0.3">
      <c r="AC758" s="99"/>
      <c r="AD758" s="100"/>
      <c r="AE758" s="100"/>
      <c r="AF758" s="100"/>
      <c r="AG758" s="100"/>
      <c r="AH758" s="100"/>
      <c r="AI758" s="100"/>
      <c r="AJ758" s="101"/>
      <c r="AK758" s="99"/>
      <c r="AL758" s="100"/>
      <c r="AM758" s="100"/>
      <c r="AN758" s="100"/>
      <c r="AO758" s="100"/>
      <c r="AP758" s="100"/>
      <c r="AQ758" s="100"/>
      <c r="AR758" s="100"/>
      <c r="AS758" s="100"/>
      <c r="AT758" s="100"/>
      <c r="AU758" s="101"/>
    </row>
    <row r="759" spans="29:47" ht="18.75" x14ac:dyDescent="0.3">
      <c r="AC759" s="99"/>
      <c r="AD759" s="100"/>
      <c r="AE759" s="100"/>
      <c r="AF759" s="100"/>
      <c r="AG759" s="100"/>
      <c r="AH759" s="100"/>
      <c r="AI759" s="100"/>
      <c r="AJ759" s="101"/>
      <c r="AK759" s="99"/>
      <c r="AL759" s="100"/>
      <c r="AM759" s="100"/>
      <c r="AN759" s="100"/>
      <c r="AO759" s="100"/>
      <c r="AP759" s="100"/>
      <c r="AQ759" s="100"/>
      <c r="AR759" s="100"/>
      <c r="AS759" s="100"/>
      <c r="AT759" s="100"/>
      <c r="AU759" s="101"/>
    </row>
    <row r="760" spans="29:47" ht="18.75" x14ac:dyDescent="0.3">
      <c r="AC760" s="99"/>
      <c r="AD760" s="100"/>
      <c r="AE760" s="100"/>
      <c r="AF760" s="100"/>
      <c r="AG760" s="100"/>
      <c r="AH760" s="100"/>
      <c r="AI760" s="100"/>
      <c r="AJ760" s="101"/>
      <c r="AK760" s="99"/>
      <c r="AL760" s="100"/>
      <c r="AM760" s="100"/>
      <c r="AN760" s="100"/>
      <c r="AO760" s="100"/>
      <c r="AP760" s="100"/>
      <c r="AQ760" s="100"/>
      <c r="AR760" s="100"/>
      <c r="AS760" s="100"/>
      <c r="AT760" s="100"/>
      <c r="AU760" s="101"/>
    </row>
    <row r="761" spans="29:47" ht="18.75" x14ac:dyDescent="0.3">
      <c r="AC761" s="99"/>
      <c r="AD761" s="100"/>
      <c r="AE761" s="100"/>
      <c r="AF761" s="100"/>
      <c r="AG761" s="100"/>
      <c r="AH761" s="100"/>
      <c r="AI761" s="100"/>
      <c r="AJ761" s="101"/>
      <c r="AK761" s="99"/>
      <c r="AL761" s="100"/>
      <c r="AM761" s="100"/>
      <c r="AN761" s="100"/>
      <c r="AO761" s="100"/>
      <c r="AP761" s="100"/>
      <c r="AQ761" s="100"/>
      <c r="AR761" s="100"/>
      <c r="AS761" s="100"/>
      <c r="AT761" s="100"/>
      <c r="AU761" s="101"/>
    </row>
    <row r="762" spans="29:47" ht="18.75" x14ac:dyDescent="0.3">
      <c r="AC762" s="99"/>
      <c r="AD762" s="100"/>
      <c r="AE762" s="100"/>
      <c r="AF762" s="100"/>
      <c r="AG762" s="100"/>
      <c r="AH762" s="100"/>
      <c r="AI762" s="100"/>
      <c r="AJ762" s="101"/>
      <c r="AK762" s="99"/>
      <c r="AL762" s="100"/>
      <c r="AM762" s="100"/>
      <c r="AN762" s="100"/>
      <c r="AO762" s="100"/>
      <c r="AP762" s="100"/>
      <c r="AQ762" s="100"/>
      <c r="AR762" s="100"/>
      <c r="AS762" s="100"/>
      <c r="AT762" s="100"/>
      <c r="AU762" s="101"/>
    </row>
    <row r="763" spans="29:47" ht="18.75" x14ac:dyDescent="0.3">
      <c r="AC763" s="99"/>
      <c r="AD763" s="100"/>
      <c r="AE763" s="100"/>
      <c r="AF763" s="100"/>
      <c r="AG763" s="100"/>
      <c r="AH763" s="100"/>
      <c r="AI763" s="100"/>
      <c r="AJ763" s="101"/>
      <c r="AK763" s="99"/>
      <c r="AL763" s="100"/>
      <c r="AM763" s="100"/>
      <c r="AN763" s="100"/>
      <c r="AO763" s="100"/>
      <c r="AP763" s="100"/>
      <c r="AQ763" s="100"/>
      <c r="AR763" s="100"/>
      <c r="AS763" s="100"/>
      <c r="AT763" s="100"/>
      <c r="AU763" s="101"/>
    </row>
    <row r="764" spans="29:47" ht="18.75" x14ac:dyDescent="0.3">
      <c r="AC764" s="99"/>
      <c r="AD764" s="100"/>
      <c r="AE764" s="100"/>
      <c r="AF764" s="100"/>
      <c r="AG764" s="100"/>
      <c r="AH764" s="100"/>
      <c r="AI764" s="100"/>
      <c r="AJ764" s="101"/>
      <c r="AK764" s="99"/>
      <c r="AL764" s="100"/>
      <c r="AM764" s="100"/>
      <c r="AN764" s="100"/>
      <c r="AO764" s="100"/>
      <c r="AP764" s="100"/>
      <c r="AQ764" s="100"/>
      <c r="AR764" s="100"/>
      <c r="AS764" s="100"/>
      <c r="AT764" s="100"/>
      <c r="AU764" s="101"/>
    </row>
    <row r="765" spans="29:47" ht="18.75" x14ac:dyDescent="0.3">
      <c r="AC765" s="99"/>
      <c r="AD765" s="100"/>
      <c r="AE765" s="100"/>
      <c r="AF765" s="100"/>
      <c r="AG765" s="100"/>
      <c r="AH765" s="100"/>
      <c r="AI765" s="100"/>
      <c r="AJ765" s="101"/>
      <c r="AK765" s="99"/>
      <c r="AL765" s="100"/>
      <c r="AM765" s="100"/>
      <c r="AN765" s="100"/>
      <c r="AO765" s="100"/>
      <c r="AP765" s="100"/>
      <c r="AQ765" s="100"/>
      <c r="AR765" s="100"/>
      <c r="AS765" s="100"/>
      <c r="AT765" s="100"/>
      <c r="AU765" s="101"/>
    </row>
    <row r="766" spans="29:47" ht="18.75" x14ac:dyDescent="0.3">
      <c r="AC766" s="99"/>
      <c r="AD766" s="100"/>
      <c r="AE766" s="100"/>
      <c r="AF766" s="100"/>
      <c r="AG766" s="100"/>
      <c r="AH766" s="100"/>
      <c r="AI766" s="100"/>
      <c r="AJ766" s="101"/>
      <c r="AK766" s="99"/>
      <c r="AL766" s="100"/>
      <c r="AM766" s="100"/>
      <c r="AN766" s="100"/>
      <c r="AO766" s="100"/>
      <c r="AP766" s="100"/>
      <c r="AQ766" s="100"/>
      <c r="AR766" s="100"/>
      <c r="AS766" s="100"/>
      <c r="AT766" s="100"/>
      <c r="AU766" s="101"/>
    </row>
    <row r="767" spans="29:47" ht="18.75" x14ac:dyDescent="0.3">
      <c r="AC767" s="99"/>
      <c r="AD767" s="100"/>
      <c r="AE767" s="100"/>
      <c r="AF767" s="100"/>
      <c r="AG767" s="100"/>
      <c r="AH767" s="100"/>
      <c r="AI767" s="100"/>
      <c r="AJ767" s="101"/>
      <c r="AK767" s="99"/>
      <c r="AL767" s="100"/>
      <c r="AM767" s="100"/>
      <c r="AN767" s="100"/>
      <c r="AO767" s="100"/>
      <c r="AP767" s="100"/>
      <c r="AQ767" s="100"/>
      <c r="AR767" s="100"/>
      <c r="AS767" s="100"/>
      <c r="AT767" s="100"/>
      <c r="AU767" s="101"/>
    </row>
    <row r="768" spans="29:47" ht="18.75" x14ac:dyDescent="0.3">
      <c r="AC768" s="99"/>
      <c r="AD768" s="100"/>
      <c r="AE768" s="100"/>
      <c r="AF768" s="100"/>
      <c r="AG768" s="100"/>
      <c r="AH768" s="100"/>
      <c r="AI768" s="100"/>
      <c r="AJ768" s="101"/>
      <c r="AK768" s="99"/>
      <c r="AL768" s="100"/>
      <c r="AM768" s="100"/>
      <c r="AN768" s="100"/>
      <c r="AO768" s="100"/>
      <c r="AP768" s="100"/>
      <c r="AQ768" s="100"/>
      <c r="AR768" s="100"/>
      <c r="AS768" s="100"/>
      <c r="AT768" s="100"/>
      <c r="AU768" s="101"/>
    </row>
    <row r="769" spans="29:47" ht="18.75" x14ac:dyDescent="0.3">
      <c r="AC769" s="99"/>
      <c r="AD769" s="100"/>
      <c r="AE769" s="100"/>
      <c r="AF769" s="100"/>
      <c r="AG769" s="100"/>
      <c r="AH769" s="100"/>
      <c r="AI769" s="100"/>
      <c r="AJ769" s="101"/>
      <c r="AK769" s="99"/>
      <c r="AL769" s="100"/>
      <c r="AM769" s="100"/>
      <c r="AN769" s="100"/>
      <c r="AO769" s="100"/>
      <c r="AP769" s="100"/>
      <c r="AQ769" s="100"/>
      <c r="AR769" s="100"/>
      <c r="AS769" s="100"/>
      <c r="AT769" s="100"/>
      <c r="AU769" s="101"/>
    </row>
    <row r="770" spans="29:47" ht="18.75" x14ac:dyDescent="0.3">
      <c r="AC770" s="99"/>
      <c r="AD770" s="100"/>
      <c r="AE770" s="100"/>
      <c r="AF770" s="100"/>
      <c r="AG770" s="100"/>
      <c r="AH770" s="100"/>
      <c r="AI770" s="100"/>
      <c r="AJ770" s="101"/>
      <c r="AK770" s="99"/>
      <c r="AL770" s="100"/>
      <c r="AM770" s="100"/>
      <c r="AN770" s="100"/>
      <c r="AO770" s="100"/>
      <c r="AP770" s="100"/>
      <c r="AQ770" s="100"/>
      <c r="AR770" s="100"/>
      <c r="AS770" s="100"/>
      <c r="AT770" s="100"/>
      <c r="AU770" s="101"/>
    </row>
    <row r="771" spans="29:47" ht="18.75" x14ac:dyDescent="0.3">
      <c r="AC771" s="99"/>
      <c r="AD771" s="100"/>
      <c r="AE771" s="100"/>
      <c r="AF771" s="100"/>
      <c r="AG771" s="100"/>
      <c r="AH771" s="100"/>
      <c r="AI771" s="100"/>
      <c r="AJ771" s="101"/>
      <c r="AK771" s="99"/>
      <c r="AL771" s="100"/>
      <c r="AM771" s="100"/>
      <c r="AN771" s="100"/>
      <c r="AO771" s="100"/>
      <c r="AP771" s="100"/>
      <c r="AQ771" s="100"/>
      <c r="AR771" s="100"/>
      <c r="AS771" s="100"/>
      <c r="AT771" s="100"/>
      <c r="AU771" s="101"/>
    </row>
    <row r="772" spans="29:47" ht="18.75" x14ac:dyDescent="0.3">
      <c r="AC772" s="99"/>
      <c r="AD772" s="100"/>
      <c r="AE772" s="100"/>
      <c r="AF772" s="100"/>
      <c r="AG772" s="100"/>
      <c r="AH772" s="100"/>
      <c r="AI772" s="100"/>
      <c r="AJ772" s="101"/>
      <c r="AK772" s="99"/>
      <c r="AL772" s="100"/>
      <c r="AM772" s="100"/>
      <c r="AN772" s="100"/>
      <c r="AO772" s="100"/>
      <c r="AP772" s="100"/>
      <c r="AQ772" s="100"/>
      <c r="AR772" s="100"/>
      <c r="AS772" s="100"/>
      <c r="AT772" s="100"/>
      <c r="AU772" s="101"/>
    </row>
    <row r="773" spans="29:47" ht="18.75" x14ac:dyDescent="0.3">
      <c r="AC773" s="99"/>
      <c r="AD773" s="100"/>
      <c r="AE773" s="100"/>
      <c r="AF773" s="100"/>
      <c r="AG773" s="100"/>
      <c r="AH773" s="100"/>
      <c r="AI773" s="100"/>
      <c r="AJ773" s="101"/>
      <c r="AK773" s="99"/>
      <c r="AL773" s="100"/>
      <c r="AM773" s="100"/>
      <c r="AN773" s="100"/>
      <c r="AO773" s="100"/>
      <c r="AP773" s="100"/>
      <c r="AQ773" s="100"/>
      <c r="AR773" s="100"/>
      <c r="AS773" s="100"/>
      <c r="AT773" s="100"/>
      <c r="AU773" s="101"/>
    </row>
    <row r="774" spans="29:47" ht="18.75" x14ac:dyDescent="0.3">
      <c r="AC774" s="99"/>
      <c r="AD774" s="100"/>
      <c r="AE774" s="100"/>
      <c r="AF774" s="100"/>
      <c r="AG774" s="100"/>
      <c r="AH774" s="100"/>
      <c r="AI774" s="100"/>
      <c r="AJ774" s="101"/>
      <c r="AK774" s="99"/>
      <c r="AL774" s="100"/>
      <c r="AM774" s="100"/>
      <c r="AN774" s="100"/>
      <c r="AO774" s="100"/>
      <c r="AP774" s="100"/>
      <c r="AQ774" s="100"/>
      <c r="AR774" s="100"/>
      <c r="AS774" s="100"/>
      <c r="AT774" s="100"/>
      <c r="AU774" s="101"/>
    </row>
    <row r="775" spans="29:47" ht="18.75" x14ac:dyDescent="0.3">
      <c r="AC775" s="99"/>
      <c r="AD775" s="100"/>
      <c r="AE775" s="100"/>
      <c r="AF775" s="100"/>
      <c r="AG775" s="100"/>
      <c r="AH775" s="100"/>
      <c r="AI775" s="100"/>
      <c r="AJ775" s="101"/>
      <c r="AK775" s="99"/>
      <c r="AL775" s="100"/>
      <c r="AM775" s="100"/>
      <c r="AN775" s="100"/>
      <c r="AO775" s="100"/>
      <c r="AP775" s="100"/>
      <c r="AQ775" s="100"/>
      <c r="AR775" s="100"/>
      <c r="AS775" s="100"/>
      <c r="AT775" s="100"/>
      <c r="AU775" s="101"/>
    </row>
    <row r="776" spans="29:47" ht="18.75" x14ac:dyDescent="0.3">
      <c r="AC776" s="99"/>
      <c r="AD776" s="100"/>
      <c r="AE776" s="100"/>
      <c r="AF776" s="100"/>
      <c r="AG776" s="100"/>
      <c r="AH776" s="100"/>
      <c r="AI776" s="100"/>
      <c r="AJ776" s="101"/>
      <c r="AK776" s="99"/>
      <c r="AL776" s="100"/>
      <c r="AM776" s="100"/>
      <c r="AN776" s="100"/>
      <c r="AO776" s="100"/>
      <c r="AP776" s="100"/>
      <c r="AQ776" s="100"/>
      <c r="AR776" s="100"/>
      <c r="AS776" s="100"/>
      <c r="AT776" s="100"/>
      <c r="AU776" s="101"/>
    </row>
    <row r="777" spans="29:47" ht="18.75" x14ac:dyDescent="0.3">
      <c r="AC777" s="99"/>
      <c r="AD777" s="100"/>
      <c r="AE777" s="100"/>
      <c r="AF777" s="100"/>
      <c r="AG777" s="100"/>
      <c r="AH777" s="100"/>
      <c r="AI777" s="100"/>
      <c r="AJ777" s="101"/>
      <c r="AK777" s="99"/>
      <c r="AL777" s="100"/>
      <c r="AM777" s="100"/>
      <c r="AN777" s="100"/>
      <c r="AO777" s="100"/>
      <c r="AP777" s="100"/>
      <c r="AQ777" s="100"/>
      <c r="AR777" s="100"/>
      <c r="AS777" s="100"/>
      <c r="AT777" s="100"/>
      <c r="AU777" s="101"/>
    </row>
    <row r="778" spans="29:47" ht="18.75" x14ac:dyDescent="0.3">
      <c r="AC778" s="99"/>
      <c r="AD778" s="100"/>
      <c r="AE778" s="100"/>
      <c r="AF778" s="100"/>
      <c r="AG778" s="100"/>
      <c r="AH778" s="100"/>
      <c r="AI778" s="100"/>
      <c r="AJ778" s="101"/>
      <c r="AK778" s="99"/>
      <c r="AL778" s="100"/>
      <c r="AM778" s="100"/>
      <c r="AN778" s="100"/>
      <c r="AO778" s="100"/>
      <c r="AP778" s="100"/>
      <c r="AQ778" s="100"/>
      <c r="AR778" s="100"/>
      <c r="AS778" s="100"/>
      <c r="AT778" s="100"/>
      <c r="AU778" s="101"/>
    </row>
    <row r="779" spans="29:47" ht="18.75" x14ac:dyDescent="0.3">
      <c r="AC779" s="99"/>
      <c r="AD779" s="100"/>
      <c r="AE779" s="100"/>
      <c r="AF779" s="100"/>
      <c r="AG779" s="100"/>
      <c r="AH779" s="100"/>
      <c r="AI779" s="100"/>
      <c r="AJ779" s="101"/>
      <c r="AK779" s="99"/>
      <c r="AL779" s="100"/>
      <c r="AM779" s="100"/>
      <c r="AN779" s="100"/>
      <c r="AO779" s="100"/>
      <c r="AP779" s="100"/>
      <c r="AQ779" s="100"/>
      <c r="AR779" s="100"/>
      <c r="AS779" s="100"/>
      <c r="AT779" s="100"/>
      <c r="AU779" s="101"/>
    </row>
    <row r="780" spans="29:47" ht="18.75" x14ac:dyDescent="0.3">
      <c r="AC780" s="99"/>
      <c r="AD780" s="100"/>
      <c r="AE780" s="100"/>
      <c r="AF780" s="100"/>
      <c r="AG780" s="100"/>
      <c r="AH780" s="100"/>
      <c r="AI780" s="100"/>
      <c r="AJ780" s="101"/>
      <c r="AK780" s="99"/>
      <c r="AL780" s="100"/>
      <c r="AM780" s="100"/>
      <c r="AN780" s="100"/>
      <c r="AO780" s="100"/>
      <c r="AP780" s="100"/>
      <c r="AQ780" s="100"/>
      <c r="AR780" s="100"/>
      <c r="AS780" s="100"/>
      <c r="AT780" s="100"/>
      <c r="AU780" s="101"/>
    </row>
    <row r="781" spans="29:47" ht="18.75" x14ac:dyDescent="0.3">
      <c r="AC781" s="99"/>
      <c r="AD781" s="100"/>
      <c r="AE781" s="100"/>
      <c r="AF781" s="100"/>
      <c r="AG781" s="100"/>
      <c r="AH781" s="100"/>
      <c r="AI781" s="100"/>
      <c r="AJ781" s="101"/>
      <c r="AK781" s="99"/>
      <c r="AL781" s="100"/>
      <c r="AM781" s="100"/>
      <c r="AN781" s="100"/>
      <c r="AO781" s="100"/>
      <c r="AP781" s="100"/>
      <c r="AQ781" s="100"/>
      <c r="AR781" s="100"/>
      <c r="AS781" s="100"/>
      <c r="AT781" s="100"/>
      <c r="AU781" s="101"/>
    </row>
    <row r="782" spans="29:47" ht="18.75" x14ac:dyDescent="0.3">
      <c r="AC782" s="99"/>
      <c r="AD782" s="100"/>
      <c r="AE782" s="100"/>
      <c r="AF782" s="100"/>
      <c r="AG782" s="100"/>
      <c r="AH782" s="100"/>
      <c r="AI782" s="100"/>
      <c r="AJ782" s="101"/>
      <c r="AK782" s="99"/>
      <c r="AL782" s="100"/>
      <c r="AM782" s="100"/>
      <c r="AN782" s="100"/>
      <c r="AO782" s="100"/>
      <c r="AP782" s="100"/>
      <c r="AQ782" s="100"/>
      <c r="AR782" s="100"/>
      <c r="AS782" s="100"/>
      <c r="AT782" s="100"/>
      <c r="AU782" s="101"/>
    </row>
    <row r="783" spans="29:47" ht="18.75" x14ac:dyDescent="0.3">
      <c r="AC783" s="99"/>
      <c r="AD783" s="100"/>
      <c r="AE783" s="100"/>
      <c r="AF783" s="100"/>
      <c r="AG783" s="100"/>
      <c r="AH783" s="100"/>
      <c r="AI783" s="100"/>
      <c r="AJ783" s="101"/>
      <c r="AK783" s="99"/>
      <c r="AL783" s="100"/>
      <c r="AM783" s="100"/>
      <c r="AN783" s="100"/>
      <c r="AO783" s="100"/>
      <c r="AP783" s="100"/>
      <c r="AQ783" s="100"/>
      <c r="AR783" s="100"/>
      <c r="AS783" s="100"/>
      <c r="AT783" s="100"/>
      <c r="AU783" s="101"/>
    </row>
    <row r="784" spans="29:47" ht="18.75" x14ac:dyDescent="0.3">
      <c r="AC784" s="99"/>
      <c r="AD784" s="100"/>
      <c r="AE784" s="100"/>
      <c r="AF784" s="100"/>
      <c r="AG784" s="100"/>
      <c r="AH784" s="100"/>
      <c r="AI784" s="100"/>
      <c r="AJ784" s="101"/>
      <c r="AK784" s="99"/>
      <c r="AL784" s="100"/>
      <c r="AM784" s="100"/>
      <c r="AN784" s="100"/>
      <c r="AO784" s="100"/>
      <c r="AP784" s="100"/>
      <c r="AQ784" s="100"/>
      <c r="AR784" s="100"/>
      <c r="AS784" s="100"/>
      <c r="AT784" s="100"/>
      <c r="AU784" s="101"/>
    </row>
    <row r="785" spans="29:47" ht="18.75" x14ac:dyDescent="0.3">
      <c r="AC785" s="99"/>
      <c r="AD785" s="100"/>
      <c r="AE785" s="100"/>
      <c r="AF785" s="100"/>
      <c r="AG785" s="100"/>
      <c r="AH785" s="100"/>
      <c r="AI785" s="100"/>
      <c r="AJ785" s="101"/>
      <c r="AK785" s="99"/>
      <c r="AL785" s="100"/>
      <c r="AM785" s="100"/>
      <c r="AN785" s="100"/>
      <c r="AO785" s="100"/>
      <c r="AP785" s="100"/>
      <c r="AQ785" s="100"/>
      <c r="AR785" s="100"/>
      <c r="AS785" s="100"/>
      <c r="AT785" s="100"/>
      <c r="AU785" s="101"/>
    </row>
    <row r="786" spans="29:47" ht="18.75" x14ac:dyDescent="0.3">
      <c r="AC786" s="99"/>
      <c r="AD786" s="100"/>
      <c r="AE786" s="100"/>
      <c r="AF786" s="100"/>
      <c r="AG786" s="100"/>
      <c r="AH786" s="100"/>
      <c r="AI786" s="100"/>
      <c r="AJ786" s="101"/>
      <c r="AK786" s="99"/>
      <c r="AL786" s="100"/>
      <c r="AM786" s="100"/>
      <c r="AN786" s="100"/>
      <c r="AO786" s="100"/>
      <c r="AP786" s="100"/>
      <c r="AQ786" s="100"/>
      <c r="AR786" s="100"/>
      <c r="AS786" s="100"/>
      <c r="AT786" s="100"/>
      <c r="AU786" s="101"/>
    </row>
    <row r="787" spans="29:47" ht="18.75" x14ac:dyDescent="0.3">
      <c r="AC787" s="99"/>
      <c r="AD787" s="100"/>
      <c r="AE787" s="100"/>
      <c r="AF787" s="100"/>
      <c r="AG787" s="100"/>
      <c r="AH787" s="100"/>
      <c r="AI787" s="100"/>
      <c r="AJ787" s="101"/>
      <c r="AK787" s="99"/>
      <c r="AL787" s="100"/>
      <c r="AM787" s="100"/>
      <c r="AN787" s="100"/>
      <c r="AO787" s="100"/>
      <c r="AP787" s="100"/>
      <c r="AQ787" s="100"/>
      <c r="AR787" s="100"/>
      <c r="AS787" s="100"/>
      <c r="AT787" s="100"/>
      <c r="AU787" s="101"/>
    </row>
    <row r="788" spans="29:47" ht="18.75" x14ac:dyDescent="0.3">
      <c r="AC788" s="99"/>
      <c r="AD788" s="100"/>
      <c r="AE788" s="100"/>
      <c r="AF788" s="100"/>
      <c r="AG788" s="100"/>
      <c r="AH788" s="100"/>
      <c r="AI788" s="100"/>
      <c r="AJ788" s="101"/>
      <c r="AK788" s="99"/>
      <c r="AL788" s="100"/>
      <c r="AM788" s="100"/>
      <c r="AN788" s="100"/>
      <c r="AO788" s="100"/>
      <c r="AP788" s="100"/>
      <c r="AQ788" s="100"/>
      <c r="AR788" s="100"/>
      <c r="AS788" s="100"/>
      <c r="AT788" s="100"/>
      <c r="AU788" s="101"/>
    </row>
    <row r="789" spans="29:47" ht="18.75" x14ac:dyDescent="0.3">
      <c r="AC789" s="99"/>
      <c r="AD789" s="100"/>
      <c r="AE789" s="100"/>
      <c r="AF789" s="100"/>
      <c r="AG789" s="100"/>
      <c r="AH789" s="100"/>
      <c r="AI789" s="100"/>
      <c r="AJ789" s="101"/>
      <c r="AK789" s="99"/>
      <c r="AL789" s="100"/>
      <c r="AM789" s="100"/>
      <c r="AN789" s="100"/>
      <c r="AO789" s="100"/>
      <c r="AP789" s="100"/>
      <c r="AQ789" s="100"/>
      <c r="AR789" s="100"/>
      <c r="AS789" s="100"/>
      <c r="AT789" s="100"/>
      <c r="AU789" s="101"/>
    </row>
    <row r="790" spans="29:47" ht="18.75" x14ac:dyDescent="0.3">
      <c r="AC790" s="99"/>
      <c r="AD790" s="100"/>
      <c r="AE790" s="100"/>
      <c r="AF790" s="100"/>
      <c r="AG790" s="100"/>
      <c r="AH790" s="100"/>
      <c r="AI790" s="100"/>
      <c r="AJ790" s="101"/>
      <c r="AK790" s="99"/>
      <c r="AL790" s="100"/>
      <c r="AM790" s="100"/>
      <c r="AN790" s="100"/>
      <c r="AO790" s="100"/>
      <c r="AP790" s="100"/>
      <c r="AQ790" s="100"/>
      <c r="AR790" s="100"/>
      <c r="AS790" s="100"/>
      <c r="AT790" s="100"/>
      <c r="AU790" s="101"/>
    </row>
    <row r="791" spans="29:47" ht="18.75" x14ac:dyDescent="0.3">
      <c r="AC791" s="99"/>
      <c r="AD791" s="100"/>
      <c r="AE791" s="100"/>
      <c r="AF791" s="100"/>
      <c r="AG791" s="100"/>
      <c r="AH791" s="100"/>
      <c r="AI791" s="100"/>
      <c r="AJ791" s="101"/>
      <c r="AK791" s="99"/>
      <c r="AL791" s="100"/>
      <c r="AM791" s="100"/>
      <c r="AN791" s="100"/>
      <c r="AO791" s="100"/>
      <c r="AP791" s="100"/>
      <c r="AQ791" s="100"/>
      <c r="AR791" s="100"/>
      <c r="AS791" s="100"/>
      <c r="AT791" s="100"/>
      <c r="AU791" s="101"/>
    </row>
    <row r="792" spans="29:47" ht="18.75" x14ac:dyDescent="0.3">
      <c r="AC792" s="99"/>
      <c r="AD792" s="100"/>
      <c r="AE792" s="100"/>
      <c r="AF792" s="100"/>
      <c r="AG792" s="100"/>
      <c r="AH792" s="100"/>
      <c r="AI792" s="100"/>
      <c r="AJ792" s="101"/>
      <c r="AK792" s="99"/>
      <c r="AL792" s="100"/>
      <c r="AM792" s="100"/>
      <c r="AN792" s="100"/>
      <c r="AO792" s="100"/>
      <c r="AP792" s="100"/>
      <c r="AQ792" s="100"/>
      <c r="AR792" s="100"/>
      <c r="AS792" s="100"/>
      <c r="AT792" s="100"/>
      <c r="AU792" s="101"/>
    </row>
    <row r="793" spans="29:47" ht="18.75" x14ac:dyDescent="0.3">
      <c r="AC793" s="99"/>
      <c r="AD793" s="100"/>
      <c r="AE793" s="100"/>
      <c r="AF793" s="100"/>
      <c r="AG793" s="100"/>
      <c r="AH793" s="100"/>
      <c r="AI793" s="100"/>
      <c r="AJ793" s="101"/>
      <c r="AK793" s="99"/>
      <c r="AL793" s="100"/>
      <c r="AM793" s="100"/>
      <c r="AN793" s="100"/>
      <c r="AO793" s="100"/>
      <c r="AP793" s="100"/>
      <c r="AQ793" s="100"/>
      <c r="AR793" s="100"/>
      <c r="AS793" s="100"/>
      <c r="AT793" s="100"/>
      <c r="AU793" s="101"/>
    </row>
    <row r="794" spans="29:47" ht="18.75" x14ac:dyDescent="0.3">
      <c r="AC794" s="99"/>
      <c r="AD794" s="100"/>
      <c r="AE794" s="100"/>
      <c r="AF794" s="100"/>
      <c r="AG794" s="100"/>
      <c r="AH794" s="100"/>
      <c r="AI794" s="100"/>
      <c r="AJ794" s="101"/>
      <c r="AK794" s="99"/>
      <c r="AL794" s="100"/>
      <c r="AM794" s="100"/>
      <c r="AN794" s="100"/>
      <c r="AO794" s="100"/>
      <c r="AP794" s="100"/>
      <c r="AQ794" s="100"/>
      <c r="AR794" s="100"/>
      <c r="AS794" s="100"/>
      <c r="AT794" s="100"/>
      <c r="AU794" s="101"/>
    </row>
    <row r="795" spans="29:47" ht="18.75" x14ac:dyDescent="0.3">
      <c r="AC795" s="99"/>
      <c r="AD795" s="100"/>
      <c r="AE795" s="100"/>
      <c r="AF795" s="100"/>
      <c r="AG795" s="100"/>
      <c r="AH795" s="100"/>
      <c r="AI795" s="100"/>
      <c r="AJ795" s="101"/>
      <c r="AK795" s="99"/>
      <c r="AL795" s="100"/>
      <c r="AM795" s="100"/>
      <c r="AN795" s="100"/>
      <c r="AO795" s="100"/>
      <c r="AP795" s="100"/>
      <c r="AQ795" s="100"/>
      <c r="AR795" s="100"/>
      <c r="AS795" s="100"/>
      <c r="AT795" s="100"/>
      <c r="AU795" s="101"/>
    </row>
    <row r="796" spans="29:47" ht="18.75" x14ac:dyDescent="0.3">
      <c r="AC796" s="99"/>
      <c r="AD796" s="100"/>
      <c r="AE796" s="100"/>
      <c r="AF796" s="100"/>
      <c r="AG796" s="100"/>
      <c r="AH796" s="100"/>
      <c r="AI796" s="100"/>
      <c r="AJ796" s="101"/>
      <c r="AK796" s="99"/>
      <c r="AL796" s="100"/>
      <c r="AM796" s="100"/>
      <c r="AN796" s="100"/>
      <c r="AO796" s="100"/>
      <c r="AP796" s="100"/>
      <c r="AQ796" s="100"/>
      <c r="AR796" s="100"/>
      <c r="AS796" s="100"/>
      <c r="AT796" s="100"/>
      <c r="AU796" s="101"/>
    </row>
    <row r="797" spans="29:47" ht="18.75" x14ac:dyDescent="0.3">
      <c r="AC797" s="99"/>
      <c r="AD797" s="100"/>
      <c r="AE797" s="100"/>
      <c r="AF797" s="100"/>
      <c r="AG797" s="100"/>
      <c r="AH797" s="100"/>
      <c r="AI797" s="100"/>
      <c r="AJ797" s="101"/>
      <c r="AK797" s="99"/>
      <c r="AL797" s="100"/>
      <c r="AM797" s="100"/>
      <c r="AN797" s="100"/>
      <c r="AO797" s="100"/>
      <c r="AP797" s="100"/>
      <c r="AQ797" s="100"/>
      <c r="AR797" s="100"/>
      <c r="AS797" s="100"/>
      <c r="AT797" s="100"/>
      <c r="AU797" s="101"/>
    </row>
    <row r="798" spans="29:47" ht="18.75" x14ac:dyDescent="0.3">
      <c r="AC798" s="99"/>
      <c r="AD798" s="100"/>
      <c r="AE798" s="100"/>
      <c r="AF798" s="100"/>
      <c r="AG798" s="100"/>
      <c r="AH798" s="100"/>
      <c r="AI798" s="100"/>
      <c r="AJ798" s="101"/>
      <c r="AK798" s="99"/>
      <c r="AL798" s="100"/>
      <c r="AM798" s="100"/>
      <c r="AN798" s="100"/>
      <c r="AO798" s="100"/>
      <c r="AP798" s="100"/>
      <c r="AQ798" s="100"/>
      <c r="AR798" s="100"/>
      <c r="AS798" s="100"/>
      <c r="AT798" s="100"/>
      <c r="AU798" s="101"/>
    </row>
    <row r="799" spans="29:47" ht="18.75" x14ac:dyDescent="0.3">
      <c r="AC799" s="99"/>
      <c r="AD799" s="100"/>
      <c r="AE799" s="100"/>
      <c r="AF799" s="100"/>
      <c r="AG799" s="100"/>
      <c r="AH799" s="100"/>
      <c r="AI799" s="100"/>
      <c r="AJ799" s="101"/>
      <c r="AK799" s="99"/>
      <c r="AL799" s="100"/>
      <c r="AM799" s="100"/>
      <c r="AN799" s="100"/>
      <c r="AO799" s="100"/>
      <c r="AP799" s="100"/>
      <c r="AQ799" s="100"/>
      <c r="AR799" s="100"/>
      <c r="AS799" s="100"/>
      <c r="AT799" s="100"/>
      <c r="AU799" s="101"/>
    </row>
    <row r="800" spans="29:47" ht="18.75" x14ac:dyDescent="0.3">
      <c r="AC800" s="99"/>
      <c r="AD800" s="100"/>
      <c r="AE800" s="100"/>
      <c r="AF800" s="100"/>
      <c r="AG800" s="100"/>
      <c r="AH800" s="100"/>
      <c r="AI800" s="100"/>
      <c r="AJ800" s="101"/>
      <c r="AK800" s="99"/>
      <c r="AL800" s="100"/>
      <c r="AM800" s="100"/>
      <c r="AN800" s="100"/>
      <c r="AO800" s="100"/>
      <c r="AP800" s="100"/>
      <c r="AQ800" s="100"/>
      <c r="AR800" s="100"/>
      <c r="AS800" s="100"/>
      <c r="AT800" s="100"/>
      <c r="AU800" s="101"/>
    </row>
    <row r="801" spans="29:47" ht="18.75" x14ac:dyDescent="0.3">
      <c r="AC801" s="99"/>
      <c r="AD801" s="100"/>
      <c r="AE801" s="100"/>
      <c r="AF801" s="100"/>
      <c r="AG801" s="100"/>
      <c r="AH801" s="100"/>
      <c r="AI801" s="100"/>
      <c r="AJ801" s="101"/>
      <c r="AK801" s="99"/>
      <c r="AL801" s="100"/>
      <c r="AM801" s="100"/>
      <c r="AN801" s="100"/>
      <c r="AO801" s="100"/>
      <c r="AP801" s="100"/>
      <c r="AQ801" s="100"/>
      <c r="AR801" s="100"/>
      <c r="AS801" s="100"/>
      <c r="AT801" s="100"/>
      <c r="AU801" s="101"/>
    </row>
    <row r="802" spans="29:47" ht="18.75" x14ac:dyDescent="0.3">
      <c r="AC802" s="99"/>
      <c r="AD802" s="100"/>
      <c r="AE802" s="100"/>
      <c r="AF802" s="100"/>
      <c r="AG802" s="100"/>
      <c r="AH802" s="100"/>
      <c r="AI802" s="100"/>
      <c r="AJ802" s="101"/>
      <c r="AK802" s="99"/>
      <c r="AL802" s="100"/>
      <c r="AM802" s="100"/>
      <c r="AN802" s="100"/>
      <c r="AO802" s="100"/>
      <c r="AP802" s="100"/>
      <c r="AQ802" s="100"/>
      <c r="AR802" s="100"/>
      <c r="AS802" s="100"/>
      <c r="AT802" s="100"/>
      <c r="AU802" s="101"/>
    </row>
    <row r="803" spans="29:47" ht="18.75" x14ac:dyDescent="0.3">
      <c r="AC803" s="99"/>
      <c r="AD803" s="100"/>
      <c r="AE803" s="100"/>
      <c r="AF803" s="100"/>
      <c r="AG803" s="100"/>
      <c r="AH803" s="100"/>
      <c r="AI803" s="100"/>
      <c r="AJ803" s="101"/>
      <c r="AK803" s="99"/>
      <c r="AL803" s="100"/>
      <c r="AM803" s="100"/>
      <c r="AN803" s="100"/>
      <c r="AO803" s="100"/>
      <c r="AP803" s="100"/>
      <c r="AQ803" s="100"/>
      <c r="AR803" s="100"/>
      <c r="AS803" s="100"/>
      <c r="AT803" s="100"/>
      <c r="AU803" s="101"/>
    </row>
    <row r="804" spans="29:47" ht="18.75" x14ac:dyDescent="0.3">
      <c r="AC804" s="99"/>
      <c r="AD804" s="100"/>
      <c r="AE804" s="100"/>
      <c r="AF804" s="100"/>
      <c r="AG804" s="100"/>
      <c r="AH804" s="100"/>
      <c r="AI804" s="100"/>
      <c r="AJ804" s="101"/>
      <c r="AK804" s="99"/>
      <c r="AL804" s="100"/>
      <c r="AM804" s="100"/>
      <c r="AN804" s="100"/>
      <c r="AO804" s="100"/>
      <c r="AP804" s="100"/>
      <c r="AQ804" s="100"/>
      <c r="AR804" s="100"/>
      <c r="AS804" s="100"/>
      <c r="AT804" s="100"/>
      <c r="AU804" s="101"/>
    </row>
    <row r="805" spans="29:47" ht="18.75" x14ac:dyDescent="0.3">
      <c r="AC805" s="99"/>
      <c r="AD805" s="100"/>
      <c r="AE805" s="100"/>
      <c r="AF805" s="100"/>
      <c r="AG805" s="100"/>
      <c r="AH805" s="100"/>
      <c r="AI805" s="100"/>
      <c r="AJ805" s="101"/>
      <c r="AK805" s="99"/>
      <c r="AL805" s="100"/>
      <c r="AM805" s="100"/>
      <c r="AN805" s="100"/>
      <c r="AO805" s="100"/>
      <c r="AP805" s="100"/>
      <c r="AQ805" s="100"/>
      <c r="AR805" s="100"/>
      <c r="AS805" s="100"/>
      <c r="AT805" s="100"/>
      <c r="AU805" s="101"/>
    </row>
    <row r="806" spans="29:47" ht="18.75" x14ac:dyDescent="0.3">
      <c r="AC806" s="99"/>
      <c r="AD806" s="100"/>
      <c r="AE806" s="100"/>
      <c r="AF806" s="100"/>
      <c r="AG806" s="100"/>
      <c r="AH806" s="100"/>
      <c r="AI806" s="100"/>
      <c r="AJ806" s="101"/>
      <c r="AK806" s="99"/>
      <c r="AL806" s="100"/>
      <c r="AM806" s="100"/>
      <c r="AN806" s="100"/>
      <c r="AO806" s="100"/>
      <c r="AP806" s="100"/>
      <c r="AQ806" s="100"/>
      <c r="AR806" s="100"/>
      <c r="AS806" s="100"/>
      <c r="AT806" s="100"/>
      <c r="AU806" s="101"/>
    </row>
    <row r="807" spans="29:47" ht="18.75" x14ac:dyDescent="0.3">
      <c r="AC807" s="99"/>
      <c r="AD807" s="100"/>
      <c r="AE807" s="100"/>
      <c r="AF807" s="100"/>
      <c r="AG807" s="100"/>
      <c r="AH807" s="100"/>
      <c r="AI807" s="100"/>
      <c r="AJ807" s="101"/>
      <c r="AK807" s="99"/>
      <c r="AL807" s="100"/>
      <c r="AM807" s="100"/>
      <c r="AN807" s="100"/>
      <c r="AO807" s="100"/>
      <c r="AP807" s="100"/>
      <c r="AQ807" s="100"/>
      <c r="AR807" s="100"/>
      <c r="AS807" s="100"/>
      <c r="AT807" s="100"/>
      <c r="AU807" s="101"/>
    </row>
    <row r="808" spans="29:47" ht="18.75" x14ac:dyDescent="0.3">
      <c r="AC808" s="99"/>
      <c r="AD808" s="100"/>
      <c r="AE808" s="100"/>
      <c r="AF808" s="100"/>
      <c r="AG808" s="100"/>
      <c r="AH808" s="100"/>
      <c r="AI808" s="100"/>
      <c r="AJ808" s="101"/>
      <c r="AK808" s="99"/>
      <c r="AL808" s="100"/>
      <c r="AM808" s="100"/>
      <c r="AN808" s="100"/>
      <c r="AO808" s="100"/>
      <c r="AP808" s="100"/>
      <c r="AQ808" s="100"/>
      <c r="AR808" s="100"/>
      <c r="AS808" s="100"/>
      <c r="AT808" s="100"/>
      <c r="AU808" s="101"/>
    </row>
    <row r="809" spans="29:47" ht="18.75" x14ac:dyDescent="0.3">
      <c r="AC809" s="99"/>
      <c r="AD809" s="100"/>
      <c r="AE809" s="100"/>
      <c r="AF809" s="100"/>
      <c r="AG809" s="100"/>
      <c r="AH809" s="100"/>
      <c r="AI809" s="100"/>
      <c r="AJ809" s="101"/>
      <c r="AK809" s="99"/>
      <c r="AL809" s="100"/>
      <c r="AM809" s="100"/>
      <c r="AN809" s="100"/>
      <c r="AO809" s="100"/>
      <c r="AP809" s="100"/>
      <c r="AQ809" s="100"/>
      <c r="AR809" s="100"/>
      <c r="AS809" s="100"/>
      <c r="AT809" s="100"/>
      <c r="AU809" s="101"/>
    </row>
    <row r="810" spans="29:47" ht="18.75" x14ac:dyDescent="0.3">
      <c r="AC810" s="99"/>
      <c r="AD810" s="100"/>
      <c r="AE810" s="100"/>
      <c r="AF810" s="100"/>
      <c r="AG810" s="100"/>
      <c r="AH810" s="100"/>
      <c r="AI810" s="100"/>
      <c r="AJ810" s="101"/>
      <c r="AK810" s="99"/>
      <c r="AL810" s="100"/>
      <c r="AM810" s="100"/>
      <c r="AN810" s="100"/>
      <c r="AO810" s="100"/>
      <c r="AP810" s="100"/>
      <c r="AQ810" s="100"/>
      <c r="AR810" s="100"/>
      <c r="AS810" s="100"/>
      <c r="AT810" s="100"/>
      <c r="AU810" s="101"/>
    </row>
    <row r="811" spans="29:47" ht="18.75" x14ac:dyDescent="0.3">
      <c r="AC811" s="99"/>
      <c r="AD811" s="100"/>
      <c r="AE811" s="100"/>
      <c r="AF811" s="100"/>
      <c r="AG811" s="100"/>
      <c r="AH811" s="100"/>
      <c r="AI811" s="100"/>
      <c r="AJ811" s="101"/>
      <c r="AK811" s="99"/>
      <c r="AL811" s="100"/>
      <c r="AM811" s="100"/>
      <c r="AN811" s="100"/>
      <c r="AO811" s="100"/>
      <c r="AP811" s="100"/>
      <c r="AQ811" s="100"/>
      <c r="AR811" s="100"/>
      <c r="AS811" s="100"/>
      <c r="AT811" s="100"/>
      <c r="AU811" s="101"/>
    </row>
    <row r="812" spans="29:47" ht="18.75" x14ac:dyDescent="0.3">
      <c r="AC812" s="99"/>
      <c r="AD812" s="100"/>
      <c r="AE812" s="100"/>
      <c r="AF812" s="100"/>
      <c r="AG812" s="100"/>
      <c r="AH812" s="100"/>
      <c r="AI812" s="100"/>
      <c r="AJ812" s="101"/>
      <c r="AK812" s="99"/>
      <c r="AL812" s="100"/>
      <c r="AM812" s="100"/>
      <c r="AN812" s="100"/>
      <c r="AO812" s="100"/>
      <c r="AP812" s="100"/>
      <c r="AQ812" s="100"/>
      <c r="AR812" s="100"/>
      <c r="AS812" s="100"/>
      <c r="AT812" s="100"/>
      <c r="AU812" s="101"/>
    </row>
    <row r="813" spans="29:47" ht="18.75" x14ac:dyDescent="0.3">
      <c r="AC813" s="99"/>
      <c r="AD813" s="100"/>
      <c r="AE813" s="100"/>
      <c r="AF813" s="100"/>
      <c r="AG813" s="100"/>
      <c r="AH813" s="100"/>
      <c r="AI813" s="100"/>
      <c r="AJ813" s="101"/>
      <c r="AK813" s="99"/>
      <c r="AL813" s="100"/>
      <c r="AM813" s="100"/>
      <c r="AN813" s="100"/>
      <c r="AO813" s="100"/>
      <c r="AP813" s="100"/>
      <c r="AQ813" s="100"/>
      <c r="AR813" s="100"/>
      <c r="AS813" s="100"/>
      <c r="AT813" s="100"/>
      <c r="AU813" s="101"/>
    </row>
    <row r="814" spans="29:47" ht="18.75" x14ac:dyDescent="0.3">
      <c r="AC814" s="99"/>
      <c r="AD814" s="100"/>
      <c r="AE814" s="100"/>
      <c r="AF814" s="100"/>
      <c r="AG814" s="100"/>
      <c r="AH814" s="100"/>
      <c r="AI814" s="100"/>
      <c r="AJ814" s="101"/>
      <c r="AK814" s="99"/>
      <c r="AL814" s="100"/>
      <c r="AM814" s="100"/>
      <c r="AN814" s="100"/>
      <c r="AO814" s="100"/>
      <c r="AP814" s="100"/>
      <c r="AQ814" s="100"/>
      <c r="AR814" s="100"/>
      <c r="AS814" s="100"/>
      <c r="AT814" s="100"/>
      <c r="AU814" s="101"/>
    </row>
    <row r="815" spans="29:47" ht="18.75" x14ac:dyDescent="0.3">
      <c r="AC815" s="99"/>
      <c r="AD815" s="100"/>
      <c r="AE815" s="100"/>
      <c r="AF815" s="100"/>
      <c r="AG815" s="100"/>
      <c r="AH815" s="100"/>
      <c r="AI815" s="100"/>
      <c r="AJ815" s="101"/>
      <c r="AK815" s="99"/>
      <c r="AL815" s="100"/>
      <c r="AM815" s="100"/>
      <c r="AN815" s="100"/>
      <c r="AO815" s="100"/>
      <c r="AP815" s="100"/>
      <c r="AQ815" s="100"/>
      <c r="AR815" s="100"/>
      <c r="AS815" s="100"/>
      <c r="AT815" s="100"/>
      <c r="AU815" s="101"/>
    </row>
    <row r="816" spans="29:47" ht="18.75" x14ac:dyDescent="0.3">
      <c r="AC816" s="99"/>
      <c r="AD816" s="100"/>
      <c r="AE816" s="100"/>
      <c r="AF816" s="100"/>
      <c r="AG816" s="100"/>
      <c r="AH816" s="100"/>
      <c r="AI816" s="100"/>
      <c r="AJ816" s="101"/>
      <c r="AK816" s="99"/>
      <c r="AL816" s="100"/>
      <c r="AM816" s="100"/>
      <c r="AN816" s="100"/>
      <c r="AO816" s="100"/>
      <c r="AP816" s="100"/>
      <c r="AQ816" s="100"/>
      <c r="AR816" s="100"/>
      <c r="AS816" s="100"/>
      <c r="AT816" s="100"/>
      <c r="AU816" s="101"/>
    </row>
    <row r="817" spans="29:47" ht="18.75" x14ac:dyDescent="0.3">
      <c r="AC817" s="99"/>
      <c r="AD817" s="100"/>
      <c r="AE817" s="100"/>
      <c r="AF817" s="100"/>
      <c r="AG817" s="100"/>
      <c r="AH817" s="100"/>
      <c r="AI817" s="100"/>
      <c r="AJ817" s="101"/>
      <c r="AK817" s="99"/>
      <c r="AL817" s="100"/>
      <c r="AM817" s="100"/>
      <c r="AN817" s="100"/>
      <c r="AO817" s="100"/>
      <c r="AP817" s="100"/>
      <c r="AQ817" s="100"/>
      <c r="AR817" s="100"/>
      <c r="AS817" s="100"/>
      <c r="AT817" s="100"/>
      <c r="AU817" s="101"/>
    </row>
    <row r="818" spans="29:47" ht="18.75" x14ac:dyDescent="0.3">
      <c r="AC818" s="99"/>
      <c r="AD818" s="100"/>
      <c r="AE818" s="100"/>
      <c r="AF818" s="100"/>
      <c r="AG818" s="100"/>
      <c r="AH818" s="100"/>
      <c r="AI818" s="100"/>
      <c r="AJ818" s="101"/>
      <c r="AK818" s="99"/>
      <c r="AL818" s="100"/>
      <c r="AM818" s="100"/>
      <c r="AN818" s="100"/>
      <c r="AO818" s="100"/>
      <c r="AP818" s="100"/>
      <c r="AQ818" s="100"/>
      <c r="AR818" s="100"/>
      <c r="AS818" s="100"/>
      <c r="AT818" s="100"/>
      <c r="AU818" s="101"/>
    </row>
    <row r="819" spans="29:47" ht="18.75" x14ac:dyDescent="0.3">
      <c r="AC819" s="99"/>
      <c r="AD819" s="100"/>
      <c r="AE819" s="100"/>
      <c r="AF819" s="100"/>
      <c r="AG819" s="100"/>
      <c r="AH819" s="100"/>
      <c r="AI819" s="100"/>
      <c r="AJ819" s="101"/>
      <c r="AK819" s="99"/>
      <c r="AL819" s="100"/>
      <c r="AM819" s="100"/>
      <c r="AN819" s="100"/>
      <c r="AO819" s="100"/>
      <c r="AP819" s="100"/>
      <c r="AQ819" s="100"/>
      <c r="AR819" s="100"/>
      <c r="AS819" s="100"/>
      <c r="AT819" s="100"/>
      <c r="AU819" s="101"/>
    </row>
    <row r="820" spans="29:47" ht="18.75" x14ac:dyDescent="0.3">
      <c r="AC820" s="99"/>
      <c r="AD820" s="100"/>
      <c r="AE820" s="100"/>
      <c r="AF820" s="100"/>
      <c r="AG820" s="100"/>
      <c r="AH820" s="100"/>
      <c r="AI820" s="100"/>
      <c r="AJ820" s="101"/>
      <c r="AK820" s="99"/>
      <c r="AL820" s="100"/>
      <c r="AM820" s="100"/>
      <c r="AN820" s="100"/>
      <c r="AO820" s="100"/>
      <c r="AP820" s="100"/>
      <c r="AQ820" s="100"/>
      <c r="AR820" s="100"/>
      <c r="AS820" s="100"/>
      <c r="AT820" s="100"/>
      <c r="AU820" s="101"/>
    </row>
    <row r="821" spans="29:47" ht="18.75" x14ac:dyDescent="0.3">
      <c r="AC821" s="99"/>
      <c r="AD821" s="100"/>
      <c r="AE821" s="100"/>
      <c r="AF821" s="100"/>
      <c r="AG821" s="100"/>
      <c r="AH821" s="100"/>
      <c r="AI821" s="100"/>
      <c r="AJ821" s="101"/>
      <c r="AK821" s="99"/>
      <c r="AL821" s="100"/>
      <c r="AM821" s="100"/>
      <c r="AN821" s="100"/>
      <c r="AO821" s="100"/>
      <c r="AP821" s="100"/>
      <c r="AQ821" s="100"/>
      <c r="AR821" s="100"/>
      <c r="AS821" s="100"/>
      <c r="AT821" s="100"/>
      <c r="AU821" s="101"/>
    </row>
    <row r="822" spans="29:47" ht="18.75" x14ac:dyDescent="0.3">
      <c r="AC822" s="99"/>
      <c r="AD822" s="100"/>
      <c r="AE822" s="100"/>
      <c r="AF822" s="100"/>
      <c r="AG822" s="100"/>
      <c r="AH822" s="100"/>
      <c r="AI822" s="100"/>
      <c r="AJ822" s="101"/>
      <c r="AK822" s="99"/>
      <c r="AL822" s="100"/>
      <c r="AM822" s="100"/>
      <c r="AN822" s="100"/>
      <c r="AO822" s="100"/>
      <c r="AP822" s="100"/>
      <c r="AQ822" s="100"/>
      <c r="AR822" s="100"/>
      <c r="AS822" s="100"/>
      <c r="AT822" s="100"/>
      <c r="AU822" s="101"/>
    </row>
    <row r="823" spans="29:47" ht="18.75" x14ac:dyDescent="0.3">
      <c r="AC823" s="99"/>
      <c r="AD823" s="100"/>
      <c r="AE823" s="100"/>
      <c r="AF823" s="100"/>
      <c r="AG823" s="100"/>
      <c r="AH823" s="100"/>
      <c r="AI823" s="100"/>
      <c r="AJ823" s="101"/>
      <c r="AK823" s="99"/>
      <c r="AL823" s="100"/>
      <c r="AM823" s="100"/>
      <c r="AN823" s="100"/>
      <c r="AO823" s="100"/>
      <c r="AP823" s="100"/>
      <c r="AQ823" s="100"/>
      <c r="AR823" s="100"/>
      <c r="AS823" s="100"/>
      <c r="AT823" s="100"/>
      <c r="AU823" s="101"/>
    </row>
    <row r="824" spans="29:47" ht="18.75" x14ac:dyDescent="0.3">
      <c r="AC824" s="99"/>
      <c r="AD824" s="100"/>
      <c r="AE824" s="100"/>
      <c r="AF824" s="100"/>
      <c r="AG824" s="100"/>
      <c r="AH824" s="100"/>
      <c r="AI824" s="100"/>
      <c r="AJ824" s="101"/>
      <c r="AK824" s="99"/>
      <c r="AL824" s="100"/>
      <c r="AM824" s="100"/>
      <c r="AN824" s="100"/>
      <c r="AO824" s="100"/>
      <c r="AP824" s="100"/>
      <c r="AQ824" s="100"/>
      <c r="AR824" s="100"/>
      <c r="AS824" s="100"/>
      <c r="AT824" s="100"/>
      <c r="AU824" s="101"/>
    </row>
    <row r="825" spans="29:47" ht="18.75" x14ac:dyDescent="0.3">
      <c r="AC825" s="99"/>
      <c r="AD825" s="100"/>
      <c r="AE825" s="100"/>
      <c r="AF825" s="100"/>
      <c r="AG825" s="100"/>
      <c r="AH825" s="100"/>
      <c r="AI825" s="100"/>
      <c r="AJ825" s="101"/>
      <c r="AK825" s="99"/>
      <c r="AL825" s="100"/>
      <c r="AM825" s="100"/>
      <c r="AN825" s="100"/>
      <c r="AO825" s="100"/>
      <c r="AP825" s="100"/>
      <c r="AQ825" s="100"/>
      <c r="AR825" s="100"/>
      <c r="AS825" s="100"/>
      <c r="AT825" s="100"/>
      <c r="AU825" s="101"/>
    </row>
    <row r="826" spans="29:47" ht="18.75" x14ac:dyDescent="0.3">
      <c r="AC826" s="99"/>
      <c r="AD826" s="100"/>
      <c r="AE826" s="100"/>
      <c r="AF826" s="100"/>
      <c r="AG826" s="100"/>
      <c r="AH826" s="100"/>
      <c r="AI826" s="100"/>
      <c r="AJ826" s="101"/>
      <c r="AK826" s="99"/>
      <c r="AL826" s="100"/>
      <c r="AM826" s="100"/>
      <c r="AN826" s="100"/>
      <c r="AO826" s="100"/>
      <c r="AP826" s="100"/>
      <c r="AQ826" s="100"/>
      <c r="AR826" s="100"/>
      <c r="AS826" s="100"/>
      <c r="AT826" s="100"/>
      <c r="AU826" s="101"/>
    </row>
    <row r="827" spans="29:47" ht="18.75" x14ac:dyDescent="0.3">
      <c r="AC827" s="99"/>
      <c r="AD827" s="100"/>
      <c r="AE827" s="100"/>
      <c r="AF827" s="100"/>
      <c r="AG827" s="100"/>
      <c r="AH827" s="100"/>
      <c r="AI827" s="100"/>
      <c r="AJ827" s="101"/>
      <c r="AK827" s="99"/>
      <c r="AL827" s="100"/>
      <c r="AM827" s="100"/>
      <c r="AN827" s="100"/>
      <c r="AO827" s="100"/>
      <c r="AP827" s="100"/>
      <c r="AQ827" s="100"/>
      <c r="AR827" s="100"/>
      <c r="AS827" s="100"/>
      <c r="AT827" s="100"/>
      <c r="AU827" s="101"/>
    </row>
    <row r="828" spans="29:47" ht="18.75" x14ac:dyDescent="0.3">
      <c r="AC828" s="99"/>
      <c r="AD828" s="100"/>
      <c r="AE828" s="100"/>
      <c r="AF828" s="100"/>
      <c r="AG828" s="100"/>
      <c r="AH828" s="100"/>
      <c r="AI828" s="100"/>
      <c r="AJ828" s="101"/>
      <c r="AK828" s="99"/>
      <c r="AL828" s="100"/>
      <c r="AM828" s="100"/>
      <c r="AN828" s="100"/>
      <c r="AO828" s="100"/>
      <c r="AP828" s="100"/>
      <c r="AQ828" s="100"/>
      <c r="AR828" s="100"/>
      <c r="AS828" s="100"/>
      <c r="AT828" s="100"/>
      <c r="AU828" s="101"/>
    </row>
    <row r="829" spans="29:47" ht="18.75" x14ac:dyDescent="0.3">
      <c r="AC829" s="99"/>
      <c r="AD829" s="100"/>
      <c r="AE829" s="100"/>
      <c r="AF829" s="100"/>
      <c r="AG829" s="100"/>
      <c r="AH829" s="100"/>
      <c r="AI829" s="100"/>
      <c r="AJ829" s="101"/>
      <c r="AK829" s="99"/>
      <c r="AL829" s="100"/>
      <c r="AM829" s="100"/>
      <c r="AN829" s="100"/>
      <c r="AO829" s="100"/>
      <c r="AP829" s="100"/>
      <c r="AQ829" s="100"/>
      <c r="AR829" s="100"/>
      <c r="AS829" s="100"/>
      <c r="AT829" s="100"/>
      <c r="AU829" s="101"/>
    </row>
    <row r="830" spans="29:47" ht="18.75" x14ac:dyDescent="0.3">
      <c r="AC830" s="99"/>
      <c r="AD830" s="100"/>
      <c r="AE830" s="100"/>
      <c r="AF830" s="100"/>
      <c r="AG830" s="100"/>
      <c r="AH830" s="100"/>
      <c r="AI830" s="100"/>
      <c r="AJ830" s="101"/>
      <c r="AK830" s="99"/>
      <c r="AL830" s="100"/>
      <c r="AM830" s="100"/>
      <c r="AN830" s="100"/>
      <c r="AO830" s="100"/>
      <c r="AP830" s="100"/>
      <c r="AQ830" s="100"/>
      <c r="AR830" s="100"/>
      <c r="AS830" s="100"/>
      <c r="AT830" s="100"/>
      <c r="AU830" s="101"/>
    </row>
    <row r="831" spans="29:47" ht="18.75" x14ac:dyDescent="0.3">
      <c r="AC831" s="99"/>
      <c r="AD831" s="100"/>
      <c r="AE831" s="100"/>
      <c r="AF831" s="100"/>
      <c r="AG831" s="100"/>
      <c r="AH831" s="100"/>
      <c r="AI831" s="100"/>
      <c r="AJ831" s="101"/>
      <c r="AK831" s="99"/>
      <c r="AL831" s="100"/>
      <c r="AM831" s="100"/>
      <c r="AN831" s="100"/>
      <c r="AO831" s="100"/>
      <c r="AP831" s="100"/>
      <c r="AQ831" s="100"/>
      <c r="AR831" s="100"/>
      <c r="AS831" s="100"/>
      <c r="AT831" s="100"/>
      <c r="AU831" s="101"/>
    </row>
    <row r="832" spans="29:47" ht="18.75" x14ac:dyDescent="0.3">
      <c r="AC832" s="99"/>
      <c r="AD832" s="100"/>
      <c r="AE832" s="100"/>
      <c r="AF832" s="100"/>
      <c r="AG832" s="100"/>
      <c r="AH832" s="100"/>
      <c r="AI832" s="100"/>
      <c r="AJ832" s="101"/>
      <c r="AK832" s="99"/>
      <c r="AL832" s="100"/>
      <c r="AM832" s="100"/>
      <c r="AN832" s="100"/>
      <c r="AO832" s="100"/>
      <c r="AP832" s="100"/>
      <c r="AQ832" s="100"/>
      <c r="AR832" s="100"/>
      <c r="AS832" s="100"/>
      <c r="AT832" s="100"/>
      <c r="AU832" s="101"/>
    </row>
    <row r="833" spans="29:47" ht="18.75" x14ac:dyDescent="0.3">
      <c r="AC833" s="99"/>
      <c r="AD833" s="100"/>
      <c r="AE833" s="100"/>
      <c r="AF833" s="100"/>
      <c r="AG833" s="100"/>
      <c r="AH833" s="100"/>
      <c r="AI833" s="100"/>
      <c r="AJ833" s="101"/>
      <c r="AK833" s="99"/>
      <c r="AL833" s="100"/>
      <c r="AM833" s="100"/>
      <c r="AN833" s="100"/>
      <c r="AO833" s="100"/>
      <c r="AP833" s="100"/>
      <c r="AQ833" s="100"/>
      <c r="AR833" s="100"/>
      <c r="AS833" s="100"/>
      <c r="AT833" s="100"/>
      <c r="AU833" s="101"/>
    </row>
    <row r="834" spans="29:47" ht="18.75" x14ac:dyDescent="0.3">
      <c r="AC834" s="99"/>
      <c r="AD834" s="100"/>
      <c r="AE834" s="100"/>
      <c r="AF834" s="100"/>
      <c r="AG834" s="100"/>
      <c r="AH834" s="100"/>
      <c r="AI834" s="100"/>
      <c r="AJ834" s="101"/>
      <c r="AK834" s="99"/>
      <c r="AL834" s="100"/>
      <c r="AM834" s="100"/>
      <c r="AN834" s="100"/>
      <c r="AO834" s="100"/>
      <c r="AP834" s="100"/>
      <c r="AQ834" s="100"/>
      <c r="AR834" s="100"/>
      <c r="AS834" s="100"/>
      <c r="AT834" s="100"/>
      <c r="AU834" s="101"/>
    </row>
    <row r="835" spans="29:47" ht="18.75" x14ac:dyDescent="0.3">
      <c r="AC835" s="99"/>
      <c r="AD835" s="100"/>
      <c r="AE835" s="100"/>
      <c r="AF835" s="100"/>
      <c r="AG835" s="100"/>
      <c r="AH835" s="100"/>
      <c r="AI835" s="100"/>
      <c r="AJ835" s="101"/>
      <c r="AK835" s="99"/>
      <c r="AL835" s="100"/>
      <c r="AM835" s="100"/>
      <c r="AN835" s="100"/>
      <c r="AO835" s="100"/>
      <c r="AP835" s="100"/>
      <c r="AQ835" s="100"/>
      <c r="AR835" s="100"/>
      <c r="AS835" s="100"/>
      <c r="AT835" s="100"/>
      <c r="AU835" s="101"/>
    </row>
    <row r="836" spans="29:47" ht="18.75" x14ac:dyDescent="0.3">
      <c r="AC836" s="99"/>
      <c r="AD836" s="100"/>
      <c r="AE836" s="100"/>
      <c r="AF836" s="100"/>
      <c r="AG836" s="100"/>
      <c r="AH836" s="100"/>
      <c r="AI836" s="100"/>
      <c r="AJ836" s="101"/>
      <c r="AK836" s="99"/>
      <c r="AL836" s="100"/>
      <c r="AM836" s="100"/>
      <c r="AN836" s="100"/>
      <c r="AO836" s="100"/>
      <c r="AP836" s="100"/>
      <c r="AQ836" s="100"/>
      <c r="AR836" s="100"/>
      <c r="AS836" s="100"/>
      <c r="AT836" s="100"/>
      <c r="AU836" s="101"/>
    </row>
    <row r="837" spans="29:47" ht="18.75" x14ac:dyDescent="0.3">
      <c r="AC837" s="99"/>
      <c r="AD837" s="100"/>
      <c r="AE837" s="100"/>
      <c r="AF837" s="100"/>
      <c r="AG837" s="100"/>
      <c r="AH837" s="100"/>
      <c r="AI837" s="100"/>
      <c r="AJ837" s="101"/>
      <c r="AK837" s="99"/>
      <c r="AL837" s="100"/>
      <c r="AM837" s="100"/>
      <c r="AN837" s="100"/>
      <c r="AO837" s="100"/>
      <c r="AP837" s="100"/>
      <c r="AQ837" s="100"/>
      <c r="AR837" s="100"/>
      <c r="AS837" s="100"/>
      <c r="AT837" s="100"/>
      <c r="AU837" s="101"/>
    </row>
    <row r="838" spans="29:47" ht="18.75" x14ac:dyDescent="0.3">
      <c r="AC838" s="99"/>
      <c r="AD838" s="100"/>
      <c r="AE838" s="100"/>
      <c r="AF838" s="100"/>
      <c r="AG838" s="100"/>
      <c r="AH838" s="100"/>
      <c r="AI838" s="100"/>
      <c r="AJ838" s="101"/>
      <c r="AK838" s="99"/>
      <c r="AL838" s="100"/>
      <c r="AM838" s="100"/>
      <c r="AN838" s="100"/>
      <c r="AO838" s="100"/>
      <c r="AP838" s="100"/>
      <c r="AQ838" s="100"/>
      <c r="AR838" s="100"/>
      <c r="AS838" s="100"/>
      <c r="AT838" s="100"/>
      <c r="AU838" s="101"/>
    </row>
    <row r="839" spans="29:47" ht="18.75" x14ac:dyDescent="0.3">
      <c r="AC839" s="99"/>
      <c r="AD839" s="100"/>
      <c r="AE839" s="100"/>
      <c r="AF839" s="100"/>
      <c r="AG839" s="100"/>
      <c r="AH839" s="100"/>
      <c r="AI839" s="100"/>
      <c r="AJ839" s="101"/>
      <c r="AK839" s="99"/>
      <c r="AL839" s="100"/>
      <c r="AM839" s="100"/>
      <c r="AN839" s="100"/>
      <c r="AO839" s="100"/>
      <c r="AP839" s="100"/>
      <c r="AQ839" s="100"/>
      <c r="AR839" s="100"/>
      <c r="AS839" s="100"/>
      <c r="AT839" s="100"/>
      <c r="AU839" s="101"/>
    </row>
    <row r="840" spans="29:47" ht="18.75" x14ac:dyDescent="0.3">
      <c r="AC840" s="99"/>
      <c r="AD840" s="100"/>
      <c r="AE840" s="100"/>
      <c r="AF840" s="100"/>
      <c r="AG840" s="100"/>
      <c r="AH840" s="100"/>
      <c r="AI840" s="100"/>
      <c r="AJ840" s="101"/>
      <c r="AK840" s="99"/>
      <c r="AL840" s="100"/>
      <c r="AM840" s="100"/>
      <c r="AN840" s="100"/>
      <c r="AO840" s="100"/>
      <c r="AP840" s="100"/>
      <c r="AQ840" s="100"/>
      <c r="AR840" s="100"/>
      <c r="AS840" s="100"/>
      <c r="AT840" s="100"/>
      <c r="AU840" s="101"/>
    </row>
    <row r="841" spans="29:47" ht="18.75" x14ac:dyDescent="0.3">
      <c r="AC841" s="99"/>
      <c r="AD841" s="100"/>
      <c r="AE841" s="100"/>
      <c r="AF841" s="100"/>
      <c r="AG841" s="100"/>
      <c r="AH841" s="100"/>
      <c r="AI841" s="100"/>
      <c r="AJ841" s="101"/>
      <c r="AK841" s="99"/>
      <c r="AL841" s="100"/>
      <c r="AM841" s="100"/>
      <c r="AN841" s="100"/>
      <c r="AO841" s="100"/>
      <c r="AP841" s="100"/>
      <c r="AQ841" s="100"/>
      <c r="AR841" s="100"/>
      <c r="AS841" s="100"/>
      <c r="AT841" s="100"/>
      <c r="AU841" s="101"/>
    </row>
    <row r="842" spans="29:47" ht="18.75" x14ac:dyDescent="0.3">
      <c r="AC842" s="99"/>
      <c r="AD842" s="100"/>
      <c r="AE842" s="100"/>
      <c r="AF842" s="100"/>
      <c r="AG842" s="100"/>
      <c r="AH842" s="100"/>
      <c r="AI842" s="100"/>
      <c r="AJ842" s="101"/>
      <c r="AK842" s="99"/>
      <c r="AL842" s="100"/>
      <c r="AM842" s="100"/>
      <c r="AN842" s="100"/>
      <c r="AO842" s="100"/>
      <c r="AP842" s="100"/>
      <c r="AQ842" s="100"/>
      <c r="AR842" s="100"/>
      <c r="AS842" s="100"/>
      <c r="AT842" s="100"/>
      <c r="AU842" s="101"/>
    </row>
    <row r="843" spans="29:47" ht="18.75" x14ac:dyDescent="0.3">
      <c r="AC843" s="99"/>
      <c r="AD843" s="100"/>
      <c r="AE843" s="100"/>
      <c r="AF843" s="100"/>
      <c r="AG843" s="100"/>
      <c r="AH843" s="100"/>
      <c r="AI843" s="100"/>
      <c r="AJ843" s="101"/>
      <c r="AK843" s="99"/>
      <c r="AL843" s="100"/>
      <c r="AM843" s="100"/>
      <c r="AN843" s="100"/>
      <c r="AO843" s="100"/>
      <c r="AP843" s="100"/>
      <c r="AQ843" s="100"/>
      <c r="AR843" s="100"/>
      <c r="AS843" s="100"/>
      <c r="AT843" s="100"/>
      <c r="AU843" s="101"/>
    </row>
    <row r="844" spans="29:47" ht="18.75" x14ac:dyDescent="0.3">
      <c r="AC844" s="99"/>
      <c r="AD844" s="100"/>
      <c r="AE844" s="100"/>
      <c r="AF844" s="100"/>
      <c r="AG844" s="100"/>
      <c r="AH844" s="100"/>
      <c r="AI844" s="100"/>
      <c r="AJ844" s="101"/>
      <c r="AK844" s="99"/>
      <c r="AL844" s="100"/>
      <c r="AM844" s="100"/>
      <c r="AN844" s="100"/>
      <c r="AO844" s="100"/>
      <c r="AP844" s="100"/>
      <c r="AQ844" s="100"/>
      <c r="AR844" s="100"/>
      <c r="AS844" s="100"/>
      <c r="AT844" s="100"/>
      <c r="AU844" s="101"/>
    </row>
    <row r="845" spans="29:47" ht="18.75" x14ac:dyDescent="0.3">
      <c r="AC845" s="99"/>
      <c r="AD845" s="100"/>
      <c r="AE845" s="100"/>
      <c r="AF845" s="100"/>
      <c r="AG845" s="100"/>
      <c r="AH845" s="100"/>
      <c r="AI845" s="100"/>
      <c r="AJ845" s="101"/>
      <c r="AK845" s="99"/>
      <c r="AL845" s="100"/>
      <c r="AM845" s="100"/>
      <c r="AN845" s="100"/>
      <c r="AO845" s="100"/>
      <c r="AP845" s="100"/>
      <c r="AQ845" s="100"/>
      <c r="AR845" s="100"/>
      <c r="AS845" s="100"/>
      <c r="AT845" s="100"/>
      <c r="AU845" s="101"/>
    </row>
    <row r="846" spans="29:47" ht="18.75" x14ac:dyDescent="0.3">
      <c r="AC846" s="99"/>
      <c r="AD846" s="100"/>
      <c r="AE846" s="100"/>
      <c r="AF846" s="100"/>
      <c r="AG846" s="100"/>
      <c r="AH846" s="100"/>
      <c r="AI846" s="100"/>
      <c r="AJ846" s="101"/>
      <c r="AK846" s="99"/>
      <c r="AL846" s="100"/>
      <c r="AM846" s="100"/>
      <c r="AN846" s="100"/>
      <c r="AO846" s="100"/>
      <c r="AP846" s="100"/>
      <c r="AQ846" s="100"/>
      <c r="AR846" s="100"/>
      <c r="AS846" s="100"/>
      <c r="AT846" s="100"/>
      <c r="AU846" s="101"/>
    </row>
    <row r="847" spans="29:47" ht="18.75" x14ac:dyDescent="0.3">
      <c r="AC847" s="99"/>
      <c r="AD847" s="100"/>
      <c r="AE847" s="100"/>
      <c r="AF847" s="100"/>
      <c r="AG847" s="100"/>
      <c r="AH847" s="100"/>
      <c r="AI847" s="100"/>
      <c r="AJ847" s="101"/>
      <c r="AK847" s="99"/>
      <c r="AL847" s="100"/>
      <c r="AM847" s="100"/>
      <c r="AN847" s="100"/>
      <c r="AO847" s="100"/>
      <c r="AP847" s="100"/>
      <c r="AQ847" s="100"/>
      <c r="AR847" s="100"/>
      <c r="AS847" s="100"/>
      <c r="AT847" s="100"/>
      <c r="AU847" s="101"/>
    </row>
    <row r="848" spans="29:47" ht="18.75" x14ac:dyDescent="0.3">
      <c r="AC848" s="99"/>
      <c r="AD848" s="100"/>
      <c r="AE848" s="100"/>
      <c r="AF848" s="100"/>
      <c r="AG848" s="100"/>
      <c r="AH848" s="100"/>
      <c r="AI848" s="100"/>
      <c r="AJ848" s="101"/>
      <c r="AK848" s="99"/>
      <c r="AL848" s="100"/>
      <c r="AM848" s="100"/>
      <c r="AN848" s="100"/>
      <c r="AO848" s="100"/>
      <c r="AP848" s="100"/>
      <c r="AQ848" s="100"/>
      <c r="AR848" s="100"/>
      <c r="AS848" s="100"/>
      <c r="AT848" s="100"/>
      <c r="AU848" s="101"/>
    </row>
    <row r="849" spans="29:47" ht="18.75" x14ac:dyDescent="0.3">
      <c r="AC849" s="99"/>
      <c r="AD849" s="100"/>
      <c r="AE849" s="100"/>
      <c r="AF849" s="100"/>
      <c r="AG849" s="100"/>
      <c r="AH849" s="100"/>
      <c r="AI849" s="100"/>
      <c r="AJ849" s="101"/>
      <c r="AK849" s="99"/>
      <c r="AL849" s="100"/>
      <c r="AM849" s="100"/>
      <c r="AN849" s="100"/>
      <c r="AO849" s="100"/>
      <c r="AP849" s="100"/>
      <c r="AQ849" s="100"/>
      <c r="AR849" s="100"/>
      <c r="AS849" s="100"/>
      <c r="AT849" s="100"/>
      <c r="AU849" s="101"/>
    </row>
    <row r="850" spans="29:47" ht="18.75" x14ac:dyDescent="0.3">
      <c r="AC850" s="99"/>
      <c r="AD850" s="100"/>
      <c r="AE850" s="100"/>
      <c r="AF850" s="100"/>
      <c r="AG850" s="100"/>
      <c r="AH850" s="100"/>
      <c r="AI850" s="100"/>
      <c r="AJ850" s="101"/>
      <c r="AK850" s="99"/>
      <c r="AL850" s="100"/>
      <c r="AM850" s="100"/>
      <c r="AN850" s="100"/>
      <c r="AO850" s="100"/>
      <c r="AP850" s="100"/>
      <c r="AQ850" s="100"/>
      <c r="AR850" s="100"/>
      <c r="AS850" s="100"/>
      <c r="AT850" s="100"/>
      <c r="AU850" s="101"/>
    </row>
    <row r="851" spans="29:47" ht="18.75" x14ac:dyDescent="0.3">
      <c r="AC851" s="99"/>
      <c r="AD851" s="100"/>
      <c r="AE851" s="100"/>
      <c r="AF851" s="100"/>
      <c r="AG851" s="100"/>
      <c r="AH851" s="100"/>
      <c r="AI851" s="100"/>
      <c r="AJ851" s="101"/>
      <c r="AK851" s="99"/>
      <c r="AL851" s="100"/>
      <c r="AM851" s="100"/>
      <c r="AN851" s="100"/>
      <c r="AO851" s="100"/>
      <c r="AP851" s="100"/>
      <c r="AQ851" s="100"/>
      <c r="AR851" s="100"/>
      <c r="AS851" s="100"/>
      <c r="AT851" s="100"/>
      <c r="AU851" s="101"/>
    </row>
    <row r="852" spans="29:47" ht="18.75" x14ac:dyDescent="0.3">
      <c r="AC852" s="99"/>
      <c r="AD852" s="100"/>
      <c r="AE852" s="100"/>
      <c r="AF852" s="100"/>
      <c r="AG852" s="100"/>
      <c r="AH852" s="100"/>
      <c r="AI852" s="100"/>
      <c r="AJ852" s="101"/>
      <c r="AK852" s="99"/>
      <c r="AL852" s="100"/>
      <c r="AM852" s="100"/>
      <c r="AN852" s="100"/>
      <c r="AO852" s="100"/>
      <c r="AP852" s="100"/>
      <c r="AQ852" s="100"/>
      <c r="AR852" s="100"/>
      <c r="AS852" s="100"/>
      <c r="AT852" s="100"/>
      <c r="AU852" s="101"/>
    </row>
    <row r="853" spans="29:47" ht="18.75" x14ac:dyDescent="0.3">
      <c r="AC853" s="99"/>
      <c r="AD853" s="100"/>
      <c r="AE853" s="100"/>
      <c r="AF853" s="100"/>
      <c r="AG853" s="100"/>
      <c r="AH853" s="100"/>
      <c r="AI853" s="100"/>
      <c r="AJ853" s="101"/>
      <c r="AK853" s="99"/>
      <c r="AL853" s="100"/>
      <c r="AM853" s="100"/>
      <c r="AN853" s="100"/>
      <c r="AO853" s="100"/>
      <c r="AP853" s="100"/>
      <c r="AQ853" s="100"/>
      <c r="AR853" s="100"/>
      <c r="AS853" s="100"/>
      <c r="AT853" s="100"/>
      <c r="AU853" s="101"/>
    </row>
    <row r="854" spans="29:47" ht="18.75" x14ac:dyDescent="0.3">
      <c r="AC854" s="99"/>
      <c r="AD854" s="100"/>
      <c r="AE854" s="100"/>
      <c r="AF854" s="100"/>
      <c r="AG854" s="100"/>
      <c r="AH854" s="100"/>
      <c r="AI854" s="100"/>
      <c r="AJ854" s="101"/>
      <c r="AK854" s="99"/>
      <c r="AL854" s="100"/>
      <c r="AM854" s="100"/>
      <c r="AN854" s="100"/>
      <c r="AO854" s="100"/>
      <c r="AP854" s="100"/>
      <c r="AQ854" s="100"/>
      <c r="AR854" s="100"/>
      <c r="AS854" s="100"/>
      <c r="AT854" s="100"/>
      <c r="AU854" s="101"/>
    </row>
    <row r="855" spans="29:47" ht="18.75" x14ac:dyDescent="0.3">
      <c r="AC855" s="99"/>
      <c r="AD855" s="100"/>
      <c r="AE855" s="100"/>
      <c r="AF855" s="100"/>
      <c r="AG855" s="100"/>
      <c r="AH855" s="100"/>
      <c r="AI855" s="100"/>
      <c r="AJ855" s="101"/>
      <c r="AK855" s="99"/>
      <c r="AL855" s="100"/>
      <c r="AM855" s="100"/>
      <c r="AN855" s="100"/>
      <c r="AO855" s="100"/>
      <c r="AP855" s="100"/>
      <c r="AQ855" s="100"/>
      <c r="AR855" s="100"/>
      <c r="AS855" s="100"/>
      <c r="AT855" s="100"/>
      <c r="AU855" s="101"/>
    </row>
    <row r="856" spans="29:47" ht="18.75" x14ac:dyDescent="0.3">
      <c r="AC856" s="99"/>
      <c r="AD856" s="100"/>
      <c r="AE856" s="100"/>
      <c r="AF856" s="100"/>
      <c r="AG856" s="100"/>
      <c r="AH856" s="100"/>
      <c r="AI856" s="100"/>
      <c r="AJ856" s="101"/>
      <c r="AK856" s="99"/>
      <c r="AL856" s="100"/>
      <c r="AM856" s="100"/>
      <c r="AN856" s="100"/>
      <c r="AO856" s="100"/>
      <c r="AP856" s="100"/>
      <c r="AQ856" s="100"/>
      <c r="AR856" s="100"/>
      <c r="AS856" s="100"/>
      <c r="AT856" s="100"/>
      <c r="AU856" s="101"/>
    </row>
    <row r="857" spans="29:47" ht="18.75" x14ac:dyDescent="0.3">
      <c r="AC857" s="99"/>
      <c r="AD857" s="100"/>
      <c r="AE857" s="100"/>
      <c r="AF857" s="100"/>
      <c r="AG857" s="100"/>
      <c r="AH857" s="100"/>
      <c r="AI857" s="100"/>
      <c r="AJ857" s="101"/>
      <c r="AK857" s="99"/>
      <c r="AL857" s="100"/>
      <c r="AM857" s="100"/>
      <c r="AN857" s="100"/>
      <c r="AO857" s="100"/>
      <c r="AP857" s="100"/>
      <c r="AQ857" s="100"/>
      <c r="AR857" s="100"/>
      <c r="AS857" s="100"/>
      <c r="AT857" s="100"/>
      <c r="AU857" s="101"/>
    </row>
    <row r="858" spans="29:47" ht="18.75" x14ac:dyDescent="0.3">
      <c r="AC858" s="99"/>
      <c r="AD858" s="100"/>
      <c r="AE858" s="100"/>
      <c r="AF858" s="100"/>
      <c r="AG858" s="100"/>
      <c r="AH858" s="100"/>
      <c r="AI858" s="100"/>
      <c r="AJ858" s="101"/>
      <c r="AK858" s="99"/>
      <c r="AL858" s="100"/>
      <c r="AM858" s="100"/>
      <c r="AN858" s="100"/>
      <c r="AO858" s="100"/>
      <c r="AP858" s="100"/>
      <c r="AQ858" s="100"/>
      <c r="AR858" s="100"/>
      <c r="AS858" s="100"/>
      <c r="AT858" s="100"/>
      <c r="AU858" s="101"/>
    </row>
    <row r="859" spans="29:47" ht="18.75" x14ac:dyDescent="0.3">
      <c r="AC859" s="99"/>
      <c r="AD859" s="100"/>
      <c r="AE859" s="100"/>
      <c r="AF859" s="100"/>
      <c r="AG859" s="100"/>
      <c r="AH859" s="100"/>
      <c r="AI859" s="100"/>
      <c r="AJ859" s="101"/>
      <c r="AK859" s="99"/>
      <c r="AL859" s="100"/>
      <c r="AM859" s="100"/>
      <c r="AN859" s="100"/>
      <c r="AO859" s="100"/>
      <c r="AP859" s="100"/>
      <c r="AQ859" s="100"/>
      <c r="AR859" s="100"/>
      <c r="AS859" s="100"/>
      <c r="AT859" s="100"/>
      <c r="AU859" s="101"/>
    </row>
    <row r="860" spans="29:47" ht="18.75" x14ac:dyDescent="0.3">
      <c r="AC860" s="99"/>
      <c r="AD860" s="100"/>
      <c r="AE860" s="100"/>
      <c r="AF860" s="100"/>
      <c r="AG860" s="100"/>
      <c r="AH860" s="100"/>
      <c r="AI860" s="100"/>
      <c r="AJ860" s="101"/>
      <c r="AK860" s="99"/>
      <c r="AL860" s="100"/>
      <c r="AM860" s="100"/>
      <c r="AN860" s="100"/>
      <c r="AO860" s="100"/>
      <c r="AP860" s="100"/>
      <c r="AQ860" s="100"/>
      <c r="AR860" s="100"/>
      <c r="AS860" s="100"/>
      <c r="AT860" s="100"/>
      <c r="AU860" s="101"/>
    </row>
    <row r="861" spans="29:47" ht="18.75" x14ac:dyDescent="0.3">
      <c r="AC861" s="99"/>
      <c r="AD861" s="100"/>
      <c r="AE861" s="100"/>
      <c r="AF861" s="100"/>
      <c r="AG861" s="100"/>
      <c r="AH861" s="100"/>
      <c r="AI861" s="100"/>
      <c r="AJ861" s="101"/>
      <c r="AK861" s="99"/>
      <c r="AL861" s="100"/>
      <c r="AM861" s="100"/>
      <c r="AN861" s="100"/>
      <c r="AO861" s="100"/>
      <c r="AP861" s="100"/>
      <c r="AQ861" s="100"/>
      <c r="AR861" s="100"/>
      <c r="AS861" s="100"/>
      <c r="AT861" s="100"/>
      <c r="AU861" s="101"/>
    </row>
    <row r="862" spans="29:47" ht="18.75" x14ac:dyDescent="0.3">
      <c r="AC862" s="99"/>
      <c r="AD862" s="100"/>
      <c r="AE862" s="100"/>
      <c r="AF862" s="100"/>
      <c r="AG862" s="100"/>
      <c r="AH862" s="100"/>
      <c r="AI862" s="100"/>
      <c r="AJ862" s="101"/>
      <c r="AK862" s="99"/>
      <c r="AL862" s="100"/>
      <c r="AM862" s="100"/>
      <c r="AN862" s="100"/>
      <c r="AO862" s="100"/>
      <c r="AP862" s="100"/>
      <c r="AQ862" s="100"/>
      <c r="AR862" s="100"/>
      <c r="AS862" s="100"/>
      <c r="AT862" s="100"/>
      <c r="AU862" s="101"/>
    </row>
    <row r="863" spans="29:47" ht="18.75" x14ac:dyDescent="0.3">
      <c r="AC863" s="99"/>
      <c r="AD863" s="100"/>
      <c r="AE863" s="100"/>
      <c r="AF863" s="100"/>
      <c r="AG863" s="100"/>
      <c r="AH863" s="100"/>
      <c r="AI863" s="100"/>
      <c r="AJ863" s="101"/>
      <c r="AK863" s="99"/>
      <c r="AL863" s="100"/>
      <c r="AM863" s="100"/>
      <c r="AN863" s="100"/>
      <c r="AO863" s="100"/>
      <c r="AP863" s="100"/>
      <c r="AQ863" s="100"/>
      <c r="AR863" s="100"/>
      <c r="AS863" s="100"/>
      <c r="AT863" s="100"/>
      <c r="AU863" s="101"/>
    </row>
    <row r="864" spans="29:47" ht="18.75" x14ac:dyDescent="0.3">
      <c r="AC864" s="99"/>
      <c r="AD864" s="100"/>
      <c r="AE864" s="100"/>
      <c r="AF864" s="100"/>
      <c r="AG864" s="100"/>
      <c r="AH864" s="100"/>
      <c r="AI864" s="100"/>
      <c r="AJ864" s="101"/>
      <c r="AK864" s="99"/>
      <c r="AL864" s="100"/>
      <c r="AM864" s="100"/>
      <c r="AN864" s="100"/>
      <c r="AO864" s="100"/>
      <c r="AP864" s="100"/>
      <c r="AQ864" s="100"/>
      <c r="AR864" s="100"/>
      <c r="AS864" s="100"/>
      <c r="AT864" s="100"/>
      <c r="AU864" s="101"/>
    </row>
    <row r="865" spans="29:47" ht="18.75" x14ac:dyDescent="0.3">
      <c r="AC865" s="99"/>
      <c r="AD865" s="100"/>
      <c r="AE865" s="100"/>
      <c r="AF865" s="100"/>
      <c r="AG865" s="100"/>
      <c r="AH865" s="100"/>
      <c r="AI865" s="100"/>
      <c r="AJ865" s="101"/>
      <c r="AK865" s="99"/>
      <c r="AL865" s="100"/>
      <c r="AM865" s="100"/>
      <c r="AN865" s="100"/>
      <c r="AO865" s="100"/>
      <c r="AP865" s="100"/>
      <c r="AQ865" s="100"/>
      <c r="AR865" s="100"/>
      <c r="AS865" s="100"/>
      <c r="AT865" s="100"/>
      <c r="AU865" s="101"/>
    </row>
    <row r="866" spans="29:47" ht="18.75" x14ac:dyDescent="0.3">
      <c r="AC866" s="99"/>
      <c r="AD866" s="100"/>
      <c r="AE866" s="100"/>
      <c r="AF866" s="100"/>
      <c r="AG866" s="100"/>
      <c r="AH866" s="100"/>
      <c r="AI866" s="100"/>
      <c r="AJ866" s="101"/>
      <c r="AK866" s="99"/>
      <c r="AL866" s="100"/>
      <c r="AM866" s="100"/>
      <c r="AN866" s="100"/>
      <c r="AO866" s="100"/>
      <c r="AP866" s="100"/>
      <c r="AQ866" s="100"/>
      <c r="AR866" s="100"/>
      <c r="AS866" s="100"/>
      <c r="AT866" s="100"/>
      <c r="AU866" s="101"/>
    </row>
    <row r="867" spans="29:47" ht="18.75" x14ac:dyDescent="0.3">
      <c r="AC867" s="99"/>
      <c r="AD867" s="100"/>
      <c r="AE867" s="100"/>
      <c r="AF867" s="100"/>
      <c r="AG867" s="100"/>
      <c r="AH867" s="100"/>
      <c r="AI867" s="100"/>
      <c r="AJ867" s="101"/>
      <c r="AK867" s="99"/>
      <c r="AL867" s="100"/>
      <c r="AM867" s="100"/>
      <c r="AN867" s="100"/>
      <c r="AO867" s="100"/>
      <c r="AP867" s="100"/>
      <c r="AQ867" s="100"/>
      <c r="AR867" s="100"/>
      <c r="AS867" s="100"/>
      <c r="AT867" s="100"/>
      <c r="AU867" s="101"/>
    </row>
    <row r="868" spans="29:47" ht="18.75" x14ac:dyDescent="0.3">
      <c r="AC868" s="99"/>
      <c r="AD868" s="100"/>
      <c r="AE868" s="100"/>
      <c r="AF868" s="100"/>
      <c r="AG868" s="100"/>
      <c r="AH868" s="100"/>
      <c r="AI868" s="100"/>
      <c r="AJ868" s="101"/>
      <c r="AK868" s="99"/>
      <c r="AL868" s="100"/>
      <c r="AM868" s="100"/>
      <c r="AN868" s="100"/>
      <c r="AO868" s="100"/>
      <c r="AP868" s="100"/>
      <c r="AQ868" s="100"/>
      <c r="AR868" s="100"/>
      <c r="AS868" s="100"/>
      <c r="AT868" s="100"/>
      <c r="AU868" s="101"/>
    </row>
    <row r="869" spans="29:47" ht="18.75" x14ac:dyDescent="0.3">
      <c r="AC869" s="99"/>
      <c r="AD869" s="100"/>
      <c r="AE869" s="100"/>
      <c r="AF869" s="100"/>
      <c r="AG869" s="100"/>
      <c r="AH869" s="100"/>
      <c r="AI869" s="100"/>
      <c r="AJ869" s="101"/>
      <c r="AK869" s="99"/>
      <c r="AL869" s="100"/>
      <c r="AM869" s="100"/>
      <c r="AN869" s="100"/>
      <c r="AO869" s="100"/>
      <c r="AP869" s="100"/>
      <c r="AQ869" s="100"/>
      <c r="AR869" s="100"/>
      <c r="AS869" s="100"/>
      <c r="AT869" s="100"/>
      <c r="AU869" s="101"/>
    </row>
    <row r="870" spans="29:47" ht="18.75" x14ac:dyDescent="0.3">
      <c r="AC870" s="99"/>
      <c r="AD870" s="100"/>
      <c r="AE870" s="100"/>
      <c r="AF870" s="100"/>
      <c r="AG870" s="100"/>
      <c r="AH870" s="100"/>
      <c r="AI870" s="100"/>
      <c r="AJ870" s="101"/>
      <c r="AK870" s="99"/>
      <c r="AL870" s="100"/>
      <c r="AM870" s="100"/>
      <c r="AN870" s="100"/>
      <c r="AO870" s="100"/>
      <c r="AP870" s="100"/>
      <c r="AQ870" s="100"/>
      <c r="AR870" s="100"/>
      <c r="AS870" s="100"/>
      <c r="AT870" s="100"/>
      <c r="AU870" s="101"/>
    </row>
    <row r="871" spans="29:47" ht="18.75" x14ac:dyDescent="0.3">
      <c r="AC871" s="99"/>
      <c r="AD871" s="100"/>
      <c r="AE871" s="100"/>
      <c r="AF871" s="100"/>
      <c r="AG871" s="100"/>
      <c r="AH871" s="100"/>
      <c r="AI871" s="100"/>
      <c r="AJ871" s="101"/>
      <c r="AK871" s="99"/>
      <c r="AL871" s="100"/>
      <c r="AM871" s="100"/>
      <c r="AN871" s="100"/>
      <c r="AO871" s="100"/>
      <c r="AP871" s="100"/>
      <c r="AQ871" s="100"/>
      <c r="AR871" s="100"/>
      <c r="AS871" s="100"/>
      <c r="AT871" s="100"/>
      <c r="AU871" s="101"/>
    </row>
    <row r="872" spans="29:47" ht="18.75" x14ac:dyDescent="0.3">
      <c r="AC872" s="99"/>
      <c r="AD872" s="100"/>
      <c r="AE872" s="100"/>
      <c r="AF872" s="100"/>
      <c r="AG872" s="100"/>
      <c r="AH872" s="100"/>
      <c r="AI872" s="100"/>
      <c r="AJ872" s="101"/>
      <c r="AK872" s="99"/>
      <c r="AL872" s="100"/>
      <c r="AM872" s="100"/>
      <c r="AN872" s="100"/>
      <c r="AO872" s="100"/>
      <c r="AP872" s="100"/>
      <c r="AQ872" s="100"/>
      <c r="AR872" s="100"/>
      <c r="AS872" s="100"/>
      <c r="AT872" s="100"/>
      <c r="AU872" s="101"/>
    </row>
    <row r="873" spans="29:47" ht="18.75" x14ac:dyDescent="0.3">
      <c r="AC873" s="99"/>
      <c r="AD873" s="100"/>
      <c r="AE873" s="100"/>
      <c r="AF873" s="100"/>
      <c r="AG873" s="100"/>
      <c r="AH873" s="100"/>
      <c r="AI873" s="100"/>
      <c r="AJ873" s="101"/>
      <c r="AK873" s="99"/>
      <c r="AL873" s="100"/>
      <c r="AM873" s="100"/>
      <c r="AN873" s="100"/>
      <c r="AO873" s="100"/>
      <c r="AP873" s="100"/>
      <c r="AQ873" s="100"/>
      <c r="AR873" s="100"/>
      <c r="AS873" s="100"/>
      <c r="AT873" s="100"/>
      <c r="AU873" s="101"/>
    </row>
    <row r="874" spans="29:47" ht="18.75" x14ac:dyDescent="0.3">
      <c r="AC874" s="99"/>
      <c r="AD874" s="100"/>
      <c r="AE874" s="100"/>
      <c r="AF874" s="100"/>
      <c r="AG874" s="100"/>
      <c r="AH874" s="100"/>
      <c r="AI874" s="100"/>
      <c r="AJ874" s="101"/>
      <c r="AK874" s="99"/>
      <c r="AL874" s="100"/>
      <c r="AM874" s="100"/>
      <c r="AN874" s="100"/>
      <c r="AO874" s="100"/>
      <c r="AP874" s="100"/>
      <c r="AQ874" s="100"/>
      <c r="AR874" s="100"/>
      <c r="AS874" s="100"/>
      <c r="AT874" s="100"/>
      <c r="AU874" s="101"/>
    </row>
    <row r="875" spans="29:47" ht="18.75" x14ac:dyDescent="0.3">
      <c r="AC875" s="99"/>
      <c r="AD875" s="100"/>
      <c r="AE875" s="100"/>
      <c r="AF875" s="100"/>
      <c r="AG875" s="100"/>
      <c r="AH875" s="100"/>
      <c r="AI875" s="100"/>
      <c r="AJ875" s="101"/>
      <c r="AK875" s="99"/>
      <c r="AL875" s="100"/>
      <c r="AM875" s="100"/>
      <c r="AN875" s="100"/>
      <c r="AO875" s="100"/>
      <c r="AP875" s="100"/>
      <c r="AQ875" s="100"/>
      <c r="AR875" s="100"/>
      <c r="AS875" s="100"/>
      <c r="AT875" s="100"/>
      <c r="AU875" s="101"/>
    </row>
    <row r="876" spans="29:47" ht="18.75" x14ac:dyDescent="0.3">
      <c r="AC876" s="99"/>
      <c r="AD876" s="100"/>
      <c r="AE876" s="100"/>
      <c r="AF876" s="100"/>
      <c r="AG876" s="100"/>
      <c r="AH876" s="100"/>
      <c r="AI876" s="100"/>
      <c r="AJ876" s="101"/>
      <c r="AK876" s="99"/>
      <c r="AL876" s="100"/>
      <c r="AM876" s="100"/>
      <c r="AN876" s="100"/>
      <c r="AO876" s="100"/>
      <c r="AP876" s="100"/>
      <c r="AQ876" s="100"/>
      <c r="AR876" s="100"/>
      <c r="AS876" s="100"/>
      <c r="AT876" s="100"/>
      <c r="AU876" s="101"/>
    </row>
    <row r="877" spans="29:47" ht="18.75" x14ac:dyDescent="0.3">
      <c r="AC877" s="99"/>
      <c r="AD877" s="100"/>
      <c r="AE877" s="100"/>
      <c r="AF877" s="100"/>
      <c r="AG877" s="100"/>
      <c r="AH877" s="100"/>
      <c r="AI877" s="100"/>
      <c r="AJ877" s="101"/>
      <c r="AK877" s="99"/>
      <c r="AL877" s="100"/>
      <c r="AM877" s="100"/>
      <c r="AN877" s="100"/>
      <c r="AO877" s="100"/>
      <c r="AP877" s="100"/>
      <c r="AQ877" s="100"/>
      <c r="AR877" s="100"/>
      <c r="AS877" s="100"/>
      <c r="AT877" s="100"/>
      <c r="AU877" s="101"/>
    </row>
    <row r="878" spans="29:47" ht="18.75" x14ac:dyDescent="0.3">
      <c r="AC878" s="99"/>
      <c r="AD878" s="100"/>
      <c r="AE878" s="100"/>
      <c r="AF878" s="100"/>
      <c r="AG878" s="100"/>
      <c r="AH878" s="100"/>
      <c r="AI878" s="100"/>
      <c r="AJ878" s="101"/>
      <c r="AK878" s="99"/>
      <c r="AL878" s="100"/>
      <c r="AM878" s="100"/>
      <c r="AN878" s="100"/>
      <c r="AO878" s="100"/>
      <c r="AP878" s="100"/>
      <c r="AQ878" s="100"/>
      <c r="AR878" s="100"/>
      <c r="AS878" s="100"/>
      <c r="AT878" s="100"/>
      <c r="AU878" s="101"/>
    </row>
    <row r="879" spans="29:47" ht="18.75" x14ac:dyDescent="0.3">
      <c r="AC879" s="99"/>
      <c r="AD879" s="100"/>
      <c r="AE879" s="100"/>
      <c r="AF879" s="100"/>
      <c r="AG879" s="100"/>
      <c r="AH879" s="100"/>
      <c r="AI879" s="100"/>
      <c r="AJ879" s="101"/>
      <c r="AK879" s="99"/>
      <c r="AL879" s="100"/>
      <c r="AM879" s="100"/>
      <c r="AN879" s="100"/>
      <c r="AO879" s="100"/>
      <c r="AP879" s="100"/>
      <c r="AQ879" s="100"/>
      <c r="AR879" s="100"/>
      <c r="AS879" s="100"/>
      <c r="AT879" s="100"/>
      <c r="AU879" s="101"/>
    </row>
    <row r="880" spans="29:47" ht="18.75" x14ac:dyDescent="0.3">
      <c r="AC880" s="99"/>
      <c r="AD880" s="100"/>
      <c r="AE880" s="100"/>
      <c r="AF880" s="100"/>
      <c r="AG880" s="100"/>
      <c r="AH880" s="100"/>
      <c r="AI880" s="100"/>
      <c r="AJ880" s="101"/>
      <c r="AK880" s="99"/>
      <c r="AL880" s="100"/>
      <c r="AM880" s="100"/>
      <c r="AN880" s="100"/>
      <c r="AO880" s="100"/>
      <c r="AP880" s="100"/>
      <c r="AQ880" s="100"/>
      <c r="AR880" s="100"/>
      <c r="AS880" s="100"/>
      <c r="AT880" s="100"/>
      <c r="AU880" s="101"/>
    </row>
    <row r="881" spans="29:47" ht="18.75" x14ac:dyDescent="0.3">
      <c r="AC881" s="99"/>
      <c r="AD881" s="100"/>
      <c r="AE881" s="100"/>
      <c r="AF881" s="100"/>
      <c r="AG881" s="100"/>
      <c r="AH881" s="100"/>
      <c r="AI881" s="100"/>
      <c r="AJ881" s="101"/>
      <c r="AK881" s="99"/>
      <c r="AL881" s="100"/>
      <c r="AM881" s="100"/>
      <c r="AN881" s="100"/>
      <c r="AO881" s="100"/>
      <c r="AP881" s="100"/>
      <c r="AQ881" s="100"/>
      <c r="AR881" s="100"/>
      <c r="AS881" s="100"/>
      <c r="AT881" s="100"/>
      <c r="AU881" s="101"/>
    </row>
    <row r="882" spans="29:47" ht="18.75" x14ac:dyDescent="0.3">
      <c r="AC882" s="99"/>
      <c r="AD882" s="100"/>
      <c r="AE882" s="100"/>
      <c r="AF882" s="100"/>
      <c r="AG882" s="100"/>
      <c r="AH882" s="100"/>
      <c r="AI882" s="100"/>
      <c r="AJ882" s="101"/>
      <c r="AK882" s="99"/>
      <c r="AL882" s="100"/>
      <c r="AM882" s="100"/>
      <c r="AN882" s="100"/>
      <c r="AO882" s="100"/>
      <c r="AP882" s="100"/>
      <c r="AQ882" s="100"/>
      <c r="AR882" s="100"/>
      <c r="AS882" s="100"/>
      <c r="AT882" s="100"/>
      <c r="AU882" s="101"/>
    </row>
    <row r="883" spans="29:47" ht="18.75" x14ac:dyDescent="0.3">
      <c r="AC883" s="99"/>
      <c r="AD883" s="100"/>
      <c r="AE883" s="100"/>
      <c r="AF883" s="100"/>
      <c r="AG883" s="100"/>
      <c r="AH883" s="100"/>
      <c r="AI883" s="100"/>
      <c r="AJ883" s="101"/>
      <c r="AK883" s="99"/>
      <c r="AL883" s="100"/>
      <c r="AM883" s="100"/>
      <c r="AN883" s="100"/>
      <c r="AO883" s="100"/>
      <c r="AP883" s="100"/>
      <c r="AQ883" s="100"/>
      <c r="AR883" s="100"/>
      <c r="AS883" s="100"/>
      <c r="AT883" s="100"/>
      <c r="AU883" s="101"/>
    </row>
    <row r="884" spans="29:47" ht="18.75" x14ac:dyDescent="0.3">
      <c r="AC884" s="99"/>
      <c r="AD884" s="100"/>
      <c r="AE884" s="100"/>
      <c r="AF884" s="100"/>
      <c r="AG884" s="100"/>
      <c r="AH884" s="100"/>
      <c r="AI884" s="100"/>
      <c r="AJ884" s="101"/>
      <c r="AK884" s="99"/>
      <c r="AL884" s="100"/>
      <c r="AM884" s="100"/>
      <c r="AN884" s="100"/>
      <c r="AO884" s="100"/>
      <c r="AP884" s="100"/>
      <c r="AQ884" s="100"/>
      <c r="AR884" s="100"/>
      <c r="AS884" s="100"/>
      <c r="AT884" s="100"/>
      <c r="AU884" s="101"/>
    </row>
    <row r="885" spans="29:47" ht="18.75" x14ac:dyDescent="0.3">
      <c r="AC885" s="99"/>
      <c r="AD885" s="100"/>
      <c r="AE885" s="100"/>
      <c r="AF885" s="100"/>
      <c r="AG885" s="100"/>
      <c r="AH885" s="100"/>
      <c r="AI885" s="100"/>
      <c r="AJ885" s="101"/>
      <c r="AK885" s="99"/>
      <c r="AL885" s="100"/>
      <c r="AM885" s="100"/>
      <c r="AN885" s="100"/>
      <c r="AO885" s="100"/>
      <c r="AP885" s="100"/>
      <c r="AQ885" s="100"/>
      <c r="AR885" s="100"/>
      <c r="AS885" s="100"/>
      <c r="AT885" s="100"/>
      <c r="AU885" s="101"/>
    </row>
    <row r="886" spans="29:47" ht="18.75" x14ac:dyDescent="0.3">
      <c r="AC886" s="99"/>
      <c r="AD886" s="100"/>
      <c r="AE886" s="100"/>
      <c r="AF886" s="100"/>
      <c r="AG886" s="100"/>
      <c r="AH886" s="100"/>
      <c r="AI886" s="100"/>
      <c r="AJ886" s="101"/>
      <c r="AK886" s="99"/>
      <c r="AL886" s="100"/>
      <c r="AM886" s="100"/>
      <c r="AN886" s="100"/>
      <c r="AO886" s="100"/>
      <c r="AP886" s="100"/>
      <c r="AQ886" s="100"/>
      <c r="AR886" s="100"/>
      <c r="AS886" s="100"/>
      <c r="AT886" s="100"/>
      <c r="AU886" s="101"/>
    </row>
    <row r="887" spans="29:47" ht="18.75" x14ac:dyDescent="0.3">
      <c r="AC887" s="99"/>
      <c r="AD887" s="100"/>
      <c r="AE887" s="100"/>
      <c r="AF887" s="100"/>
      <c r="AG887" s="100"/>
      <c r="AH887" s="100"/>
      <c r="AI887" s="100"/>
      <c r="AJ887" s="101"/>
      <c r="AK887" s="99"/>
      <c r="AL887" s="100"/>
      <c r="AM887" s="100"/>
      <c r="AN887" s="100"/>
      <c r="AO887" s="100"/>
      <c r="AP887" s="100"/>
      <c r="AQ887" s="100"/>
      <c r="AR887" s="100"/>
      <c r="AS887" s="100"/>
      <c r="AT887" s="100"/>
      <c r="AU887" s="101"/>
    </row>
    <row r="888" spans="29:47" ht="18.75" x14ac:dyDescent="0.3">
      <c r="AC888" s="99"/>
      <c r="AD888" s="100"/>
      <c r="AE888" s="100"/>
      <c r="AF888" s="100"/>
      <c r="AG888" s="100"/>
      <c r="AH888" s="100"/>
      <c r="AI888" s="100"/>
      <c r="AJ888" s="101"/>
      <c r="AK888" s="99"/>
      <c r="AL888" s="100"/>
      <c r="AM888" s="100"/>
      <c r="AN888" s="100"/>
      <c r="AO888" s="100"/>
      <c r="AP888" s="100"/>
      <c r="AQ888" s="100"/>
      <c r="AR888" s="100"/>
      <c r="AS888" s="100"/>
      <c r="AT888" s="100"/>
      <c r="AU888" s="101"/>
    </row>
    <row r="889" spans="29:47" ht="18.75" x14ac:dyDescent="0.3">
      <c r="AC889" s="99"/>
      <c r="AD889" s="100"/>
      <c r="AE889" s="100"/>
      <c r="AF889" s="100"/>
      <c r="AG889" s="100"/>
      <c r="AH889" s="100"/>
      <c r="AI889" s="100"/>
      <c r="AJ889" s="101"/>
      <c r="AK889" s="99"/>
      <c r="AL889" s="100"/>
      <c r="AM889" s="100"/>
      <c r="AN889" s="100"/>
      <c r="AO889" s="100"/>
      <c r="AP889" s="100"/>
      <c r="AQ889" s="100"/>
      <c r="AR889" s="100"/>
      <c r="AS889" s="100"/>
      <c r="AT889" s="100"/>
      <c r="AU889" s="101"/>
    </row>
    <row r="890" spans="29:47" ht="18.75" x14ac:dyDescent="0.3">
      <c r="AC890" s="99"/>
      <c r="AD890" s="100"/>
      <c r="AE890" s="100"/>
      <c r="AF890" s="100"/>
      <c r="AG890" s="100"/>
      <c r="AH890" s="100"/>
      <c r="AI890" s="100"/>
      <c r="AJ890" s="101"/>
      <c r="AK890" s="99"/>
      <c r="AL890" s="100"/>
      <c r="AM890" s="100"/>
      <c r="AN890" s="100"/>
      <c r="AO890" s="100"/>
      <c r="AP890" s="100"/>
      <c r="AQ890" s="100"/>
      <c r="AR890" s="100"/>
      <c r="AS890" s="100"/>
      <c r="AT890" s="100"/>
      <c r="AU890" s="101"/>
    </row>
    <row r="891" spans="29:47" ht="18.75" x14ac:dyDescent="0.3">
      <c r="AC891" s="99"/>
      <c r="AD891" s="100"/>
      <c r="AE891" s="100"/>
      <c r="AF891" s="100"/>
      <c r="AG891" s="100"/>
      <c r="AH891" s="100"/>
      <c r="AI891" s="100"/>
      <c r="AJ891" s="101"/>
      <c r="AK891" s="99"/>
      <c r="AL891" s="100"/>
      <c r="AM891" s="100"/>
      <c r="AN891" s="100"/>
      <c r="AO891" s="100"/>
      <c r="AP891" s="100"/>
      <c r="AQ891" s="100"/>
      <c r="AR891" s="100"/>
      <c r="AS891" s="100"/>
      <c r="AT891" s="100"/>
      <c r="AU891" s="101"/>
    </row>
    <row r="892" spans="29:47" ht="18.75" x14ac:dyDescent="0.3">
      <c r="AC892" s="99"/>
      <c r="AD892" s="100"/>
      <c r="AE892" s="100"/>
      <c r="AF892" s="100"/>
      <c r="AG892" s="100"/>
      <c r="AH892" s="100"/>
      <c r="AI892" s="100"/>
      <c r="AJ892" s="101"/>
      <c r="AK892" s="99"/>
      <c r="AL892" s="100"/>
      <c r="AM892" s="100"/>
      <c r="AN892" s="100"/>
      <c r="AO892" s="100"/>
      <c r="AP892" s="100"/>
      <c r="AQ892" s="100"/>
      <c r="AR892" s="100"/>
      <c r="AS892" s="100"/>
      <c r="AT892" s="100"/>
      <c r="AU892" s="101"/>
    </row>
    <row r="893" spans="29:47" ht="18.75" x14ac:dyDescent="0.3">
      <c r="AC893" s="99"/>
      <c r="AD893" s="100"/>
      <c r="AE893" s="100"/>
      <c r="AF893" s="100"/>
      <c r="AG893" s="100"/>
      <c r="AH893" s="100"/>
      <c r="AI893" s="100"/>
      <c r="AJ893" s="101"/>
      <c r="AK893" s="99"/>
      <c r="AL893" s="100"/>
      <c r="AM893" s="100"/>
      <c r="AN893" s="100"/>
      <c r="AO893" s="100"/>
      <c r="AP893" s="100"/>
      <c r="AQ893" s="100"/>
      <c r="AR893" s="100"/>
      <c r="AS893" s="100"/>
      <c r="AT893" s="100"/>
      <c r="AU893" s="101"/>
    </row>
    <row r="894" spans="29:47" ht="18.75" x14ac:dyDescent="0.3">
      <c r="AC894" s="99"/>
      <c r="AD894" s="100"/>
      <c r="AE894" s="100"/>
      <c r="AF894" s="100"/>
      <c r="AG894" s="100"/>
      <c r="AH894" s="100"/>
      <c r="AI894" s="100"/>
      <c r="AJ894" s="101"/>
      <c r="AK894" s="99"/>
      <c r="AL894" s="100"/>
      <c r="AM894" s="100"/>
      <c r="AN894" s="100"/>
      <c r="AO894" s="100"/>
      <c r="AP894" s="100"/>
      <c r="AQ894" s="100"/>
      <c r="AR894" s="100"/>
      <c r="AS894" s="100"/>
      <c r="AT894" s="100"/>
      <c r="AU894" s="101"/>
    </row>
    <row r="895" spans="29:47" ht="18.75" x14ac:dyDescent="0.3">
      <c r="AC895" s="99"/>
      <c r="AD895" s="100"/>
      <c r="AE895" s="100"/>
      <c r="AF895" s="100"/>
      <c r="AG895" s="100"/>
      <c r="AH895" s="100"/>
      <c r="AI895" s="100"/>
      <c r="AJ895" s="101"/>
      <c r="AK895" s="99"/>
      <c r="AL895" s="100"/>
      <c r="AM895" s="100"/>
      <c r="AN895" s="100"/>
      <c r="AO895" s="100"/>
      <c r="AP895" s="100"/>
      <c r="AQ895" s="100"/>
      <c r="AR895" s="100"/>
      <c r="AS895" s="100"/>
      <c r="AT895" s="100"/>
      <c r="AU895" s="101"/>
    </row>
    <row r="896" spans="29:47" ht="18.75" x14ac:dyDescent="0.3">
      <c r="AC896" s="99"/>
      <c r="AD896" s="100"/>
      <c r="AE896" s="100"/>
      <c r="AF896" s="100"/>
      <c r="AG896" s="100"/>
      <c r="AH896" s="100"/>
      <c r="AI896" s="100"/>
      <c r="AJ896" s="101"/>
      <c r="AK896" s="99"/>
      <c r="AL896" s="100"/>
      <c r="AM896" s="100"/>
      <c r="AN896" s="100"/>
      <c r="AO896" s="100"/>
      <c r="AP896" s="100"/>
      <c r="AQ896" s="100"/>
      <c r="AR896" s="100"/>
      <c r="AS896" s="100"/>
      <c r="AT896" s="100"/>
      <c r="AU896" s="101"/>
    </row>
    <row r="897" spans="29:47" ht="18.75" x14ac:dyDescent="0.3">
      <c r="AC897" s="99"/>
      <c r="AD897" s="100"/>
      <c r="AE897" s="100"/>
      <c r="AF897" s="100"/>
      <c r="AG897" s="100"/>
      <c r="AH897" s="100"/>
      <c r="AI897" s="100"/>
      <c r="AJ897" s="101"/>
      <c r="AK897" s="99"/>
      <c r="AL897" s="100"/>
      <c r="AM897" s="100"/>
      <c r="AN897" s="100"/>
      <c r="AO897" s="100"/>
      <c r="AP897" s="100"/>
      <c r="AQ897" s="100"/>
      <c r="AR897" s="100"/>
      <c r="AS897" s="100"/>
      <c r="AT897" s="100"/>
      <c r="AU897" s="101"/>
    </row>
    <row r="898" spans="29:47" ht="18.75" x14ac:dyDescent="0.3">
      <c r="AC898" s="99"/>
      <c r="AD898" s="100"/>
      <c r="AE898" s="100"/>
      <c r="AF898" s="100"/>
      <c r="AG898" s="100"/>
      <c r="AH898" s="100"/>
      <c r="AI898" s="100"/>
      <c r="AJ898" s="101"/>
      <c r="AK898" s="99"/>
      <c r="AL898" s="100"/>
      <c r="AM898" s="100"/>
      <c r="AN898" s="100"/>
      <c r="AO898" s="100"/>
      <c r="AP898" s="100"/>
      <c r="AQ898" s="100"/>
      <c r="AR898" s="100"/>
      <c r="AS898" s="100"/>
      <c r="AT898" s="100"/>
      <c r="AU898" s="101"/>
    </row>
    <row r="899" spans="29:47" ht="18.75" x14ac:dyDescent="0.3">
      <c r="AC899" s="99"/>
      <c r="AD899" s="100"/>
      <c r="AE899" s="100"/>
      <c r="AF899" s="100"/>
      <c r="AG899" s="100"/>
      <c r="AH899" s="100"/>
      <c r="AI899" s="100"/>
      <c r="AJ899" s="101"/>
      <c r="AK899" s="99"/>
      <c r="AL899" s="100"/>
      <c r="AM899" s="100"/>
      <c r="AN899" s="100"/>
      <c r="AO899" s="100"/>
      <c r="AP899" s="100"/>
      <c r="AQ899" s="100"/>
      <c r="AR899" s="100"/>
      <c r="AS899" s="100"/>
      <c r="AT899" s="100"/>
      <c r="AU899" s="101"/>
    </row>
    <row r="900" spans="29:47" ht="18.75" x14ac:dyDescent="0.3">
      <c r="AC900" s="99"/>
      <c r="AD900" s="100"/>
      <c r="AE900" s="100"/>
      <c r="AF900" s="100"/>
      <c r="AG900" s="100"/>
      <c r="AH900" s="100"/>
      <c r="AI900" s="100"/>
      <c r="AJ900" s="101"/>
      <c r="AK900" s="99"/>
      <c r="AL900" s="100"/>
      <c r="AM900" s="100"/>
      <c r="AN900" s="100"/>
      <c r="AO900" s="100"/>
      <c r="AP900" s="100"/>
      <c r="AQ900" s="100"/>
      <c r="AR900" s="100"/>
      <c r="AS900" s="100"/>
      <c r="AT900" s="100"/>
      <c r="AU900" s="101"/>
    </row>
    <row r="901" spans="29:47" ht="18.75" x14ac:dyDescent="0.3">
      <c r="AC901" s="99"/>
      <c r="AD901" s="100"/>
      <c r="AE901" s="100"/>
      <c r="AF901" s="100"/>
      <c r="AG901" s="100"/>
      <c r="AH901" s="100"/>
      <c r="AI901" s="100"/>
      <c r="AJ901" s="101"/>
      <c r="AK901" s="99"/>
      <c r="AL901" s="100"/>
      <c r="AM901" s="100"/>
      <c r="AN901" s="100"/>
      <c r="AO901" s="100"/>
      <c r="AP901" s="100"/>
      <c r="AQ901" s="100"/>
      <c r="AR901" s="100"/>
      <c r="AS901" s="100"/>
      <c r="AT901" s="100"/>
      <c r="AU901" s="101"/>
    </row>
    <row r="902" spans="29:47" ht="18.75" x14ac:dyDescent="0.3">
      <c r="AC902" s="99"/>
      <c r="AD902" s="100"/>
      <c r="AE902" s="100"/>
      <c r="AF902" s="100"/>
      <c r="AG902" s="100"/>
      <c r="AH902" s="100"/>
      <c r="AI902" s="100"/>
      <c r="AJ902" s="101"/>
      <c r="AK902" s="99"/>
      <c r="AL902" s="100"/>
      <c r="AM902" s="100"/>
      <c r="AN902" s="100"/>
      <c r="AO902" s="100"/>
      <c r="AP902" s="100"/>
      <c r="AQ902" s="100"/>
      <c r="AR902" s="100"/>
      <c r="AS902" s="100"/>
      <c r="AT902" s="100"/>
      <c r="AU902" s="101"/>
    </row>
    <row r="903" spans="29:47" ht="18.75" x14ac:dyDescent="0.3">
      <c r="AC903" s="99"/>
      <c r="AD903" s="100"/>
      <c r="AE903" s="100"/>
      <c r="AF903" s="100"/>
      <c r="AG903" s="100"/>
      <c r="AH903" s="100"/>
      <c r="AI903" s="100"/>
      <c r="AJ903" s="101"/>
      <c r="AK903" s="99"/>
      <c r="AL903" s="100"/>
      <c r="AM903" s="100"/>
      <c r="AN903" s="100"/>
      <c r="AO903" s="100"/>
      <c r="AP903" s="100"/>
      <c r="AQ903" s="100"/>
      <c r="AR903" s="100"/>
      <c r="AS903" s="100"/>
      <c r="AT903" s="100"/>
      <c r="AU903" s="101"/>
    </row>
    <row r="904" spans="29:47" ht="18.75" x14ac:dyDescent="0.3">
      <c r="AC904" s="99"/>
      <c r="AD904" s="100"/>
      <c r="AE904" s="100"/>
      <c r="AF904" s="100"/>
      <c r="AG904" s="100"/>
      <c r="AH904" s="100"/>
      <c r="AI904" s="100"/>
      <c r="AJ904" s="101"/>
      <c r="AK904" s="99"/>
      <c r="AL904" s="100"/>
      <c r="AM904" s="100"/>
      <c r="AN904" s="100"/>
      <c r="AO904" s="100"/>
      <c r="AP904" s="100"/>
      <c r="AQ904" s="100"/>
      <c r="AR904" s="100"/>
      <c r="AS904" s="100"/>
      <c r="AT904" s="100"/>
      <c r="AU904" s="101"/>
    </row>
    <row r="905" spans="29:47" ht="18.75" x14ac:dyDescent="0.3">
      <c r="AC905" s="99"/>
      <c r="AD905" s="100"/>
      <c r="AE905" s="100"/>
      <c r="AF905" s="100"/>
      <c r="AG905" s="100"/>
      <c r="AH905" s="100"/>
      <c r="AI905" s="100"/>
      <c r="AJ905" s="101"/>
      <c r="AK905" s="99"/>
      <c r="AL905" s="100"/>
      <c r="AM905" s="100"/>
      <c r="AN905" s="100"/>
      <c r="AO905" s="100"/>
      <c r="AP905" s="100"/>
      <c r="AQ905" s="100"/>
      <c r="AR905" s="100"/>
      <c r="AS905" s="100"/>
      <c r="AT905" s="100"/>
      <c r="AU905" s="101"/>
    </row>
    <row r="906" spans="29:47" ht="18.75" x14ac:dyDescent="0.3">
      <c r="AC906" s="99"/>
      <c r="AD906" s="100"/>
      <c r="AE906" s="100"/>
      <c r="AF906" s="100"/>
      <c r="AG906" s="100"/>
      <c r="AH906" s="100"/>
      <c r="AI906" s="100"/>
      <c r="AJ906" s="101"/>
      <c r="AK906" s="99"/>
      <c r="AL906" s="100"/>
      <c r="AM906" s="100"/>
      <c r="AN906" s="100"/>
      <c r="AO906" s="100"/>
      <c r="AP906" s="100"/>
      <c r="AQ906" s="100"/>
      <c r="AR906" s="100"/>
      <c r="AS906" s="100"/>
      <c r="AT906" s="100"/>
      <c r="AU906" s="101"/>
    </row>
    <row r="907" spans="29:47" ht="18.75" x14ac:dyDescent="0.3">
      <c r="AC907" s="99"/>
      <c r="AD907" s="100"/>
      <c r="AE907" s="100"/>
      <c r="AF907" s="100"/>
      <c r="AG907" s="100"/>
      <c r="AH907" s="100"/>
      <c r="AI907" s="100"/>
      <c r="AJ907" s="101"/>
      <c r="AK907" s="99"/>
      <c r="AL907" s="100"/>
      <c r="AM907" s="100"/>
      <c r="AN907" s="100"/>
      <c r="AO907" s="100"/>
      <c r="AP907" s="100"/>
      <c r="AQ907" s="100"/>
      <c r="AR907" s="100"/>
      <c r="AS907" s="100"/>
      <c r="AT907" s="100"/>
      <c r="AU907" s="101"/>
    </row>
    <row r="908" spans="29:47" ht="18.75" x14ac:dyDescent="0.3">
      <c r="AC908" s="99"/>
      <c r="AD908" s="100"/>
      <c r="AE908" s="100"/>
      <c r="AF908" s="100"/>
      <c r="AG908" s="100"/>
      <c r="AH908" s="100"/>
      <c r="AI908" s="100"/>
      <c r="AJ908" s="101"/>
      <c r="AK908" s="99"/>
      <c r="AL908" s="100"/>
      <c r="AM908" s="100"/>
      <c r="AN908" s="100"/>
      <c r="AO908" s="100"/>
      <c r="AP908" s="100"/>
      <c r="AQ908" s="100"/>
      <c r="AR908" s="100"/>
      <c r="AS908" s="100"/>
      <c r="AT908" s="100"/>
      <c r="AU908" s="101"/>
    </row>
    <row r="909" spans="29:47" ht="18.75" x14ac:dyDescent="0.3">
      <c r="AC909" s="99"/>
      <c r="AD909" s="100"/>
      <c r="AE909" s="100"/>
      <c r="AF909" s="100"/>
      <c r="AG909" s="100"/>
      <c r="AH909" s="100"/>
      <c r="AI909" s="100"/>
      <c r="AJ909" s="101"/>
      <c r="AK909" s="99"/>
      <c r="AL909" s="100"/>
      <c r="AM909" s="100"/>
      <c r="AN909" s="100"/>
      <c r="AO909" s="100"/>
      <c r="AP909" s="100"/>
      <c r="AQ909" s="100"/>
      <c r="AR909" s="100"/>
      <c r="AS909" s="100"/>
      <c r="AT909" s="100"/>
      <c r="AU909" s="101"/>
    </row>
    <row r="910" spans="29:47" ht="18.75" x14ac:dyDescent="0.3">
      <c r="AC910" s="99"/>
      <c r="AD910" s="100"/>
      <c r="AE910" s="100"/>
      <c r="AF910" s="100"/>
      <c r="AG910" s="100"/>
      <c r="AH910" s="100"/>
      <c r="AI910" s="100"/>
      <c r="AJ910" s="101"/>
      <c r="AK910" s="99"/>
      <c r="AL910" s="100"/>
      <c r="AM910" s="100"/>
      <c r="AN910" s="100"/>
      <c r="AO910" s="100"/>
      <c r="AP910" s="100"/>
      <c r="AQ910" s="100"/>
      <c r="AR910" s="100"/>
      <c r="AS910" s="100"/>
      <c r="AT910" s="100"/>
      <c r="AU910" s="101"/>
    </row>
    <row r="911" spans="29:47" ht="18.75" x14ac:dyDescent="0.3">
      <c r="AC911" s="99"/>
      <c r="AD911" s="100"/>
      <c r="AE911" s="100"/>
      <c r="AF911" s="100"/>
      <c r="AG911" s="100"/>
      <c r="AH911" s="100"/>
      <c r="AI911" s="100"/>
      <c r="AJ911" s="101"/>
      <c r="AK911" s="99"/>
      <c r="AL911" s="100"/>
      <c r="AM911" s="100"/>
      <c r="AN911" s="100"/>
      <c r="AO911" s="100"/>
      <c r="AP911" s="100"/>
      <c r="AQ911" s="100"/>
      <c r="AR911" s="100"/>
      <c r="AS911" s="100"/>
      <c r="AT911" s="100"/>
      <c r="AU911" s="101"/>
    </row>
    <row r="912" spans="29:47" ht="18.75" x14ac:dyDescent="0.3">
      <c r="AC912" s="99"/>
      <c r="AD912" s="100"/>
      <c r="AE912" s="100"/>
      <c r="AF912" s="100"/>
      <c r="AG912" s="100"/>
      <c r="AH912" s="100"/>
      <c r="AI912" s="100"/>
      <c r="AJ912" s="101"/>
      <c r="AK912" s="99"/>
      <c r="AL912" s="100"/>
      <c r="AM912" s="100"/>
      <c r="AN912" s="100"/>
      <c r="AO912" s="100"/>
      <c r="AP912" s="100"/>
      <c r="AQ912" s="100"/>
      <c r="AR912" s="100"/>
      <c r="AS912" s="100"/>
      <c r="AT912" s="100"/>
      <c r="AU912" s="101"/>
    </row>
    <row r="913" spans="29:47" ht="18.75" x14ac:dyDescent="0.3">
      <c r="AC913" s="99"/>
      <c r="AD913" s="100"/>
      <c r="AE913" s="100"/>
      <c r="AF913" s="100"/>
      <c r="AG913" s="100"/>
      <c r="AH913" s="100"/>
      <c r="AI913" s="100"/>
      <c r="AJ913" s="101"/>
      <c r="AK913" s="99"/>
      <c r="AL913" s="100"/>
      <c r="AM913" s="100"/>
      <c r="AN913" s="100"/>
      <c r="AO913" s="100"/>
      <c r="AP913" s="100"/>
      <c r="AQ913" s="100"/>
      <c r="AR913" s="100"/>
      <c r="AS913" s="100"/>
      <c r="AT913" s="100"/>
      <c r="AU913" s="101"/>
    </row>
    <row r="914" spans="29:47" ht="18.75" x14ac:dyDescent="0.3">
      <c r="AC914" s="99"/>
      <c r="AD914" s="100"/>
      <c r="AE914" s="100"/>
      <c r="AF914" s="100"/>
      <c r="AG914" s="100"/>
      <c r="AH914" s="100"/>
      <c r="AI914" s="100"/>
      <c r="AJ914" s="101"/>
      <c r="AK914" s="99"/>
      <c r="AL914" s="100"/>
      <c r="AM914" s="100"/>
      <c r="AN914" s="100"/>
      <c r="AO914" s="100"/>
      <c r="AP914" s="100"/>
      <c r="AQ914" s="100"/>
      <c r="AR914" s="100"/>
      <c r="AS914" s="100"/>
      <c r="AT914" s="100"/>
      <c r="AU914" s="101"/>
    </row>
    <row r="915" spans="29:47" ht="18.75" x14ac:dyDescent="0.3">
      <c r="AC915" s="99"/>
      <c r="AD915" s="100"/>
      <c r="AE915" s="100"/>
      <c r="AF915" s="100"/>
      <c r="AG915" s="100"/>
      <c r="AH915" s="100"/>
      <c r="AI915" s="100"/>
      <c r="AJ915" s="101"/>
      <c r="AK915" s="99"/>
      <c r="AL915" s="100"/>
      <c r="AM915" s="100"/>
      <c r="AN915" s="100"/>
      <c r="AO915" s="100"/>
      <c r="AP915" s="100"/>
      <c r="AQ915" s="100"/>
      <c r="AR915" s="100"/>
      <c r="AS915" s="100"/>
      <c r="AT915" s="100"/>
      <c r="AU915" s="101"/>
    </row>
    <row r="916" spans="29:47" ht="18.75" x14ac:dyDescent="0.3">
      <c r="AC916" s="99"/>
      <c r="AD916" s="100"/>
      <c r="AE916" s="100"/>
      <c r="AF916" s="100"/>
      <c r="AG916" s="100"/>
      <c r="AH916" s="100"/>
      <c r="AI916" s="100"/>
      <c r="AJ916" s="101"/>
      <c r="AK916" s="99"/>
      <c r="AL916" s="100"/>
      <c r="AM916" s="100"/>
      <c r="AN916" s="100"/>
      <c r="AO916" s="100"/>
      <c r="AP916" s="100"/>
      <c r="AQ916" s="100"/>
      <c r="AR916" s="100"/>
      <c r="AS916" s="100"/>
      <c r="AT916" s="100"/>
      <c r="AU916" s="101"/>
    </row>
    <row r="917" spans="29:47" ht="18.75" x14ac:dyDescent="0.3">
      <c r="AC917" s="99"/>
      <c r="AD917" s="100"/>
      <c r="AE917" s="100"/>
      <c r="AF917" s="100"/>
      <c r="AG917" s="100"/>
      <c r="AH917" s="100"/>
      <c r="AI917" s="100"/>
      <c r="AJ917" s="101"/>
      <c r="AK917" s="99"/>
      <c r="AL917" s="100"/>
      <c r="AM917" s="100"/>
      <c r="AN917" s="100"/>
      <c r="AO917" s="100"/>
      <c r="AP917" s="100"/>
      <c r="AQ917" s="100"/>
      <c r="AR917" s="100"/>
      <c r="AS917" s="100"/>
      <c r="AT917" s="100"/>
      <c r="AU917" s="101"/>
    </row>
    <row r="918" spans="29:47" ht="18.75" x14ac:dyDescent="0.3">
      <c r="AC918" s="99"/>
      <c r="AD918" s="100"/>
      <c r="AE918" s="100"/>
      <c r="AF918" s="100"/>
      <c r="AG918" s="100"/>
      <c r="AH918" s="100"/>
      <c r="AI918" s="100"/>
      <c r="AJ918" s="101"/>
      <c r="AK918" s="99"/>
      <c r="AL918" s="100"/>
      <c r="AM918" s="100"/>
      <c r="AN918" s="100"/>
      <c r="AO918" s="100"/>
      <c r="AP918" s="100"/>
      <c r="AQ918" s="100"/>
      <c r="AR918" s="100"/>
      <c r="AS918" s="100"/>
      <c r="AT918" s="100"/>
      <c r="AU918" s="101"/>
    </row>
    <row r="919" spans="29:47" ht="18.75" x14ac:dyDescent="0.3">
      <c r="AC919" s="99"/>
      <c r="AD919" s="100"/>
      <c r="AE919" s="100"/>
      <c r="AF919" s="100"/>
      <c r="AG919" s="100"/>
      <c r="AH919" s="100"/>
      <c r="AI919" s="100"/>
      <c r="AJ919" s="101"/>
      <c r="AK919" s="99"/>
      <c r="AL919" s="100"/>
      <c r="AM919" s="100"/>
      <c r="AN919" s="100"/>
      <c r="AO919" s="100"/>
      <c r="AP919" s="100"/>
      <c r="AQ919" s="100"/>
      <c r="AR919" s="100"/>
      <c r="AS919" s="100"/>
      <c r="AT919" s="100"/>
      <c r="AU919" s="101"/>
    </row>
    <row r="920" spans="29:47" ht="18.75" x14ac:dyDescent="0.3">
      <c r="AC920" s="99"/>
      <c r="AD920" s="100"/>
      <c r="AE920" s="100"/>
      <c r="AF920" s="100"/>
      <c r="AG920" s="100"/>
      <c r="AH920" s="100"/>
      <c r="AI920" s="100"/>
      <c r="AJ920" s="101"/>
      <c r="AK920" s="99"/>
      <c r="AL920" s="100"/>
      <c r="AM920" s="100"/>
      <c r="AN920" s="100"/>
      <c r="AO920" s="100"/>
      <c r="AP920" s="100"/>
      <c r="AQ920" s="100"/>
      <c r="AR920" s="100"/>
      <c r="AS920" s="100"/>
      <c r="AT920" s="100"/>
      <c r="AU920" s="101"/>
    </row>
    <row r="921" spans="29:47" ht="18.75" x14ac:dyDescent="0.3">
      <c r="AC921" s="99"/>
      <c r="AD921" s="100"/>
      <c r="AE921" s="100"/>
      <c r="AF921" s="100"/>
      <c r="AG921" s="100"/>
      <c r="AH921" s="100"/>
      <c r="AI921" s="100"/>
      <c r="AJ921" s="101"/>
      <c r="AK921" s="99"/>
      <c r="AL921" s="100"/>
      <c r="AM921" s="100"/>
      <c r="AN921" s="100"/>
      <c r="AO921" s="100"/>
      <c r="AP921" s="100"/>
      <c r="AQ921" s="100"/>
      <c r="AR921" s="100"/>
      <c r="AS921" s="100"/>
      <c r="AT921" s="100"/>
      <c r="AU921" s="101"/>
    </row>
    <row r="922" spans="29:47" ht="18.75" x14ac:dyDescent="0.3">
      <c r="AC922" s="99"/>
      <c r="AD922" s="100"/>
      <c r="AE922" s="100"/>
      <c r="AF922" s="100"/>
      <c r="AG922" s="100"/>
      <c r="AH922" s="100"/>
      <c r="AI922" s="100"/>
      <c r="AJ922" s="101"/>
      <c r="AK922" s="99"/>
      <c r="AL922" s="100"/>
      <c r="AM922" s="100"/>
      <c r="AN922" s="100"/>
      <c r="AO922" s="100"/>
      <c r="AP922" s="100"/>
      <c r="AQ922" s="100"/>
      <c r="AR922" s="100"/>
      <c r="AS922" s="100"/>
      <c r="AT922" s="100"/>
      <c r="AU922" s="101"/>
    </row>
    <row r="923" spans="29:47" ht="18.75" x14ac:dyDescent="0.3">
      <c r="AC923" s="99"/>
      <c r="AD923" s="100"/>
      <c r="AE923" s="100"/>
      <c r="AF923" s="100"/>
      <c r="AG923" s="100"/>
      <c r="AH923" s="100"/>
      <c r="AI923" s="100"/>
      <c r="AJ923" s="101"/>
      <c r="AK923" s="99"/>
      <c r="AL923" s="100"/>
      <c r="AM923" s="100"/>
      <c r="AN923" s="100"/>
      <c r="AO923" s="100"/>
      <c r="AP923" s="100"/>
      <c r="AQ923" s="100"/>
      <c r="AR923" s="100"/>
      <c r="AS923" s="100"/>
      <c r="AT923" s="100"/>
      <c r="AU923" s="101"/>
    </row>
    <row r="924" spans="29:47" ht="18.75" x14ac:dyDescent="0.3">
      <c r="AC924" s="99"/>
      <c r="AD924" s="100"/>
      <c r="AE924" s="100"/>
      <c r="AF924" s="100"/>
      <c r="AG924" s="100"/>
      <c r="AH924" s="100"/>
      <c r="AI924" s="100"/>
      <c r="AJ924" s="101"/>
      <c r="AK924" s="99"/>
      <c r="AL924" s="100"/>
      <c r="AM924" s="100"/>
      <c r="AN924" s="100"/>
      <c r="AO924" s="100"/>
      <c r="AP924" s="100"/>
      <c r="AQ924" s="100"/>
      <c r="AR924" s="100"/>
      <c r="AS924" s="100"/>
      <c r="AT924" s="100"/>
      <c r="AU924" s="101"/>
    </row>
    <row r="925" spans="29:47" ht="18.75" x14ac:dyDescent="0.3">
      <c r="AC925" s="99"/>
      <c r="AD925" s="100"/>
      <c r="AE925" s="100"/>
      <c r="AF925" s="100"/>
      <c r="AG925" s="100"/>
      <c r="AH925" s="100"/>
      <c r="AI925" s="100"/>
      <c r="AJ925" s="101"/>
      <c r="AK925" s="99"/>
      <c r="AL925" s="100"/>
      <c r="AM925" s="100"/>
      <c r="AN925" s="100"/>
      <c r="AO925" s="100"/>
      <c r="AP925" s="100"/>
      <c r="AQ925" s="100"/>
      <c r="AR925" s="100"/>
      <c r="AS925" s="100"/>
      <c r="AT925" s="100"/>
      <c r="AU925" s="101"/>
    </row>
    <row r="926" spans="29:47" ht="18.75" x14ac:dyDescent="0.3">
      <c r="AC926" s="99"/>
      <c r="AD926" s="100"/>
      <c r="AE926" s="100"/>
      <c r="AF926" s="100"/>
      <c r="AG926" s="100"/>
      <c r="AH926" s="100"/>
      <c r="AI926" s="100"/>
      <c r="AJ926" s="101"/>
      <c r="AK926" s="99"/>
      <c r="AL926" s="100"/>
      <c r="AM926" s="100"/>
      <c r="AN926" s="100"/>
      <c r="AO926" s="100"/>
      <c r="AP926" s="100"/>
      <c r="AQ926" s="100"/>
      <c r="AR926" s="100"/>
      <c r="AS926" s="100"/>
      <c r="AT926" s="100"/>
      <c r="AU926" s="101"/>
    </row>
    <row r="927" spans="29:47" ht="18.75" x14ac:dyDescent="0.3">
      <c r="AC927" s="99"/>
      <c r="AD927" s="100"/>
      <c r="AE927" s="100"/>
      <c r="AF927" s="100"/>
      <c r="AG927" s="100"/>
      <c r="AH927" s="100"/>
      <c r="AI927" s="100"/>
      <c r="AJ927" s="101"/>
      <c r="AK927" s="99"/>
      <c r="AL927" s="100"/>
      <c r="AM927" s="100"/>
      <c r="AN927" s="100"/>
      <c r="AO927" s="100"/>
      <c r="AP927" s="100"/>
      <c r="AQ927" s="100"/>
      <c r="AR927" s="100"/>
      <c r="AS927" s="100"/>
      <c r="AT927" s="100"/>
      <c r="AU927" s="101"/>
    </row>
    <row r="928" spans="29:47" ht="18.75" x14ac:dyDescent="0.3">
      <c r="AC928" s="99"/>
      <c r="AD928" s="100"/>
      <c r="AE928" s="100"/>
      <c r="AF928" s="100"/>
      <c r="AG928" s="100"/>
      <c r="AH928" s="100"/>
      <c r="AI928" s="100"/>
      <c r="AJ928" s="101"/>
      <c r="AK928" s="99"/>
      <c r="AL928" s="100"/>
      <c r="AM928" s="100"/>
      <c r="AN928" s="100"/>
      <c r="AO928" s="100"/>
      <c r="AP928" s="100"/>
      <c r="AQ928" s="100"/>
      <c r="AR928" s="100"/>
      <c r="AS928" s="100"/>
      <c r="AT928" s="100"/>
      <c r="AU928" s="101"/>
    </row>
    <row r="929" spans="29:47" ht="18.75" x14ac:dyDescent="0.3">
      <c r="AC929" s="99"/>
      <c r="AD929" s="100"/>
      <c r="AE929" s="100"/>
      <c r="AF929" s="100"/>
      <c r="AG929" s="100"/>
      <c r="AH929" s="100"/>
      <c r="AI929" s="100"/>
      <c r="AJ929" s="101"/>
      <c r="AK929" s="99"/>
      <c r="AL929" s="100"/>
      <c r="AM929" s="100"/>
      <c r="AN929" s="100"/>
      <c r="AO929" s="100"/>
      <c r="AP929" s="100"/>
      <c r="AQ929" s="100"/>
      <c r="AR929" s="100"/>
      <c r="AS929" s="100"/>
      <c r="AT929" s="100"/>
      <c r="AU929" s="101"/>
    </row>
    <row r="930" spans="29:47" ht="18.75" x14ac:dyDescent="0.3">
      <c r="AC930" s="99"/>
      <c r="AD930" s="100"/>
      <c r="AE930" s="100"/>
      <c r="AF930" s="100"/>
      <c r="AG930" s="100"/>
      <c r="AH930" s="100"/>
      <c r="AI930" s="100"/>
      <c r="AJ930" s="101"/>
      <c r="AK930" s="99"/>
      <c r="AL930" s="100"/>
      <c r="AM930" s="100"/>
      <c r="AN930" s="100"/>
      <c r="AO930" s="100"/>
      <c r="AP930" s="100"/>
      <c r="AQ930" s="100"/>
      <c r="AR930" s="100"/>
      <c r="AS930" s="100"/>
      <c r="AT930" s="100"/>
      <c r="AU930" s="101"/>
    </row>
    <row r="931" spans="29:47" ht="18.75" x14ac:dyDescent="0.3">
      <c r="AC931" s="99"/>
      <c r="AD931" s="100"/>
      <c r="AE931" s="100"/>
      <c r="AF931" s="100"/>
      <c r="AG931" s="100"/>
      <c r="AH931" s="100"/>
      <c r="AI931" s="100"/>
      <c r="AJ931" s="101"/>
      <c r="AK931" s="99"/>
      <c r="AL931" s="100"/>
      <c r="AM931" s="100"/>
      <c r="AN931" s="100"/>
      <c r="AO931" s="100"/>
      <c r="AP931" s="100"/>
      <c r="AQ931" s="100"/>
      <c r="AR931" s="100"/>
      <c r="AS931" s="100"/>
      <c r="AT931" s="100"/>
      <c r="AU931" s="101"/>
    </row>
    <row r="932" spans="29:47" ht="18.75" x14ac:dyDescent="0.3">
      <c r="AC932" s="99"/>
      <c r="AD932" s="100"/>
      <c r="AE932" s="100"/>
      <c r="AF932" s="100"/>
      <c r="AG932" s="100"/>
      <c r="AH932" s="100"/>
      <c r="AI932" s="100"/>
      <c r="AJ932" s="101"/>
      <c r="AK932" s="99"/>
      <c r="AL932" s="100"/>
      <c r="AM932" s="100"/>
      <c r="AN932" s="100"/>
      <c r="AO932" s="100"/>
      <c r="AP932" s="100"/>
      <c r="AQ932" s="100"/>
      <c r="AR932" s="100"/>
      <c r="AS932" s="100"/>
      <c r="AT932" s="100"/>
      <c r="AU932" s="101"/>
    </row>
    <row r="933" spans="29:47" ht="18.75" x14ac:dyDescent="0.3">
      <c r="AC933" s="99"/>
      <c r="AD933" s="100"/>
      <c r="AE933" s="100"/>
      <c r="AF933" s="100"/>
      <c r="AG933" s="100"/>
      <c r="AH933" s="100"/>
      <c r="AI933" s="100"/>
      <c r="AJ933" s="101"/>
      <c r="AK933" s="99"/>
      <c r="AL933" s="100"/>
      <c r="AM933" s="100"/>
      <c r="AN933" s="100"/>
      <c r="AO933" s="100"/>
      <c r="AP933" s="100"/>
      <c r="AQ933" s="100"/>
      <c r="AR933" s="100"/>
      <c r="AS933" s="100"/>
      <c r="AT933" s="100"/>
      <c r="AU933" s="101"/>
    </row>
    <row r="934" spans="29:47" ht="18.75" x14ac:dyDescent="0.3">
      <c r="AC934" s="99"/>
      <c r="AD934" s="100"/>
      <c r="AE934" s="100"/>
      <c r="AF934" s="100"/>
      <c r="AG934" s="100"/>
      <c r="AH934" s="100"/>
      <c r="AI934" s="100"/>
      <c r="AJ934" s="101"/>
      <c r="AK934" s="99"/>
      <c r="AL934" s="100"/>
      <c r="AM934" s="100"/>
      <c r="AN934" s="100"/>
      <c r="AO934" s="100"/>
      <c r="AP934" s="100"/>
      <c r="AQ934" s="100"/>
      <c r="AR934" s="100"/>
      <c r="AS934" s="100"/>
      <c r="AT934" s="100"/>
      <c r="AU934" s="101"/>
    </row>
    <row r="935" spans="29:47" ht="18.75" x14ac:dyDescent="0.3">
      <c r="AC935" s="99"/>
      <c r="AD935" s="100"/>
      <c r="AE935" s="100"/>
      <c r="AF935" s="100"/>
      <c r="AG935" s="100"/>
      <c r="AH935" s="100"/>
      <c r="AI935" s="100"/>
      <c r="AJ935" s="101"/>
      <c r="AK935" s="99"/>
      <c r="AL935" s="100"/>
      <c r="AM935" s="100"/>
      <c r="AN935" s="100"/>
      <c r="AO935" s="100"/>
      <c r="AP935" s="100"/>
      <c r="AQ935" s="100"/>
      <c r="AR935" s="100"/>
      <c r="AS935" s="100"/>
      <c r="AT935" s="100"/>
      <c r="AU935" s="101"/>
    </row>
    <row r="936" spans="29:47" ht="18.75" x14ac:dyDescent="0.3">
      <c r="AC936" s="99"/>
      <c r="AD936" s="100"/>
      <c r="AE936" s="100"/>
      <c r="AF936" s="100"/>
      <c r="AG936" s="100"/>
      <c r="AH936" s="100"/>
      <c r="AI936" s="100"/>
      <c r="AJ936" s="101"/>
      <c r="AK936" s="99"/>
      <c r="AL936" s="100"/>
      <c r="AM936" s="100"/>
      <c r="AN936" s="100"/>
      <c r="AO936" s="100"/>
      <c r="AP936" s="100"/>
      <c r="AQ936" s="100"/>
      <c r="AR936" s="100"/>
      <c r="AS936" s="100"/>
      <c r="AT936" s="100"/>
      <c r="AU936" s="101"/>
    </row>
    <row r="937" spans="29:47" ht="18.75" x14ac:dyDescent="0.3">
      <c r="AC937" s="99"/>
      <c r="AD937" s="100"/>
      <c r="AE937" s="100"/>
      <c r="AF937" s="100"/>
      <c r="AG937" s="100"/>
      <c r="AH937" s="100"/>
      <c r="AI937" s="100"/>
      <c r="AJ937" s="101"/>
      <c r="AK937" s="99"/>
      <c r="AL937" s="100"/>
      <c r="AM937" s="100"/>
      <c r="AN937" s="100"/>
      <c r="AO937" s="100"/>
      <c r="AP937" s="100"/>
      <c r="AQ937" s="100"/>
      <c r="AR937" s="100"/>
      <c r="AS937" s="100"/>
      <c r="AT937" s="100"/>
      <c r="AU937" s="101"/>
    </row>
    <row r="938" spans="29:47" ht="18.75" x14ac:dyDescent="0.3">
      <c r="AC938" s="99"/>
      <c r="AD938" s="100"/>
      <c r="AE938" s="100"/>
      <c r="AF938" s="100"/>
      <c r="AG938" s="100"/>
      <c r="AH938" s="100"/>
      <c r="AI938" s="100"/>
      <c r="AJ938" s="101"/>
      <c r="AK938" s="99"/>
      <c r="AL938" s="100"/>
      <c r="AM938" s="100"/>
      <c r="AN938" s="100"/>
      <c r="AO938" s="100"/>
      <c r="AP938" s="100"/>
      <c r="AQ938" s="100"/>
      <c r="AR938" s="100"/>
      <c r="AS938" s="100"/>
      <c r="AT938" s="100"/>
      <c r="AU938" s="101"/>
    </row>
    <row r="939" spans="29:47" ht="18.75" x14ac:dyDescent="0.3">
      <c r="AC939" s="99"/>
      <c r="AD939" s="100"/>
      <c r="AE939" s="100"/>
      <c r="AF939" s="100"/>
      <c r="AG939" s="100"/>
      <c r="AH939" s="100"/>
      <c r="AI939" s="100"/>
      <c r="AJ939" s="101"/>
      <c r="AK939" s="99"/>
      <c r="AL939" s="100"/>
      <c r="AM939" s="100"/>
      <c r="AN939" s="100"/>
      <c r="AO939" s="100"/>
      <c r="AP939" s="100"/>
      <c r="AQ939" s="100"/>
      <c r="AR939" s="100"/>
      <c r="AS939" s="100"/>
      <c r="AT939" s="100"/>
      <c r="AU939" s="101"/>
    </row>
    <row r="940" spans="29:47" ht="18.75" x14ac:dyDescent="0.3">
      <c r="AC940" s="99"/>
      <c r="AD940" s="100"/>
      <c r="AE940" s="100"/>
      <c r="AF940" s="100"/>
      <c r="AG940" s="100"/>
      <c r="AH940" s="100"/>
      <c r="AI940" s="100"/>
      <c r="AJ940" s="101"/>
      <c r="AK940" s="99"/>
      <c r="AL940" s="100"/>
      <c r="AM940" s="100"/>
      <c r="AN940" s="100"/>
      <c r="AO940" s="100"/>
      <c r="AP940" s="100"/>
      <c r="AQ940" s="100"/>
      <c r="AR940" s="100"/>
      <c r="AS940" s="100"/>
      <c r="AT940" s="100"/>
      <c r="AU940" s="101"/>
    </row>
    <row r="941" spans="29:47" ht="18.75" x14ac:dyDescent="0.3">
      <c r="AC941" s="99"/>
      <c r="AD941" s="100"/>
      <c r="AE941" s="100"/>
      <c r="AF941" s="100"/>
      <c r="AG941" s="100"/>
      <c r="AH941" s="100"/>
      <c r="AI941" s="100"/>
      <c r="AJ941" s="101"/>
      <c r="AK941" s="99"/>
      <c r="AL941" s="100"/>
      <c r="AM941" s="100"/>
      <c r="AN941" s="100"/>
      <c r="AO941" s="100"/>
      <c r="AP941" s="100"/>
      <c r="AQ941" s="100"/>
      <c r="AR941" s="100"/>
      <c r="AS941" s="100"/>
      <c r="AT941" s="100"/>
      <c r="AU941" s="101"/>
    </row>
    <row r="942" spans="29:47" ht="18.75" x14ac:dyDescent="0.3">
      <c r="AC942" s="99"/>
      <c r="AD942" s="100"/>
      <c r="AE942" s="100"/>
      <c r="AF942" s="100"/>
      <c r="AG942" s="100"/>
      <c r="AH942" s="100"/>
      <c r="AI942" s="100"/>
      <c r="AJ942" s="101"/>
      <c r="AK942" s="99"/>
      <c r="AL942" s="100"/>
      <c r="AM942" s="100"/>
      <c r="AN942" s="100"/>
      <c r="AO942" s="100"/>
      <c r="AP942" s="100"/>
      <c r="AQ942" s="100"/>
      <c r="AR942" s="100"/>
      <c r="AS942" s="100"/>
      <c r="AT942" s="100"/>
      <c r="AU942" s="101"/>
    </row>
    <row r="943" spans="29:47" ht="18.75" x14ac:dyDescent="0.3">
      <c r="AC943" s="99"/>
      <c r="AD943" s="100"/>
      <c r="AE943" s="100"/>
      <c r="AF943" s="100"/>
      <c r="AG943" s="100"/>
      <c r="AH943" s="100"/>
      <c r="AI943" s="100"/>
      <c r="AJ943" s="101"/>
      <c r="AK943" s="99"/>
      <c r="AL943" s="100"/>
      <c r="AM943" s="100"/>
      <c r="AN943" s="100"/>
      <c r="AO943" s="100"/>
      <c r="AP943" s="100"/>
      <c r="AQ943" s="100"/>
      <c r="AR943" s="100"/>
      <c r="AS943" s="100"/>
      <c r="AT943" s="100"/>
      <c r="AU943" s="101"/>
    </row>
    <row r="944" spans="29:47" ht="18.75" x14ac:dyDescent="0.3">
      <c r="AC944" s="99"/>
      <c r="AD944" s="100"/>
      <c r="AE944" s="100"/>
      <c r="AF944" s="100"/>
      <c r="AG944" s="100"/>
      <c r="AH944" s="100"/>
      <c r="AI944" s="100"/>
      <c r="AJ944" s="101"/>
      <c r="AK944" s="99"/>
      <c r="AL944" s="100"/>
      <c r="AM944" s="100"/>
      <c r="AN944" s="100"/>
      <c r="AO944" s="100"/>
      <c r="AP944" s="100"/>
      <c r="AQ944" s="100"/>
      <c r="AR944" s="100"/>
      <c r="AS944" s="100"/>
      <c r="AT944" s="100"/>
      <c r="AU944" s="101"/>
    </row>
    <row r="945" spans="29:47" ht="18.75" x14ac:dyDescent="0.3">
      <c r="AC945" s="99"/>
      <c r="AD945" s="100"/>
      <c r="AE945" s="100"/>
      <c r="AF945" s="100"/>
      <c r="AG945" s="100"/>
      <c r="AH945" s="100"/>
      <c r="AI945" s="100"/>
      <c r="AJ945" s="101"/>
      <c r="AK945" s="99"/>
      <c r="AL945" s="100"/>
      <c r="AM945" s="100"/>
      <c r="AN945" s="100"/>
      <c r="AO945" s="100"/>
      <c r="AP945" s="100"/>
      <c r="AQ945" s="100"/>
      <c r="AR945" s="100"/>
      <c r="AS945" s="100"/>
      <c r="AT945" s="100"/>
      <c r="AU945" s="101"/>
    </row>
    <row r="946" spans="29:47" ht="18.75" x14ac:dyDescent="0.3">
      <c r="AC946" s="99"/>
      <c r="AD946" s="100"/>
      <c r="AE946" s="100"/>
      <c r="AF946" s="100"/>
      <c r="AG946" s="100"/>
      <c r="AH946" s="100"/>
      <c r="AI946" s="100"/>
      <c r="AJ946" s="101"/>
      <c r="AK946" s="99"/>
      <c r="AL946" s="100"/>
      <c r="AM946" s="100"/>
      <c r="AN946" s="100"/>
      <c r="AO946" s="100"/>
      <c r="AP946" s="100"/>
      <c r="AQ946" s="100"/>
      <c r="AR946" s="100"/>
      <c r="AS946" s="100"/>
      <c r="AT946" s="100"/>
      <c r="AU946" s="101"/>
    </row>
    <row r="947" spans="29:47" ht="18.75" x14ac:dyDescent="0.3">
      <c r="AC947" s="99"/>
      <c r="AD947" s="100"/>
      <c r="AE947" s="100"/>
      <c r="AF947" s="100"/>
      <c r="AG947" s="100"/>
      <c r="AH947" s="100"/>
      <c r="AI947" s="100"/>
      <c r="AJ947" s="101"/>
      <c r="AK947" s="99"/>
      <c r="AL947" s="100"/>
      <c r="AM947" s="100"/>
      <c r="AN947" s="100"/>
      <c r="AO947" s="100"/>
      <c r="AP947" s="100"/>
      <c r="AQ947" s="100"/>
      <c r="AR947" s="100"/>
      <c r="AS947" s="100"/>
      <c r="AT947" s="100"/>
      <c r="AU947" s="101"/>
    </row>
    <row r="948" spans="29:47" ht="18.75" x14ac:dyDescent="0.3">
      <c r="AC948" s="99"/>
      <c r="AD948" s="100"/>
      <c r="AE948" s="100"/>
      <c r="AF948" s="100"/>
      <c r="AG948" s="100"/>
      <c r="AH948" s="100"/>
      <c r="AI948" s="100"/>
      <c r="AJ948" s="101"/>
      <c r="AK948" s="99"/>
      <c r="AL948" s="100"/>
      <c r="AM948" s="100"/>
      <c r="AN948" s="100"/>
      <c r="AO948" s="100"/>
      <c r="AP948" s="100"/>
      <c r="AQ948" s="100"/>
      <c r="AR948" s="100"/>
      <c r="AS948" s="100"/>
      <c r="AT948" s="100"/>
      <c r="AU948" s="101"/>
    </row>
    <row r="949" spans="29:47" ht="18.75" x14ac:dyDescent="0.3">
      <c r="AC949" s="99"/>
      <c r="AD949" s="100"/>
      <c r="AE949" s="100"/>
      <c r="AF949" s="100"/>
      <c r="AG949" s="100"/>
      <c r="AH949" s="100"/>
      <c r="AI949" s="100"/>
      <c r="AJ949" s="101"/>
      <c r="AK949" s="99"/>
      <c r="AL949" s="100"/>
      <c r="AM949" s="100"/>
      <c r="AN949" s="100"/>
      <c r="AO949" s="100"/>
      <c r="AP949" s="100"/>
      <c r="AQ949" s="100"/>
      <c r="AR949" s="100"/>
      <c r="AS949" s="100"/>
      <c r="AT949" s="100"/>
      <c r="AU949" s="101"/>
    </row>
    <row r="950" spans="29:47" ht="18.75" x14ac:dyDescent="0.3">
      <c r="AC950" s="99"/>
      <c r="AD950" s="100"/>
      <c r="AE950" s="100"/>
      <c r="AF950" s="100"/>
      <c r="AG950" s="100"/>
      <c r="AH950" s="100"/>
      <c r="AI950" s="100"/>
      <c r="AJ950" s="101"/>
      <c r="AK950" s="99"/>
      <c r="AL950" s="100"/>
      <c r="AM950" s="100"/>
      <c r="AN950" s="100"/>
      <c r="AO950" s="100"/>
      <c r="AP950" s="100"/>
      <c r="AQ950" s="100"/>
      <c r="AR950" s="100"/>
      <c r="AS950" s="100"/>
      <c r="AT950" s="100"/>
      <c r="AU950" s="101"/>
    </row>
    <row r="951" spans="29:47" ht="18.75" x14ac:dyDescent="0.3">
      <c r="AC951" s="99"/>
      <c r="AD951" s="100"/>
      <c r="AE951" s="100"/>
      <c r="AF951" s="100"/>
      <c r="AG951" s="100"/>
      <c r="AH951" s="100"/>
      <c r="AI951" s="100"/>
      <c r="AJ951" s="101"/>
      <c r="AK951" s="99"/>
      <c r="AL951" s="100"/>
      <c r="AM951" s="100"/>
      <c r="AN951" s="100"/>
      <c r="AO951" s="100"/>
      <c r="AP951" s="100"/>
      <c r="AQ951" s="100"/>
      <c r="AR951" s="100"/>
      <c r="AS951" s="100"/>
      <c r="AT951" s="100"/>
      <c r="AU951" s="101"/>
    </row>
    <row r="952" spans="29:47" ht="18.75" x14ac:dyDescent="0.3">
      <c r="AC952" s="99"/>
      <c r="AD952" s="100"/>
      <c r="AE952" s="100"/>
      <c r="AF952" s="100"/>
      <c r="AG952" s="100"/>
      <c r="AH952" s="100"/>
      <c r="AI952" s="100"/>
      <c r="AJ952" s="101"/>
      <c r="AK952" s="99"/>
      <c r="AL952" s="100"/>
      <c r="AM952" s="100"/>
      <c r="AN952" s="100"/>
      <c r="AO952" s="100"/>
      <c r="AP952" s="100"/>
      <c r="AQ952" s="100"/>
      <c r="AR952" s="100"/>
      <c r="AS952" s="100"/>
      <c r="AT952" s="100"/>
      <c r="AU952" s="101"/>
    </row>
    <row r="953" spans="29:47" ht="18.75" x14ac:dyDescent="0.3">
      <c r="AC953" s="99"/>
      <c r="AD953" s="100"/>
      <c r="AE953" s="100"/>
      <c r="AF953" s="100"/>
      <c r="AG953" s="100"/>
      <c r="AH953" s="100"/>
      <c r="AI953" s="100"/>
      <c r="AJ953" s="101"/>
      <c r="AK953" s="99"/>
      <c r="AL953" s="100"/>
      <c r="AM953" s="100"/>
      <c r="AN953" s="100"/>
      <c r="AO953" s="100"/>
      <c r="AP953" s="100"/>
      <c r="AQ953" s="100"/>
      <c r="AR953" s="100"/>
      <c r="AS953" s="100"/>
      <c r="AT953" s="100"/>
      <c r="AU953" s="101"/>
    </row>
    <row r="954" spans="29:47" ht="18.75" x14ac:dyDescent="0.3">
      <c r="AC954" s="99"/>
      <c r="AD954" s="100"/>
      <c r="AE954" s="100"/>
      <c r="AF954" s="100"/>
      <c r="AG954" s="100"/>
      <c r="AH954" s="100"/>
      <c r="AI954" s="100"/>
      <c r="AJ954" s="101"/>
      <c r="AK954" s="99"/>
      <c r="AL954" s="100"/>
      <c r="AM954" s="100"/>
      <c r="AN954" s="100"/>
      <c r="AO954" s="100"/>
      <c r="AP954" s="100"/>
      <c r="AQ954" s="100"/>
      <c r="AR954" s="100"/>
      <c r="AS954" s="100"/>
      <c r="AT954" s="100"/>
      <c r="AU954" s="101"/>
    </row>
    <row r="955" spans="29:47" ht="18.75" x14ac:dyDescent="0.3">
      <c r="AC955" s="99"/>
      <c r="AD955" s="100"/>
      <c r="AE955" s="100"/>
      <c r="AF955" s="100"/>
      <c r="AG955" s="100"/>
      <c r="AH955" s="100"/>
      <c r="AI955" s="100"/>
      <c r="AJ955" s="101"/>
      <c r="AK955" s="99"/>
      <c r="AL955" s="100"/>
      <c r="AM955" s="100"/>
      <c r="AN955" s="100"/>
      <c r="AO955" s="100"/>
      <c r="AP955" s="100"/>
      <c r="AQ955" s="100"/>
      <c r="AR955" s="100"/>
      <c r="AS955" s="100"/>
      <c r="AT955" s="100"/>
      <c r="AU955" s="101"/>
    </row>
    <row r="956" spans="29:47" ht="18.75" x14ac:dyDescent="0.3">
      <c r="AC956" s="99"/>
      <c r="AD956" s="100"/>
      <c r="AE956" s="100"/>
      <c r="AF956" s="100"/>
      <c r="AG956" s="100"/>
      <c r="AH956" s="100"/>
      <c r="AI956" s="100"/>
      <c r="AJ956" s="101"/>
      <c r="AK956" s="99"/>
      <c r="AL956" s="100"/>
      <c r="AM956" s="100"/>
      <c r="AN956" s="100"/>
      <c r="AO956" s="100"/>
      <c r="AP956" s="100"/>
      <c r="AQ956" s="100"/>
      <c r="AR956" s="100"/>
      <c r="AS956" s="100"/>
      <c r="AT956" s="100"/>
      <c r="AU956" s="101"/>
    </row>
    <row r="957" spans="29:47" ht="18.75" x14ac:dyDescent="0.3">
      <c r="AC957" s="99"/>
      <c r="AD957" s="100"/>
      <c r="AE957" s="100"/>
      <c r="AF957" s="100"/>
      <c r="AG957" s="100"/>
      <c r="AH957" s="100"/>
      <c r="AI957" s="100"/>
      <c r="AJ957" s="101"/>
      <c r="AK957" s="99"/>
      <c r="AL957" s="100"/>
      <c r="AM957" s="100"/>
      <c r="AN957" s="100"/>
      <c r="AO957" s="100"/>
      <c r="AP957" s="100"/>
      <c r="AQ957" s="100"/>
      <c r="AR957" s="100"/>
      <c r="AS957" s="100"/>
      <c r="AT957" s="100"/>
      <c r="AU957" s="101"/>
    </row>
    <row r="958" spans="29:47" ht="18.75" x14ac:dyDescent="0.3">
      <c r="AC958" s="99"/>
      <c r="AD958" s="100"/>
      <c r="AE958" s="100"/>
      <c r="AF958" s="100"/>
      <c r="AG958" s="100"/>
      <c r="AH958" s="100"/>
      <c r="AI958" s="100"/>
      <c r="AJ958" s="101"/>
      <c r="AK958" s="99"/>
      <c r="AL958" s="100"/>
      <c r="AM958" s="100"/>
      <c r="AN958" s="100"/>
      <c r="AO958" s="100"/>
      <c r="AP958" s="100"/>
      <c r="AQ958" s="100"/>
      <c r="AR958" s="100"/>
      <c r="AS958" s="100"/>
      <c r="AT958" s="100"/>
      <c r="AU958" s="101"/>
    </row>
    <row r="959" spans="29:47" ht="18.75" x14ac:dyDescent="0.3">
      <c r="AC959" s="99"/>
      <c r="AD959" s="100"/>
      <c r="AE959" s="100"/>
      <c r="AF959" s="100"/>
      <c r="AG959" s="100"/>
      <c r="AH959" s="100"/>
      <c r="AI959" s="100"/>
      <c r="AJ959" s="101"/>
      <c r="AK959" s="99"/>
      <c r="AL959" s="100"/>
      <c r="AM959" s="100"/>
      <c r="AN959" s="100"/>
      <c r="AO959" s="100"/>
      <c r="AP959" s="100"/>
      <c r="AQ959" s="100"/>
      <c r="AR959" s="100"/>
      <c r="AS959" s="100"/>
      <c r="AT959" s="100"/>
      <c r="AU959" s="101"/>
    </row>
    <row r="960" spans="29:47" ht="18.75" x14ac:dyDescent="0.3">
      <c r="AC960" s="99"/>
      <c r="AD960" s="100"/>
      <c r="AE960" s="100"/>
      <c r="AF960" s="100"/>
      <c r="AG960" s="100"/>
      <c r="AH960" s="100"/>
      <c r="AI960" s="100"/>
      <c r="AJ960" s="101"/>
      <c r="AK960" s="99"/>
      <c r="AL960" s="100"/>
      <c r="AM960" s="100"/>
      <c r="AN960" s="100"/>
      <c r="AO960" s="100"/>
      <c r="AP960" s="100"/>
      <c r="AQ960" s="100"/>
      <c r="AR960" s="100"/>
      <c r="AS960" s="100"/>
      <c r="AT960" s="100"/>
      <c r="AU960" s="101"/>
    </row>
    <row r="961" spans="29:47" ht="18.75" x14ac:dyDescent="0.3">
      <c r="AC961" s="99"/>
      <c r="AD961" s="100"/>
      <c r="AE961" s="100"/>
      <c r="AF961" s="100"/>
      <c r="AG961" s="100"/>
      <c r="AH961" s="100"/>
      <c r="AI961" s="100"/>
      <c r="AJ961" s="101"/>
      <c r="AK961" s="99"/>
      <c r="AL961" s="100"/>
      <c r="AM961" s="100"/>
      <c r="AN961" s="100"/>
      <c r="AO961" s="100"/>
      <c r="AP961" s="100"/>
      <c r="AQ961" s="100"/>
      <c r="AR961" s="100"/>
      <c r="AS961" s="100"/>
      <c r="AT961" s="100"/>
      <c r="AU961" s="101"/>
    </row>
    <row r="962" spans="29:47" ht="18.75" x14ac:dyDescent="0.3">
      <c r="AC962" s="99"/>
      <c r="AD962" s="100"/>
      <c r="AE962" s="100"/>
      <c r="AF962" s="100"/>
      <c r="AG962" s="100"/>
      <c r="AH962" s="100"/>
      <c r="AI962" s="100"/>
      <c r="AJ962" s="101"/>
      <c r="AK962" s="99"/>
      <c r="AL962" s="100"/>
      <c r="AM962" s="100"/>
      <c r="AN962" s="100"/>
      <c r="AO962" s="100"/>
      <c r="AP962" s="100"/>
      <c r="AQ962" s="100"/>
      <c r="AR962" s="100"/>
      <c r="AS962" s="100"/>
      <c r="AT962" s="100"/>
      <c r="AU962" s="101"/>
    </row>
    <row r="963" spans="29:47" ht="18.75" x14ac:dyDescent="0.3">
      <c r="AC963" s="99"/>
      <c r="AD963" s="100"/>
      <c r="AE963" s="100"/>
      <c r="AF963" s="100"/>
      <c r="AG963" s="100"/>
      <c r="AH963" s="100"/>
      <c r="AI963" s="100"/>
      <c r="AJ963" s="101"/>
      <c r="AK963" s="99"/>
      <c r="AL963" s="100"/>
      <c r="AM963" s="100"/>
      <c r="AN963" s="100"/>
      <c r="AO963" s="100"/>
      <c r="AP963" s="100"/>
      <c r="AQ963" s="100"/>
      <c r="AR963" s="100"/>
      <c r="AS963" s="100"/>
      <c r="AT963" s="100"/>
      <c r="AU963" s="101"/>
    </row>
    <row r="964" spans="29:47" ht="18.75" x14ac:dyDescent="0.3">
      <c r="AC964" s="99"/>
      <c r="AD964" s="100"/>
      <c r="AE964" s="100"/>
      <c r="AF964" s="100"/>
      <c r="AG964" s="100"/>
      <c r="AH964" s="100"/>
      <c r="AI964" s="100"/>
      <c r="AJ964" s="101"/>
      <c r="AK964" s="99"/>
      <c r="AL964" s="100"/>
      <c r="AM964" s="100"/>
      <c r="AN964" s="100"/>
      <c r="AO964" s="100"/>
      <c r="AP964" s="100"/>
      <c r="AQ964" s="100"/>
      <c r="AR964" s="100"/>
      <c r="AS964" s="100"/>
      <c r="AT964" s="100"/>
      <c r="AU964" s="101"/>
    </row>
    <row r="965" spans="29:47" ht="18.75" x14ac:dyDescent="0.3">
      <c r="AC965" s="99"/>
      <c r="AD965" s="100"/>
      <c r="AE965" s="100"/>
      <c r="AF965" s="100"/>
      <c r="AG965" s="100"/>
      <c r="AH965" s="100"/>
      <c r="AI965" s="100"/>
      <c r="AJ965" s="101"/>
      <c r="AK965" s="99"/>
      <c r="AL965" s="100"/>
      <c r="AM965" s="100"/>
      <c r="AN965" s="100"/>
      <c r="AO965" s="100"/>
      <c r="AP965" s="100"/>
      <c r="AQ965" s="100"/>
      <c r="AR965" s="100"/>
      <c r="AS965" s="100"/>
      <c r="AT965" s="100"/>
      <c r="AU965" s="101"/>
    </row>
    <row r="966" spans="29:47" ht="18.75" x14ac:dyDescent="0.3">
      <c r="AC966" s="99"/>
      <c r="AD966" s="100"/>
      <c r="AE966" s="100"/>
      <c r="AF966" s="100"/>
      <c r="AG966" s="100"/>
      <c r="AH966" s="100"/>
      <c r="AI966" s="100"/>
      <c r="AJ966" s="101"/>
      <c r="AK966" s="99"/>
      <c r="AL966" s="100"/>
      <c r="AM966" s="100"/>
      <c r="AN966" s="100"/>
      <c r="AO966" s="100"/>
      <c r="AP966" s="100"/>
      <c r="AQ966" s="100"/>
      <c r="AR966" s="100"/>
      <c r="AS966" s="100"/>
      <c r="AT966" s="100"/>
      <c r="AU966" s="101"/>
    </row>
    <row r="967" spans="29:47" ht="18.75" x14ac:dyDescent="0.3">
      <c r="AC967" s="99"/>
      <c r="AD967" s="100"/>
      <c r="AE967" s="100"/>
      <c r="AF967" s="100"/>
      <c r="AG967" s="100"/>
      <c r="AH967" s="100"/>
      <c r="AI967" s="100"/>
      <c r="AJ967" s="101"/>
      <c r="AK967" s="99"/>
      <c r="AL967" s="100"/>
      <c r="AM967" s="100"/>
      <c r="AN967" s="100"/>
      <c r="AO967" s="100"/>
      <c r="AP967" s="100"/>
      <c r="AQ967" s="100"/>
      <c r="AR967" s="100"/>
      <c r="AS967" s="100"/>
      <c r="AT967" s="100"/>
      <c r="AU967" s="101"/>
    </row>
    <row r="968" spans="29:47" ht="18.75" x14ac:dyDescent="0.3">
      <c r="AC968" s="99"/>
      <c r="AD968" s="100"/>
      <c r="AE968" s="100"/>
      <c r="AF968" s="100"/>
      <c r="AG968" s="100"/>
      <c r="AH968" s="100"/>
      <c r="AI968" s="100"/>
      <c r="AJ968" s="101"/>
      <c r="AK968" s="99"/>
      <c r="AL968" s="100"/>
      <c r="AM968" s="100"/>
      <c r="AN968" s="100"/>
      <c r="AO968" s="100"/>
      <c r="AP968" s="100"/>
      <c r="AQ968" s="100"/>
      <c r="AR968" s="100"/>
      <c r="AS968" s="100"/>
      <c r="AT968" s="100"/>
      <c r="AU968" s="101"/>
    </row>
    <row r="969" spans="29:47" ht="18.75" x14ac:dyDescent="0.3">
      <c r="AC969" s="99"/>
      <c r="AD969" s="100"/>
      <c r="AE969" s="100"/>
      <c r="AF969" s="100"/>
      <c r="AG969" s="100"/>
      <c r="AH969" s="100"/>
      <c r="AI969" s="100"/>
      <c r="AJ969" s="101"/>
      <c r="AK969" s="99"/>
      <c r="AL969" s="100"/>
      <c r="AM969" s="100"/>
      <c r="AN969" s="100"/>
      <c r="AO969" s="100"/>
      <c r="AP969" s="100"/>
      <c r="AQ969" s="100"/>
      <c r="AR969" s="100"/>
      <c r="AS969" s="100"/>
      <c r="AT969" s="100"/>
      <c r="AU969" s="101"/>
    </row>
    <row r="970" spans="29:47" ht="18.75" x14ac:dyDescent="0.3">
      <c r="AC970" s="99"/>
      <c r="AD970" s="100"/>
      <c r="AE970" s="100"/>
      <c r="AF970" s="100"/>
      <c r="AG970" s="100"/>
      <c r="AH970" s="100"/>
      <c r="AI970" s="100"/>
      <c r="AJ970" s="101"/>
      <c r="AK970" s="99"/>
      <c r="AL970" s="100"/>
      <c r="AM970" s="100"/>
      <c r="AN970" s="100"/>
      <c r="AO970" s="100"/>
      <c r="AP970" s="100"/>
      <c r="AQ970" s="100"/>
      <c r="AR970" s="100"/>
      <c r="AS970" s="100"/>
      <c r="AT970" s="100"/>
      <c r="AU970" s="101"/>
    </row>
    <row r="971" spans="29:47" ht="18.75" x14ac:dyDescent="0.3">
      <c r="AC971" s="99"/>
      <c r="AD971" s="100"/>
      <c r="AE971" s="100"/>
      <c r="AF971" s="100"/>
      <c r="AG971" s="100"/>
      <c r="AH971" s="100"/>
      <c r="AI971" s="100"/>
      <c r="AJ971" s="101"/>
      <c r="AK971" s="99"/>
      <c r="AL971" s="100"/>
      <c r="AM971" s="100"/>
      <c r="AN971" s="100"/>
      <c r="AO971" s="100"/>
      <c r="AP971" s="100"/>
      <c r="AQ971" s="100"/>
      <c r="AR971" s="100"/>
      <c r="AS971" s="100"/>
      <c r="AT971" s="100"/>
      <c r="AU971" s="101"/>
    </row>
    <row r="972" spans="29:47" ht="18.75" x14ac:dyDescent="0.3">
      <c r="AC972" s="99"/>
      <c r="AD972" s="100"/>
      <c r="AE972" s="100"/>
      <c r="AF972" s="100"/>
      <c r="AG972" s="100"/>
      <c r="AH972" s="100"/>
      <c r="AI972" s="100"/>
      <c r="AJ972" s="101"/>
      <c r="AK972" s="99"/>
      <c r="AL972" s="100"/>
      <c r="AM972" s="100"/>
      <c r="AN972" s="100"/>
      <c r="AO972" s="100"/>
      <c r="AP972" s="100"/>
      <c r="AQ972" s="100"/>
      <c r="AR972" s="100"/>
      <c r="AS972" s="100"/>
      <c r="AT972" s="100"/>
      <c r="AU972" s="101"/>
    </row>
    <row r="973" spans="29:47" ht="18.75" x14ac:dyDescent="0.3">
      <c r="AC973" s="99"/>
      <c r="AD973" s="100"/>
      <c r="AE973" s="100"/>
      <c r="AF973" s="100"/>
      <c r="AG973" s="100"/>
      <c r="AH973" s="100"/>
      <c r="AI973" s="100"/>
      <c r="AJ973" s="101"/>
      <c r="AK973" s="99"/>
      <c r="AL973" s="100"/>
      <c r="AM973" s="100"/>
      <c r="AN973" s="100"/>
      <c r="AO973" s="100"/>
      <c r="AP973" s="100"/>
      <c r="AQ973" s="100"/>
      <c r="AR973" s="100"/>
      <c r="AS973" s="100"/>
      <c r="AT973" s="100"/>
      <c r="AU973" s="101"/>
    </row>
    <row r="974" spans="29:47" ht="18.75" x14ac:dyDescent="0.3">
      <c r="AC974" s="99"/>
      <c r="AD974" s="100"/>
      <c r="AE974" s="100"/>
      <c r="AF974" s="100"/>
      <c r="AG974" s="100"/>
      <c r="AH974" s="100"/>
      <c r="AI974" s="100"/>
      <c r="AJ974" s="101"/>
      <c r="AK974" s="99"/>
      <c r="AL974" s="100"/>
      <c r="AM974" s="100"/>
      <c r="AN974" s="100"/>
      <c r="AO974" s="100"/>
      <c r="AP974" s="100"/>
      <c r="AQ974" s="100"/>
      <c r="AR974" s="100"/>
      <c r="AS974" s="100"/>
      <c r="AT974" s="100"/>
      <c r="AU974" s="101"/>
    </row>
    <row r="975" spans="29:47" ht="18.75" x14ac:dyDescent="0.3">
      <c r="AC975" s="99"/>
      <c r="AD975" s="100"/>
      <c r="AE975" s="100"/>
      <c r="AF975" s="100"/>
      <c r="AG975" s="100"/>
      <c r="AH975" s="100"/>
      <c r="AI975" s="100"/>
      <c r="AJ975" s="101"/>
      <c r="AK975" s="99"/>
      <c r="AL975" s="100"/>
      <c r="AM975" s="100"/>
      <c r="AN975" s="100"/>
      <c r="AO975" s="100"/>
      <c r="AP975" s="100"/>
      <c r="AQ975" s="100"/>
      <c r="AR975" s="100"/>
      <c r="AS975" s="100"/>
      <c r="AT975" s="100"/>
      <c r="AU975" s="101"/>
    </row>
    <row r="976" spans="29:47" ht="18.75" x14ac:dyDescent="0.3">
      <c r="AC976" s="99"/>
      <c r="AD976" s="100"/>
      <c r="AE976" s="100"/>
      <c r="AF976" s="100"/>
      <c r="AG976" s="100"/>
      <c r="AH976" s="100"/>
      <c r="AI976" s="100"/>
      <c r="AJ976" s="101"/>
      <c r="AK976" s="99"/>
      <c r="AL976" s="100"/>
      <c r="AM976" s="100"/>
      <c r="AN976" s="100"/>
      <c r="AO976" s="100"/>
      <c r="AP976" s="100"/>
      <c r="AQ976" s="100"/>
      <c r="AR976" s="100"/>
      <c r="AS976" s="100"/>
      <c r="AT976" s="100"/>
      <c r="AU976" s="101"/>
    </row>
    <row r="977" spans="29:47" ht="18.75" x14ac:dyDescent="0.3">
      <c r="AC977" s="99"/>
      <c r="AD977" s="100"/>
      <c r="AE977" s="100"/>
      <c r="AF977" s="100"/>
      <c r="AG977" s="100"/>
      <c r="AH977" s="100"/>
      <c r="AI977" s="100"/>
      <c r="AJ977" s="101"/>
      <c r="AK977" s="99"/>
      <c r="AL977" s="100"/>
      <c r="AM977" s="100"/>
      <c r="AN977" s="100"/>
      <c r="AO977" s="100"/>
      <c r="AP977" s="100"/>
      <c r="AQ977" s="100"/>
      <c r="AR977" s="100"/>
      <c r="AS977" s="100"/>
      <c r="AT977" s="100"/>
      <c r="AU977" s="101"/>
    </row>
    <row r="978" spans="29:47" ht="18.75" x14ac:dyDescent="0.3">
      <c r="AC978" s="99"/>
      <c r="AD978" s="100"/>
      <c r="AE978" s="100"/>
      <c r="AF978" s="100"/>
      <c r="AG978" s="100"/>
      <c r="AH978" s="100"/>
      <c r="AI978" s="100"/>
      <c r="AJ978" s="101"/>
      <c r="AK978" s="99"/>
      <c r="AL978" s="100"/>
      <c r="AM978" s="100"/>
      <c r="AN978" s="100"/>
      <c r="AO978" s="100"/>
      <c r="AP978" s="100"/>
      <c r="AQ978" s="100"/>
      <c r="AR978" s="100"/>
      <c r="AS978" s="100"/>
      <c r="AT978" s="100"/>
      <c r="AU978" s="101"/>
    </row>
    <row r="979" spans="29:47" ht="18.75" x14ac:dyDescent="0.3">
      <c r="AC979" s="99"/>
      <c r="AD979" s="100"/>
      <c r="AE979" s="100"/>
      <c r="AF979" s="100"/>
      <c r="AG979" s="100"/>
      <c r="AH979" s="100"/>
      <c r="AI979" s="100"/>
      <c r="AJ979" s="101"/>
      <c r="AK979" s="99"/>
      <c r="AL979" s="100"/>
      <c r="AM979" s="100"/>
      <c r="AN979" s="100"/>
      <c r="AO979" s="100"/>
      <c r="AP979" s="100"/>
      <c r="AQ979" s="100"/>
      <c r="AR979" s="100"/>
      <c r="AS979" s="100"/>
      <c r="AT979" s="100"/>
      <c r="AU979" s="101"/>
    </row>
    <row r="980" spans="29:47" ht="18.75" x14ac:dyDescent="0.3">
      <c r="AC980" s="99"/>
      <c r="AD980" s="100"/>
      <c r="AE980" s="100"/>
      <c r="AF980" s="100"/>
      <c r="AG980" s="100"/>
      <c r="AH980" s="100"/>
      <c r="AI980" s="100"/>
      <c r="AJ980" s="101"/>
      <c r="AK980" s="99"/>
      <c r="AL980" s="100"/>
      <c r="AM980" s="100"/>
      <c r="AN980" s="100"/>
      <c r="AO980" s="100"/>
      <c r="AP980" s="100"/>
      <c r="AQ980" s="100"/>
      <c r="AR980" s="100"/>
      <c r="AS980" s="100"/>
      <c r="AT980" s="100"/>
      <c r="AU980" s="101"/>
    </row>
    <row r="981" spans="29:47" ht="18.75" x14ac:dyDescent="0.3">
      <c r="AC981" s="99"/>
      <c r="AD981" s="100"/>
      <c r="AE981" s="100"/>
      <c r="AF981" s="100"/>
      <c r="AG981" s="100"/>
      <c r="AH981" s="100"/>
      <c r="AI981" s="100"/>
      <c r="AJ981" s="101"/>
      <c r="AK981" s="99"/>
      <c r="AL981" s="100"/>
      <c r="AM981" s="100"/>
      <c r="AN981" s="100"/>
      <c r="AO981" s="100"/>
      <c r="AP981" s="100"/>
      <c r="AQ981" s="100"/>
      <c r="AR981" s="100"/>
      <c r="AS981" s="100"/>
      <c r="AT981" s="100"/>
      <c r="AU981" s="101"/>
    </row>
    <row r="982" spans="29:47" ht="18.75" x14ac:dyDescent="0.3">
      <c r="AC982" s="99"/>
      <c r="AD982" s="100"/>
      <c r="AE982" s="100"/>
      <c r="AF982" s="100"/>
      <c r="AG982" s="100"/>
      <c r="AH982" s="100"/>
      <c r="AI982" s="100"/>
      <c r="AJ982" s="101"/>
      <c r="AK982" s="99"/>
      <c r="AL982" s="100"/>
      <c r="AM982" s="100"/>
      <c r="AN982" s="100"/>
      <c r="AO982" s="100"/>
      <c r="AP982" s="100"/>
      <c r="AQ982" s="100"/>
      <c r="AR982" s="100"/>
      <c r="AS982" s="100"/>
      <c r="AT982" s="100"/>
      <c r="AU982" s="101"/>
    </row>
    <row r="983" spans="29:47" ht="18.75" x14ac:dyDescent="0.3">
      <c r="AC983" s="99"/>
      <c r="AD983" s="100"/>
      <c r="AE983" s="100"/>
      <c r="AF983" s="100"/>
      <c r="AG983" s="100"/>
      <c r="AH983" s="100"/>
      <c r="AI983" s="100"/>
      <c r="AJ983" s="101"/>
      <c r="AK983" s="99"/>
      <c r="AL983" s="100"/>
      <c r="AM983" s="100"/>
      <c r="AN983" s="100"/>
      <c r="AO983" s="100"/>
      <c r="AP983" s="100"/>
      <c r="AQ983" s="100"/>
      <c r="AR983" s="100"/>
      <c r="AS983" s="100"/>
      <c r="AT983" s="100"/>
      <c r="AU983" s="101"/>
    </row>
    <row r="984" spans="29:47" ht="18.75" x14ac:dyDescent="0.3">
      <c r="AC984" s="99"/>
      <c r="AD984" s="100"/>
      <c r="AE984" s="100"/>
      <c r="AF984" s="100"/>
      <c r="AG984" s="100"/>
      <c r="AH984" s="100"/>
      <c r="AI984" s="100"/>
      <c r="AJ984" s="101"/>
      <c r="AK984" s="99"/>
      <c r="AL984" s="100"/>
      <c r="AM984" s="100"/>
      <c r="AN984" s="100"/>
      <c r="AO984" s="100"/>
      <c r="AP984" s="100"/>
      <c r="AQ984" s="100"/>
      <c r="AR984" s="100"/>
      <c r="AS984" s="100"/>
      <c r="AT984" s="100"/>
      <c r="AU984" s="101"/>
    </row>
    <row r="985" spans="29:47" ht="18.75" x14ac:dyDescent="0.3">
      <c r="AC985" s="99"/>
      <c r="AD985" s="100"/>
      <c r="AE985" s="100"/>
      <c r="AF985" s="100"/>
      <c r="AG985" s="100"/>
      <c r="AH985" s="100"/>
      <c r="AI985" s="100"/>
      <c r="AJ985" s="101"/>
      <c r="AK985" s="99"/>
      <c r="AL985" s="100"/>
      <c r="AM985" s="100"/>
      <c r="AN985" s="100"/>
      <c r="AO985" s="100"/>
      <c r="AP985" s="100"/>
      <c r="AQ985" s="100"/>
      <c r="AR985" s="100"/>
      <c r="AS985" s="100"/>
      <c r="AT985" s="100"/>
      <c r="AU985" s="101"/>
    </row>
    <row r="986" spans="29:47" ht="18.75" x14ac:dyDescent="0.3">
      <c r="AC986" s="99"/>
      <c r="AD986" s="100"/>
      <c r="AE986" s="100"/>
      <c r="AF986" s="100"/>
      <c r="AG986" s="100"/>
      <c r="AH986" s="100"/>
      <c r="AI986" s="100"/>
      <c r="AJ986" s="101"/>
      <c r="AK986" s="99"/>
      <c r="AL986" s="100"/>
      <c r="AM986" s="100"/>
      <c r="AN986" s="100"/>
      <c r="AO986" s="100"/>
      <c r="AP986" s="100"/>
      <c r="AQ986" s="100"/>
      <c r="AR986" s="100"/>
      <c r="AS986" s="100"/>
      <c r="AT986" s="100"/>
      <c r="AU986" s="101"/>
    </row>
    <row r="987" spans="29:47" ht="18.75" x14ac:dyDescent="0.3">
      <c r="AC987" s="99"/>
      <c r="AD987" s="100"/>
      <c r="AE987" s="100"/>
      <c r="AF987" s="100"/>
      <c r="AG987" s="100"/>
      <c r="AH987" s="100"/>
      <c r="AI987" s="100"/>
      <c r="AJ987" s="101"/>
      <c r="AK987" s="99"/>
      <c r="AL987" s="100"/>
      <c r="AM987" s="100"/>
      <c r="AN987" s="100"/>
      <c r="AO987" s="100"/>
      <c r="AP987" s="100"/>
      <c r="AQ987" s="100"/>
      <c r="AR987" s="100"/>
      <c r="AS987" s="100"/>
      <c r="AT987" s="100"/>
      <c r="AU987" s="101"/>
    </row>
    <row r="988" spans="29:47" ht="18.75" x14ac:dyDescent="0.3">
      <c r="AC988" s="99"/>
      <c r="AD988" s="100"/>
      <c r="AE988" s="100"/>
      <c r="AF988" s="100"/>
      <c r="AG988" s="100"/>
      <c r="AH988" s="100"/>
      <c r="AI988" s="100"/>
      <c r="AJ988" s="101"/>
      <c r="AK988" s="99"/>
      <c r="AL988" s="100"/>
      <c r="AM988" s="100"/>
      <c r="AN988" s="100"/>
      <c r="AO988" s="100"/>
      <c r="AP988" s="100"/>
      <c r="AQ988" s="100"/>
      <c r="AR988" s="100"/>
      <c r="AS988" s="100"/>
      <c r="AT988" s="100"/>
      <c r="AU988" s="101"/>
    </row>
    <row r="989" spans="29:47" ht="18.75" x14ac:dyDescent="0.3">
      <c r="AC989" s="99"/>
      <c r="AD989" s="100"/>
      <c r="AE989" s="100"/>
      <c r="AF989" s="100"/>
      <c r="AG989" s="100"/>
      <c r="AH989" s="100"/>
      <c r="AI989" s="100"/>
      <c r="AJ989" s="101"/>
      <c r="AK989" s="99"/>
      <c r="AL989" s="100"/>
      <c r="AM989" s="100"/>
      <c r="AN989" s="100"/>
      <c r="AO989" s="100"/>
      <c r="AP989" s="100"/>
      <c r="AQ989" s="100"/>
      <c r="AR989" s="100"/>
      <c r="AS989" s="100"/>
      <c r="AT989" s="100"/>
      <c r="AU989" s="101"/>
    </row>
    <row r="990" spans="29:47" ht="18.75" x14ac:dyDescent="0.3">
      <c r="AC990" s="99"/>
      <c r="AD990" s="100"/>
      <c r="AE990" s="100"/>
      <c r="AF990" s="100"/>
      <c r="AG990" s="100"/>
      <c r="AH990" s="100"/>
      <c r="AI990" s="100"/>
      <c r="AJ990" s="101"/>
      <c r="AK990" s="99"/>
      <c r="AL990" s="100"/>
      <c r="AM990" s="100"/>
      <c r="AN990" s="100"/>
      <c r="AO990" s="100"/>
      <c r="AP990" s="100"/>
      <c r="AQ990" s="100"/>
      <c r="AR990" s="100"/>
      <c r="AS990" s="100"/>
      <c r="AT990" s="100"/>
      <c r="AU990" s="101"/>
    </row>
    <row r="991" spans="29:47" ht="18.75" x14ac:dyDescent="0.3">
      <c r="AC991" s="99"/>
      <c r="AD991" s="100"/>
      <c r="AE991" s="100"/>
      <c r="AF991" s="100"/>
      <c r="AG991" s="100"/>
      <c r="AH991" s="100"/>
      <c r="AI991" s="100"/>
      <c r="AJ991" s="101"/>
      <c r="AK991" s="99"/>
      <c r="AL991" s="100"/>
      <c r="AM991" s="100"/>
      <c r="AN991" s="100"/>
      <c r="AO991" s="100"/>
      <c r="AP991" s="100"/>
      <c r="AQ991" s="100"/>
      <c r="AR991" s="100"/>
      <c r="AS991" s="100"/>
      <c r="AT991" s="100"/>
      <c r="AU991" s="101"/>
    </row>
    <row r="992" spans="29:47" ht="18.75" x14ac:dyDescent="0.3">
      <c r="AC992" s="99"/>
      <c r="AD992" s="100"/>
      <c r="AE992" s="100"/>
      <c r="AF992" s="100"/>
      <c r="AG992" s="100"/>
      <c r="AH992" s="100"/>
      <c r="AI992" s="100"/>
      <c r="AJ992" s="101"/>
      <c r="AK992" s="99"/>
      <c r="AL992" s="100"/>
      <c r="AM992" s="100"/>
      <c r="AN992" s="100"/>
      <c r="AO992" s="100"/>
      <c r="AP992" s="100"/>
      <c r="AQ992" s="100"/>
      <c r="AR992" s="100"/>
      <c r="AS992" s="100"/>
      <c r="AT992" s="100"/>
      <c r="AU992" s="101"/>
    </row>
    <row r="993" spans="29:47" ht="18.75" x14ac:dyDescent="0.3">
      <c r="AC993" s="99"/>
      <c r="AD993" s="100"/>
      <c r="AE993" s="100"/>
      <c r="AF993" s="100"/>
      <c r="AG993" s="100"/>
      <c r="AH993" s="100"/>
      <c r="AI993" s="100"/>
      <c r="AJ993" s="101"/>
      <c r="AK993" s="99"/>
      <c r="AL993" s="100"/>
      <c r="AM993" s="100"/>
      <c r="AN993" s="100"/>
      <c r="AO993" s="100"/>
      <c r="AP993" s="100"/>
      <c r="AQ993" s="100"/>
      <c r="AR993" s="100"/>
      <c r="AS993" s="100"/>
      <c r="AT993" s="100"/>
      <c r="AU993" s="101"/>
    </row>
    <row r="994" spans="29:47" ht="18.75" x14ac:dyDescent="0.3">
      <c r="AC994" s="99"/>
      <c r="AD994" s="100"/>
      <c r="AE994" s="100"/>
      <c r="AF994" s="100"/>
      <c r="AG994" s="100"/>
      <c r="AH994" s="100"/>
      <c r="AI994" s="100"/>
      <c r="AJ994" s="101"/>
      <c r="AK994" s="99"/>
      <c r="AL994" s="100"/>
      <c r="AM994" s="100"/>
      <c r="AN994" s="100"/>
      <c r="AO994" s="100"/>
      <c r="AP994" s="100"/>
      <c r="AQ994" s="100"/>
      <c r="AR994" s="100"/>
      <c r="AS994" s="100"/>
      <c r="AT994" s="100"/>
      <c r="AU994" s="101"/>
    </row>
    <row r="995" spans="29:47" ht="18.75" x14ac:dyDescent="0.3">
      <c r="AC995" s="99"/>
      <c r="AD995" s="100"/>
      <c r="AE995" s="100"/>
      <c r="AF995" s="100"/>
      <c r="AG995" s="100"/>
      <c r="AH995" s="100"/>
      <c r="AI995" s="100"/>
      <c r="AJ995" s="101"/>
      <c r="AK995" s="99"/>
      <c r="AL995" s="100"/>
      <c r="AM995" s="100"/>
      <c r="AN995" s="100"/>
      <c r="AO995" s="100"/>
      <c r="AP995" s="100"/>
      <c r="AQ995" s="100"/>
      <c r="AR995" s="100"/>
      <c r="AS995" s="100"/>
      <c r="AT995" s="100"/>
      <c r="AU995" s="101"/>
    </row>
    <row r="996" spans="29:47" ht="18.75" x14ac:dyDescent="0.3">
      <c r="AC996" s="99"/>
      <c r="AD996" s="100"/>
      <c r="AE996" s="100"/>
      <c r="AF996" s="100"/>
      <c r="AG996" s="100"/>
      <c r="AH996" s="100"/>
      <c r="AI996" s="100"/>
      <c r="AJ996" s="101"/>
      <c r="AK996" s="99"/>
      <c r="AL996" s="100"/>
      <c r="AM996" s="100"/>
      <c r="AN996" s="100"/>
      <c r="AO996" s="100"/>
      <c r="AP996" s="100"/>
      <c r="AQ996" s="100"/>
      <c r="AR996" s="100"/>
      <c r="AS996" s="100"/>
      <c r="AT996" s="100"/>
      <c r="AU996" s="101"/>
    </row>
    <row r="997" spans="29:47" ht="18.75" x14ac:dyDescent="0.3">
      <c r="AC997" s="99"/>
      <c r="AD997" s="100"/>
      <c r="AE997" s="100"/>
      <c r="AF997" s="100"/>
      <c r="AG997" s="100"/>
      <c r="AH997" s="100"/>
      <c r="AI997" s="100"/>
      <c r="AJ997" s="101"/>
      <c r="AK997" s="99"/>
      <c r="AL997" s="100"/>
      <c r="AM997" s="100"/>
      <c r="AN997" s="100"/>
      <c r="AO997" s="100"/>
      <c r="AP997" s="100"/>
      <c r="AQ997" s="100"/>
      <c r="AR997" s="100"/>
      <c r="AS997" s="100"/>
      <c r="AT997" s="100"/>
      <c r="AU997" s="101"/>
    </row>
    <row r="998" spans="29:47" ht="18.75" x14ac:dyDescent="0.3">
      <c r="AC998" s="99"/>
      <c r="AD998" s="100"/>
      <c r="AE998" s="100"/>
      <c r="AF998" s="100"/>
      <c r="AG998" s="100"/>
      <c r="AH998" s="100"/>
      <c r="AI998" s="100"/>
      <c r="AJ998" s="101"/>
      <c r="AK998" s="99"/>
      <c r="AL998" s="100"/>
      <c r="AM998" s="100"/>
      <c r="AN998" s="100"/>
      <c r="AO998" s="100"/>
      <c r="AP998" s="100"/>
      <c r="AQ998" s="100"/>
      <c r="AR998" s="100"/>
      <c r="AS998" s="100"/>
      <c r="AT998" s="100"/>
      <c r="AU998" s="101"/>
    </row>
    <row r="999" spans="29:47" ht="18.75" x14ac:dyDescent="0.3">
      <c r="AC999" s="99"/>
      <c r="AD999" s="100"/>
      <c r="AE999" s="100"/>
      <c r="AF999" s="100"/>
      <c r="AG999" s="100"/>
      <c r="AH999" s="100"/>
      <c r="AI999" s="100"/>
      <c r="AJ999" s="101"/>
      <c r="AK999" s="99"/>
      <c r="AL999" s="100"/>
      <c r="AM999" s="100"/>
      <c r="AN999" s="100"/>
      <c r="AO999" s="100"/>
      <c r="AP999" s="100"/>
      <c r="AQ999" s="100"/>
      <c r="AR999" s="100"/>
      <c r="AS999" s="100"/>
      <c r="AT999" s="100"/>
      <c r="AU999" s="101"/>
    </row>
    <row r="1000" spans="29:47" ht="18.75" x14ac:dyDescent="0.3">
      <c r="AC1000" s="99"/>
      <c r="AD1000" s="100"/>
      <c r="AE1000" s="100"/>
      <c r="AF1000" s="100"/>
      <c r="AG1000" s="100"/>
      <c r="AH1000" s="100"/>
      <c r="AI1000" s="100"/>
      <c r="AJ1000" s="101"/>
      <c r="AK1000" s="99"/>
      <c r="AL1000" s="100"/>
      <c r="AM1000" s="100"/>
      <c r="AN1000" s="100"/>
      <c r="AO1000" s="100"/>
      <c r="AP1000" s="100"/>
      <c r="AQ1000" s="100"/>
      <c r="AR1000" s="100"/>
      <c r="AS1000" s="100"/>
      <c r="AT1000" s="100"/>
      <c r="AU1000" s="101"/>
    </row>
    <row r="1001" spans="29:47" ht="18.75" x14ac:dyDescent="0.3">
      <c r="AC1001" s="103"/>
      <c r="AD1001" s="104"/>
      <c r="AE1001" s="104"/>
      <c r="AF1001" s="104"/>
      <c r="AG1001" s="104"/>
      <c r="AH1001" s="104"/>
      <c r="AI1001" s="104"/>
      <c r="AJ1001" s="105"/>
      <c r="AK1001" s="103"/>
      <c r="AL1001" s="104"/>
      <c r="AM1001" s="104"/>
      <c r="AN1001" s="104"/>
      <c r="AO1001" s="104"/>
      <c r="AP1001" s="104"/>
      <c r="AQ1001" s="104"/>
      <c r="AR1001" s="104"/>
      <c r="AS1001" s="104"/>
      <c r="AT1001" s="104"/>
      <c r="AU1001" s="105"/>
    </row>
  </sheetData>
  <autoFilter ref="N2:P27" xr:uid="{00000000-0009-0000-0000-000004000000}">
    <sortState xmlns:xlrd2="http://schemas.microsoft.com/office/spreadsheetml/2017/richdata2" ref="N2:P27">
      <sortCondition ref="N2:N27"/>
    </sortState>
  </autoFilter>
  <mergeCells count="22">
    <mergeCell ref="V50:W50"/>
    <mergeCell ref="Z50:AA50"/>
    <mergeCell ref="AD50:AE50"/>
    <mergeCell ref="AH50:AI50"/>
    <mergeCell ref="AL50:AM50"/>
    <mergeCell ref="AP50:AQ50"/>
    <mergeCell ref="Z1:AB1"/>
    <mergeCell ref="AD1:AF1"/>
    <mergeCell ref="AH1:AJ1"/>
    <mergeCell ref="AL1:AN1"/>
    <mergeCell ref="AP1:AR1"/>
    <mergeCell ref="B50:C50"/>
    <mergeCell ref="F50:G50"/>
    <mergeCell ref="J50:K50"/>
    <mergeCell ref="N50:O50"/>
    <mergeCell ref="R50:S50"/>
    <mergeCell ref="B1:D1"/>
    <mergeCell ref="F1:H1"/>
    <mergeCell ref="J1:L1"/>
    <mergeCell ref="N1:P1"/>
    <mergeCell ref="R1:T1"/>
    <mergeCell ref="V1:X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183"/>
  <sheetViews>
    <sheetView topLeftCell="A160" workbookViewId="0">
      <selection activeCell="J183" sqref="J183"/>
    </sheetView>
  </sheetViews>
  <sheetFormatPr defaultColWidth="14.42578125" defaultRowHeight="15" customHeight="1" x14ac:dyDescent="0.25"/>
  <cols>
    <col min="9" max="9" width="25.7109375" customWidth="1"/>
  </cols>
  <sheetData>
    <row r="1" spans="1:11" x14ac:dyDescent="0.25">
      <c r="A1" s="73"/>
      <c r="B1" s="21"/>
      <c r="C1" s="21"/>
      <c r="D1" s="21"/>
      <c r="E1" s="21"/>
      <c r="F1" s="21"/>
      <c r="G1" s="24"/>
      <c r="H1" s="24"/>
      <c r="I1" s="21"/>
      <c r="J1" s="21"/>
      <c r="K1" s="24">
        <v>0</v>
      </c>
    </row>
    <row r="2" spans="1:11" x14ac:dyDescent="0.25">
      <c r="A2" s="74">
        <v>45962</v>
      </c>
      <c r="B2" s="4" t="s">
        <v>306</v>
      </c>
      <c r="C2" s="4" t="s">
        <v>20</v>
      </c>
      <c r="D2" s="4" t="s">
        <v>13</v>
      </c>
      <c r="E2" s="4" t="s">
        <v>17</v>
      </c>
      <c r="F2" s="4"/>
      <c r="G2" s="75">
        <v>7834</v>
      </c>
      <c r="H2" s="75"/>
      <c r="I2" s="4"/>
      <c r="J2" s="4" t="s">
        <v>54</v>
      </c>
      <c r="K2" s="75">
        <v>7834</v>
      </c>
    </row>
    <row r="3" spans="1:11" x14ac:dyDescent="0.25">
      <c r="A3" s="74">
        <v>45962</v>
      </c>
      <c r="B3" s="4" t="s">
        <v>307</v>
      </c>
      <c r="C3" s="4" t="s">
        <v>20</v>
      </c>
      <c r="D3" s="4" t="s">
        <v>22</v>
      </c>
      <c r="E3" s="4" t="s">
        <v>17</v>
      </c>
      <c r="F3" s="4"/>
      <c r="G3" s="75">
        <v>370</v>
      </c>
      <c r="H3" s="75"/>
      <c r="I3" s="4"/>
      <c r="J3" s="4" t="s">
        <v>54</v>
      </c>
      <c r="K3" s="75">
        <v>8204</v>
      </c>
    </row>
    <row r="4" spans="1:11" x14ac:dyDescent="0.25">
      <c r="A4" s="74">
        <v>45962</v>
      </c>
      <c r="B4" s="4" t="s">
        <v>23</v>
      </c>
      <c r="C4" s="4" t="s">
        <v>12</v>
      </c>
      <c r="D4" s="4" t="s">
        <v>24</v>
      </c>
      <c r="E4" s="4" t="s">
        <v>17</v>
      </c>
      <c r="F4" s="4" t="s">
        <v>25</v>
      </c>
      <c r="G4" s="75">
        <v>53</v>
      </c>
      <c r="H4" s="75"/>
      <c r="I4" s="4"/>
      <c r="J4" s="4" t="s">
        <v>54</v>
      </c>
      <c r="K4" s="75">
        <v>8151</v>
      </c>
    </row>
    <row r="5" spans="1:11" x14ac:dyDescent="0.25">
      <c r="A5" s="74">
        <v>45963</v>
      </c>
      <c r="B5" s="4" t="s">
        <v>306</v>
      </c>
      <c r="C5" s="4" t="s">
        <v>20</v>
      </c>
      <c r="D5" s="4" t="s">
        <v>13</v>
      </c>
      <c r="E5" s="4" t="s">
        <v>17</v>
      </c>
      <c r="F5" s="4"/>
      <c r="G5" s="75">
        <v>3000</v>
      </c>
      <c r="H5" s="75"/>
      <c r="I5" s="4"/>
      <c r="J5" s="4" t="s">
        <v>54</v>
      </c>
      <c r="K5" s="75">
        <v>11151</v>
      </c>
    </row>
    <row r="6" spans="1:11" x14ac:dyDescent="0.25">
      <c r="A6" s="74">
        <v>45963</v>
      </c>
      <c r="B6" s="4" t="s">
        <v>307</v>
      </c>
      <c r="C6" s="4" t="s">
        <v>20</v>
      </c>
      <c r="D6" s="4" t="s">
        <v>22</v>
      </c>
      <c r="E6" s="4" t="s">
        <v>17</v>
      </c>
      <c r="F6" s="4"/>
      <c r="G6" s="75">
        <v>441</v>
      </c>
      <c r="H6" s="75"/>
      <c r="I6" s="4"/>
      <c r="J6" s="4" t="s">
        <v>54</v>
      </c>
      <c r="K6" s="75">
        <v>11592</v>
      </c>
    </row>
    <row r="7" spans="1:11" x14ac:dyDescent="0.25">
      <c r="A7" s="74">
        <v>45963</v>
      </c>
      <c r="B7" s="4" t="s">
        <v>23</v>
      </c>
      <c r="C7" s="4" t="s">
        <v>12</v>
      </c>
      <c r="D7" s="4" t="s">
        <v>24</v>
      </c>
      <c r="E7" s="4" t="s">
        <v>17</v>
      </c>
      <c r="F7" s="4" t="s">
        <v>25</v>
      </c>
      <c r="G7" s="75">
        <v>54</v>
      </c>
      <c r="H7" s="75"/>
      <c r="I7" s="4"/>
      <c r="J7" s="4" t="s">
        <v>54</v>
      </c>
      <c r="K7" s="75">
        <v>11538</v>
      </c>
    </row>
    <row r="8" spans="1:11" x14ac:dyDescent="0.25">
      <c r="A8" s="74">
        <v>45963</v>
      </c>
      <c r="B8" s="4" t="s">
        <v>308</v>
      </c>
      <c r="C8" s="4" t="s">
        <v>12</v>
      </c>
      <c r="D8" s="4" t="s">
        <v>19</v>
      </c>
      <c r="E8" s="4" t="s">
        <v>17</v>
      </c>
      <c r="F8" s="4"/>
      <c r="G8" s="75">
        <v>772.79</v>
      </c>
      <c r="H8" s="75"/>
      <c r="I8" s="4"/>
      <c r="J8" s="4" t="s">
        <v>54</v>
      </c>
      <c r="K8" s="75">
        <v>10765.21</v>
      </c>
    </row>
    <row r="9" spans="1:11" x14ac:dyDescent="0.25">
      <c r="A9" s="74">
        <v>45964</v>
      </c>
      <c r="B9" s="4" t="s">
        <v>309</v>
      </c>
      <c r="C9" s="4" t="s">
        <v>12</v>
      </c>
      <c r="D9" s="4" t="s">
        <v>39</v>
      </c>
      <c r="E9" s="4" t="s">
        <v>14</v>
      </c>
      <c r="F9" s="4" t="s">
        <v>15</v>
      </c>
      <c r="G9" s="75">
        <v>1670</v>
      </c>
      <c r="H9" s="75"/>
      <c r="I9" s="4" t="s">
        <v>310</v>
      </c>
      <c r="J9" s="4" t="s">
        <v>54</v>
      </c>
      <c r="K9" s="75">
        <v>9095.2099999999991</v>
      </c>
    </row>
    <row r="10" spans="1:11" x14ac:dyDescent="0.25">
      <c r="A10" s="74">
        <v>45964</v>
      </c>
      <c r="B10" s="4" t="s">
        <v>311</v>
      </c>
      <c r="C10" s="4" t="s">
        <v>20</v>
      </c>
      <c r="D10" s="4" t="s">
        <v>13</v>
      </c>
      <c r="E10" s="4" t="s">
        <v>17</v>
      </c>
      <c r="F10" s="4"/>
      <c r="G10" s="75">
        <v>1708</v>
      </c>
      <c r="H10" s="75"/>
      <c r="I10" s="4"/>
      <c r="J10" s="4" t="s">
        <v>54</v>
      </c>
      <c r="K10" s="75">
        <v>10803.21</v>
      </c>
    </row>
    <row r="11" spans="1:11" x14ac:dyDescent="0.25">
      <c r="A11" s="74">
        <v>45965</v>
      </c>
      <c r="B11" s="4" t="s">
        <v>312</v>
      </c>
      <c r="C11" s="4" t="s">
        <v>12</v>
      </c>
      <c r="D11" s="4" t="s">
        <v>19</v>
      </c>
      <c r="E11" s="4" t="s">
        <v>17</v>
      </c>
      <c r="F11" s="4"/>
      <c r="G11" s="75">
        <v>953.18</v>
      </c>
      <c r="H11" s="75"/>
      <c r="I11" s="4"/>
      <c r="J11" s="4" t="s">
        <v>54</v>
      </c>
      <c r="K11" s="75">
        <v>9850.0299999999988</v>
      </c>
    </row>
    <row r="12" spans="1:11" x14ac:dyDescent="0.25">
      <c r="A12" s="74">
        <v>45965</v>
      </c>
      <c r="B12" s="4" t="s">
        <v>313</v>
      </c>
      <c r="C12" s="4" t="s">
        <v>12</v>
      </c>
      <c r="D12" s="4" t="s">
        <v>19</v>
      </c>
      <c r="E12" s="4" t="s">
        <v>17</v>
      </c>
      <c r="F12" s="4"/>
      <c r="G12" s="75">
        <v>22.12</v>
      </c>
      <c r="H12" s="75"/>
      <c r="I12" s="4"/>
      <c r="J12" s="4" t="s">
        <v>54</v>
      </c>
      <c r="K12" s="75">
        <v>9827.909999999998</v>
      </c>
    </row>
    <row r="13" spans="1:11" x14ac:dyDescent="0.25">
      <c r="A13" s="74">
        <v>45965</v>
      </c>
      <c r="B13" s="4" t="s">
        <v>312</v>
      </c>
      <c r="C13" s="4" t="s">
        <v>12</v>
      </c>
      <c r="D13" s="4" t="s">
        <v>19</v>
      </c>
      <c r="E13" s="4" t="s">
        <v>17</v>
      </c>
      <c r="F13" s="4"/>
      <c r="G13" s="75">
        <v>1445.77</v>
      </c>
      <c r="H13" s="75"/>
      <c r="I13" s="4"/>
      <c r="J13" s="4" t="s">
        <v>54</v>
      </c>
      <c r="K13" s="75">
        <v>8382.1399999999976</v>
      </c>
    </row>
    <row r="14" spans="1:11" x14ac:dyDescent="0.25">
      <c r="A14" s="74">
        <v>45965</v>
      </c>
      <c r="B14" s="4" t="s">
        <v>314</v>
      </c>
      <c r="C14" s="4" t="s">
        <v>12</v>
      </c>
      <c r="D14" s="4" t="s">
        <v>27</v>
      </c>
      <c r="E14" s="4" t="s">
        <v>17</v>
      </c>
      <c r="F14" s="4"/>
      <c r="G14" s="75">
        <v>400</v>
      </c>
      <c r="H14" s="75"/>
      <c r="I14" s="4"/>
      <c r="J14" s="4" t="s">
        <v>54</v>
      </c>
      <c r="K14" s="75">
        <v>7982.1399999999976</v>
      </c>
    </row>
    <row r="15" spans="1:11" x14ac:dyDescent="0.25">
      <c r="A15" s="74">
        <v>45965</v>
      </c>
      <c r="B15" s="4" t="s">
        <v>315</v>
      </c>
      <c r="C15" s="4" t="s">
        <v>12</v>
      </c>
      <c r="D15" s="4" t="s">
        <v>67</v>
      </c>
      <c r="E15" s="4" t="s">
        <v>17</v>
      </c>
      <c r="F15" s="4" t="s">
        <v>25</v>
      </c>
      <c r="G15" s="75">
        <v>3.5</v>
      </c>
      <c r="H15" s="75"/>
      <c r="I15" s="4" t="s">
        <v>316</v>
      </c>
      <c r="J15" s="4" t="s">
        <v>54</v>
      </c>
      <c r="K15" s="75">
        <v>7978.6399999999976</v>
      </c>
    </row>
    <row r="16" spans="1:11" x14ac:dyDescent="0.25">
      <c r="A16" s="74">
        <v>45965</v>
      </c>
      <c r="B16" s="4" t="s">
        <v>11</v>
      </c>
      <c r="C16" s="4" t="s">
        <v>12</v>
      </c>
      <c r="D16" s="4" t="s">
        <v>19</v>
      </c>
      <c r="E16" s="4" t="s">
        <v>14</v>
      </c>
      <c r="F16" s="4" t="s">
        <v>15</v>
      </c>
      <c r="G16" s="75">
        <v>94</v>
      </c>
      <c r="H16" s="75"/>
      <c r="I16" s="4"/>
      <c r="J16" s="4" t="s">
        <v>54</v>
      </c>
      <c r="K16" s="75">
        <v>7884.6399999999976</v>
      </c>
    </row>
    <row r="17" spans="1:11" x14ac:dyDescent="0.25">
      <c r="A17" s="74">
        <v>45965</v>
      </c>
      <c r="B17" s="4" t="s">
        <v>45</v>
      </c>
      <c r="C17" s="4" t="s">
        <v>12</v>
      </c>
      <c r="D17" s="4" t="s">
        <v>24</v>
      </c>
      <c r="E17" s="4" t="s">
        <v>17</v>
      </c>
      <c r="F17" s="4" t="s">
        <v>25</v>
      </c>
      <c r="G17" s="75">
        <v>9</v>
      </c>
      <c r="H17" s="75"/>
      <c r="I17" s="4"/>
      <c r="J17" s="4" t="s">
        <v>54</v>
      </c>
      <c r="K17" s="75">
        <v>7875.6399999999976</v>
      </c>
    </row>
    <row r="18" spans="1:11" x14ac:dyDescent="0.25">
      <c r="A18" s="74">
        <v>45965</v>
      </c>
      <c r="B18" s="4" t="s">
        <v>30</v>
      </c>
      <c r="C18" s="4" t="s">
        <v>20</v>
      </c>
      <c r="D18" s="4" t="s">
        <v>13</v>
      </c>
      <c r="E18" s="4" t="s">
        <v>17</v>
      </c>
      <c r="F18" s="4"/>
      <c r="G18" s="75">
        <v>1499</v>
      </c>
      <c r="H18" s="75"/>
      <c r="I18" s="4"/>
      <c r="J18" s="4" t="s">
        <v>54</v>
      </c>
      <c r="K18" s="75">
        <v>9374.6399999999976</v>
      </c>
    </row>
    <row r="19" spans="1:11" x14ac:dyDescent="0.25">
      <c r="A19" s="74">
        <v>45965</v>
      </c>
      <c r="B19" s="4" t="s">
        <v>317</v>
      </c>
      <c r="C19" s="4" t="s">
        <v>20</v>
      </c>
      <c r="D19" s="4" t="s">
        <v>22</v>
      </c>
      <c r="E19" s="4" t="s">
        <v>17</v>
      </c>
      <c r="F19" s="4"/>
      <c r="G19" s="75">
        <v>78</v>
      </c>
      <c r="H19" s="75"/>
      <c r="I19" s="4"/>
      <c r="J19" s="4" t="s">
        <v>54</v>
      </c>
      <c r="K19" s="75">
        <v>9452.6399999999976</v>
      </c>
    </row>
    <row r="20" spans="1:11" x14ac:dyDescent="0.25">
      <c r="A20" s="74">
        <v>45966</v>
      </c>
      <c r="B20" s="4" t="s">
        <v>318</v>
      </c>
      <c r="C20" s="4" t="s">
        <v>12</v>
      </c>
      <c r="D20" s="4" t="s">
        <v>39</v>
      </c>
      <c r="E20" s="4" t="s">
        <v>17</v>
      </c>
      <c r="F20" s="4"/>
      <c r="G20" s="75">
        <v>100</v>
      </c>
      <c r="H20" s="75"/>
      <c r="I20" s="4"/>
      <c r="J20" s="4" t="s">
        <v>54</v>
      </c>
      <c r="K20" s="75">
        <v>9352.6399999999976</v>
      </c>
    </row>
    <row r="21" spans="1:11" x14ac:dyDescent="0.25">
      <c r="A21" s="74">
        <v>45966</v>
      </c>
      <c r="B21" s="4" t="s">
        <v>319</v>
      </c>
      <c r="C21" s="4" t="s">
        <v>12</v>
      </c>
      <c r="D21" s="4" t="s">
        <v>39</v>
      </c>
      <c r="E21" s="4" t="s">
        <v>17</v>
      </c>
      <c r="F21" s="4"/>
      <c r="G21" s="75">
        <v>9000</v>
      </c>
      <c r="H21" s="75"/>
      <c r="I21" s="4"/>
      <c r="J21" s="4" t="s">
        <v>54</v>
      </c>
      <c r="K21" s="75">
        <v>352.6399999999976</v>
      </c>
    </row>
    <row r="22" spans="1:11" x14ac:dyDescent="0.25">
      <c r="A22" s="74">
        <v>45966</v>
      </c>
      <c r="B22" s="4" t="s">
        <v>320</v>
      </c>
      <c r="C22" s="4" t="s">
        <v>12</v>
      </c>
      <c r="D22" s="4" t="s">
        <v>39</v>
      </c>
      <c r="E22" s="4" t="s">
        <v>17</v>
      </c>
      <c r="F22" s="4"/>
      <c r="G22" s="75">
        <v>90.85</v>
      </c>
      <c r="H22" s="75"/>
      <c r="I22" s="4"/>
      <c r="J22" s="4" t="s">
        <v>54</v>
      </c>
      <c r="K22" s="75">
        <v>261.78999999999758</v>
      </c>
    </row>
    <row r="23" spans="1:11" x14ac:dyDescent="0.25">
      <c r="A23" s="74">
        <v>45966</v>
      </c>
      <c r="B23" s="4" t="s">
        <v>321</v>
      </c>
      <c r="C23" s="4" t="s">
        <v>12</v>
      </c>
      <c r="D23" s="4" t="s">
        <v>19</v>
      </c>
      <c r="E23" s="4" t="s">
        <v>17</v>
      </c>
      <c r="F23" s="4"/>
      <c r="G23" s="75">
        <v>278</v>
      </c>
      <c r="H23" s="75"/>
      <c r="I23" s="4"/>
      <c r="J23" s="4" t="s">
        <v>54</v>
      </c>
      <c r="K23" s="75">
        <v>-16.21000000000242</v>
      </c>
    </row>
    <row r="24" spans="1:11" x14ac:dyDescent="0.25">
      <c r="A24" s="74">
        <v>45966</v>
      </c>
      <c r="B24" s="4" t="s">
        <v>322</v>
      </c>
      <c r="C24" s="4" t="s">
        <v>12</v>
      </c>
      <c r="D24" s="4" t="s">
        <v>64</v>
      </c>
      <c r="E24" s="4" t="s">
        <v>17</v>
      </c>
      <c r="F24" s="4" t="s">
        <v>25</v>
      </c>
      <c r="G24" s="75">
        <v>45</v>
      </c>
      <c r="H24" s="75"/>
      <c r="I24" s="4" t="s">
        <v>323</v>
      </c>
      <c r="J24" s="4" t="s">
        <v>54</v>
      </c>
      <c r="K24" s="75">
        <v>-61.210000000002417</v>
      </c>
    </row>
    <row r="25" spans="1:11" x14ac:dyDescent="0.25">
      <c r="A25" s="74">
        <v>45966</v>
      </c>
      <c r="B25" s="4" t="s">
        <v>11</v>
      </c>
      <c r="C25" s="4" t="s">
        <v>12</v>
      </c>
      <c r="D25" s="4" t="s">
        <v>19</v>
      </c>
      <c r="E25" s="4" t="s">
        <v>14</v>
      </c>
      <c r="F25" s="4" t="s">
        <v>15</v>
      </c>
      <c r="G25" s="75">
        <v>94</v>
      </c>
      <c r="H25" s="75"/>
      <c r="I25" s="4"/>
      <c r="J25" s="4" t="s">
        <v>54</v>
      </c>
      <c r="K25" s="75">
        <v>-155.2100000000024</v>
      </c>
    </row>
    <row r="26" spans="1:11" x14ac:dyDescent="0.25">
      <c r="A26" s="74">
        <v>45966</v>
      </c>
      <c r="B26" s="4" t="s">
        <v>324</v>
      </c>
      <c r="C26" s="4" t="s">
        <v>12</v>
      </c>
      <c r="D26" s="4" t="s">
        <v>325</v>
      </c>
      <c r="E26" s="4" t="s">
        <v>17</v>
      </c>
      <c r="F26" s="4"/>
      <c r="G26" s="75">
        <v>4478.1899999999996</v>
      </c>
      <c r="H26" s="75"/>
      <c r="I26" s="4" t="s">
        <v>326</v>
      </c>
      <c r="J26" s="4" t="s">
        <v>54</v>
      </c>
      <c r="K26" s="75">
        <v>-4633.4000000000024</v>
      </c>
    </row>
    <row r="27" spans="1:11" x14ac:dyDescent="0.25">
      <c r="A27" s="74">
        <v>45966</v>
      </c>
      <c r="B27" s="4" t="s">
        <v>303</v>
      </c>
      <c r="C27" s="4" t="s">
        <v>12</v>
      </c>
      <c r="D27" s="4" t="s">
        <v>68</v>
      </c>
      <c r="E27" s="4" t="s">
        <v>17</v>
      </c>
      <c r="F27" s="4"/>
      <c r="G27" s="75">
        <v>2000</v>
      </c>
      <c r="H27" s="75"/>
      <c r="I27" s="4" t="s">
        <v>327</v>
      </c>
      <c r="J27" s="4" t="s">
        <v>54</v>
      </c>
      <c r="K27" s="75">
        <v>-6633.4000000000024</v>
      </c>
    </row>
    <row r="28" spans="1:11" x14ac:dyDescent="0.25">
      <c r="A28" s="74">
        <v>45966</v>
      </c>
      <c r="B28" s="4" t="s">
        <v>45</v>
      </c>
      <c r="C28" s="4" t="s">
        <v>12</v>
      </c>
      <c r="D28" s="4" t="s">
        <v>24</v>
      </c>
      <c r="E28" s="4" t="s">
        <v>17</v>
      </c>
      <c r="F28" s="4" t="s">
        <v>25</v>
      </c>
      <c r="G28" s="75">
        <v>27</v>
      </c>
      <c r="H28" s="75"/>
      <c r="I28" s="4"/>
      <c r="J28" s="4" t="s">
        <v>54</v>
      </c>
      <c r="K28" s="75">
        <v>-6660.4000000000024</v>
      </c>
    </row>
    <row r="29" spans="1:11" x14ac:dyDescent="0.25">
      <c r="A29" s="74">
        <v>45966</v>
      </c>
      <c r="B29" s="4" t="s">
        <v>328</v>
      </c>
      <c r="C29" s="4" t="s">
        <v>20</v>
      </c>
      <c r="D29" s="4" t="s">
        <v>13</v>
      </c>
      <c r="E29" s="4"/>
      <c r="F29" s="4"/>
      <c r="G29" s="75">
        <v>1225</v>
      </c>
      <c r="H29" s="75"/>
      <c r="I29" s="4"/>
      <c r="J29" s="4" t="s">
        <v>54</v>
      </c>
      <c r="K29" s="75">
        <v>-5435.4000000000024</v>
      </c>
    </row>
    <row r="30" spans="1:11" x14ac:dyDescent="0.25">
      <c r="A30" s="74">
        <v>45966</v>
      </c>
      <c r="B30" s="4" t="s">
        <v>329</v>
      </c>
      <c r="C30" s="4" t="s">
        <v>20</v>
      </c>
      <c r="D30" s="4" t="s">
        <v>22</v>
      </c>
      <c r="E30" s="4" t="s">
        <v>17</v>
      </c>
      <c r="F30" s="4"/>
      <c r="G30" s="75">
        <v>185.2</v>
      </c>
      <c r="H30" s="75"/>
      <c r="I30" s="4"/>
      <c r="J30" s="4" t="s">
        <v>54</v>
      </c>
      <c r="K30" s="75">
        <v>-5250.2000000000025</v>
      </c>
    </row>
    <row r="31" spans="1:11" x14ac:dyDescent="0.25">
      <c r="A31" s="74">
        <v>45967</v>
      </c>
      <c r="B31" s="4" t="s">
        <v>11</v>
      </c>
      <c r="C31" s="4" t="s">
        <v>12</v>
      </c>
      <c r="D31" s="4" t="s">
        <v>19</v>
      </c>
      <c r="E31" s="4" t="s">
        <v>14</v>
      </c>
      <c r="F31" s="4" t="s">
        <v>15</v>
      </c>
      <c r="G31" s="75">
        <v>235</v>
      </c>
      <c r="H31" s="75"/>
      <c r="I31" s="4"/>
      <c r="J31" s="4" t="s">
        <v>54</v>
      </c>
      <c r="K31" s="75">
        <v>-5485.2000000000025</v>
      </c>
    </row>
    <row r="32" spans="1:11" x14ac:dyDescent="0.25">
      <c r="A32" s="74">
        <v>45967</v>
      </c>
      <c r="B32" s="4" t="s">
        <v>330</v>
      </c>
      <c r="C32" s="4" t="s">
        <v>12</v>
      </c>
      <c r="D32" s="4" t="s">
        <v>27</v>
      </c>
      <c r="E32" s="4" t="s">
        <v>14</v>
      </c>
      <c r="F32" s="4" t="s">
        <v>15</v>
      </c>
      <c r="G32" s="75">
        <v>190</v>
      </c>
      <c r="H32" s="75"/>
      <c r="I32" s="4" t="s">
        <v>331</v>
      </c>
      <c r="J32" s="4" t="s">
        <v>54</v>
      </c>
      <c r="K32" s="75">
        <v>-5675.2000000000025</v>
      </c>
    </row>
    <row r="33" spans="1:11" x14ac:dyDescent="0.25">
      <c r="A33" s="74">
        <v>45967</v>
      </c>
      <c r="B33" s="4" t="s">
        <v>328</v>
      </c>
      <c r="C33" s="4" t="s">
        <v>20</v>
      </c>
      <c r="D33" s="4" t="s">
        <v>13</v>
      </c>
      <c r="E33" s="4"/>
      <c r="F33" s="4"/>
      <c r="G33" s="75">
        <v>2605</v>
      </c>
      <c r="H33" s="75"/>
      <c r="I33" s="4"/>
      <c r="J33" s="4" t="s">
        <v>54</v>
      </c>
      <c r="K33" s="75">
        <v>-3070.200000000003</v>
      </c>
    </row>
    <row r="34" spans="1:11" x14ac:dyDescent="0.25">
      <c r="A34" s="74">
        <v>45967</v>
      </c>
      <c r="B34" s="4" t="s">
        <v>332</v>
      </c>
      <c r="C34" s="4" t="s">
        <v>20</v>
      </c>
      <c r="D34" s="4" t="s">
        <v>22</v>
      </c>
      <c r="E34" s="4" t="s">
        <v>17</v>
      </c>
      <c r="F34" s="4"/>
      <c r="G34" s="75">
        <v>58.4</v>
      </c>
      <c r="H34" s="75"/>
      <c r="I34" s="4"/>
      <c r="J34" s="4" t="s">
        <v>54</v>
      </c>
      <c r="K34" s="75">
        <v>-3011.800000000002</v>
      </c>
    </row>
    <row r="35" spans="1:11" x14ac:dyDescent="0.25">
      <c r="A35" s="74">
        <v>45967</v>
      </c>
      <c r="B35" s="4" t="s">
        <v>23</v>
      </c>
      <c r="C35" s="4" t="s">
        <v>12</v>
      </c>
      <c r="D35" s="4" t="s">
        <v>24</v>
      </c>
      <c r="E35" s="4" t="s">
        <v>17</v>
      </c>
      <c r="F35" s="4" t="s">
        <v>25</v>
      </c>
      <c r="G35" s="75">
        <v>9</v>
      </c>
      <c r="H35" s="75"/>
      <c r="I35" s="4"/>
      <c r="J35" s="4" t="s">
        <v>54</v>
      </c>
      <c r="K35" s="75">
        <v>-3020.800000000002</v>
      </c>
    </row>
    <row r="36" spans="1:11" x14ac:dyDescent="0.25">
      <c r="A36" s="74">
        <v>45968</v>
      </c>
      <c r="B36" s="4" t="s">
        <v>333</v>
      </c>
      <c r="C36" s="4" t="s">
        <v>12</v>
      </c>
      <c r="D36" s="4" t="s">
        <v>27</v>
      </c>
      <c r="E36" s="4" t="s">
        <v>17</v>
      </c>
      <c r="F36" s="4" t="s">
        <v>25</v>
      </c>
      <c r="G36" s="75">
        <v>9642.93</v>
      </c>
      <c r="H36" s="75"/>
      <c r="I36" s="4"/>
      <c r="J36" s="4" t="s">
        <v>54</v>
      </c>
      <c r="K36" s="75">
        <v>-12663.73</v>
      </c>
    </row>
    <row r="37" spans="1:11" x14ac:dyDescent="0.25">
      <c r="A37" s="74">
        <v>45968</v>
      </c>
      <c r="B37" s="4" t="s">
        <v>11</v>
      </c>
      <c r="C37" s="4" t="s">
        <v>12</v>
      </c>
      <c r="D37" s="4" t="s">
        <v>19</v>
      </c>
      <c r="E37" s="4" t="s">
        <v>14</v>
      </c>
      <c r="F37" s="4" t="s">
        <v>15</v>
      </c>
      <c r="G37" s="75">
        <v>376</v>
      </c>
      <c r="H37" s="75"/>
      <c r="I37" s="4"/>
      <c r="J37" s="4" t="s">
        <v>54</v>
      </c>
      <c r="K37" s="75">
        <v>-13039.73</v>
      </c>
    </row>
    <row r="38" spans="1:11" x14ac:dyDescent="0.25">
      <c r="A38" s="74">
        <v>45968</v>
      </c>
      <c r="B38" s="4" t="s">
        <v>23</v>
      </c>
      <c r="C38" s="4" t="s">
        <v>12</v>
      </c>
      <c r="D38" s="4" t="s">
        <v>24</v>
      </c>
      <c r="E38" s="4" t="s">
        <v>17</v>
      </c>
      <c r="F38" s="4" t="s">
        <v>25</v>
      </c>
      <c r="G38" s="75">
        <v>35</v>
      </c>
      <c r="H38" s="75"/>
      <c r="I38" s="4"/>
      <c r="J38" s="4" t="s">
        <v>54</v>
      </c>
      <c r="K38" s="75">
        <v>-13074.73</v>
      </c>
    </row>
    <row r="39" spans="1:11" x14ac:dyDescent="0.25">
      <c r="A39" s="74">
        <v>45968</v>
      </c>
      <c r="B39" s="4" t="s">
        <v>328</v>
      </c>
      <c r="C39" s="4" t="s">
        <v>20</v>
      </c>
      <c r="D39" s="4" t="s">
        <v>13</v>
      </c>
      <c r="E39" s="4"/>
      <c r="F39" s="4"/>
      <c r="G39" s="75">
        <v>3432.3</v>
      </c>
      <c r="H39" s="75"/>
      <c r="I39" s="4"/>
      <c r="J39" s="4" t="s">
        <v>54</v>
      </c>
      <c r="K39" s="75">
        <v>-9642.4300000000039</v>
      </c>
    </row>
    <row r="40" spans="1:11" x14ac:dyDescent="0.25">
      <c r="A40" s="74">
        <v>45968</v>
      </c>
      <c r="B40" s="4" t="s">
        <v>44</v>
      </c>
      <c r="C40" s="4" t="s">
        <v>20</v>
      </c>
      <c r="D40" s="4" t="s">
        <v>22</v>
      </c>
      <c r="E40" s="4" t="s">
        <v>17</v>
      </c>
      <c r="F40" s="4"/>
      <c r="G40" s="75">
        <v>302.5</v>
      </c>
      <c r="H40" s="75"/>
      <c r="I40" s="4"/>
      <c r="J40" s="4" t="s">
        <v>54</v>
      </c>
      <c r="K40" s="75">
        <v>-9339.9300000000039</v>
      </c>
    </row>
    <row r="41" spans="1:11" x14ac:dyDescent="0.25">
      <c r="A41" s="74">
        <v>45969</v>
      </c>
      <c r="B41" s="4" t="s">
        <v>334</v>
      </c>
      <c r="C41" s="4" t="s">
        <v>12</v>
      </c>
      <c r="D41" s="4" t="s">
        <v>33</v>
      </c>
      <c r="E41" s="4" t="s">
        <v>14</v>
      </c>
      <c r="F41" s="4" t="s">
        <v>15</v>
      </c>
      <c r="G41" s="75">
        <v>120</v>
      </c>
      <c r="H41" s="75"/>
      <c r="I41" s="4"/>
      <c r="J41" s="4" t="s">
        <v>54</v>
      </c>
      <c r="K41" s="75">
        <v>-9459.9300000000039</v>
      </c>
    </row>
    <row r="42" spans="1:11" x14ac:dyDescent="0.25">
      <c r="A42" s="74">
        <v>45969</v>
      </c>
      <c r="B42" s="4" t="s">
        <v>23</v>
      </c>
      <c r="C42" s="4" t="s">
        <v>12</v>
      </c>
      <c r="D42" s="4" t="s">
        <v>24</v>
      </c>
      <c r="E42" s="4" t="s">
        <v>17</v>
      </c>
      <c r="F42" s="4" t="s">
        <v>25</v>
      </c>
      <c r="G42" s="75">
        <v>26</v>
      </c>
      <c r="H42" s="75"/>
      <c r="I42" s="4"/>
      <c r="J42" s="4" t="s">
        <v>54</v>
      </c>
      <c r="K42" s="75">
        <v>-9485.9300000000039</v>
      </c>
    </row>
    <row r="43" spans="1:11" x14ac:dyDescent="0.25">
      <c r="A43" s="74">
        <v>45969</v>
      </c>
      <c r="B43" s="4" t="s">
        <v>328</v>
      </c>
      <c r="C43" s="4" t="s">
        <v>20</v>
      </c>
      <c r="D43" s="4" t="s">
        <v>13</v>
      </c>
      <c r="E43" s="4"/>
      <c r="F43" s="4"/>
      <c r="G43" s="75">
        <v>4737.2</v>
      </c>
      <c r="H43" s="75"/>
      <c r="I43" s="4"/>
      <c r="J43" s="4" t="s">
        <v>54</v>
      </c>
      <c r="K43" s="75">
        <v>-4748.7300000000041</v>
      </c>
    </row>
    <row r="44" spans="1:11" x14ac:dyDescent="0.25">
      <c r="A44" s="74">
        <v>45969</v>
      </c>
      <c r="B44" s="4" t="s">
        <v>332</v>
      </c>
      <c r="C44" s="4" t="s">
        <v>20</v>
      </c>
      <c r="D44" s="4" t="s">
        <v>22</v>
      </c>
      <c r="E44" s="4" t="s">
        <v>17</v>
      </c>
      <c r="F44" s="4"/>
      <c r="G44" s="75">
        <v>346.5</v>
      </c>
      <c r="H44" s="75"/>
      <c r="I44" s="4"/>
      <c r="J44" s="4" t="s">
        <v>54</v>
      </c>
      <c r="K44" s="75">
        <v>-4402.2300000000041</v>
      </c>
    </row>
    <row r="45" spans="1:11" x14ac:dyDescent="0.25">
      <c r="A45" s="74">
        <v>45970</v>
      </c>
      <c r="B45" s="4" t="s">
        <v>45</v>
      </c>
      <c r="C45" s="4" t="s">
        <v>12</v>
      </c>
      <c r="D45" s="4" t="s">
        <v>24</v>
      </c>
      <c r="E45" s="4" t="s">
        <v>17</v>
      </c>
      <c r="F45" s="4" t="s">
        <v>25</v>
      </c>
      <c r="G45" s="75">
        <v>69</v>
      </c>
      <c r="H45" s="75"/>
      <c r="I45" s="4"/>
      <c r="J45" s="4" t="s">
        <v>54</v>
      </c>
      <c r="K45" s="75">
        <v>-4471.2300000000041</v>
      </c>
    </row>
    <row r="46" spans="1:11" x14ac:dyDescent="0.25">
      <c r="A46" s="74">
        <v>45970</v>
      </c>
      <c r="B46" s="4" t="s">
        <v>328</v>
      </c>
      <c r="C46" s="4" t="s">
        <v>20</v>
      </c>
      <c r="D46" s="4" t="s">
        <v>13</v>
      </c>
      <c r="E46" s="4"/>
      <c r="F46" s="4"/>
      <c r="G46" s="75">
        <v>9025</v>
      </c>
      <c r="H46" s="75"/>
      <c r="I46" s="4"/>
      <c r="J46" s="4" t="s">
        <v>54</v>
      </c>
      <c r="K46" s="75">
        <v>4553.7699999999959</v>
      </c>
    </row>
    <row r="47" spans="1:11" x14ac:dyDescent="0.25">
      <c r="A47" s="74">
        <v>45970</v>
      </c>
      <c r="B47" s="4" t="s">
        <v>44</v>
      </c>
      <c r="C47" s="4" t="s">
        <v>20</v>
      </c>
      <c r="D47" s="4" t="s">
        <v>22</v>
      </c>
      <c r="E47" s="4" t="s">
        <v>17</v>
      </c>
      <c r="F47" s="4"/>
      <c r="G47" s="75">
        <v>352.9</v>
      </c>
      <c r="H47" s="75"/>
      <c r="I47" s="4"/>
      <c r="J47" s="4" t="s">
        <v>54</v>
      </c>
      <c r="K47" s="75">
        <v>4906.6699999999964</v>
      </c>
    </row>
    <row r="48" spans="1:11" x14ac:dyDescent="0.25">
      <c r="A48" s="74">
        <v>45970</v>
      </c>
      <c r="B48" s="4" t="s">
        <v>335</v>
      </c>
      <c r="C48" s="4" t="s">
        <v>12</v>
      </c>
      <c r="D48" s="4" t="s">
        <v>33</v>
      </c>
      <c r="E48" s="4" t="s">
        <v>14</v>
      </c>
      <c r="F48" s="4" t="s">
        <v>15</v>
      </c>
      <c r="G48" s="75">
        <v>120</v>
      </c>
      <c r="H48" s="75"/>
      <c r="I48" s="4"/>
      <c r="J48" s="4" t="s">
        <v>54</v>
      </c>
      <c r="K48" s="75">
        <v>4786.6699999999964</v>
      </c>
    </row>
    <row r="49" spans="1:11" x14ac:dyDescent="0.25">
      <c r="A49" s="74">
        <v>45971</v>
      </c>
      <c r="B49" s="4" t="s">
        <v>336</v>
      </c>
      <c r="C49" s="4" t="s">
        <v>12</v>
      </c>
      <c r="D49" s="4" t="s">
        <v>66</v>
      </c>
      <c r="E49" s="4" t="s">
        <v>17</v>
      </c>
      <c r="F49" s="4" t="s">
        <v>25</v>
      </c>
      <c r="G49" s="75">
        <v>7726.31</v>
      </c>
      <c r="H49" s="75"/>
      <c r="I49" s="4"/>
      <c r="J49" s="4" t="s">
        <v>54</v>
      </c>
      <c r="K49" s="75">
        <v>-2939.6400000000049</v>
      </c>
    </row>
    <row r="50" spans="1:11" x14ac:dyDescent="0.25">
      <c r="A50" s="74">
        <v>45971</v>
      </c>
      <c r="B50" s="4" t="s">
        <v>337</v>
      </c>
      <c r="C50" s="4" t="s">
        <v>12</v>
      </c>
      <c r="D50" s="4" t="s">
        <v>27</v>
      </c>
      <c r="E50" s="4" t="s">
        <v>17</v>
      </c>
      <c r="F50" s="4" t="s">
        <v>25</v>
      </c>
      <c r="G50" s="75">
        <v>900</v>
      </c>
      <c r="H50" s="75"/>
      <c r="I50" s="4"/>
      <c r="J50" s="4" t="s">
        <v>54</v>
      </c>
      <c r="K50" s="75">
        <v>-3839.6400000000049</v>
      </c>
    </row>
    <row r="51" spans="1:11" x14ac:dyDescent="0.25">
      <c r="A51" s="74">
        <v>45971</v>
      </c>
      <c r="B51" s="4" t="s">
        <v>338</v>
      </c>
      <c r="C51" s="4" t="s">
        <v>12</v>
      </c>
      <c r="D51" s="4" t="s">
        <v>27</v>
      </c>
      <c r="E51" s="4" t="s">
        <v>17</v>
      </c>
      <c r="F51" s="4" t="s">
        <v>25</v>
      </c>
      <c r="G51" s="75">
        <v>3500</v>
      </c>
      <c r="H51" s="75"/>
      <c r="I51" s="4" t="s">
        <v>339</v>
      </c>
      <c r="J51" s="4" t="s">
        <v>54</v>
      </c>
      <c r="K51" s="75">
        <v>-7339.6400000000049</v>
      </c>
    </row>
    <row r="52" spans="1:11" x14ac:dyDescent="0.25">
      <c r="A52" s="74">
        <v>45971</v>
      </c>
      <c r="B52" s="4" t="s">
        <v>64</v>
      </c>
      <c r="C52" s="4" t="s">
        <v>12</v>
      </c>
      <c r="D52" s="4" t="s">
        <v>64</v>
      </c>
      <c r="E52" s="4" t="s">
        <v>17</v>
      </c>
      <c r="F52" s="4"/>
      <c r="G52" s="75">
        <v>685</v>
      </c>
      <c r="H52" s="75"/>
      <c r="I52" s="4"/>
      <c r="J52" s="4" t="s">
        <v>54</v>
      </c>
      <c r="K52" s="75">
        <v>-8024.6400000000049</v>
      </c>
    </row>
    <row r="53" spans="1:11" x14ac:dyDescent="0.25">
      <c r="A53" s="74">
        <v>45971</v>
      </c>
      <c r="B53" s="4" t="s">
        <v>340</v>
      </c>
      <c r="C53" s="4" t="s">
        <v>12</v>
      </c>
      <c r="D53" s="4" t="s">
        <v>19</v>
      </c>
      <c r="E53" s="4" t="s">
        <v>17</v>
      </c>
      <c r="F53" s="4"/>
      <c r="G53" s="75">
        <v>400.22</v>
      </c>
      <c r="H53" s="75"/>
      <c r="I53" s="4"/>
      <c r="J53" s="4" t="s">
        <v>54</v>
      </c>
      <c r="K53" s="75">
        <v>-8424.8600000000042</v>
      </c>
    </row>
    <row r="54" spans="1:11" x14ac:dyDescent="0.25">
      <c r="A54" s="74">
        <v>45971</v>
      </c>
      <c r="B54" s="4" t="s">
        <v>340</v>
      </c>
      <c r="C54" s="4" t="s">
        <v>12</v>
      </c>
      <c r="D54" s="4" t="s">
        <v>19</v>
      </c>
      <c r="E54" s="4" t="s">
        <v>17</v>
      </c>
      <c r="F54" s="4"/>
      <c r="G54" s="75">
        <v>444.67</v>
      </c>
      <c r="H54" s="75"/>
      <c r="I54" s="4"/>
      <c r="J54" s="4" t="s">
        <v>54</v>
      </c>
      <c r="K54" s="75">
        <v>-8869.5300000000043</v>
      </c>
    </row>
    <row r="55" spans="1:11" x14ac:dyDescent="0.25">
      <c r="A55" s="74">
        <v>45971</v>
      </c>
      <c r="B55" s="4" t="s">
        <v>341</v>
      </c>
      <c r="C55" s="4" t="s">
        <v>12</v>
      </c>
      <c r="D55" s="4" t="s">
        <v>27</v>
      </c>
      <c r="E55" s="4" t="s">
        <v>17</v>
      </c>
      <c r="F55" s="4"/>
      <c r="G55" s="75">
        <v>60</v>
      </c>
      <c r="H55" s="75"/>
      <c r="I55" s="4"/>
      <c r="J55" s="4" t="s">
        <v>54</v>
      </c>
      <c r="K55" s="75">
        <v>-8929.5300000000043</v>
      </c>
    </row>
    <row r="56" spans="1:11" x14ac:dyDescent="0.25">
      <c r="A56" s="74">
        <v>45971</v>
      </c>
      <c r="B56" s="4" t="s">
        <v>11</v>
      </c>
      <c r="C56" s="4" t="s">
        <v>12</v>
      </c>
      <c r="D56" s="4" t="s">
        <v>19</v>
      </c>
      <c r="E56" s="4" t="s">
        <v>14</v>
      </c>
      <c r="F56" s="4" t="s">
        <v>15</v>
      </c>
      <c r="G56" s="75">
        <v>0</v>
      </c>
      <c r="H56" s="75"/>
      <c r="I56" s="4"/>
      <c r="J56" s="4" t="s">
        <v>54</v>
      </c>
      <c r="K56" s="75">
        <v>-8929.5300000000043</v>
      </c>
    </row>
    <row r="57" spans="1:11" x14ac:dyDescent="0.25">
      <c r="A57" s="74">
        <v>45971</v>
      </c>
      <c r="B57" s="4" t="s">
        <v>328</v>
      </c>
      <c r="C57" s="4" t="s">
        <v>20</v>
      </c>
      <c r="D57" s="4" t="s">
        <v>13</v>
      </c>
      <c r="E57" s="4"/>
      <c r="F57" s="4"/>
      <c r="G57" s="75">
        <v>1745</v>
      </c>
      <c r="H57" s="75"/>
      <c r="I57" s="4"/>
      <c r="J57" s="4" t="s">
        <v>54</v>
      </c>
      <c r="K57" s="75">
        <v>-7184.5300000000043</v>
      </c>
    </row>
    <row r="58" spans="1:11" x14ac:dyDescent="0.25">
      <c r="A58" s="74">
        <v>45971</v>
      </c>
      <c r="B58" s="4" t="s">
        <v>44</v>
      </c>
      <c r="C58" s="4" t="s">
        <v>20</v>
      </c>
      <c r="D58" s="4" t="s">
        <v>22</v>
      </c>
      <c r="E58" s="4" t="s">
        <v>17</v>
      </c>
      <c r="F58" s="4"/>
      <c r="G58" s="75">
        <v>97.4</v>
      </c>
      <c r="H58" s="75"/>
      <c r="I58" s="4"/>
      <c r="J58" s="4" t="s">
        <v>54</v>
      </c>
      <c r="K58" s="75">
        <v>-7087.1300000000047</v>
      </c>
    </row>
    <row r="59" spans="1:11" x14ac:dyDescent="0.25">
      <c r="A59" s="74">
        <v>45971</v>
      </c>
      <c r="B59" s="4" t="s">
        <v>45</v>
      </c>
      <c r="C59" s="4" t="s">
        <v>12</v>
      </c>
      <c r="D59" s="4" t="s">
        <v>24</v>
      </c>
      <c r="E59" s="4" t="s">
        <v>17</v>
      </c>
      <c r="F59" s="4" t="s">
        <v>25</v>
      </c>
      <c r="G59" s="75">
        <v>17</v>
      </c>
      <c r="H59" s="75"/>
      <c r="I59" s="4"/>
      <c r="J59" s="4" t="s">
        <v>54</v>
      </c>
      <c r="K59" s="75">
        <v>-7104.1300000000047</v>
      </c>
    </row>
    <row r="60" spans="1:11" x14ac:dyDescent="0.25">
      <c r="A60" s="74">
        <v>45972</v>
      </c>
      <c r="B60" s="4" t="s">
        <v>342</v>
      </c>
      <c r="C60" s="4" t="s">
        <v>12</v>
      </c>
      <c r="D60" s="4" t="s">
        <v>19</v>
      </c>
      <c r="E60" s="4" t="s">
        <v>14</v>
      </c>
      <c r="F60" s="4" t="s">
        <v>15</v>
      </c>
      <c r="G60" s="75">
        <v>300</v>
      </c>
      <c r="H60" s="75"/>
      <c r="I60" s="4"/>
      <c r="J60" s="4" t="s">
        <v>54</v>
      </c>
      <c r="K60" s="75">
        <v>-7404.1300000000047</v>
      </c>
    </row>
    <row r="61" spans="1:11" x14ac:dyDescent="0.25">
      <c r="A61" s="74">
        <v>45972</v>
      </c>
      <c r="B61" s="4" t="s">
        <v>11</v>
      </c>
      <c r="C61" s="4" t="s">
        <v>12</v>
      </c>
      <c r="D61" s="4" t="s">
        <v>19</v>
      </c>
      <c r="E61" s="4" t="s">
        <v>14</v>
      </c>
      <c r="F61" s="4" t="s">
        <v>15</v>
      </c>
      <c r="G61" s="75">
        <v>47</v>
      </c>
      <c r="H61" s="75"/>
      <c r="I61" s="4"/>
      <c r="J61" s="4" t="s">
        <v>54</v>
      </c>
      <c r="K61" s="75">
        <v>-7451.1300000000047</v>
      </c>
    </row>
    <row r="62" spans="1:11" x14ac:dyDescent="0.25">
      <c r="A62" s="74">
        <v>45972</v>
      </c>
      <c r="B62" s="4" t="s">
        <v>328</v>
      </c>
      <c r="C62" s="4" t="s">
        <v>20</v>
      </c>
      <c r="D62" s="4" t="s">
        <v>13</v>
      </c>
      <c r="E62" s="4"/>
      <c r="F62" s="4"/>
      <c r="G62" s="75">
        <v>1866</v>
      </c>
      <c r="H62" s="75"/>
      <c r="I62" s="4"/>
      <c r="J62" s="4" t="s">
        <v>54</v>
      </c>
      <c r="K62" s="75">
        <v>-5585.1300000000047</v>
      </c>
    </row>
    <row r="63" spans="1:11" x14ac:dyDescent="0.25">
      <c r="A63" s="74">
        <v>45972</v>
      </c>
      <c r="B63" s="4" t="s">
        <v>44</v>
      </c>
      <c r="C63" s="4" t="s">
        <v>20</v>
      </c>
      <c r="D63" s="4" t="s">
        <v>22</v>
      </c>
      <c r="E63" s="4" t="s">
        <v>17</v>
      </c>
      <c r="F63" s="4"/>
      <c r="G63" s="75">
        <v>78</v>
      </c>
      <c r="H63" s="75"/>
      <c r="I63" s="4"/>
      <c r="J63" s="4" t="s">
        <v>54</v>
      </c>
      <c r="K63" s="75">
        <v>-5507.1300000000047</v>
      </c>
    </row>
    <row r="64" spans="1:11" x14ac:dyDescent="0.25">
      <c r="A64" s="74">
        <v>45972</v>
      </c>
      <c r="B64" s="4" t="s">
        <v>343</v>
      </c>
      <c r="C64" s="4" t="s">
        <v>12</v>
      </c>
      <c r="D64" s="4" t="s">
        <v>19</v>
      </c>
      <c r="E64" s="4" t="s">
        <v>17</v>
      </c>
      <c r="F64" s="4"/>
      <c r="G64" s="75">
        <v>3280.83</v>
      </c>
      <c r="H64" s="75"/>
      <c r="I64" s="4"/>
      <c r="J64" s="4" t="s">
        <v>54</v>
      </c>
      <c r="K64" s="75">
        <v>-8787.9600000000046</v>
      </c>
    </row>
    <row r="65" spans="1:11" x14ac:dyDescent="0.25">
      <c r="A65" s="74">
        <v>45972</v>
      </c>
      <c r="B65" s="4" t="s">
        <v>45</v>
      </c>
      <c r="C65" s="4" t="s">
        <v>12</v>
      </c>
      <c r="D65" s="4" t="s">
        <v>24</v>
      </c>
      <c r="E65" s="4" t="s">
        <v>17</v>
      </c>
      <c r="F65" s="4" t="s">
        <v>25</v>
      </c>
      <c r="G65" s="75">
        <v>9</v>
      </c>
      <c r="H65" s="75"/>
      <c r="I65" s="4"/>
      <c r="J65" s="4" t="s">
        <v>54</v>
      </c>
      <c r="K65" s="75">
        <v>-8796.9600000000046</v>
      </c>
    </row>
    <row r="66" spans="1:11" x14ac:dyDescent="0.25">
      <c r="A66" s="74">
        <v>45973</v>
      </c>
      <c r="B66" s="4" t="s">
        <v>342</v>
      </c>
      <c r="C66" s="4" t="s">
        <v>12</v>
      </c>
      <c r="D66" s="4" t="s">
        <v>19</v>
      </c>
      <c r="E66" s="4" t="s">
        <v>14</v>
      </c>
      <c r="F66" s="4" t="s">
        <v>15</v>
      </c>
      <c r="G66" s="75">
        <v>300</v>
      </c>
      <c r="H66" s="75"/>
      <c r="I66" s="4"/>
      <c r="J66" s="4" t="s">
        <v>54</v>
      </c>
      <c r="K66" s="75">
        <v>-9096.9600000000046</v>
      </c>
    </row>
    <row r="67" spans="1:11" x14ac:dyDescent="0.25">
      <c r="A67" s="74">
        <v>45973</v>
      </c>
      <c r="B67" s="4" t="s">
        <v>328</v>
      </c>
      <c r="C67" s="4" t="s">
        <v>20</v>
      </c>
      <c r="D67" s="4" t="s">
        <v>13</v>
      </c>
      <c r="E67" s="4"/>
      <c r="F67" s="4"/>
      <c r="G67" s="75">
        <v>2167.5</v>
      </c>
      <c r="H67" s="75"/>
      <c r="I67" s="4"/>
      <c r="J67" s="4" t="s">
        <v>54</v>
      </c>
      <c r="K67" s="75">
        <v>-6929.4600000000046</v>
      </c>
    </row>
    <row r="68" spans="1:11" x14ac:dyDescent="0.25">
      <c r="A68" s="74">
        <v>45973</v>
      </c>
      <c r="B68" s="4" t="s">
        <v>44</v>
      </c>
      <c r="C68" s="4" t="s">
        <v>20</v>
      </c>
      <c r="D68" s="4" t="s">
        <v>22</v>
      </c>
      <c r="E68" s="4" t="s">
        <v>17</v>
      </c>
      <c r="F68" s="4"/>
      <c r="G68" s="75">
        <v>0</v>
      </c>
      <c r="H68" s="75"/>
      <c r="I68" s="4"/>
      <c r="J68" s="4" t="s">
        <v>54</v>
      </c>
      <c r="K68" s="75">
        <v>-6929.4600000000046</v>
      </c>
    </row>
    <row r="69" spans="1:11" x14ac:dyDescent="0.25">
      <c r="A69" s="74">
        <v>45973</v>
      </c>
      <c r="B69" s="4" t="s">
        <v>11</v>
      </c>
      <c r="C69" s="4" t="s">
        <v>12</v>
      </c>
      <c r="D69" s="4" t="s">
        <v>19</v>
      </c>
      <c r="E69" s="4" t="s">
        <v>14</v>
      </c>
      <c r="F69" s="4" t="s">
        <v>15</v>
      </c>
      <c r="G69" s="75">
        <v>135</v>
      </c>
      <c r="H69" s="75"/>
      <c r="I69" s="4"/>
      <c r="J69" s="4" t="s">
        <v>54</v>
      </c>
      <c r="K69" s="75">
        <v>-7064.4600000000046</v>
      </c>
    </row>
    <row r="70" spans="1:11" x14ac:dyDescent="0.25">
      <c r="A70" s="74">
        <v>45973</v>
      </c>
      <c r="B70" s="4" t="s">
        <v>45</v>
      </c>
      <c r="C70" s="4" t="s">
        <v>12</v>
      </c>
      <c r="D70" s="4" t="s">
        <v>24</v>
      </c>
      <c r="E70" s="4" t="s">
        <v>17</v>
      </c>
      <c r="F70" s="4" t="s">
        <v>25</v>
      </c>
      <c r="G70" s="75">
        <v>0</v>
      </c>
      <c r="H70" s="75"/>
      <c r="I70" s="4"/>
      <c r="J70" s="4" t="s">
        <v>54</v>
      </c>
      <c r="K70" s="75">
        <v>-7064.4600000000046</v>
      </c>
    </row>
    <row r="71" spans="1:11" x14ac:dyDescent="0.25">
      <c r="A71" s="74">
        <v>45973</v>
      </c>
      <c r="B71" s="4" t="s">
        <v>308</v>
      </c>
      <c r="C71" s="4" t="s">
        <v>12</v>
      </c>
      <c r="D71" s="4" t="s">
        <v>19</v>
      </c>
      <c r="E71" s="4" t="s">
        <v>17</v>
      </c>
      <c r="F71" s="4"/>
      <c r="G71" s="75">
        <v>518.41999999999996</v>
      </c>
      <c r="H71" s="75"/>
      <c r="I71" s="4"/>
      <c r="J71" s="4" t="s">
        <v>54</v>
      </c>
      <c r="K71" s="75">
        <v>-7582.8800000000047</v>
      </c>
    </row>
    <row r="72" spans="1:11" x14ac:dyDescent="0.25">
      <c r="A72" s="74">
        <v>45973</v>
      </c>
      <c r="B72" s="4" t="s">
        <v>344</v>
      </c>
      <c r="C72" s="4" t="s">
        <v>12</v>
      </c>
      <c r="D72" s="4" t="s">
        <v>19</v>
      </c>
      <c r="E72" s="4" t="s">
        <v>17</v>
      </c>
      <c r="F72" s="4"/>
      <c r="G72" s="75">
        <v>77.98</v>
      </c>
      <c r="H72" s="75"/>
      <c r="I72" s="4"/>
      <c r="J72" s="4" t="s">
        <v>54</v>
      </c>
      <c r="K72" s="75">
        <v>-7660.8600000000042</v>
      </c>
    </row>
    <row r="73" spans="1:11" x14ac:dyDescent="0.25">
      <c r="A73" s="74">
        <v>45973</v>
      </c>
      <c r="B73" s="4" t="s">
        <v>345</v>
      </c>
      <c r="C73" s="4" t="s">
        <v>12</v>
      </c>
      <c r="D73" s="4" t="s">
        <v>19</v>
      </c>
      <c r="E73" s="4" t="s">
        <v>17</v>
      </c>
      <c r="F73" s="4"/>
      <c r="G73" s="75">
        <v>1019.29</v>
      </c>
      <c r="H73" s="75"/>
      <c r="I73" s="4"/>
      <c r="J73" s="4" t="s">
        <v>54</v>
      </c>
      <c r="K73" s="75">
        <v>-8680.1500000000051</v>
      </c>
    </row>
    <row r="74" spans="1:11" x14ac:dyDescent="0.25">
      <c r="A74" s="74">
        <v>45973</v>
      </c>
      <c r="B74" s="4" t="s">
        <v>346</v>
      </c>
      <c r="C74" s="4" t="s">
        <v>12</v>
      </c>
      <c r="D74" s="4" t="s">
        <v>19</v>
      </c>
      <c r="E74" s="4" t="s">
        <v>17</v>
      </c>
      <c r="F74" s="4"/>
      <c r="G74" s="75">
        <v>1450.11</v>
      </c>
      <c r="H74" s="75"/>
      <c r="I74" s="4"/>
      <c r="J74" s="4" t="s">
        <v>54</v>
      </c>
      <c r="K74" s="75">
        <v>-10130.260000000009</v>
      </c>
    </row>
    <row r="75" spans="1:11" x14ac:dyDescent="0.25">
      <c r="A75" s="74">
        <v>45974</v>
      </c>
      <c r="B75" s="4" t="s">
        <v>347</v>
      </c>
      <c r="C75" s="4" t="s">
        <v>12</v>
      </c>
      <c r="D75" s="4" t="s">
        <v>19</v>
      </c>
      <c r="E75" s="4" t="s">
        <v>17</v>
      </c>
      <c r="F75" s="4"/>
      <c r="G75" s="75">
        <v>935.43</v>
      </c>
      <c r="H75" s="75"/>
      <c r="I75" s="4"/>
      <c r="J75" s="4" t="s">
        <v>54</v>
      </c>
      <c r="K75" s="75">
        <v>-11065.69000000001</v>
      </c>
    </row>
    <row r="76" spans="1:11" x14ac:dyDescent="0.25">
      <c r="A76" s="74">
        <v>45974</v>
      </c>
      <c r="B76" s="4" t="s">
        <v>348</v>
      </c>
      <c r="C76" s="4" t="s">
        <v>12</v>
      </c>
      <c r="D76" s="4" t="s">
        <v>19</v>
      </c>
      <c r="E76" s="4" t="s">
        <v>17</v>
      </c>
      <c r="F76" s="4"/>
      <c r="G76" s="75">
        <v>513.36</v>
      </c>
      <c r="H76" s="75"/>
      <c r="I76" s="4"/>
      <c r="J76" s="4" t="s">
        <v>54</v>
      </c>
      <c r="K76" s="75">
        <v>-11579.05000000001</v>
      </c>
    </row>
    <row r="77" spans="1:11" x14ac:dyDescent="0.25">
      <c r="A77" s="74">
        <v>45973</v>
      </c>
      <c r="B77" s="4" t="s">
        <v>11</v>
      </c>
      <c r="C77" s="4" t="s">
        <v>12</v>
      </c>
      <c r="D77" s="4" t="s">
        <v>19</v>
      </c>
      <c r="E77" s="4" t="s">
        <v>14</v>
      </c>
      <c r="F77" s="4" t="s">
        <v>15</v>
      </c>
      <c r="G77" s="75">
        <v>235</v>
      </c>
      <c r="H77" s="75"/>
      <c r="I77" s="4"/>
      <c r="J77" s="4" t="s">
        <v>54</v>
      </c>
      <c r="K77" s="75">
        <v>-11814.05000000001</v>
      </c>
    </row>
    <row r="78" spans="1:11" x14ac:dyDescent="0.25">
      <c r="A78" s="74">
        <v>45974</v>
      </c>
      <c r="B78" s="4" t="s">
        <v>328</v>
      </c>
      <c r="C78" s="4" t="s">
        <v>20</v>
      </c>
      <c r="D78" s="4" t="s">
        <v>13</v>
      </c>
      <c r="E78" s="4"/>
      <c r="F78" s="4"/>
      <c r="G78" s="75">
        <v>2643</v>
      </c>
      <c r="H78" s="75"/>
      <c r="I78" s="4"/>
      <c r="J78" s="4" t="s">
        <v>54</v>
      </c>
      <c r="K78" s="75">
        <v>-9171.0500000000065</v>
      </c>
    </row>
    <row r="79" spans="1:11" x14ac:dyDescent="0.25">
      <c r="A79" s="74">
        <v>45974</v>
      </c>
      <c r="B79" s="4" t="s">
        <v>349</v>
      </c>
      <c r="C79" s="4" t="s">
        <v>20</v>
      </c>
      <c r="D79" s="4" t="s">
        <v>22</v>
      </c>
      <c r="E79" s="4" t="s">
        <v>17</v>
      </c>
      <c r="F79" s="4"/>
      <c r="G79" s="75">
        <v>214.4</v>
      </c>
      <c r="H79" s="75"/>
      <c r="I79" s="4"/>
      <c r="J79" s="4" t="s">
        <v>54</v>
      </c>
      <c r="K79" s="75">
        <v>-8956.6500000000069</v>
      </c>
    </row>
    <row r="80" spans="1:11" x14ac:dyDescent="0.25">
      <c r="A80" s="74">
        <v>45974</v>
      </c>
      <c r="B80" s="4" t="s">
        <v>45</v>
      </c>
      <c r="C80" s="4" t="s">
        <v>12</v>
      </c>
      <c r="D80" s="4" t="s">
        <v>24</v>
      </c>
      <c r="E80" s="4" t="s">
        <v>17</v>
      </c>
      <c r="F80" s="4" t="s">
        <v>25</v>
      </c>
      <c r="G80" s="75">
        <v>27</v>
      </c>
      <c r="H80" s="75"/>
      <c r="I80" s="4"/>
      <c r="J80" s="4" t="s">
        <v>54</v>
      </c>
      <c r="K80" s="75">
        <v>-8983.6500000000069</v>
      </c>
    </row>
    <row r="81" spans="1:11" x14ac:dyDescent="0.25">
      <c r="A81" s="74">
        <v>45975</v>
      </c>
      <c r="B81" s="4" t="s">
        <v>343</v>
      </c>
      <c r="C81" s="4" t="s">
        <v>12</v>
      </c>
      <c r="D81" s="4" t="s">
        <v>19</v>
      </c>
      <c r="E81" s="4" t="s">
        <v>17</v>
      </c>
      <c r="F81" s="4"/>
      <c r="G81" s="75">
        <v>237.61</v>
      </c>
      <c r="H81" s="75"/>
      <c r="I81" s="4"/>
      <c r="J81" s="4" t="s">
        <v>54</v>
      </c>
      <c r="K81" s="75">
        <v>-9221.2600000000075</v>
      </c>
    </row>
    <row r="82" spans="1:11" x14ac:dyDescent="0.25">
      <c r="A82" s="74">
        <v>45975</v>
      </c>
      <c r="B82" s="4" t="s">
        <v>343</v>
      </c>
      <c r="C82" s="4" t="s">
        <v>12</v>
      </c>
      <c r="D82" s="4" t="s">
        <v>19</v>
      </c>
      <c r="E82" s="4" t="s">
        <v>17</v>
      </c>
      <c r="F82" s="4"/>
      <c r="G82" s="75">
        <v>514.82000000000005</v>
      </c>
      <c r="H82" s="75"/>
      <c r="I82" s="4"/>
      <c r="J82" s="4" t="s">
        <v>54</v>
      </c>
      <c r="K82" s="75">
        <v>-9736.0800000000072</v>
      </c>
    </row>
    <row r="83" spans="1:11" x14ac:dyDescent="0.25">
      <c r="A83" s="74">
        <v>45975</v>
      </c>
      <c r="B83" s="4" t="s">
        <v>350</v>
      </c>
      <c r="C83" s="4" t="s">
        <v>12</v>
      </c>
      <c r="D83" s="4" t="s">
        <v>58</v>
      </c>
      <c r="E83" s="4" t="s">
        <v>17</v>
      </c>
      <c r="F83" s="4"/>
      <c r="G83" s="75">
        <v>842.05</v>
      </c>
      <c r="H83" s="75"/>
      <c r="I83" s="4"/>
      <c r="J83" s="4" t="s">
        <v>54</v>
      </c>
      <c r="K83" s="75">
        <v>-10578.13000000001</v>
      </c>
    </row>
    <row r="84" spans="1:11" x14ac:dyDescent="0.25">
      <c r="A84" s="74">
        <v>45975</v>
      </c>
      <c r="B84" s="4" t="s">
        <v>11</v>
      </c>
      <c r="C84" s="4" t="s">
        <v>12</v>
      </c>
      <c r="D84" s="4" t="s">
        <v>19</v>
      </c>
      <c r="E84" s="4" t="s">
        <v>14</v>
      </c>
      <c r="F84" s="4" t="s">
        <v>15</v>
      </c>
      <c r="G84" s="75">
        <v>329</v>
      </c>
      <c r="H84" s="75"/>
      <c r="I84" s="4"/>
      <c r="J84" s="4" t="s">
        <v>54</v>
      </c>
      <c r="K84" s="75">
        <v>-10907.13000000001</v>
      </c>
    </row>
    <row r="85" spans="1:11" x14ac:dyDescent="0.25">
      <c r="A85" s="74">
        <v>45975</v>
      </c>
      <c r="B85" s="4" t="s">
        <v>45</v>
      </c>
      <c r="C85" s="4" t="s">
        <v>12</v>
      </c>
      <c r="D85" s="4" t="s">
        <v>24</v>
      </c>
      <c r="E85" s="4" t="s">
        <v>17</v>
      </c>
      <c r="F85" s="4" t="s">
        <v>25</v>
      </c>
      <c r="G85" s="75">
        <v>27</v>
      </c>
      <c r="H85" s="75"/>
      <c r="I85" s="4"/>
      <c r="J85" s="4" t="s">
        <v>54</v>
      </c>
      <c r="K85" s="75">
        <v>-10934.13000000001</v>
      </c>
    </row>
    <row r="86" spans="1:11" x14ac:dyDescent="0.25">
      <c r="A86" s="74">
        <v>45975</v>
      </c>
      <c r="B86" s="4" t="s">
        <v>328</v>
      </c>
      <c r="C86" s="4" t="s">
        <v>20</v>
      </c>
      <c r="D86" s="4" t="s">
        <v>13</v>
      </c>
      <c r="E86" s="4"/>
      <c r="F86" s="4"/>
      <c r="G86" s="75">
        <v>3044</v>
      </c>
      <c r="H86" s="75"/>
      <c r="I86" s="4"/>
      <c r="J86" s="4" t="s">
        <v>54</v>
      </c>
      <c r="K86" s="75">
        <v>-7890.1300000000056</v>
      </c>
    </row>
    <row r="87" spans="1:11" x14ac:dyDescent="0.25">
      <c r="A87" s="74">
        <v>45975</v>
      </c>
      <c r="B87" s="4" t="s">
        <v>351</v>
      </c>
      <c r="C87" s="4" t="s">
        <v>20</v>
      </c>
      <c r="D87" s="4" t="s">
        <v>22</v>
      </c>
      <c r="E87" s="4" t="s">
        <v>17</v>
      </c>
      <c r="F87" s="4"/>
      <c r="G87" s="75">
        <v>146.19999999999999</v>
      </c>
      <c r="H87" s="75"/>
      <c r="I87" s="4"/>
      <c r="J87" s="4" t="s">
        <v>54</v>
      </c>
      <c r="K87" s="75">
        <v>-7743.9300000000067</v>
      </c>
    </row>
    <row r="88" spans="1:11" x14ac:dyDescent="0.25">
      <c r="A88" s="74">
        <v>45975</v>
      </c>
      <c r="B88" s="4" t="s">
        <v>352</v>
      </c>
      <c r="C88" s="4" t="s">
        <v>12</v>
      </c>
      <c r="D88" s="4" t="s">
        <v>19</v>
      </c>
      <c r="E88" s="4" t="s">
        <v>17</v>
      </c>
      <c r="F88" s="4" t="s">
        <v>25</v>
      </c>
      <c r="G88" s="75">
        <v>224</v>
      </c>
      <c r="H88" s="75"/>
      <c r="I88" s="4"/>
      <c r="J88" s="4" t="s">
        <v>54</v>
      </c>
      <c r="K88" s="75">
        <v>-7967.9300000000067</v>
      </c>
    </row>
    <row r="89" spans="1:11" x14ac:dyDescent="0.25">
      <c r="A89" s="74">
        <v>45976</v>
      </c>
      <c r="B89" s="4" t="s">
        <v>353</v>
      </c>
      <c r="C89" s="4" t="s">
        <v>12</v>
      </c>
      <c r="D89" s="4" t="s">
        <v>62</v>
      </c>
      <c r="E89" s="4" t="s">
        <v>14</v>
      </c>
      <c r="F89" s="4" t="s">
        <v>15</v>
      </c>
      <c r="G89" s="75">
        <v>5</v>
      </c>
      <c r="H89" s="75"/>
      <c r="I89" s="4"/>
      <c r="J89" s="4" t="s">
        <v>54</v>
      </c>
      <c r="K89" s="75">
        <v>-7972.9300000000067</v>
      </c>
    </row>
    <row r="90" spans="1:11" x14ac:dyDescent="0.25">
      <c r="A90" s="74">
        <v>45976</v>
      </c>
      <c r="B90" s="4" t="s">
        <v>45</v>
      </c>
      <c r="C90" s="4" t="s">
        <v>12</v>
      </c>
      <c r="D90" s="4" t="s">
        <v>24</v>
      </c>
      <c r="E90" s="4" t="s">
        <v>17</v>
      </c>
      <c r="F90" s="4" t="s">
        <v>25</v>
      </c>
      <c r="G90" s="75">
        <v>44</v>
      </c>
      <c r="H90" s="75"/>
      <c r="I90" s="4"/>
      <c r="J90" s="4" t="s">
        <v>54</v>
      </c>
      <c r="K90" s="75">
        <v>-8016.9300000000067</v>
      </c>
    </row>
    <row r="91" spans="1:11" x14ac:dyDescent="0.25">
      <c r="A91" s="74">
        <v>45976</v>
      </c>
      <c r="B91" s="4" t="s">
        <v>328</v>
      </c>
      <c r="C91" s="4" t="s">
        <v>20</v>
      </c>
      <c r="D91" s="4" t="s">
        <v>13</v>
      </c>
      <c r="E91" s="4"/>
      <c r="F91" s="4"/>
      <c r="G91" s="75">
        <v>8091</v>
      </c>
      <c r="H91" s="75"/>
      <c r="I91" s="4"/>
      <c r="J91" s="4" t="s">
        <v>54</v>
      </c>
      <c r="K91" s="75">
        <v>74.069999999993342</v>
      </c>
    </row>
    <row r="92" spans="1:11" x14ac:dyDescent="0.25">
      <c r="A92" s="74">
        <v>45976</v>
      </c>
      <c r="B92" s="4" t="s">
        <v>44</v>
      </c>
      <c r="C92" s="4" t="s">
        <v>20</v>
      </c>
      <c r="D92" s="4" t="s">
        <v>13</v>
      </c>
      <c r="E92" s="4" t="s">
        <v>17</v>
      </c>
      <c r="F92" s="4"/>
      <c r="G92" s="75">
        <v>274.3</v>
      </c>
      <c r="H92" s="75"/>
      <c r="I92" s="4"/>
      <c r="J92" s="4" t="s">
        <v>54</v>
      </c>
      <c r="K92" s="75">
        <v>348.36999999999341</v>
      </c>
    </row>
    <row r="93" spans="1:11" x14ac:dyDescent="0.25">
      <c r="A93" s="74">
        <v>45976</v>
      </c>
      <c r="B93" s="4" t="s">
        <v>33</v>
      </c>
      <c r="C93" s="4" t="s">
        <v>12</v>
      </c>
      <c r="D93" s="4" t="s">
        <v>33</v>
      </c>
      <c r="E93" s="4" t="s">
        <v>14</v>
      </c>
      <c r="F93" s="4" t="s">
        <v>15</v>
      </c>
      <c r="G93" s="75">
        <v>120</v>
      </c>
      <c r="H93" s="75"/>
      <c r="I93" s="4"/>
      <c r="J93" s="4" t="s">
        <v>54</v>
      </c>
      <c r="K93" s="75">
        <v>228.36999999999341</v>
      </c>
    </row>
    <row r="94" spans="1:11" x14ac:dyDescent="0.25">
      <c r="A94" s="74">
        <v>45977</v>
      </c>
      <c r="B94" s="4" t="s">
        <v>334</v>
      </c>
      <c r="C94" s="4" t="s">
        <v>12</v>
      </c>
      <c r="D94" s="4" t="s">
        <v>33</v>
      </c>
      <c r="E94" s="4" t="s">
        <v>14</v>
      </c>
      <c r="F94" s="4" t="s">
        <v>15</v>
      </c>
      <c r="G94" s="75">
        <v>120</v>
      </c>
      <c r="H94" s="75"/>
      <c r="I94" s="4"/>
      <c r="J94" s="4" t="s">
        <v>54</v>
      </c>
      <c r="K94" s="75">
        <v>108.3699999999934</v>
      </c>
    </row>
    <row r="95" spans="1:11" x14ac:dyDescent="0.25">
      <c r="A95" s="74">
        <v>45977</v>
      </c>
      <c r="B95" s="4" t="s">
        <v>354</v>
      </c>
      <c r="C95" s="4" t="s">
        <v>12</v>
      </c>
      <c r="D95" s="4" t="s">
        <v>24</v>
      </c>
      <c r="E95" s="4" t="s">
        <v>17</v>
      </c>
      <c r="F95" s="4" t="s">
        <v>25</v>
      </c>
      <c r="G95" s="75">
        <v>97</v>
      </c>
      <c r="H95" s="75"/>
      <c r="I95" s="4"/>
      <c r="J95" s="4" t="s">
        <v>54</v>
      </c>
      <c r="K95" s="75">
        <v>11.36999999999335</v>
      </c>
    </row>
    <row r="96" spans="1:11" x14ac:dyDescent="0.25">
      <c r="A96" s="74">
        <v>45977</v>
      </c>
      <c r="B96" s="4" t="s">
        <v>355</v>
      </c>
      <c r="C96" s="4" t="s">
        <v>20</v>
      </c>
      <c r="D96" s="4" t="s">
        <v>13</v>
      </c>
      <c r="E96" s="4"/>
      <c r="F96" s="4"/>
      <c r="G96" s="75">
        <v>5696</v>
      </c>
      <c r="H96" s="75"/>
      <c r="I96" s="4"/>
      <c r="J96" s="4" t="s">
        <v>54</v>
      </c>
      <c r="K96" s="75">
        <v>5707.3699999999944</v>
      </c>
    </row>
    <row r="97" spans="1:11" x14ac:dyDescent="0.25">
      <c r="A97" s="74">
        <v>45977</v>
      </c>
      <c r="B97" s="4" t="s">
        <v>356</v>
      </c>
      <c r="C97" s="4" t="s">
        <v>20</v>
      </c>
      <c r="D97" s="4" t="s">
        <v>22</v>
      </c>
      <c r="E97" s="4" t="s">
        <v>17</v>
      </c>
      <c r="F97" s="4"/>
      <c r="G97" s="75">
        <v>528.79999999999995</v>
      </c>
      <c r="H97" s="75"/>
      <c r="I97" s="4"/>
      <c r="J97" s="4" t="s">
        <v>54</v>
      </c>
      <c r="K97" s="75">
        <v>6236.1699999999937</v>
      </c>
    </row>
    <row r="98" spans="1:11" x14ac:dyDescent="0.25">
      <c r="A98" s="74">
        <v>45977</v>
      </c>
      <c r="B98" s="4" t="s">
        <v>357</v>
      </c>
      <c r="C98" s="4" t="s">
        <v>12</v>
      </c>
      <c r="D98" s="4" t="s">
        <v>19</v>
      </c>
      <c r="E98" s="4" t="s">
        <v>17</v>
      </c>
      <c r="F98" s="4" t="s">
        <v>25</v>
      </c>
      <c r="G98" s="75">
        <v>305.60000000000002</v>
      </c>
      <c r="H98" s="75"/>
      <c r="I98" s="4"/>
      <c r="J98" s="4" t="s">
        <v>54</v>
      </c>
      <c r="K98" s="75">
        <v>5930.5699999999933</v>
      </c>
    </row>
    <row r="99" spans="1:11" x14ac:dyDescent="0.25">
      <c r="A99" s="74">
        <v>45978</v>
      </c>
      <c r="B99" s="4" t="s">
        <v>358</v>
      </c>
      <c r="C99" s="4" t="s">
        <v>12</v>
      </c>
      <c r="D99" s="4" t="s">
        <v>27</v>
      </c>
      <c r="E99" s="4" t="s">
        <v>17</v>
      </c>
      <c r="F99" s="4" t="s">
        <v>25</v>
      </c>
      <c r="G99" s="75">
        <v>1500</v>
      </c>
      <c r="H99" s="75"/>
      <c r="I99" s="4"/>
      <c r="J99" s="4" t="s">
        <v>54</v>
      </c>
      <c r="K99" s="75">
        <v>4430.5699999999933</v>
      </c>
    </row>
    <row r="100" spans="1:11" x14ac:dyDescent="0.25">
      <c r="A100" s="74">
        <v>45978</v>
      </c>
      <c r="B100" s="4" t="s">
        <v>359</v>
      </c>
      <c r="C100" s="4" t="s">
        <v>12</v>
      </c>
      <c r="D100" s="4" t="s">
        <v>62</v>
      </c>
      <c r="E100" s="4" t="s">
        <v>17</v>
      </c>
      <c r="F100" s="4" t="s">
        <v>25</v>
      </c>
      <c r="G100" s="75">
        <v>2254</v>
      </c>
      <c r="H100" s="75"/>
      <c r="I100" s="4"/>
      <c r="J100" s="4" t="s">
        <v>54</v>
      </c>
      <c r="K100" s="75">
        <v>2176.5699999999929</v>
      </c>
    </row>
    <row r="101" spans="1:11" x14ac:dyDescent="0.25">
      <c r="A101" s="74">
        <v>45978</v>
      </c>
      <c r="B101" s="4" t="s">
        <v>360</v>
      </c>
      <c r="C101" s="4" t="s">
        <v>12</v>
      </c>
      <c r="D101" s="4" t="s">
        <v>19</v>
      </c>
      <c r="E101" s="4" t="s">
        <v>17</v>
      </c>
      <c r="F101" s="4" t="s">
        <v>25</v>
      </c>
      <c r="G101" s="75">
        <v>378.5</v>
      </c>
      <c r="H101" s="75"/>
      <c r="I101" s="4"/>
      <c r="J101" s="4" t="s">
        <v>54</v>
      </c>
      <c r="K101" s="75">
        <v>1798.0699999999929</v>
      </c>
    </row>
    <row r="102" spans="1:11" x14ac:dyDescent="0.25">
      <c r="A102" s="74">
        <v>45978</v>
      </c>
      <c r="B102" s="4" t="s">
        <v>361</v>
      </c>
      <c r="C102" s="4" t="s">
        <v>12</v>
      </c>
      <c r="D102" s="4" t="s">
        <v>39</v>
      </c>
      <c r="E102" s="4" t="s">
        <v>17</v>
      </c>
      <c r="F102" s="4" t="s">
        <v>25</v>
      </c>
      <c r="G102" s="75">
        <v>99.9</v>
      </c>
      <c r="H102" s="75"/>
      <c r="I102" s="4"/>
      <c r="J102" s="4" t="s">
        <v>54</v>
      </c>
      <c r="K102" s="75">
        <v>1698.169999999993</v>
      </c>
    </row>
    <row r="103" spans="1:11" x14ac:dyDescent="0.25">
      <c r="A103" s="74">
        <v>45978</v>
      </c>
      <c r="B103" s="4" t="s">
        <v>362</v>
      </c>
      <c r="C103" s="4" t="s">
        <v>12</v>
      </c>
      <c r="D103" s="4" t="s">
        <v>27</v>
      </c>
      <c r="E103" s="4" t="s">
        <v>17</v>
      </c>
      <c r="F103" s="4"/>
      <c r="G103" s="75">
        <v>202.8</v>
      </c>
      <c r="H103" s="75"/>
      <c r="I103" s="4"/>
      <c r="J103" s="4" t="s">
        <v>54</v>
      </c>
      <c r="K103" s="75">
        <v>1495.3699999999931</v>
      </c>
    </row>
    <row r="104" spans="1:11" x14ac:dyDescent="0.25">
      <c r="A104" s="74">
        <v>45978</v>
      </c>
      <c r="B104" s="4" t="s">
        <v>363</v>
      </c>
      <c r="C104" s="4" t="s">
        <v>12</v>
      </c>
      <c r="D104" s="4" t="s">
        <v>19</v>
      </c>
      <c r="E104" s="4" t="s">
        <v>17</v>
      </c>
      <c r="F104" s="4"/>
      <c r="G104" s="75">
        <v>2415.85</v>
      </c>
      <c r="H104" s="75"/>
      <c r="I104" s="4"/>
      <c r="J104" s="4" t="s">
        <v>54</v>
      </c>
      <c r="K104" s="75">
        <v>-920.48000000000661</v>
      </c>
    </row>
    <row r="105" spans="1:11" x14ac:dyDescent="0.25">
      <c r="A105" s="74">
        <v>45978</v>
      </c>
      <c r="B105" s="4" t="s">
        <v>364</v>
      </c>
      <c r="C105" s="4" t="s">
        <v>12</v>
      </c>
      <c r="D105" s="4" t="s">
        <v>19</v>
      </c>
      <c r="E105" s="4" t="s">
        <v>17</v>
      </c>
      <c r="F105" s="4" t="s">
        <v>25</v>
      </c>
      <c r="G105" s="75">
        <v>615.38</v>
      </c>
      <c r="H105" s="75"/>
      <c r="I105" s="4"/>
      <c r="J105" s="4" t="s">
        <v>54</v>
      </c>
      <c r="K105" s="75">
        <v>-1535.860000000006</v>
      </c>
    </row>
    <row r="106" spans="1:11" x14ac:dyDescent="0.25">
      <c r="A106" s="74">
        <v>45978</v>
      </c>
      <c r="B106" s="4" t="s">
        <v>45</v>
      </c>
      <c r="C106" s="4" t="s">
        <v>12</v>
      </c>
      <c r="D106" s="4" t="s">
        <v>24</v>
      </c>
      <c r="E106" s="4" t="s">
        <v>17</v>
      </c>
      <c r="F106" s="4" t="s">
        <v>25</v>
      </c>
      <c r="G106" s="75">
        <v>9</v>
      </c>
      <c r="H106" s="75"/>
      <c r="I106" s="4"/>
      <c r="J106" s="4" t="s">
        <v>54</v>
      </c>
      <c r="K106" s="75">
        <v>-1544.860000000006</v>
      </c>
    </row>
    <row r="107" spans="1:11" x14ac:dyDescent="0.25">
      <c r="A107" s="74">
        <v>45978</v>
      </c>
      <c r="B107" s="4" t="s">
        <v>44</v>
      </c>
      <c r="C107" s="4" t="s">
        <v>20</v>
      </c>
      <c r="D107" s="4" t="s">
        <v>22</v>
      </c>
      <c r="E107" s="4" t="s">
        <v>17</v>
      </c>
      <c r="F107" s="4"/>
      <c r="G107" s="75">
        <v>48.6</v>
      </c>
      <c r="H107" s="75"/>
      <c r="I107" s="4"/>
      <c r="J107" s="4" t="s">
        <v>54</v>
      </c>
      <c r="K107" s="75">
        <v>-1496.260000000007</v>
      </c>
    </row>
    <row r="108" spans="1:11" x14ac:dyDescent="0.25">
      <c r="A108" s="74">
        <v>45978</v>
      </c>
      <c r="B108" s="4" t="s">
        <v>328</v>
      </c>
      <c r="C108" s="4" t="s">
        <v>20</v>
      </c>
      <c r="D108" s="4" t="s">
        <v>13</v>
      </c>
      <c r="E108" s="4"/>
      <c r="F108" s="4"/>
      <c r="G108" s="75">
        <v>1151.5</v>
      </c>
      <c r="H108" s="75"/>
      <c r="I108" s="4"/>
      <c r="J108" s="4" t="s">
        <v>54</v>
      </c>
      <c r="K108" s="75">
        <v>-344.76000000000658</v>
      </c>
    </row>
    <row r="109" spans="1:11" x14ac:dyDescent="0.25">
      <c r="A109" s="74">
        <v>45979</v>
      </c>
      <c r="B109" s="4" t="s">
        <v>365</v>
      </c>
      <c r="C109" s="4" t="s">
        <v>12</v>
      </c>
      <c r="D109" s="4" t="s">
        <v>62</v>
      </c>
      <c r="E109" s="4" t="s">
        <v>17</v>
      </c>
      <c r="F109" s="4"/>
      <c r="G109" s="75">
        <v>895</v>
      </c>
      <c r="H109" s="75"/>
      <c r="I109" s="4"/>
      <c r="J109" s="4" t="s">
        <v>54</v>
      </c>
      <c r="K109" s="75">
        <v>-1239.760000000007</v>
      </c>
    </row>
    <row r="110" spans="1:11" x14ac:dyDescent="0.25">
      <c r="A110" s="74">
        <v>45979</v>
      </c>
      <c r="B110" s="4" t="s">
        <v>346</v>
      </c>
      <c r="C110" s="4" t="s">
        <v>12</v>
      </c>
      <c r="D110" s="4" t="s">
        <v>19</v>
      </c>
      <c r="E110" s="4" t="s">
        <v>17</v>
      </c>
      <c r="F110" s="4"/>
      <c r="G110" s="75">
        <v>1245.07</v>
      </c>
      <c r="H110" s="75"/>
      <c r="I110" s="4"/>
      <c r="J110" s="4" t="s">
        <v>54</v>
      </c>
      <c r="K110" s="75">
        <v>-2484.8300000000058</v>
      </c>
    </row>
    <row r="111" spans="1:11" x14ac:dyDescent="0.25">
      <c r="A111" s="74">
        <v>45979</v>
      </c>
      <c r="B111" s="4" t="s">
        <v>11</v>
      </c>
      <c r="C111" s="4" t="s">
        <v>12</v>
      </c>
      <c r="D111" s="4" t="s">
        <v>19</v>
      </c>
      <c r="E111" s="4" t="s">
        <v>14</v>
      </c>
      <c r="F111" s="4" t="s">
        <v>15</v>
      </c>
      <c r="G111" s="75">
        <v>47</v>
      </c>
      <c r="H111" s="75"/>
      <c r="I111" s="4"/>
      <c r="J111" s="4" t="s">
        <v>54</v>
      </c>
      <c r="K111" s="75">
        <v>-2531.8300000000058</v>
      </c>
    </row>
    <row r="112" spans="1:11" x14ac:dyDescent="0.25">
      <c r="A112" s="74">
        <v>45979</v>
      </c>
      <c r="B112" s="4" t="s">
        <v>366</v>
      </c>
      <c r="C112" s="4" t="s">
        <v>20</v>
      </c>
      <c r="D112" s="4" t="s">
        <v>13</v>
      </c>
      <c r="E112" s="4"/>
      <c r="F112" s="4"/>
      <c r="G112" s="75">
        <v>1420</v>
      </c>
      <c r="H112" s="75"/>
      <c r="I112" s="4"/>
      <c r="J112" s="4" t="s">
        <v>54</v>
      </c>
      <c r="K112" s="75">
        <v>-1111.8300000000061</v>
      </c>
    </row>
    <row r="113" spans="1:11" x14ac:dyDescent="0.25">
      <c r="A113" s="74">
        <v>45980</v>
      </c>
      <c r="B113" s="4" t="s">
        <v>11</v>
      </c>
      <c r="C113" s="4" t="s">
        <v>12</v>
      </c>
      <c r="D113" s="4" t="s">
        <v>19</v>
      </c>
      <c r="E113" s="4" t="s">
        <v>14</v>
      </c>
      <c r="F113" s="4" t="s">
        <v>15</v>
      </c>
      <c r="G113" s="75">
        <v>235</v>
      </c>
      <c r="H113" s="75"/>
      <c r="I113" s="4"/>
      <c r="J113" s="4" t="s">
        <v>54</v>
      </c>
      <c r="K113" s="75">
        <v>-1346.8300000000061</v>
      </c>
    </row>
    <row r="114" spans="1:11" x14ac:dyDescent="0.25">
      <c r="A114" s="74">
        <v>45980</v>
      </c>
      <c r="B114" s="4" t="s">
        <v>288</v>
      </c>
      <c r="C114" s="4" t="s">
        <v>12</v>
      </c>
      <c r="D114" s="4" t="s">
        <v>60</v>
      </c>
      <c r="E114" s="4" t="s">
        <v>17</v>
      </c>
      <c r="F114" s="4" t="s">
        <v>25</v>
      </c>
      <c r="G114" s="75">
        <v>448.17</v>
      </c>
      <c r="H114" s="75"/>
      <c r="I114" s="4"/>
      <c r="J114" s="4" t="s">
        <v>54</v>
      </c>
      <c r="K114" s="75">
        <v>-1795.0000000000059</v>
      </c>
    </row>
    <row r="115" spans="1:11" x14ac:dyDescent="0.25">
      <c r="A115" s="74">
        <v>45980</v>
      </c>
      <c r="B115" s="4" t="s">
        <v>367</v>
      </c>
      <c r="C115" s="4" t="s">
        <v>12</v>
      </c>
      <c r="D115" s="4" t="s">
        <v>62</v>
      </c>
      <c r="E115" s="4" t="s">
        <v>17</v>
      </c>
      <c r="F115" s="4" t="s">
        <v>25</v>
      </c>
      <c r="G115" s="75">
        <v>1236</v>
      </c>
      <c r="H115" s="75"/>
      <c r="I115" s="4"/>
      <c r="J115" s="4" t="s">
        <v>54</v>
      </c>
      <c r="K115" s="75">
        <v>-3031.0000000000059</v>
      </c>
    </row>
    <row r="116" spans="1:11" x14ac:dyDescent="0.25">
      <c r="A116" s="74">
        <v>45980</v>
      </c>
      <c r="B116" s="4" t="s">
        <v>368</v>
      </c>
      <c r="C116" s="4" t="s">
        <v>12</v>
      </c>
      <c r="D116" s="4" t="s">
        <v>58</v>
      </c>
      <c r="E116" s="4" t="s">
        <v>17</v>
      </c>
      <c r="F116" s="4"/>
      <c r="G116" s="75">
        <v>864.13</v>
      </c>
      <c r="H116" s="75"/>
      <c r="I116" s="4"/>
      <c r="J116" s="4" t="s">
        <v>54</v>
      </c>
      <c r="K116" s="75">
        <v>-3895.130000000006</v>
      </c>
    </row>
    <row r="117" spans="1:11" x14ac:dyDescent="0.25">
      <c r="A117" s="74">
        <v>45980</v>
      </c>
      <c r="B117" s="4" t="s">
        <v>344</v>
      </c>
      <c r="C117" s="4" t="s">
        <v>12</v>
      </c>
      <c r="D117" s="4" t="s">
        <v>19</v>
      </c>
      <c r="E117" s="4" t="s">
        <v>17</v>
      </c>
      <c r="F117" s="4"/>
      <c r="G117" s="75">
        <v>708.88</v>
      </c>
      <c r="H117" s="75"/>
      <c r="I117" s="4"/>
      <c r="J117" s="4" t="s">
        <v>54</v>
      </c>
      <c r="K117" s="75">
        <v>-4604.0100000000066</v>
      </c>
    </row>
    <row r="118" spans="1:11" x14ac:dyDescent="0.25">
      <c r="A118" s="74">
        <v>45980</v>
      </c>
      <c r="B118" s="4" t="s">
        <v>328</v>
      </c>
      <c r="C118" s="4" t="s">
        <v>20</v>
      </c>
      <c r="D118" s="4" t="s">
        <v>13</v>
      </c>
      <c r="E118" s="4"/>
      <c r="F118" s="4"/>
      <c r="G118" s="75">
        <v>3440</v>
      </c>
      <c r="H118" s="75"/>
      <c r="I118" s="4"/>
      <c r="J118" s="4" t="s">
        <v>54</v>
      </c>
      <c r="K118" s="75">
        <v>-1164.010000000007</v>
      </c>
    </row>
    <row r="119" spans="1:11" x14ac:dyDescent="0.25">
      <c r="A119" s="74">
        <v>45980</v>
      </c>
      <c r="B119" s="4" t="s">
        <v>369</v>
      </c>
      <c r="C119" s="4" t="s">
        <v>12</v>
      </c>
      <c r="D119" s="4" t="s">
        <v>33</v>
      </c>
      <c r="E119" s="4" t="s">
        <v>14</v>
      </c>
      <c r="F119" s="4" t="s">
        <v>15</v>
      </c>
      <c r="G119" s="75">
        <v>21</v>
      </c>
      <c r="H119" s="75"/>
      <c r="I119" s="4"/>
      <c r="J119" s="4" t="s">
        <v>54</v>
      </c>
      <c r="K119" s="75">
        <v>-1185.010000000007</v>
      </c>
    </row>
    <row r="120" spans="1:11" x14ac:dyDescent="0.25">
      <c r="A120" s="74">
        <v>45980</v>
      </c>
      <c r="B120" s="4" t="s">
        <v>370</v>
      </c>
      <c r="C120" s="4" t="s">
        <v>12</v>
      </c>
      <c r="D120" s="4" t="s">
        <v>27</v>
      </c>
      <c r="E120" s="4" t="s">
        <v>17</v>
      </c>
      <c r="F120" s="4" t="s">
        <v>25</v>
      </c>
      <c r="G120" s="75">
        <v>450</v>
      </c>
      <c r="H120" s="75"/>
      <c r="I120" s="4"/>
      <c r="J120" s="4" t="s">
        <v>54</v>
      </c>
      <c r="K120" s="75">
        <v>-1635.010000000007</v>
      </c>
    </row>
    <row r="121" spans="1:11" x14ac:dyDescent="0.25">
      <c r="A121" s="74">
        <v>45980</v>
      </c>
      <c r="B121" s="4" t="s">
        <v>371</v>
      </c>
      <c r="C121" s="4" t="s">
        <v>12</v>
      </c>
      <c r="D121" s="4" t="s">
        <v>27</v>
      </c>
      <c r="E121" s="4" t="s">
        <v>17</v>
      </c>
      <c r="F121" s="4" t="s">
        <v>25</v>
      </c>
      <c r="G121" s="75">
        <v>120</v>
      </c>
      <c r="H121" s="75"/>
      <c r="I121" s="4"/>
      <c r="J121" s="4" t="s">
        <v>54</v>
      </c>
      <c r="K121" s="75">
        <v>-1755.010000000007</v>
      </c>
    </row>
    <row r="122" spans="1:11" x14ac:dyDescent="0.25">
      <c r="A122" s="74">
        <v>45981</v>
      </c>
      <c r="B122" s="4" t="s">
        <v>372</v>
      </c>
      <c r="C122" s="4" t="s">
        <v>12</v>
      </c>
      <c r="D122" s="4" t="s">
        <v>27</v>
      </c>
      <c r="E122" s="4" t="s">
        <v>17</v>
      </c>
      <c r="F122" s="4" t="s">
        <v>25</v>
      </c>
      <c r="G122" s="75">
        <v>300</v>
      </c>
      <c r="H122" s="75"/>
      <c r="I122" s="4"/>
      <c r="J122" s="4" t="s">
        <v>54</v>
      </c>
      <c r="K122" s="75">
        <v>-2055.010000000007</v>
      </c>
    </row>
    <row r="123" spans="1:11" x14ac:dyDescent="0.25">
      <c r="A123" s="74">
        <v>45981</v>
      </c>
      <c r="B123" s="4" t="s">
        <v>372</v>
      </c>
      <c r="C123" s="4" t="s">
        <v>12</v>
      </c>
      <c r="D123" s="4" t="s">
        <v>27</v>
      </c>
      <c r="E123" s="4" t="s">
        <v>14</v>
      </c>
      <c r="F123" s="4" t="s">
        <v>15</v>
      </c>
      <c r="G123" s="75">
        <v>200</v>
      </c>
      <c r="H123" s="75"/>
      <c r="I123" s="4"/>
      <c r="J123" s="4" t="s">
        <v>54</v>
      </c>
      <c r="K123" s="75">
        <v>-2255.010000000007</v>
      </c>
    </row>
    <row r="124" spans="1:11" x14ac:dyDescent="0.25">
      <c r="A124" s="74">
        <v>45981</v>
      </c>
      <c r="B124" s="4" t="s">
        <v>373</v>
      </c>
      <c r="C124" s="4" t="s">
        <v>12</v>
      </c>
      <c r="D124" s="4" t="s">
        <v>19</v>
      </c>
      <c r="E124" s="4" t="s">
        <v>17</v>
      </c>
      <c r="F124" s="4"/>
      <c r="G124" s="75">
        <v>935.43</v>
      </c>
      <c r="H124" s="75"/>
      <c r="I124" s="4"/>
      <c r="J124" s="4" t="s">
        <v>54</v>
      </c>
      <c r="K124" s="75">
        <v>-3190.440000000006</v>
      </c>
    </row>
    <row r="125" spans="1:11" x14ac:dyDescent="0.25">
      <c r="A125" s="74">
        <v>45981</v>
      </c>
      <c r="B125" s="4" t="s">
        <v>33</v>
      </c>
      <c r="C125" s="4" t="s">
        <v>12</v>
      </c>
      <c r="D125" s="4" t="s">
        <v>33</v>
      </c>
      <c r="E125" s="4" t="s">
        <v>14</v>
      </c>
      <c r="F125" s="4" t="s">
        <v>15</v>
      </c>
      <c r="G125" s="75">
        <v>120</v>
      </c>
      <c r="H125" s="75"/>
      <c r="I125" s="4"/>
      <c r="J125" s="4" t="s">
        <v>54</v>
      </c>
      <c r="K125" s="75">
        <v>-3310.440000000006</v>
      </c>
    </row>
    <row r="126" spans="1:11" x14ac:dyDescent="0.25">
      <c r="A126" s="74">
        <v>45981</v>
      </c>
      <c r="B126" s="4" t="s">
        <v>23</v>
      </c>
      <c r="C126" s="4" t="s">
        <v>12</v>
      </c>
      <c r="D126" s="4" t="s">
        <v>24</v>
      </c>
      <c r="E126" s="4" t="s">
        <v>17</v>
      </c>
      <c r="F126" s="4" t="s">
        <v>25</v>
      </c>
      <c r="G126" s="75">
        <v>45</v>
      </c>
      <c r="H126" s="75"/>
      <c r="I126" s="4"/>
      <c r="J126" s="4" t="s">
        <v>54</v>
      </c>
      <c r="K126" s="75">
        <v>-3355.440000000006</v>
      </c>
    </row>
    <row r="127" spans="1:11" x14ac:dyDescent="0.25">
      <c r="A127" s="74">
        <v>45981</v>
      </c>
      <c r="B127" s="4" t="s">
        <v>366</v>
      </c>
      <c r="C127" s="4" t="s">
        <v>20</v>
      </c>
      <c r="D127" s="4" t="s">
        <v>13</v>
      </c>
      <c r="E127" s="4"/>
      <c r="F127" s="4"/>
      <c r="G127" s="75">
        <v>8541</v>
      </c>
      <c r="H127" s="75"/>
      <c r="I127" s="4"/>
      <c r="J127" s="4" t="s">
        <v>54</v>
      </c>
      <c r="K127" s="75">
        <v>5185.559999999994</v>
      </c>
    </row>
    <row r="128" spans="1:11" x14ac:dyDescent="0.25">
      <c r="A128" s="74">
        <v>45981</v>
      </c>
      <c r="B128" s="4" t="s">
        <v>44</v>
      </c>
      <c r="C128" s="4" t="s">
        <v>20</v>
      </c>
      <c r="D128" s="4" t="s">
        <v>22</v>
      </c>
      <c r="E128" s="4" t="s">
        <v>17</v>
      </c>
      <c r="F128" s="4"/>
      <c r="G128" s="75">
        <v>228.5</v>
      </c>
      <c r="H128" s="75"/>
      <c r="I128" s="4"/>
      <c r="J128" s="4" t="s">
        <v>54</v>
      </c>
      <c r="K128" s="75">
        <v>5414.059999999994</v>
      </c>
    </row>
    <row r="129" spans="1:11" x14ac:dyDescent="0.25">
      <c r="A129" s="74">
        <v>45981</v>
      </c>
      <c r="B129" s="4" t="s">
        <v>11</v>
      </c>
      <c r="C129" s="4" t="s">
        <v>12</v>
      </c>
      <c r="D129" s="4" t="s">
        <v>19</v>
      </c>
      <c r="E129" s="4" t="s">
        <v>14</v>
      </c>
      <c r="F129" s="4" t="s">
        <v>15</v>
      </c>
      <c r="G129" s="75">
        <v>470</v>
      </c>
      <c r="H129" s="75"/>
      <c r="I129" s="4"/>
      <c r="J129" s="4" t="s">
        <v>54</v>
      </c>
      <c r="K129" s="75">
        <v>4944.059999999994</v>
      </c>
    </row>
    <row r="130" spans="1:11" x14ac:dyDescent="0.25">
      <c r="A130" s="74">
        <v>45982</v>
      </c>
      <c r="B130" s="4" t="s">
        <v>374</v>
      </c>
      <c r="C130" s="4" t="s">
        <v>12</v>
      </c>
      <c r="D130" s="4" t="s">
        <v>65</v>
      </c>
      <c r="E130" s="4" t="s">
        <v>17</v>
      </c>
      <c r="F130" s="4" t="s">
        <v>25</v>
      </c>
      <c r="G130" s="75">
        <v>2634.3</v>
      </c>
      <c r="H130" s="75"/>
      <c r="I130" s="4"/>
      <c r="J130" s="4" t="s">
        <v>54</v>
      </c>
      <c r="K130" s="75">
        <v>2309.7599999999939</v>
      </c>
    </row>
    <row r="131" spans="1:11" x14ac:dyDescent="0.25">
      <c r="A131" s="74">
        <v>45982</v>
      </c>
      <c r="B131" s="4" t="s">
        <v>375</v>
      </c>
      <c r="C131" s="4" t="s">
        <v>12</v>
      </c>
      <c r="D131" s="4" t="s">
        <v>65</v>
      </c>
      <c r="E131" s="4" t="s">
        <v>17</v>
      </c>
      <c r="F131" s="4"/>
      <c r="G131" s="75">
        <v>625.95000000000005</v>
      </c>
      <c r="H131" s="75"/>
      <c r="I131" s="4"/>
      <c r="J131" s="4" t="s">
        <v>54</v>
      </c>
      <c r="K131" s="75">
        <v>1683.809999999994</v>
      </c>
    </row>
    <row r="132" spans="1:11" x14ac:dyDescent="0.25">
      <c r="A132" s="74">
        <v>45982</v>
      </c>
      <c r="B132" s="4" t="s">
        <v>366</v>
      </c>
      <c r="C132" s="4" t="s">
        <v>20</v>
      </c>
      <c r="D132" s="4" t="s">
        <v>13</v>
      </c>
      <c r="E132" s="4"/>
      <c r="F132" s="4"/>
      <c r="G132" s="75">
        <v>9747</v>
      </c>
      <c r="H132" s="75"/>
      <c r="I132" s="4"/>
      <c r="J132" s="4" t="s">
        <v>54</v>
      </c>
      <c r="K132" s="75">
        <v>11430.80999999999</v>
      </c>
    </row>
    <row r="133" spans="1:11" x14ac:dyDescent="0.25">
      <c r="A133" s="74">
        <v>45982</v>
      </c>
      <c r="B133" s="4" t="s">
        <v>44</v>
      </c>
      <c r="C133" s="4" t="s">
        <v>20</v>
      </c>
      <c r="D133" s="4" t="s">
        <v>22</v>
      </c>
      <c r="E133" s="4" t="s">
        <v>17</v>
      </c>
      <c r="F133" s="4"/>
      <c r="G133" s="75">
        <v>114.3</v>
      </c>
      <c r="H133" s="75"/>
      <c r="I133" s="4"/>
      <c r="J133" s="4" t="s">
        <v>54</v>
      </c>
      <c r="K133" s="75">
        <v>11545.10999999999</v>
      </c>
    </row>
    <row r="134" spans="1:11" x14ac:dyDescent="0.25">
      <c r="A134" s="74">
        <v>45982</v>
      </c>
      <c r="B134" s="4" t="s">
        <v>23</v>
      </c>
      <c r="C134" s="4" t="s">
        <v>12</v>
      </c>
      <c r="D134" s="4" t="s">
        <v>24</v>
      </c>
      <c r="E134" s="4" t="s">
        <v>17</v>
      </c>
      <c r="F134" s="4" t="s">
        <v>25</v>
      </c>
      <c r="G134" s="75">
        <v>27</v>
      </c>
      <c r="H134" s="75"/>
      <c r="I134" s="4"/>
      <c r="J134" s="4" t="s">
        <v>54</v>
      </c>
      <c r="K134" s="75">
        <v>11518.10999999999</v>
      </c>
    </row>
    <row r="135" spans="1:11" x14ac:dyDescent="0.25">
      <c r="A135" s="74">
        <v>45982</v>
      </c>
      <c r="B135" s="4" t="s">
        <v>31</v>
      </c>
      <c r="C135" s="4" t="s">
        <v>12</v>
      </c>
      <c r="D135" s="4" t="s">
        <v>19</v>
      </c>
      <c r="E135" s="4" t="s">
        <v>17</v>
      </c>
      <c r="F135" s="4" t="s">
        <v>25</v>
      </c>
      <c r="G135" s="75">
        <v>265</v>
      </c>
      <c r="H135" s="75"/>
      <c r="I135" s="4"/>
      <c r="J135" s="4" t="s">
        <v>54</v>
      </c>
      <c r="K135" s="75">
        <v>11253.10999999999</v>
      </c>
    </row>
    <row r="136" spans="1:11" x14ac:dyDescent="0.25">
      <c r="A136" s="74">
        <v>45982</v>
      </c>
      <c r="B136" s="4" t="s">
        <v>295</v>
      </c>
      <c r="C136" s="4" t="s">
        <v>12</v>
      </c>
      <c r="D136" s="4" t="s">
        <v>58</v>
      </c>
      <c r="E136" s="4" t="s">
        <v>17</v>
      </c>
      <c r="F136" s="4"/>
      <c r="G136" s="75">
        <v>1285.23</v>
      </c>
      <c r="H136" s="75"/>
      <c r="I136" s="4"/>
      <c r="J136" s="4" t="s">
        <v>54</v>
      </c>
      <c r="K136" s="75">
        <v>9967.8799999999937</v>
      </c>
    </row>
    <row r="137" spans="1:11" x14ac:dyDescent="0.25">
      <c r="A137" s="74">
        <v>45982</v>
      </c>
      <c r="B137" s="4" t="s">
        <v>11</v>
      </c>
      <c r="C137" s="4" t="s">
        <v>12</v>
      </c>
      <c r="D137" s="4" t="s">
        <v>19</v>
      </c>
      <c r="E137" s="4" t="s">
        <v>14</v>
      </c>
      <c r="F137" s="4" t="s">
        <v>15</v>
      </c>
      <c r="G137" s="75">
        <v>282</v>
      </c>
      <c r="H137" s="75"/>
      <c r="I137" s="4"/>
      <c r="J137" s="4" t="s">
        <v>54</v>
      </c>
      <c r="K137" s="75">
        <v>9685.8799999999937</v>
      </c>
    </row>
    <row r="138" spans="1:11" x14ac:dyDescent="0.25">
      <c r="A138" s="74">
        <v>45982</v>
      </c>
      <c r="B138" s="4" t="s">
        <v>369</v>
      </c>
      <c r="C138" s="4" t="s">
        <v>12</v>
      </c>
      <c r="D138" s="4" t="s">
        <v>33</v>
      </c>
      <c r="E138" s="4" t="s">
        <v>14</v>
      </c>
      <c r="F138" s="4" t="s">
        <v>15</v>
      </c>
      <c r="G138" s="75">
        <v>37.5</v>
      </c>
      <c r="H138" s="75"/>
      <c r="I138" s="4"/>
      <c r="J138" s="4" t="s">
        <v>54</v>
      </c>
      <c r="K138" s="75">
        <v>9648.3799999999937</v>
      </c>
    </row>
    <row r="139" spans="1:11" x14ac:dyDescent="0.25">
      <c r="A139" s="74">
        <v>45982</v>
      </c>
      <c r="B139" s="4" t="s">
        <v>33</v>
      </c>
      <c r="C139" s="4" t="s">
        <v>12</v>
      </c>
      <c r="D139" s="4" t="s">
        <v>33</v>
      </c>
      <c r="E139" s="4" t="s">
        <v>14</v>
      </c>
      <c r="F139" s="4" t="s">
        <v>15</v>
      </c>
      <c r="G139" s="75">
        <v>50</v>
      </c>
      <c r="H139" s="75"/>
      <c r="I139" s="4"/>
      <c r="J139" s="4" t="s">
        <v>54</v>
      </c>
      <c r="K139" s="75">
        <v>9598.3799999999937</v>
      </c>
    </row>
    <row r="140" spans="1:11" x14ac:dyDescent="0.25">
      <c r="A140" s="74">
        <v>45983</v>
      </c>
      <c r="B140" s="4" t="s">
        <v>33</v>
      </c>
      <c r="C140" s="4" t="s">
        <v>12</v>
      </c>
      <c r="D140" s="4" t="s">
        <v>33</v>
      </c>
      <c r="E140" s="4" t="s">
        <v>14</v>
      </c>
      <c r="F140" s="4" t="s">
        <v>15</v>
      </c>
      <c r="G140" s="75">
        <v>120</v>
      </c>
      <c r="H140" s="75"/>
      <c r="I140" s="4"/>
      <c r="J140" s="4" t="s">
        <v>54</v>
      </c>
      <c r="K140" s="75">
        <v>9478.3799999999937</v>
      </c>
    </row>
    <row r="141" spans="1:11" x14ac:dyDescent="0.25">
      <c r="A141" s="74">
        <v>45983</v>
      </c>
      <c r="B141" s="4" t="s">
        <v>376</v>
      </c>
      <c r="C141" s="4" t="s">
        <v>20</v>
      </c>
      <c r="D141" s="4" t="s">
        <v>13</v>
      </c>
      <c r="E141" s="4"/>
      <c r="F141" s="4"/>
      <c r="G141" s="75">
        <v>11241</v>
      </c>
      <c r="H141" s="75"/>
      <c r="I141" s="4"/>
      <c r="J141" s="4" t="s">
        <v>54</v>
      </c>
      <c r="K141" s="75">
        <v>20719.37999999999</v>
      </c>
    </row>
    <row r="142" spans="1:11" x14ac:dyDescent="0.25">
      <c r="A142" s="74">
        <v>45983</v>
      </c>
      <c r="B142" s="4" t="s">
        <v>349</v>
      </c>
      <c r="C142" s="4" t="s">
        <v>20</v>
      </c>
      <c r="D142" s="4" t="s">
        <v>22</v>
      </c>
      <c r="E142" s="4" t="s">
        <v>17</v>
      </c>
      <c r="F142" s="4"/>
      <c r="G142" s="75">
        <v>154.9</v>
      </c>
      <c r="H142" s="75"/>
      <c r="I142" s="4"/>
      <c r="J142" s="4" t="s">
        <v>54</v>
      </c>
      <c r="K142" s="75">
        <v>20874.28</v>
      </c>
    </row>
    <row r="143" spans="1:11" x14ac:dyDescent="0.25">
      <c r="A143" s="74">
        <v>45983</v>
      </c>
      <c r="B143" s="4" t="s">
        <v>45</v>
      </c>
      <c r="C143" s="4" t="s">
        <v>12</v>
      </c>
      <c r="D143" s="4" t="s">
        <v>24</v>
      </c>
      <c r="E143" s="4" t="s">
        <v>17</v>
      </c>
      <c r="F143" s="4" t="s">
        <v>25</v>
      </c>
      <c r="G143" s="75">
        <v>18</v>
      </c>
      <c r="H143" s="75"/>
      <c r="I143" s="4"/>
      <c r="J143" s="4" t="s">
        <v>54</v>
      </c>
      <c r="K143" s="75">
        <v>20856.28</v>
      </c>
    </row>
    <row r="144" spans="1:11" x14ac:dyDescent="0.25">
      <c r="A144" s="74">
        <v>45984</v>
      </c>
      <c r="B144" s="4" t="s">
        <v>377</v>
      </c>
      <c r="C144" s="4" t="s">
        <v>12</v>
      </c>
      <c r="D144" s="4" t="s">
        <v>62</v>
      </c>
      <c r="E144" s="4" t="s">
        <v>14</v>
      </c>
      <c r="F144" s="4" t="s">
        <v>15</v>
      </c>
      <c r="G144" s="75">
        <v>30</v>
      </c>
      <c r="H144" s="75"/>
      <c r="I144" s="4"/>
      <c r="J144" s="4" t="s">
        <v>54</v>
      </c>
      <c r="K144" s="75">
        <v>20826.28</v>
      </c>
    </row>
    <row r="145" spans="1:11" x14ac:dyDescent="0.25">
      <c r="A145" s="74">
        <v>45984</v>
      </c>
      <c r="B145" s="4" t="s">
        <v>11</v>
      </c>
      <c r="C145" s="4" t="s">
        <v>12</v>
      </c>
      <c r="D145" s="4" t="s">
        <v>19</v>
      </c>
      <c r="E145" s="4" t="s">
        <v>14</v>
      </c>
      <c r="F145" s="4" t="s">
        <v>15</v>
      </c>
      <c r="G145" s="75">
        <v>141</v>
      </c>
      <c r="H145" s="75"/>
      <c r="I145" s="4"/>
      <c r="J145" s="4" t="s">
        <v>54</v>
      </c>
      <c r="K145" s="75">
        <v>20685.28</v>
      </c>
    </row>
    <row r="146" spans="1:11" x14ac:dyDescent="0.25">
      <c r="A146" s="74">
        <v>45984</v>
      </c>
      <c r="B146" s="4" t="s">
        <v>378</v>
      </c>
      <c r="C146" s="4" t="s">
        <v>12</v>
      </c>
      <c r="D146" s="4" t="s">
        <v>33</v>
      </c>
      <c r="E146" s="4" t="s">
        <v>14</v>
      </c>
      <c r="F146" s="4" t="s">
        <v>15</v>
      </c>
      <c r="G146" s="75">
        <v>265</v>
      </c>
      <c r="H146" s="75"/>
      <c r="I146" s="4"/>
      <c r="J146" s="4" t="s">
        <v>54</v>
      </c>
      <c r="K146" s="75">
        <v>20420.28</v>
      </c>
    </row>
    <row r="147" spans="1:11" x14ac:dyDescent="0.25">
      <c r="A147" s="74">
        <v>45984</v>
      </c>
      <c r="B147" s="4" t="s">
        <v>23</v>
      </c>
      <c r="C147" s="4" t="s">
        <v>12</v>
      </c>
      <c r="D147" s="4" t="s">
        <v>24</v>
      </c>
      <c r="E147" s="4" t="s">
        <v>17</v>
      </c>
      <c r="F147" s="4" t="s">
        <v>25</v>
      </c>
      <c r="G147" s="75">
        <v>36</v>
      </c>
      <c r="H147" s="75"/>
      <c r="I147" s="4" t="s">
        <v>379</v>
      </c>
      <c r="J147" s="4" t="s">
        <v>54</v>
      </c>
      <c r="K147" s="75">
        <v>20384.28</v>
      </c>
    </row>
    <row r="148" spans="1:11" x14ac:dyDescent="0.25">
      <c r="A148" s="74">
        <v>45984</v>
      </c>
      <c r="B148" s="4" t="s">
        <v>366</v>
      </c>
      <c r="C148" s="4" t="s">
        <v>20</v>
      </c>
      <c r="D148" s="4" t="s">
        <v>13</v>
      </c>
      <c r="E148" s="4"/>
      <c r="F148" s="4"/>
      <c r="G148" s="75">
        <v>5762.3</v>
      </c>
      <c r="H148" s="75"/>
      <c r="I148" s="4"/>
      <c r="J148" s="4" t="s">
        <v>54</v>
      </c>
      <c r="K148" s="75">
        <v>26146.579999999991</v>
      </c>
    </row>
    <row r="149" spans="1:11" x14ac:dyDescent="0.25">
      <c r="A149" s="74">
        <v>45984</v>
      </c>
      <c r="B149" s="4" t="s">
        <v>349</v>
      </c>
      <c r="C149" s="4" t="s">
        <v>20</v>
      </c>
      <c r="D149" s="4" t="s">
        <v>22</v>
      </c>
      <c r="E149" s="4" t="s">
        <v>17</v>
      </c>
      <c r="F149" s="4"/>
      <c r="G149" s="75">
        <v>218</v>
      </c>
      <c r="H149" s="75"/>
      <c r="I149" s="4"/>
      <c r="J149" s="4" t="s">
        <v>54</v>
      </c>
      <c r="K149" s="75">
        <v>26364.579999999991</v>
      </c>
    </row>
    <row r="150" spans="1:11" x14ac:dyDescent="0.25">
      <c r="A150" s="74">
        <v>45985</v>
      </c>
      <c r="B150" s="4" t="s">
        <v>380</v>
      </c>
      <c r="C150" s="4" t="s">
        <v>12</v>
      </c>
      <c r="D150" s="4" t="s">
        <v>58</v>
      </c>
      <c r="E150" s="4" t="s">
        <v>17</v>
      </c>
      <c r="F150" s="4"/>
      <c r="G150" s="75">
        <v>10115.16</v>
      </c>
      <c r="H150" s="75"/>
      <c r="I150" s="4"/>
      <c r="J150" s="4" t="s">
        <v>54</v>
      </c>
      <c r="K150" s="75">
        <v>16249.419999999989</v>
      </c>
    </row>
    <row r="151" spans="1:11" x14ac:dyDescent="0.25">
      <c r="A151" s="74">
        <v>45985</v>
      </c>
      <c r="B151" s="4" t="s">
        <v>381</v>
      </c>
      <c r="C151" s="4" t="s">
        <v>12</v>
      </c>
      <c r="D151" s="4" t="s">
        <v>60</v>
      </c>
      <c r="E151" s="4" t="s">
        <v>17</v>
      </c>
      <c r="F151" s="4" t="s">
        <v>25</v>
      </c>
      <c r="G151" s="75">
        <v>133.01</v>
      </c>
      <c r="H151" s="75"/>
      <c r="I151" s="4"/>
      <c r="J151" s="4" t="s">
        <v>54</v>
      </c>
      <c r="K151" s="75">
        <v>16116.409999999991</v>
      </c>
    </row>
    <row r="152" spans="1:11" x14ac:dyDescent="0.25">
      <c r="A152" s="74">
        <v>45985</v>
      </c>
      <c r="B152" s="4" t="s">
        <v>382</v>
      </c>
      <c r="C152" s="4" t="s">
        <v>12</v>
      </c>
      <c r="D152" s="4" t="s">
        <v>19</v>
      </c>
      <c r="E152" s="4" t="s">
        <v>17</v>
      </c>
      <c r="F152" s="4"/>
      <c r="G152" s="75">
        <v>1160.53</v>
      </c>
      <c r="H152" s="75"/>
      <c r="I152" s="4"/>
      <c r="J152" s="4" t="s">
        <v>54</v>
      </c>
      <c r="K152" s="75">
        <v>14955.87999999999</v>
      </c>
    </row>
    <row r="153" spans="1:11" x14ac:dyDescent="0.25">
      <c r="A153" s="74">
        <v>45985</v>
      </c>
      <c r="B153" s="4" t="s">
        <v>383</v>
      </c>
      <c r="C153" s="4" t="s">
        <v>12</v>
      </c>
      <c r="D153" s="4" t="s">
        <v>19</v>
      </c>
      <c r="E153" s="4" t="s">
        <v>17</v>
      </c>
      <c r="F153" s="4"/>
      <c r="G153" s="75">
        <v>379.99</v>
      </c>
      <c r="H153" s="75"/>
      <c r="I153" s="4"/>
      <c r="J153" s="4" t="s">
        <v>54</v>
      </c>
      <c r="K153" s="75">
        <v>14575.88999999999</v>
      </c>
    </row>
    <row r="154" spans="1:11" x14ac:dyDescent="0.25">
      <c r="A154" s="74">
        <v>45985</v>
      </c>
      <c r="B154" s="4" t="s">
        <v>328</v>
      </c>
      <c r="C154" s="4" t="s">
        <v>20</v>
      </c>
      <c r="D154" s="4" t="s">
        <v>13</v>
      </c>
      <c r="E154" s="4"/>
      <c r="F154" s="4"/>
      <c r="G154" s="75">
        <v>801.9</v>
      </c>
      <c r="H154" s="75"/>
      <c r="I154" s="4"/>
      <c r="J154" s="4" t="s">
        <v>54</v>
      </c>
      <c r="K154" s="75">
        <v>15377.78999999999</v>
      </c>
    </row>
    <row r="155" spans="1:11" x14ac:dyDescent="0.25">
      <c r="A155" s="74">
        <v>45986</v>
      </c>
      <c r="B155" s="4" t="s">
        <v>384</v>
      </c>
      <c r="C155" s="4" t="s">
        <v>12</v>
      </c>
      <c r="D155" s="4" t="s">
        <v>60</v>
      </c>
      <c r="E155" s="4" t="s">
        <v>17</v>
      </c>
      <c r="F155" s="4" t="s">
        <v>25</v>
      </c>
      <c r="G155" s="75">
        <v>155.34</v>
      </c>
      <c r="H155" s="75"/>
      <c r="I155" s="4"/>
      <c r="J155" s="4" t="s">
        <v>54</v>
      </c>
      <c r="K155" s="75">
        <v>15222.44999999999</v>
      </c>
    </row>
    <row r="156" spans="1:11" x14ac:dyDescent="0.25">
      <c r="A156" s="74">
        <v>45986</v>
      </c>
      <c r="B156" s="4" t="s">
        <v>385</v>
      </c>
      <c r="C156" s="4" t="s">
        <v>12</v>
      </c>
      <c r="D156" s="4" t="s">
        <v>62</v>
      </c>
      <c r="E156" s="4" t="s">
        <v>17</v>
      </c>
      <c r="F156" s="4"/>
      <c r="G156" s="75">
        <v>324.17</v>
      </c>
      <c r="H156" s="75"/>
      <c r="I156" s="4"/>
      <c r="J156" s="4" t="s">
        <v>54</v>
      </c>
      <c r="K156" s="75">
        <v>14898.27999999999</v>
      </c>
    </row>
    <row r="157" spans="1:11" x14ac:dyDescent="0.25">
      <c r="A157" s="74">
        <v>45986</v>
      </c>
      <c r="B157" s="4" t="s">
        <v>386</v>
      </c>
      <c r="C157" s="4" t="s">
        <v>12</v>
      </c>
      <c r="D157" s="4" t="s">
        <v>19</v>
      </c>
      <c r="E157" s="4" t="s">
        <v>17</v>
      </c>
      <c r="F157" s="4"/>
      <c r="G157" s="75">
        <v>892.8</v>
      </c>
      <c r="H157" s="75"/>
      <c r="I157" s="4"/>
      <c r="J157" s="4" t="s">
        <v>54</v>
      </c>
      <c r="K157" s="75">
        <v>14005.47999999999</v>
      </c>
    </row>
    <row r="158" spans="1:11" x14ac:dyDescent="0.25">
      <c r="A158" s="74">
        <v>45986</v>
      </c>
      <c r="B158" s="4" t="s">
        <v>387</v>
      </c>
      <c r="C158" s="4" t="s">
        <v>12</v>
      </c>
      <c r="D158" s="4" t="s">
        <v>19</v>
      </c>
      <c r="E158" s="4" t="s">
        <v>17</v>
      </c>
      <c r="F158" s="4"/>
      <c r="G158" s="75">
        <v>4442.34</v>
      </c>
      <c r="H158" s="75"/>
      <c r="I158" s="4"/>
      <c r="J158" s="4" t="s">
        <v>54</v>
      </c>
      <c r="K158" s="75">
        <v>9563.139999999994</v>
      </c>
    </row>
    <row r="159" spans="1:11" x14ac:dyDescent="0.25">
      <c r="A159" s="74">
        <v>45986</v>
      </c>
      <c r="B159" s="4" t="s">
        <v>328</v>
      </c>
      <c r="C159" s="4" t="s">
        <v>20</v>
      </c>
      <c r="D159" s="4" t="s">
        <v>13</v>
      </c>
      <c r="E159" s="4"/>
      <c r="F159" s="4"/>
      <c r="G159" s="75">
        <v>1887.4</v>
      </c>
      <c r="H159" s="75"/>
      <c r="I159" s="4"/>
      <c r="J159" s="4" t="s">
        <v>54</v>
      </c>
      <c r="K159" s="75">
        <v>11450.53999999999</v>
      </c>
    </row>
    <row r="160" spans="1:11" x14ac:dyDescent="0.25">
      <c r="A160" s="74">
        <v>45986</v>
      </c>
      <c r="B160" s="4" t="s">
        <v>44</v>
      </c>
      <c r="C160" s="4" t="s">
        <v>20</v>
      </c>
      <c r="D160" s="4" t="s">
        <v>22</v>
      </c>
      <c r="E160" s="4" t="s">
        <v>17</v>
      </c>
      <c r="F160" s="4"/>
      <c r="G160" s="75">
        <v>19.5</v>
      </c>
      <c r="H160" s="75"/>
      <c r="I160" s="4"/>
      <c r="J160" s="4" t="s">
        <v>54</v>
      </c>
      <c r="K160" s="75">
        <v>11470.03999999999</v>
      </c>
    </row>
    <row r="161" spans="1:11" x14ac:dyDescent="0.25">
      <c r="A161" s="74">
        <v>45987</v>
      </c>
      <c r="B161" s="4" t="s">
        <v>388</v>
      </c>
      <c r="C161" s="4" t="s">
        <v>12</v>
      </c>
      <c r="D161" s="4" t="s">
        <v>19</v>
      </c>
      <c r="E161" s="4" t="s">
        <v>17</v>
      </c>
      <c r="F161" s="4"/>
      <c r="G161" s="75">
        <v>278</v>
      </c>
      <c r="H161" s="75"/>
      <c r="I161" s="4"/>
      <c r="J161" s="4" t="s">
        <v>54</v>
      </c>
      <c r="K161" s="75">
        <v>11192.03999999999</v>
      </c>
    </row>
    <row r="162" spans="1:11" x14ac:dyDescent="0.25">
      <c r="A162" s="74">
        <v>45987</v>
      </c>
      <c r="B162" s="4" t="s">
        <v>11</v>
      </c>
      <c r="C162" s="4" t="s">
        <v>12</v>
      </c>
      <c r="D162" s="4" t="s">
        <v>19</v>
      </c>
      <c r="E162" s="4" t="s">
        <v>14</v>
      </c>
      <c r="F162" s="4" t="s">
        <v>15</v>
      </c>
      <c r="G162" s="75">
        <v>235</v>
      </c>
      <c r="H162" s="75"/>
      <c r="I162" s="4"/>
      <c r="J162" s="4" t="s">
        <v>54</v>
      </c>
      <c r="K162" s="75">
        <v>10957.03999999999</v>
      </c>
    </row>
    <row r="163" spans="1:11" x14ac:dyDescent="0.25">
      <c r="A163" s="74">
        <v>45987</v>
      </c>
      <c r="B163" s="4" t="s">
        <v>366</v>
      </c>
      <c r="C163" s="4" t="s">
        <v>20</v>
      </c>
      <c r="D163" s="4" t="s">
        <v>13</v>
      </c>
      <c r="E163" s="4"/>
      <c r="F163" s="4"/>
      <c r="G163" s="75">
        <v>2171</v>
      </c>
      <c r="H163" s="75"/>
      <c r="I163" s="4"/>
      <c r="J163" s="4" t="s">
        <v>54</v>
      </c>
      <c r="K163" s="75">
        <v>13128.03999999999</v>
      </c>
    </row>
    <row r="164" spans="1:11" x14ac:dyDescent="0.25">
      <c r="A164" s="74">
        <v>45987</v>
      </c>
      <c r="B164" s="4" t="s">
        <v>44</v>
      </c>
      <c r="C164" s="4" t="s">
        <v>20</v>
      </c>
      <c r="D164" s="4" t="s">
        <v>22</v>
      </c>
      <c r="E164" s="4" t="s">
        <v>17</v>
      </c>
      <c r="F164" s="4"/>
      <c r="G164" s="75">
        <v>83.3</v>
      </c>
      <c r="H164" s="75"/>
      <c r="I164" s="4"/>
      <c r="J164" s="4" t="s">
        <v>54</v>
      </c>
      <c r="K164" s="75">
        <v>13211.339999999989</v>
      </c>
    </row>
    <row r="165" spans="1:11" x14ac:dyDescent="0.25">
      <c r="A165" s="74">
        <v>45987</v>
      </c>
      <c r="B165" s="4" t="s">
        <v>45</v>
      </c>
      <c r="C165" s="4" t="s">
        <v>12</v>
      </c>
      <c r="D165" s="4" t="s">
        <v>24</v>
      </c>
      <c r="E165" s="4" t="s">
        <v>17</v>
      </c>
      <c r="F165" s="4" t="s">
        <v>25</v>
      </c>
      <c r="G165" s="75">
        <v>26</v>
      </c>
      <c r="H165" s="75"/>
      <c r="I165" s="4"/>
      <c r="J165" s="4" t="s">
        <v>54</v>
      </c>
      <c r="K165" s="75">
        <v>13185.339999999989</v>
      </c>
    </row>
    <row r="166" spans="1:11" x14ac:dyDescent="0.25">
      <c r="A166" s="74">
        <v>45988</v>
      </c>
      <c r="B166" s="4" t="s">
        <v>347</v>
      </c>
      <c r="C166" s="4" t="s">
        <v>12</v>
      </c>
      <c r="D166" s="4" t="s">
        <v>19</v>
      </c>
      <c r="E166" s="4" t="s">
        <v>17</v>
      </c>
      <c r="F166" s="4"/>
      <c r="G166" s="75">
        <v>935.43</v>
      </c>
      <c r="H166" s="75"/>
      <c r="I166" s="4"/>
      <c r="J166" s="4" t="s">
        <v>54</v>
      </c>
      <c r="K166" s="75">
        <v>12249.909999999991</v>
      </c>
    </row>
    <row r="167" spans="1:11" x14ac:dyDescent="0.25">
      <c r="A167" s="74">
        <v>45988</v>
      </c>
      <c r="B167" s="4" t="s">
        <v>11</v>
      </c>
      <c r="C167" s="4" t="s">
        <v>12</v>
      </c>
      <c r="D167" s="4" t="s">
        <v>19</v>
      </c>
      <c r="E167" s="4" t="s">
        <v>14</v>
      </c>
      <c r="F167" s="4" t="s">
        <v>15</v>
      </c>
      <c r="G167" s="75">
        <v>141</v>
      </c>
      <c r="H167" s="75"/>
      <c r="I167" s="4"/>
      <c r="J167" s="4" t="s">
        <v>54</v>
      </c>
      <c r="K167" s="75">
        <v>12108.909999999991</v>
      </c>
    </row>
    <row r="168" spans="1:11" x14ac:dyDescent="0.25">
      <c r="A168" s="74">
        <v>45988</v>
      </c>
      <c r="B168" s="4" t="s">
        <v>366</v>
      </c>
      <c r="C168" s="4" t="s">
        <v>20</v>
      </c>
      <c r="D168" s="4" t="s">
        <v>13</v>
      </c>
      <c r="E168" s="4"/>
      <c r="F168" s="4"/>
      <c r="G168" s="75">
        <v>1514</v>
      </c>
      <c r="H168" s="75"/>
      <c r="I168" s="4"/>
      <c r="J168" s="4" t="s">
        <v>54</v>
      </c>
      <c r="K168" s="75">
        <v>13622.909999999991</v>
      </c>
    </row>
    <row r="169" spans="1:11" x14ac:dyDescent="0.25">
      <c r="A169" s="74">
        <v>45988</v>
      </c>
      <c r="B169" s="4" t="s">
        <v>44</v>
      </c>
      <c r="C169" s="4" t="s">
        <v>20</v>
      </c>
      <c r="D169" s="4" t="s">
        <v>22</v>
      </c>
      <c r="E169" s="4" t="s">
        <v>17</v>
      </c>
      <c r="F169" s="4"/>
      <c r="G169" s="75">
        <v>48</v>
      </c>
      <c r="H169" s="75"/>
      <c r="I169" s="4"/>
      <c r="J169" s="4" t="s">
        <v>54</v>
      </c>
      <c r="K169" s="75">
        <v>13670.909999999991</v>
      </c>
    </row>
    <row r="170" spans="1:11" x14ac:dyDescent="0.25">
      <c r="A170" s="74">
        <v>45988</v>
      </c>
      <c r="B170" s="4" t="s">
        <v>23</v>
      </c>
      <c r="C170" s="4" t="s">
        <v>12</v>
      </c>
      <c r="D170" s="4" t="s">
        <v>24</v>
      </c>
      <c r="E170" s="4" t="s">
        <v>17</v>
      </c>
      <c r="F170" s="4" t="s">
        <v>25</v>
      </c>
      <c r="G170" s="75">
        <v>8</v>
      </c>
      <c r="H170" s="75"/>
      <c r="I170" s="4"/>
      <c r="J170" s="4" t="s">
        <v>54</v>
      </c>
      <c r="K170" s="75">
        <v>13662.909999999991</v>
      </c>
    </row>
    <row r="171" spans="1:11" x14ac:dyDescent="0.25">
      <c r="A171" s="74">
        <v>45989</v>
      </c>
      <c r="B171" s="4" t="s">
        <v>389</v>
      </c>
      <c r="C171" s="4" t="s">
        <v>12</v>
      </c>
      <c r="D171" s="4" t="s">
        <v>27</v>
      </c>
      <c r="E171" s="4" t="s">
        <v>17</v>
      </c>
      <c r="F171" s="4" t="s">
        <v>25</v>
      </c>
      <c r="G171" s="75">
        <v>3384.26</v>
      </c>
      <c r="H171" s="75"/>
      <c r="I171" s="4"/>
      <c r="J171" s="4" t="s">
        <v>54</v>
      </c>
      <c r="K171" s="75">
        <v>10278.649999999991</v>
      </c>
    </row>
    <row r="172" spans="1:11" x14ac:dyDescent="0.25">
      <c r="A172" s="74">
        <v>45989</v>
      </c>
      <c r="B172" s="4" t="s">
        <v>11</v>
      </c>
      <c r="C172" s="4" t="s">
        <v>12</v>
      </c>
      <c r="D172" s="4" t="s">
        <v>19</v>
      </c>
      <c r="E172" s="4" t="s">
        <v>14</v>
      </c>
      <c r="F172" s="4" t="s">
        <v>15</v>
      </c>
      <c r="G172" s="75">
        <v>376</v>
      </c>
      <c r="H172" s="75"/>
      <c r="I172" s="4"/>
      <c r="J172" s="4" t="s">
        <v>54</v>
      </c>
      <c r="K172" s="75">
        <v>9902.6499999999924</v>
      </c>
    </row>
    <row r="173" spans="1:11" x14ac:dyDescent="0.25">
      <c r="A173" s="74">
        <v>45989</v>
      </c>
      <c r="B173" s="4" t="s">
        <v>366</v>
      </c>
      <c r="C173" s="4" t="s">
        <v>20</v>
      </c>
      <c r="D173" s="4" t="s">
        <v>13</v>
      </c>
      <c r="E173" s="4"/>
      <c r="F173" s="4"/>
      <c r="G173" s="75">
        <v>4240</v>
      </c>
      <c r="H173" s="75"/>
      <c r="I173" s="4"/>
      <c r="J173" s="4" t="s">
        <v>54</v>
      </c>
      <c r="K173" s="75">
        <v>14142.649999999991</v>
      </c>
    </row>
    <row r="174" spans="1:11" x14ac:dyDescent="0.25">
      <c r="A174" s="74">
        <v>45989</v>
      </c>
      <c r="B174" s="4" t="s">
        <v>44</v>
      </c>
      <c r="C174" s="4" t="s">
        <v>20</v>
      </c>
      <c r="D174" s="4" t="s">
        <v>22</v>
      </c>
      <c r="E174" s="4" t="s">
        <v>17</v>
      </c>
      <c r="F174" s="4"/>
      <c r="G174" s="75">
        <v>419.1</v>
      </c>
      <c r="H174" s="75"/>
      <c r="I174" s="4"/>
      <c r="J174" s="4" t="s">
        <v>54</v>
      </c>
      <c r="K174" s="75">
        <v>14561.749999999991</v>
      </c>
    </row>
    <row r="175" spans="1:11" x14ac:dyDescent="0.25">
      <c r="A175" s="74">
        <v>45989</v>
      </c>
      <c r="B175" s="4" t="s">
        <v>23</v>
      </c>
      <c r="C175" s="4" t="s">
        <v>12</v>
      </c>
      <c r="D175" s="4" t="s">
        <v>24</v>
      </c>
      <c r="E175" s="4" t="s">
        <v>17</v>
      </c>
      <c r="F175" s="4" t="s">
        <v>25</v>
      </c>
      <c r="G175" s="75">
        <v>54</v>
      </c>
      <c r="H175" s="75"/>
      <c r="I175" s="4"/>
      <c r="J175" s="4" t="s">
        <v>54</v>
      </c>
      <c r="K175" s="75">
        <v>14507.749999999991</v>
      </c>
    </row>
    <row r="176" spans="1:11" x14ac:dyDescent="0.25">
      <c r="A176" s="74">
        <v>45990</v>
      </c>
      <c r="B176" s="4" t="s">
        <v>366</v>
      </c>
      <c r="C176" s="4" t="s">
        <v>20</v>
      </c>
      <c r="D176" s="4" t="s">
        <v>13</v>
      </c>
      <c r="E176" s="4"/>
      <c r="F176" s="4"/>
      <c r="G176" s="75">
        <v>7278.3</v>
      </c>
      <c r="H176" s="75"/>
      <c r="I176" s="4"/>
      <c r="J176" s="4" t="s">
        <v>54</v>
      </c>
      <c r="K176" s="75">
        <v>21786.049999999988</v>
      </c>
    </row>
    <row r="177" spans="1:11" x14ac:dyDescent="0.25">
      <c r="A177" s="74">
        <v>45990</v>
      </c>
      <c r="B177" s="4" t="s">
        <v>44</v>
      </c>
      <c r="C177" s="4" t="s">
        <v>20</v>
      </c>
      <c r="D177" s="4" t="s">
        <v>22</v>
      </c>
      <c r="E177" s="4" t="s">
        <v>17</v>
      </c>
      <c r="F177" s="4"/>
      <c r="G177" s="75">
        <v>531.91</v>
      </c>
      <c r="H177" s="75"/>
      <c r="I177" s="4"/>
      <c r="J177" s="4" t="s">
        <v>54</v>
      </c>
      <c r="K177" s="75">
        <v>22317.959999999988</v>
      </c>
    </row>
    <row r="178" spans="1:11" x14ac:dyDescent="0.25">
      <c r="A178" s="74">
        <v>45990</v>
      </c>
      <c r="B178" s="4" t="s">
        <v>23</v>
      </c>
      <c r="C178" s="4" t="s">
        <v>12</v>
      </c>
      <c r="D178" s="4" t="s">
        <v>24</v>
      </c>
      <c r="E178" s="4" t="s">
        <v>17</v>
      </c>
      <c r="F178" s="4" t="s">
        <v>25</v>
      </c>
      <c r="G178" s="75">
        <v>92</v>
      </c>
      <c r="H178" s="75"/>
      <c r="I178" s="4"/>
      <c r="J178" s="4" t="s">
        <v>54</v>
      </c>
      <c r="K178" s="75">
        <v>22225.959999999988</v>
      </c>
    </row>
    <row r="179" spans="1:11" x14ac:dyDescent="0.25">
      <c r="A179" s="74">
        <v>45991</v>
      </c>
      <c r="B179" s="4" t="s">
        <v>328</v>
      </c>
      <c r="C179" s="4" t="s">
        <v>20</v>
      </c>
      <c r="D179" s="4" t="s">
        <v>13</v>
      </c>
      <c r="E179" s="4"/>
      <c r="F179" s="4"/>
      <c r="G179" s="75">
        <v>8549.5</v>
      </c>
      <c r="H179" s="75"/>
      <c r="I179" s="4"/>
      <c r="J179" s="4" t="s">
        <v>54</v>
      </c>
      <c r="K179" s="75">
        <v>30775.459999999988</v>
      </c>
    </row>
    <row r="180" spans="1:11" x14ac:dyDescent="0.25">
      <c r="A180" s="74">
        <v>45991</v>
      </c>
      <c r="B180" s="4" t="s">
        <v>349</v>
      </c>
      <c r="C180" s="4" t="s">
        <v>20</v>
      </c>
      <c r="D180" s="4" t="s">
        <v>22</v>
      </c>
      <c r="E180" s="4" t="s">
        <v>17</v>
      </c>
      <c r="F180" s="4"/>
      <c r="G180" s="75">
        <v>405.38</v>
      </c>
      <c r="H180" s="75"/>
      <c r="I180" s="4"/>
      <c r="J180" s="4" t="s">
        <v>54</v>
      </c>
      <c r="K180" s="75">
        <v>31180.839999999989</v>
      </c>
    </row>
    <row r="181" spans="1:11" x14ac:dyDescent="0.25">
      <c r="A181" s="74">
        <v>45991</v>
      </c>
      <c r="B181" s="4" t="s">
        <v>23</v>
      </c>
      <c r="C181" s="4" t="s">
        <v>12</v>
      </c>
      <c r="D181" s="4" t="s">
        <v>24</v>
      </c>
      <c r="E181" s="4" t="s">
        <v>17</v>
      </c>
      <c r="F181" s="4" t="s">
        <v>25</v>
      </c>
      <c r="G181" s="75">
        <v>62</v>
      </c>
      <c r="H181" s="75"/>
      <c r="I181" s="4"/>
      <c r="J181" s="4" t="s">
        <v>54</v>
      </c>
      <c r="K181" s="75">
        <v>31118.839999999989</v>
      </c>
    </row>
    <row r="182" spans="1:11" x14ac:dyDescent="0.25">
      <c r="A182" s="74">
        <v>45991</v>
      </c>
      <c r="B182" s="4" t="s">
        <v>33</v>
      </c>
      <c r="C182" s="4" t="s">
        <v>12</v>
      </c>
      <c r="D182" s="4" t="s">
        <v>33</v>
      </c>
      <c r="E182" s="4" t="s">
        <v>14</v>
      </c>
      <c r="F182" s="4" t="s">
        <v>15</v>
      </c>
      <c r="G182" s="75">
        <v>150</v>
      </c>
      <c r="H182" s="75"/>
      <c r="I182" s="4"/>
      <c r="J182" s="4" t="s">
        <v>54</v>
      </c>
      <c r="K182" s="75">
        <v>30968.839999999989</v>
      </c>
    </row>
    <row r="183" spans="1:11" x14ac:dyDescent="0.25">
      <c r="A183" s="74"/>
      <c r="B183" s="4"/>
      <c r="C183" s="4"/>
      <c r="D183" s="4"/>
      <c r="E183" s="4"/>
      <c r="F183" s="4"/>
      <c r="G183" s="75"/>
      <c r="H183" s="75"/>
      <c r="I183" s="4"/>
      <c r="J183" s="4"/>
      <c r="K183" s="75"/>
    </row>
  </sheetData>
  <autoFilter ref="A1:K183" xr:uid="{00000000-0009-0000-0000-000005000000}"/>
  <phoneticPr fontId="1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2:K195"/>
  <sheetViews>
    <sheetView topLeftCell="A170" workbookViewId="0">
      <selection activeCell="J2" sqref="J2:J195"/>
    </sheetView>
  </sheetViews>
  <sheetFormatPr defaultColWidth="14.42578125" defaultRowHeight="15" customHeight="1" x14ac:dyDescent="0.25"/>
  <cols>
    <col min="2" max="2" width="27.85546875" customWidth="1"/>
    <col min="4" max="4" width="18.140625" customWidth="1"/>
    <col min="9" max="9" width="22.85546875" customWidth="1"/>
  </cols>
  <sheetData>
    <row r="2" spans="1:11" x14ac:dyDescent="0.25">
      <c r="A2" s="76">
        <v>45992</v>
      </c>
      <c r="B2" s="21" t="s">
        <v>390</v>
      </c>
      <c r="C2" s="21" t="s">
        <v>20</v>
      </c>
      <c r="D2" s="21" t="s">
        <v>391</v>
      </c>
      <c r="E2" s="21"/>
      <c r="F2" s="21"/>
      <c r="G2" s="24">
        <v>30968.84</v>
      </c>
      <c r="H2" s="24"/>
      <c r="I2" s="21" t="s">
        <v>391</v>
      </c>
      <c r="J2" s="21" t="s">
        <v>71</v>
      </c>
      <c r="K2" s="24">
        <v>30968.84</v>
      </c>
    </row>
    <row r="3" spans="1:11" x14ac:dyDescent="0.25">
      <c r="A3" s="76">
        <v>45992</v>
      </c>
      <c r="B3" s="21" t="s">
        <v>314</v>
      </c>
      <c r="C3" s="21" t="s">
        <v>12</v>
      </c>
      <c r="D3" s="21" t="s">
        <v>27</v>
      </c>
      <c r="E3" s="21" t="s">
        <v>17</v>
      </c>
      <c r="F3" s="21"/>
      <c r="G3" s="24">
        <v>2400</v>
      </c>
      <c r="H3" s="24"/>
      <c r="I3" s="21"/>
      <c r="J3" s="21" t="s">
        <v>71</v>
      </c>
      <c r="K3" s="24">
        <v>28568.84</v>
      </c>
    </row>
    <row r="4" spans="1:11" x14ac:dyDescent="0.25">
      <c r="A4" s="76">
        <v>45992</v>
      </c>
      <c r="B4" s="21" t="s">
        <v>392</v>
      </c>
      <c r="C4" s="21" t="s">
        <v>12</v>
      </c>
      <c r="D4" s="21" t="s">
        <v>39</v>
      </c>
      <c r="E4" s="21" t="s">
        <v>17</v>
      </c>
      <c r="F4" s="21"/>
      <c r="G4" s="24">
        <v>370</v>
      </c>
      <c r="H4" s="24"/>
      <c r="I4" s="21"/>
      <c r="J4" s="21" t="s">
        <v>71</v>
      </c>
      <c r="K4" s="24">
        <v>28198.84</v>
      </c>
    </row>
    <row r="5" spans="1:11" x14ac:dyDescent="0.25">
      <c r="A5" s="76">
        <v>45992</v>
      </c>
      <c r="B5" s="21" t="s">
        <v>393</v>
      </c>
      <c r="C5" s="21" t="s">
        <v>12</v>
      </c>
      <c r="D5" s="21" t="s">
        <v>19</v>
      </c>
      <c r="E5" s="21" t="s">
        <v>14</v>
      </c>
      <c r="F5" s="21" t="s">
        <v>15</v>
      </c>
      <c r="G5" s="24">
        <v>235</v>
      </c>
      <c r="H5" s="24"/>
      <c r="I5" s="21"/>
      <c r="J5" s="21" t="s">
        <v>71</v>
      </c>
      <c r="K5" s="24">
        <v>27963.84</v>
      </c>
    </row>
    <row r="6" spans="1:11" x14ac:dyDescent="0.25">
      <c r="A6" s="76">
        <v>45992</v>
      </c>
      <c r="B6" s="21" t="s">
        <v>394</v>
      </c>
      <c r="C6" s="21" t="s">
        <v>12</v>
      </c>
      <c r="D6" s="21" t="s">
        <v>62</v>
      </c>
      <c r="E6" s="21" t="s">
        <v>17</v>
      </c>
      <c r="F6" s="21" t="s">
        <v>25</v>
      </c>
      <c r="G6" s="24">
        <v>160</v>
      </c>
      <c r="H6" s="24"/>
      <c r="I6" s="21"/>
      <c r="J6" s="21" t="s">
        <v>71</v>
      </c>
      <c r="K6" s="24">
        <v>27803.84</v>
      </c>
    </row>
    <row r="7" spans="1:11" x14ac:dyDescent="0.25">
      <c r="A7" s="76">
        <v>45992</v>
      </c>
      <c r="B7" s="21" t="s">
        <v>360</v>
      </c>
      <c r="C7" s="21" t="s">
        <v>12</v>
      </c>
      <c r="D7" s="21" t="s">
        <v>19</v>
      </c>
      <c r="E7" s="21" t="s">
        <v>17</v>
      </c>
      <c r="F7" s="21" t="s">
        <v>25</v>
      </c>
      <c r="G7" s="24">
        <v>203.5</v>
      </c>
      <c r="H7" s="24"/>
      <c r="I7" s="21"/>
      <c r="J7" s="21" t="s">
        <v>71</v>
      </c>
      <c r="K7" s="24">
        <v>27600.34</v>
      </c>
    </row>
    <row r="8" spans="1:11" x14ac:dyDescent="0.25">
      <c r="A8" s="76">
        <v>45992</v>
      </c>
      <c r="B8" s="21" t="s">
        <v>395</v>
      </c>
      <c r="C8" s="21" t="s">
        <v>12</v>
      </c>
      <c r="D8" s="21" t="s">
        <v>68</v>
      </c>
      <c r="E8" s="21" t="s">
        <v>17</v>
      </c>
      <c r="F8" s="21" t="s">
        <v>25</v>
      </c>
      <c r="G8" s="24">
        <v>600</v>
      </c>
      <c r="H8" s="24"/>
      <c r="I8" s="21"/>
      <c r="J8" s="21" t="s">
        <v>71</v>
      </c>
      <c r="K8" s="24">
        <v>27000.34</v>
      </c>
    </row>
    <row r="9" spans="1:11" x14ac:dyDescent="0.25">
      <c r="A9" s="76">
        <v>45992</v>
      </c>
      <c r="B9" s="21" t="s">
        <v>396</v>
      </c>
      <c r="C9" s="21" t="s">
        <v>12</v>
      </c>
      <c r="D9" s="21" t="s">
        <v>16</v>
      </c>
      <c r="E9" s="21" t="s">
        <v>17</v>
      </c>
      <c r="F9" s="21"/>
      <c r="G9" s="24">
        <v>13185</v>
      </c>
      <c r="H9" s="24"/>
      <c r="I9" s="21"/>
      <c r="J9" s="21" t="s">
        <v>71</v>
      </c>
      <c r="K9" s="24">
        <v>13815.34</v>
      </c>
    </row>
    <row r="10" spans="1:11" x14ac:dyDescent="0.25">
      <c r="A10" s="76">
        <v>45992</v>
      </c>
      <c r="B10" s="21" t="s">
        <v>328</v>
      </c>
      <c r="C10" s="21" t="s">
        <v>20</v>
      </c>
      <c r="D10" s="21" t="s">
        <v>13</v>
      </c>
      <c r="E10" s="21"/>
      <c r="F10" s="21"/>
      <c r="G10" s="24">
        <v>1824</v>
      </c>
      <c r="H10" s="24"/>
      <c r="I10" s="21"/>
      <c r="J10" s="21" t="s">
        <v>71</v>
      </c>
      <c r="K10" s="24">
        <v>15639.34</v>
      </c>
    </row>
    <row r="11" spans="1:11" x14ac:dyDescent="0.25">
      <c r="A11" s="76">
        <v>45992</v>
      </c>
      <c r="B11" s="21" t="s">
        <v>45</v>
      </c>
      <c r="C11" s="21" t="s">
        <v>12</v>
      </c>
      <c r="D11" s="21" t="s">
        <v>24</v>
      </c>
      <c r="E11" s="21" t="s">
        <v>17</v>
      </c>
      <c r="F11" s="21" t="s">
        <v>25</v>
      </c>
      <c r="G11" s="24">
        <v>19</v>
      </c>
      <c r="H11" s="24"/>
      <c r="I11" s="21"/>
      <c r="J11" s="21" t="s">
        <v>71</v>
      </c>
      <c r="K11" s="24">
        <v>15620.34</v>
      </c>
    </row>
    <row r="12" spans="1:11" x14ac:dyDescent="0.25">
      <c r="A12" s="76">
        <v>45993</v>
      </c>
      <c r="B12" s="21" t="s">
        <v>397</v>
      </c>
      <c r="C12" s="21" t="s">
        <v>12</v>
      </c>
      <c r="D12" s="21" t="s">
        <v>19</v>
      </c>
      <c r="E12" s="21" t="s">
        <v>17</v>
      </c>
      <c r="F12" s="21"/>
      <c r="G12" s="24">
        <v>767.37</v>
      </c>
      <c r="H12" s="24"/>
      <c r="I12" s="21"/>
      <c r="J12" s="21" t="s">
        <v>71</v>
      </c>
      <c r="K12" s="24">
        <v>14852.97</v>
      </c>
    </row>
    <row r="13" spans="1:11" x14ac:dyDescent="0.25">
      <c r="A13" s="76">
        <v>45993</v>
      </c>
      <c r="B13" s="21" t="s">
        <v>398</v>
      </c>
      <c r="C13" s="21" t="s">
        <v>12</v>
      </c>
      <c r="D13" s="21" t="s">
        <v>19</v>
      </c>
      <c r="E13" s="21" t="s">
        <v>17</v>
      </c>
      <c r="F13" s="21"/>
      <c r="G13" s="24">
        <v>1341.23</v>
      </c>
      <c r="H13" s="24"/>
      <c r="I13" s="21"/>
      <c r="J13" s="21" t="s">
        <v>71</v>
      </c>
      <c r="K13" s="24">
        <v>13511.74</v>
      </c>
    </row>
    <row r="14" spans="1:11" x14ac:dyDescent="0.25">
      <c r="A14" s="76">
        <v>45993</v>
      </c>
      <c r="B14" s="21" t="s">
        <v>399</v>
      </c>
      <c r="C14" s="21" t="s">
        <v>12</v>
      </c>
      <c r="D14" s="21" t="s">
        <v>19</v>
      </c>
      <c r="E14" s="21" t="s">
        <v>17</v>
      </c>
      <c r="F14" s="21" t="s">
        <v>25</v>
      </c>
      <c r="G14" s="24">
        <v>698</v>
      </c>
      <c r="H14" s="24"/>
      <c r="I14" s="21"/>
      <c r="J14" s="21" t="s">
        <v>71</v>
      </c>
      <c r="K14" s="24">
        <v>12813.74</v>
      </c>
    </row>
    <row r="15" spans="1:11" x14ac:dyDescent="0.25">
      <c r="A15" s="76">
        <v>45993</v>
      </c>
      <c r="B15" s="21" t="s">
        <v>363</v>
      </c>
      <c r="C15" s="21" t="s">
        <v>12</v>
      </c>
      <c r="D15" s="21" t="s">
        <v>19</v>
      </c>
      <c r="E15" s="21" t="s">
        <v>17</v>
      </c>
      <c r="F15" s="21"/>
      <c r="G15" s="24">
        <v>399.94</v>
      </c>
      <c r="H15" s="24"/>
      <c r="I15" s="21"/>
      <c r="J15" s="21" t="s">
        <v>71</v>
      </c>
      <c r="K15" s="24">
        <v>12413.8</v>
      </c>
    </row>
    <row r="16" spans="1:11" x14ac:dyDescent="0.25">
      <c r="A16" s="76">
        <v>45993</v>
      </c>
      <c r="B16" s="21" t="s">
        <v>400</v>
      </c>
      <c r="C16" s="21" t="s">
        <v>12</v>
      </c>
      <c r="D16" s="21" t="s">
        <v>19</v>
      </c>
      <c r="E16" s="21" t="s">
        <v>17</v>
      </c>
      <c r="F16" s="21" t="s">
        <v>25</v>
      </c>
      <c r="G16" s="24">
        <v>100</v>
      </c>
      <c r="H16" s="24"/>
      <c r="I16" s="21"/>
      <c r="J16" s="21" t="s">
        <v>71</v>
      </c>
      <c r="K16" s="24">
        <v>12313.8</v>
      </c>
    </row>
    <row r="17" spans="1:11" x14ac:dyDescent="0.25">
      <c r="A17" s="76">
        <v>45993</v>
      </c>
      <c r="B17" s="21" t="s">
        <v>328</v>
      </c>
      <c r="C17" s="21" t="s">
        <v>20</v>
      </c>
      <c r="D17" s="21" t="s">
        <v>13</v>
      </c>
      <c r="E17" s="21"/>
      <c r="F17" s="21"/>
      <c r="G17" s="24">
        <v>952</v>
      </c>
      <c r="H17" s="24"/>
      <c r="I17" s="21"/>
      <c r="J17" s="21" t="s">
        <v>71</v>
      </c>
      <c r="K17" s="24">
        <v>13265.8</v>
      </c>
    </row>
    <row r="18" spans="1:11" x14ac:dyDescent="0.25">
      <c r="A18" s="76">
        <v>45993</v>
      </c>
      <c r="B18" s="21" t="s">
        <v>44</v>
      </c>
      <c r="C18" s="21" t="s">
        <v>20</v>
      </c>
      <c r="D18" s="21" t="s">
        <v>22</v>
      </c>
      <c r="E18" s="21" t="s">
        <v>17</v>
      </c>
      <c r="F18" s="21"/>
      <c r="G18" s="24">
        <v>200.39</v>
      </c>
      <c r="H18" s="24"/>
      <c r="I18" s="21"/>
      <c r="J18" s="21" t="s">
        <v>71</v>
      </c>
      <c r="K18" s="24">
        <v>13466.19</v>
      </c>
    </row>
    <row r="19" spans="1:11" x14ac:dyDescent="0.25">
      <c r="A19" s="76">
        <v>45993</v>
      </c>
      <c r="B19" s="21" t="s">
        <v>45</v>
      </c>
      <c r="C19" s="21" t="s">
        <v>12</v>
      </c>
      <c r="D19" s="21" t="s">
        <v>24</v>
      </c>
      <c r="E19" s="21" t="s">
        <v>17</v>
      </c>
      <c r="F19" s="21" t="s">
        <v>25</v>
      </c>
      <c r="G19" s="24">
        <v>25</v>
      </c>
      <c r="H19" s="24"/>
      <c r="I19" s="21"/>
      <c r="J19" s="21" t="s">
        <v>71</v>
      </c>
      <c r="K19" s="24">
        <v>13441.19</v>
      </c>
    </row>
    <row r="20" spans="1:11" x14ac:dyDescent="0.25">
      <c r="A20" s="76">
        <v>45994</v>
      </c>
      <c r="B20" s="21" t="s">
        <v>11</v>
      </c>
      <c r="C20" s="21" t="s">
        <v>12</v>
      </c>
      <c r="D20" s="21" t="s">
        <v>19</v>
      </c>
      <c r="E20" s="21" t="s">
        <v>14</v>
      </c>
      <c r="F20" s="21" t="s">
        <v>15</v>
      </c>
      <c r="G20" s="24">
        <v>0</v>
      </c>
      <c r="H20" s="24"/>
      <c r="I20" s="21"/>
      <c r="J20" s="21" t="s">
        <v>71</v>
      </c>
      <c r="K20" s="24">
        <v>13441.19</v>
      </c>
    </row>
    <row r="21" spans="1:11" x14ac:dyDescent="0.25">
      <c r="A21" s="76">
        <v>45994</v>
      </c>
      <c r="B21" s="21" t="s">
        <v>308</v>
      </c>
      <c r="C21" s="21" t="s">
        <v>12</v>
      </c>
      <c r="D21" s="21" t="s">
        <v>19</v>
      </c>
      <c r="E21" s="21" t="s">
        <v>17</v>
      </c>
      <c r="F21" s="21"/>
      <c r="G21" s="24">
        <v>772.82</v>
      </c>
      <c r="H21" s="24"/>
      <c r="I21" s="21"/>
      <c r="J21" s="21" t="s">
        <v>71</v>
      </c>
      <c r="K21" s="24">
        <v>12668.37</v>
      </c>
    </row>
    <row r="22" spans="1:11" x14ac:dyDescent="0.25">
      <c r="A22" s="76">
        <v>45994</v>
      </c>
      <c r="B22" s="21" t="s">
        <v>401</v>
      </c>
      <c r="C22" s="21" t="s">
        <v>12</v>
      </c>
      <c r="D22" s="21" t="s">
        <v>27</v>
      </c>
      <c r="E22" s="21" t="s">
        <v>17</v>
      </c>
      <c r="F22" s="21" t="s">
        <v>25</v>
      </c>
      <c r="G22" s="24">
        <v>3</v>
      </c>
      <c r="H22" s="24"/>
      <c r="I22" s="21"/>
      <c r="J22" s="21" t="s">
        <v>71</v>
      </c>
      <c r="K22" s="24">
        <v>12665.37</v>
      </c>
    </row>
    <row r="23" spans="1:11" x14ac:dyDescent="0.25">
      <c r="A23" s="76">
        <v>45994</v>
      </c>
      <c r="B23" s="21" t="s">
        <v>328</v>
      </c>
      <c r="C23" s="21" t="s">
        <v>20</v>
      </c>
      <c r="D23" s="21" t="s">
        <v>13</v>
      </c>
      <c r="E23" s="21"/>
      <c r="F23" s="21"/>
      <c r="G23" s="24">
        <v>1599</v>
      </c>
      <c r="H23" s="24"/>
      <c r="I23" s="21"/>
      <c r="J23" s="21" t="s">
        <v>71</v>
      </c>
      <c r="K23" s="24">
        <v>14264.37</v>
      </c>
    </row>
    <row r="24" spans="1:11" x14ac:dyDescent="0.25">
      <c r="A24" s="76">
        <v>45994</v>
      </c>
      <c r="B24" s="21" t="s">
        <v>44</v>
      </c>
      <c r="C24" s="21" t="s">
        <v>20</v>
      </c>
      <c r="D24" s="21" t="s">
        <v>22</v>
      </c>
      <c r="E24" s="21" t="s">
        <v>17</v>
      </c>
      <c r="F24" s="21"/>
      <c r="G24" s="24">
        <v>117</v>
      </c>
      <c r="H24" s="24"/>
      <c r="I24" s="21"/>
      <c r="J24" s="21" t="s">
        <v>71</v>
      </c>
      <c r="K24" s="24">
        <v>14381.37</v>
      </c>
    </row>
    <row r="25" spans="1:11" x14ac:dyDescent="0.25">
      <c r="A25" s="76">
        <v>45995</v>
      </c>
      <c r="B25" s="21" t="s">
        <v>345</v>
      </c>
      <c r="C25" s="21" t="s">
        <v>12</v>
      </c>
      <c r="D25" s="21" t="s">
        <v>19</v>
      </c>
      <c r="E25" s="21" t="s">
        <v>17</v>
      </c>
      <c r="F25" s="21"/>
      <c r="G25" s="24">
        <v>1360.97</v>
      </c>
      <c r="H25" s="24"/>
      <c r="I25" s="21"/>
      <c r="J25" s="21" t="s">
        <v>71</v>
      </c>
      <c r="K25" s="24">
        <v>13020.4</v>
      </c>
    </row>
    <row r="26" spans="1:11" x14ac:dyDescent="0.25">
      <c r="A26" s="76">
        <v>45995</v>
      </c>
      <c r="B26" s="21" t="s">
        <v>402</v>
      </c>
      <c r="C26" s="21" t="s">
        <v>12</v>
      </c>
      <c r="D26" s="21" t="s">
        <v>39</v>
      </c>
      <c r="E26" s="21" t="s">
        <v>17</v>
      </c>
      <c r="F26" s="21"/>
      <c r="G26" s="24">
        <v>100</v>
      </c>
      <c r="H26" s="24"/>
      <c r="I26" s="21"/>
      <c r="J26" s="21" t="s">
        <v>71</v>
      </c>
      <c r="K26" s="24">
        <v>12920.4</v>
      </c>
    </row>
    <row r="27" spans="1:11" x14ac:dyDescent="0.25">
      <c r="A27" s="76">
        <v>45995</v>
      </c>
      <c r="B27" s="21" t="s">
        <v>11</v>
      </c>
      <c r="C27" s="21" t="s">
        <v>12</v>
      </c>
      <c r="D27" s="21" t="s">
        <v>19</v>
      </c>
      <c r="E27" s="21" t="s">
        <v>14</v>
      </c>
      <c r="F27" s="21" t="s">
        <v>15</v>
      </c>
      <c r="G27" s="24">
        <v>282</v>
      </c>
      <c r="H27" s="24"/>
      <c r="I27" s="21"/>
      <c r="J27" s="21" t="s">
        <v>71</v>
      </c>
      <c r="K27" s="24">
        <v>12638.4</v>
      </c>
    </row>
    <row r="28" spans="1:11" x14ac:dyDescent="0.25">
      <c r="A28" s="76">
        <v>45995</v>
      </c>
      <c r="B28" s="21" t="s">
        <v>328</v>
      </c>
      <c r="C28" s="21" t="s">
        <v>20</v>
      </c>
      <c r="D28" s="21" t="s">
        <v>13</v>
      </c>
      <c r="E28" s="21"/>
      <c r="F28" s="21"/>
      <c r="G28" s="24">
        <v>1795</v>
      </c>
      <c r="H28" s="24"/>
      <c r="I28" s="21"/>
      <c r="J28" s="21" t="s">
        <v>71</v>
      </c>
      <c r="K28" s="24">
        <v>14433.4</v>
      </c>
    </row>
    <row r="29" spans="1:11" x14ac:dyDescent="0.25">
      <c r="A29" s="76">
        <v>45995</v>
      </c>
      <c r="B29" s="21" t="s">
        <v>403</v>
      </c>
      <c r="C29" s="21" t="s">
        <v>20</v>
      </c>
      <c r="D29" s="21" t="s">
        <v>22</v>
      </c>
      <c r="E29" s="21" t="s">
        <v>17</v>
      </c>
      <c r="F29" s="21"/>
      <c r="G29" s="24">
        <v>0</v>
      </c>
      <c r="H29" s="24"/>
      <c r="I29" s="21"/>
      <c r="J29" s="21" t="s">
        <v>71</v>
      </c>
      <c r="K29" s="24">
        <v>14433.4</v>
      </c>
    </row>
    <row r="30" spans="1:11" x14ac:dyDescent="0.25">
      <c r="A30" s="76">
        <v>45996</v>
      </c>
      <c r="B30" s="21" t="s">
        <v>404</v>
      </c>
      <c r="C30" s="21" t="s">
        <v>12</v>
      </c>
      <c r="D30" s="21" t="s">
        <v>27</v>
      </c>
      <c r="E30" s="21" t="s">
        <v>17</v>
      </c>
      <c r="F30" s="21"/>
      <c r="G30" s="24">
        <v>9432.18</v>
      </c>
      <c r="H30" s="24"/>
      <c r="I30" s="21"/>
      <c r="J30" s="21" t="s">
        <v>71</v>
      </c>
      <c r="K30" s="24">
        <v>5001.2199999999993</v>
      </c>
    </row>
    <row r="31" spans="1:11" x14ac:dyDescent="0.25">
      <c r="A31" s="76">
        <v>45996</v>
      </c>
      <c r="B31" s="21" t="s">
        <v>319</v>
      </c>
      <c r="C31" s="21" t="s">
        <v>12</v>
      </c>
      <c r="D31" s="21" t="s">
        <v>39</v>
      </c>
      <c r="E31" s="21" t="s">
        <v>17</v>
      </c>
      <c r="F31" s="21"/>
      <c r="G31" s="24">
        <v>9000</v>
      </c>
      <c r="H31" s="24"/>
      <c r="I31" s="21"/>
      <c r="J31" s="21" t="s">
        <v>71</v>
      </c>
      <c r="K31" s="24">
        <v>-3998.7800000000011</v>
      </c>
    </row>
    <row r="32" spans="1:11" x14ac:dyDescent="0.25">
      <c r="A32" s="76">
        <v>45996</v>
      </c>
      <c r="B32" s="21" t="s">
        <v>320</v>
      </c>
      <c r="C32" s="21" t="s">
        <v>12</v>
      </c>
      <c r="D32" s="21" t="s">
        <v>39</v>
      </c>
      <c r="E32" s="21" t="s">
        <v>17</v>
      </c>
      <c r="F32" s="21"/>
      <c r="G32" s="24">
        <v>90.85</v>
      </c>
      <c r="H32" s="24"/>
      <c r="I32" s="21"/>
      <c r="J32" s="21" t="s">
        <v>71</v>
      </c>
      <c r="K32" s="24">
        <v>-4089.630000000001</v>
      </c>
    </row>
    <row r="33" spans="1:11" x14ac:dyDescent="0.25">
      <c r="A33" s="76">
        <v>45996</v>
      </c>
      <c r="B33" s="21" t="s">
        <v>405</v>
      </c>
      <c r="C33" s="21" t="s">
        <v>12</v>
      </c>
      <c r="D33" s="21" t="s">
        <v>325</v>
      </c>
      <c r="E33" s="21" t="s">
        <v>17</v>
      </c>
      <c r="F33" s="21"/>
      <c r="G33" s="24">
        <v>3898.85</v>
      </c>
      <c r="H33" s="24"/>
      <c r="I33" s="21"/>
      <c r="J33" s="21" t="s">
        <v>71</v>
      </c>
      <c r="K33" s="24">
        <v>-7988.48</v>
      </c>
    </row>
    <row r="34" spans="1:11" x14ac:dyDescent="0.25">
      <c r="A34" s="76">
        <v>45996</v>
      </c>
      <c r="B34" s="21" t="s">
        <v>328</v>
      </c>
      <c r="C34" s="21" t="s">
        <v>20</v>
      </c>
      <c r="D34" s="21" t="s">
        <v>13</v>
      </c>
      <c r="E34" s="21"/>
      <c r="F34" s="21"/>
      <c r="G34" s="24">
        <v>3862</v>
      </c>
      <c r="H34" s="24"/>
      <c r="I34" s="21"/>
      <c r="J34" s="21" t="s">
        <v>71</v>
      </c>
      <c r="K34" s="24">
        <v>-4126.4799999999996</v>
      </c>
    </row>
    <row r="35" spans="1:11" x14ac:dyDescent="0.25">
      <c r="A35" s="76">
        <v>45996</v>
      </c>
      <c r="B35" s="21" t="s">
        <v>44</v>
      </c>
      <c r="C35" s="21" t="s">
        <v>20</v>
      </c>
      <c r="D35" s="21" t="s">
        <v>22</v>
      </c>
      <c r="E35" s="21" t="s">
        <v>17</v>
      </c>
      <c r="F35" s="21"/>
      <c r="G35" s="24">
        <v>185.12</v>
      </c>
      <c r="H35" s="24"/>
      <c r="I35" s="21"/>
      <c r="J35" s="21" t="s">
        <v>71</v>
      </c>
      <c r="K35" s="24">
        <v>-3941.360000000001</v>
      </c>
    </row>
    <row r="36" spans="1:11" x14ac:dyDescent="0.25">
      <c r="A36" s="76">
        <v>45996</v>
      </c>
      <c r="B36" s="21" t="s">
        <v>393</v>
      </c>
      <c r="C36" s="21" t="s">
        <v>12</v>
      </c>
      <c r="D36" s="21" t="s">
        <v>19</v>
      </c>
      <c r="E36" s="21" t="s">
        <v>14</v>
      </c>
      <c r="F36" s="21" t="s">
        <v>15</v>
      </c>
      <c r="G36" s="24">
        <v>376</v>
      </c>
      <c r="H36" s="24"/>
      <c r="I36" s="21"/>
      <c r="J36" s="21" t="s">
        <v>71</v>
      </c>
      <c r="K36" s="24">
        <v>-4317.3600000000006</v>
      </c>
    </row>
    <row r="37" spans="1:11" x14ac:dyDescent="0.25">
      <c r="A37" s="76">
        <v>45996</v>
      </c>
      <c r="B37" s="21" t="s">
        <v>337</v>
      </c>
      <c r="C37" s="21" t="s">
        <v>12</v>
      </c>
      <c r="D37" s="21" t="s">
        <v>27</v>
      </c>
      <c r="E37" s="21" t="s">
        <v>17</v>
      </c>
      <c r="F37" s="21" t="s">
        <v>25</v>
      </c>
      <c r="G37" s="24">
        <v>824</v>
      </c>
      <c r="H37" s="24"/>
      <c r="I37" s="21"/>
      <c r="J37" s="21" t="s">
        <v>71</v>
      </c>
      <c r="K37" s="24">
        <v>-5141.3600000000006</v>
      </c>
    </row>
    <row r="38" spans="1:11" x14ac:dyDescent="0.25">
      <c r="A38" s="76">
        <v>45996</v>
      </c>
      <c r="B38" s="21" t="s">
        <v>406</v>
      </c>
      <c r="C38" s="21" t="s">
        <v>12</v>
      </c>
      <c r="D38" s="21" t="s">
        <v>27</v>
      </c>
      <c r="E38" s="21" t="s">
        <v>14</v>
      </c>
      <c r="F38" s="21" t="s">
        <v>15</v>
      </c>
      <c r="G38" s="24">
        <v>150</v>
      </c>
      <c r="H38" s="24"/>
      <c r="I38" s="21"/>
      <c r="J38" s="21" t="s">
        <v>71</v>
      </c>
      <c r="K38" s="24">
        <v>-5291.3600000000006</v>
      </c>
    </row>
    <row r="39" spans="1:11" x14ac:dyDescent="0.25">
      <c r="A39" s="76">
        <v>45996</v>
      </c>
      <c r="B39" s="21" t="s">
        <v>45</v>
      </c>
      <c r="C39" s="21" t="s">
        <v>12</v>
      </c>
      <c r="D39" s="21" t="s">
        <v>24</v>
      </c>
      <c r="E39" s="21" t="s">
        <v>17</v>
      </c>
      <c r="F39" s="21" t="s">
        <v>25</v>
      </c>
      <c r="G39" s="24">
        <v>27</v>
      </c>
      <c r="H39" s="24"/>
      <c r="I39" s="21"/>
      <c r="J39" s="21" t="s">
        <v>71</v>
      </c>
      <c r="K39" s="24">
        <v>-5318.3600000000006</v>
      </c>
    </row>
    <row r="40" spans="1:11" x14ac:dyDescent="0.25">
      <c r="A40" s="76">
        <v>45997</v>
      </c>
      <c r="B40" s="21" t="s">
        <v>328</v>
      </c>
      <c r="C40" s="21" t="s">
        <v>20</v>
      </c>
      <c r="D40" s="21" t="s">
        <v>13</v>
      </c>
      <c r="E40" s="21"/>
      <c r="F40" s="21"/>
      <c r="G40" s="24">
        <v>8793</v>
      </c>
      <c r="H40" s="24"/>
      <c r="I40" s="21"/>
      <c r="J40" s="21" t="s">
        <v>71</v>
      </c>
      <c r="K40" s="24">
        <v>3474.639999999999</v>
      </c>
    </row>
    <row r="41" spans="1:11" x14ac:dyDescent="0.25">
      <c r="A41" s="76">
        <v>45997</v>
      </c>
      <c r="B41" s="21" t="s">
        <v>44</v>
      </c>
      <c r="C41" s="21" t="s">
        <v>20</v>
      </c>
      <c r="D41" s="21" t="s">
        <v>22</v>
      </c>
      <c r="E41" s="21" t="s">
        <v>17</v>
      </c>
      <c r="F41" s="21"/>
      <c r="G41" s="24">
        <v>400.7</v>
      </c>
      <c r="H41" s="24"/>
      <c r="I41" s="21"/>
      <c r="J41" s="21" t="s">
        <v>71</v>
      </c>
      <c r="K41" s="24">
        <v>3875.3399999999988</v>
      </c>
    </row>
    <row r="42" spans="1:11" x14ac:dyDescent="0.25">
      <c r="A42" s="76">
        <v>45997</v>
      </c>
      <c r="B42" s="21" t="s">
        <v>45</v>
      </c>
      <c r="C42" s="21" t="s">
        <v>12</v>
      </c>
      <c r="D42" s="21" t="s">
        <v>24</v>
      </c>
      <c r="E42" s="21" t="s">
        <v>17</v>
      </c>
      <c r="F42" s="21" t="s">
        <v>25</v>
      </c>
      <c r="G42" s="24">
        <v>54</v>
      </c>
      <c r="H42" s="24"/>
      <c r="I42" s="21"/>
      <c r="J42" s="21" t="s">
        <v>71</v>
      </c>
      <c r="K42" s="24">
        <v>3821.3399999999988</v>
      </c>
    </row>
    <row r="43" spans="1:11" x14ac:dyDescent="0.25">
      <c r="A43" s="76">
        <v>45997</v>
      </c>
      <c r="B43" s="21" t="s">
        <v>33</v>
      </c>
      <c r="C43" s="21" t="s">
        <v>12</v>
      </c>
      <c r="D43" s="21" t="s">
        <v>33</v>
      </c>
      <c r="E43" s="21" t="s">
        <v>14</v>
      </c>
      <c r="F43" s="21" t="s">
        <v>15</v>
      </c>
      <c r="G43" s="24">
        <v>120</v>
      </c>
      <c r="H43" s="24"/>
      <c r="I43" s="21"/>
      <c r="J43" s="21" t="s">
        <v>71</v>
      </c>
      <c r="K43" s="24">
        <v>3701.3399999999988</v>
      </c>
    </row>
    <row r="44" spans="1:11" x14ac:dyDescent="0.25">
      <c r="A44" s="76">
        <v>45998</v>
      </c>
      <c r="B44" s="21" t="s">
        <v>33</v>
      </c>
      <c r="C44" s="21" t="s">
        <v>12</v>
      </c>
      <c r="D44" s="21" t="s">
        <v>33</v>
      </c>
      <c r="E44" s="21" t="s">
        <v>14</v>
      </c>
      <c r="F44" s="21" t="s">
        <v>15</v>
      </c>
      <c r="G44" s="24">
        <v>120</v>
      </c>
      <c r="H44" s="24"/>
      <c r="I44" s="21"/>
      <c r="J44" s="21" t="s">
        <v>71</v>
      </c>
      <c r="K44" s="24">
        <v>3581.3399999999988</v>
      </c>
    </row>
    <row r="45" spans="1:11" x14ac:dyDescent="0.25">
      <c r="A45" s="76">
        <v>45998</v>
      </c>
      <c r="B45" s="21" t="s">
        <v>328</v>
      </c>
      <c r="C45" s="21" t="s">
        <v>20</v>
      </c>
      <c r="D45" s="21" t="s">
        <v>13</v>
      </c>
      <c r="E45" s="21"/>
      <c r="F45" s="21"/>
      <c r="G45" s="24">
        <v>8012</v>
      </c>
      <c r="H45" s="24"/>
      <c r="J45" s="21" t="s">
        <v>71</v>
      </c>
      <c r="K45" s="24">
        <v>11593.34</v>
      </c>
    </row>
    <row r="46" spans="1:11" x14ac:dyDescent="0.25">
      <c r="A46" s="76">
        <v>45998</v>
      </c>
      <c r="B46" s="21" t="s">
        <v>44</v>
      </c>
      <c r="C46" s="21" t="s">
        <v>20</v>
      </c>
      <c r="D46" s="21" t="s">
        <v>22</v>
      </c>
      <c r="E46" s="21" t="s">
        <v>17</v>
      </c>
      <c r="F46" s="21"/>
      <c r="G46" s="24">
        <v>516.91</v>
      </c>
      <c r="H46" s="24"/>
      <c r="J46" s="21" t="s">
        <v>71</v>
      </c>
      <c r="K46" s="24">
        <v>12110.25</v>
      </c>
    </row>
    <row r="47" spans="1:11" x14ac:dyDescent="0.25">
      <c r="A47" s="76">
        <v>45998</v>
      </c>
      <c r="B47" s="21" t="s">
        <v>45</v>
      </c>
      <c r="C47" s="21" t="s">
        <v>12</v>
      </c>
      <c r="D47" s="21" t="s">
        <v>24</v>
      </c>
      <c r="E47" s="21" t="s">
        <v>17</v>
      </c>
      <c r="F47" s="21" t="s">
        <v>25</v>
      </c>
      <c r="G47" s="24">
        <v>81</v>
      </c>
      <c r="H47" s="24"/>
      <c r="J47" s="21" t="s">
        <v>71</v>
      </c>
      <c r="K47" s="24">
        <v>12029.25</v>
      </c>
    </row>
    <row r="48" spans="1:11" x14ac:dyDescent="0.25">
      <c r="A48" s="76">
        <v>45998</v>
      </c>
      <c r="B48" s="21" t="s">
        <v>11</v>
      </c>
      <c r="C48" s="21" t="s">
        <v>12</v>
      </c>
      <c r="D48" s="21" t="s">
        <v>19</v>
      </c>
      <c r="E48" s="21" t="s">
        <v>14</v>
      </c>
      <c r="F48" s="21" t="s">
        <v>15</v>
      </c>
      <c r="G48" s="24">
        <v>235</v>
      </c>
      <c r="H48" s="24"/>
      <c r="J48" s="21" t="s">
        <v>71</v>
      </c>
      <c r="K48" s="24">
        <v>11794.25</v>
      </c>
    </row>
    <row r="49" spans="1:11" x14ac:dyDescent="0.25">
      <c r="A49" s="76">
        <v>45999</v>
      </c>
      <c r="B49" s="21" t="s">
        <v>407</v>
      </c>
      <c r="C49" s="21" t="s">
        <v>12</v>
      </c>
      <c r="D49" s="21" t="s">
        <v>19</v>
      </c>
      <c r="E49" s="21" t="s">
        <v>17</v>
      </c>
      <c r="F49" s="21" t="s">
        <v>25</v>
      </c>
      <c r="G49" s="24">
        <v>260</v>
      </c>
      <c r="H49" s="24"/>
      <c r="J49" s="21" t="s">
        <v>71</v>
      </c>
      <c r="K49" s="24">
        <v>11534.25</v>
      </c>
    </row>
    <row r="50" spans="1:11" x14ac:dyDescent="0.25">
      <c r="A50" s="76">
        <v>45999</v>
      </c>
      <c r="B50" s="21" t="s">
        <v>408</v>
      </c>
      <c r="C50" s="21" t="s">
        <v>12</v>
      </c>
      <c r="D50" s="21" t="s">
        <v>68</v>
      </c>
      <c r="E50" s="21" t="s">
        <v>17</v>
      </c>
      <c r="F50" s="21"/>
      <c r="G50" s="24">
        <v>1000</v>
      </c>
      <c r="H50" s="24"/>
      <c r="J50" s="21" t="s">
        <v>71</v>
      </c>
      <c r="K50" s="24">
        <v>10534.25</v>
      </c>
    </row>
    <row r="51" spans="1:11" x14ac:dyDescent="0.25">
      <c r="A51" s="76">
        <v>45999</v>
      </c>
      <c r="B51" s="21" t="s">
        <v>409</v>
      </c>
      <c r="C51" s="21" t="s">
        <v>12</v>
      </c>
      <c r="D51" s="21" t="s">
        <v>39</v>
      </c>
      <c r="E51" s="21" t="s">
        <v>14</v>
      </c>
      <c r="F51" s="21" t="s">
        <v>15</v>
      </c>
      <c r="G51" s="24">
        <v>2473.41</v>
      </c>
      <c r="H51" s="24"/>
      <c r="J51" s="21" t="s">
        <v>71</v>
      </c>
      <c r="K51" s="24">
        <v>8060.84</v>
      </c>
    </row>
    <row r="52" spans="1:11" x14ac:dyDescent="0.25">
      <c r="A52" s="76">
        <v>45999</v>
      </c>
      <c r="B52" s="21" t="s">
        <v>343</v>
      </c>
      <c r="C52" s="21" t="s">
        <v>12</v>
      </c>
      <c r="D52" s="21" t="s">
        <v>19</v>
      </c>
      <c r="E52" s="21" t="s">
        <v>17</v>
      </c>
      <c r="F52" s="21"/>
      <c r="G52" s="24">
        <v>3208.12</v>
      </c>
      <c r="H52" s="24"/>
      <c r="J52" s="21" t="s">
        <v>71</v>
      </c>
      <c r="K52" s="24">
        <v>4852.72</v>
      </c>
    </row>
    <row r="53" spans="1:11" x14ac:dyDescent="0.25">
      <c r="A53" s="76">
        <v>45999</v>
      </c>
      <c r="B53" s="21" t="s">
        <v>410</v>
      </c>
      <c r="C53" s="21" t="s">
        <v>12</v>
      </c>
      <c r="D53" s="21" t="s">
        <v>19</v>
      </c>
      <c r="E53" s="21" t="s">
        <v>17</v>
      </c>
      <c r="F53" s="21"/>
      <c r="G53" s="24">
        <v>1028.1400000000001</v>
      </c>
      <c r="H53" s="24"/>
      <c r="J53" s="21" t="s">
        <v>71</v>
      </c>
      <c r="K53" s="24">
        <v>3824.58</v>
      </c>
    </row>
    <row r="54" spans="1:11" x14ac:dyDescent="0.25">
      <c r="A54" s="76">
        <v>45999</v>
      </c>
      <c r="B54" s="21" t="s">
        <v>411</v>
      </c>
      <c r="C54" s="21" t="s">
        <v>12</v>
      </c>
      <c r="D54" s="21" t="s">
        <v>19</v>
      </c>
      <c r="E54" s="21" t="s">
        <v>17</v>
      </c>
      <c r="F54" s="21"/>
      <c r="G54" s="24">
        <v>1020.55</v>
      </c>
      <c r="H54" s="24"/>
      <c r="J54" s="21" t="s">
        <v>71</v>
      </c>
      <c r="K54" s="24">
        <v>2804.03</v>
      </c>
    </row>
    <row r="55" spans="1:11" x14ac:dyDescent="0.25">
      <c r="A55" s="76">
        <v>45999</v>
      </c>
      <c r="B55" s="21" t="s">
        <v>412</v>
      </c>
      <c r="C55" s="21" t="s">
        <v>12</v>
      </c>
      <c r="D55" s="21" t="s">
        <v>27</v>
      </c>
      <c r="E55" s="21" t="s">
        <v>17</v>
      </c>
      <c r="F55" s="21" t="s">
        <v>25</v>
      </c>
      <c r="G55" s="24">
        <v>3000</v>
      </c>
      <c r="H55" s="24"/>
      <c r="J55" s="21" t="s">
        <v>71</v>
      </c>
      <c r="K55" s="24">
        <v>-195.97000000000031</v>
      </c>
    </row>
    <row r="56" spans="1:11" x14ac:dyDescent="0.25">
      <c r="A56" s="76">
        <v>45999</v>
      </c>
      <c r="B56" s="21" t="s">
        <v>328</v>
      </c>
      <c r="C56" s="21" t="s">
        <v>20</v>
      </c>
      <c r="D56" s="21" t="s">
        <v>13</v>
      </c>
      <c r="E56" s="21"/>
      <c r="F56" s="21"/>
      <c r="G56" s="24">
        <v>3078</v>
      </c>
      <c r="H56" s="24"/>
      <c r="J56" s="21" t="s">
        <v>71</v>
      </c>
      <c r="K56" s="24">
        <v>2882.03</v>
      </c>
    </row>
    <row r="57" spans="1:11" x14ac:dyDescent="0.25">
      <c r="A57" s="76">
        <v>46000</v>
      </c>
      <c r="B57" s="21" t="s">
        <v>328</v>
      </c>
      <c r="C57" s="21" t="s">
        <v>20</v>
      </c>
      <c r="D57" s="21" t="s">
        <v>13</v>
      </c>
      <c r="E57" s="21"/>
      <c r="F57" s="21"/>
      <c r="G57" s="24">
        <v>758</v>
      </c>
      <c r="H57" s="24"/>
      <c r="J57" s="21" t="s">
        <v>71</v>
      </c>
      <c r="K57" s="24">
        <v>3640.03</v>
      </c>
    </row>
    <row r="58" spans="1:11" x14ac:dyDescent="0.25">
      <c r="A58" s="76">
        <v>45993</v>
      </c>
      <c r="B58" s="21" t="s">
        <v>349</v>
      </c>
      <c r="C58" s="21" t="s">
        <v>20</v>
      </c>
      <c r="D58" s="21" t="s">
        <v>22</v>
      </c>
      <c r="E58" s="21" t="s">
        <v>17</v>
      </c>
      <c r="F58" s="21"/>
      <c r="G58" s="24">
        <v>24.3</v>
      </c>
      <c r="H58" s="24"/>
      <c r="J58" s="21" t="s">
        <v>71</v>
      </c>
      <c r="K58" s="24">
        <v>3664.33</v>
      </c>
    </row>
    <row r="59" spans="1:11" x14ac:dyDescent="0.25">
      <c r="A59" s="76">
        <v>46000</v>
      </c>
      <c r="B59" s="21" t="s">
        <v>45</v>
      </c>
      <c r="C59" s="21" t="s">
        <v>12</v>
      </c>
      <c r="D59" s="21" t="s">
        <v>24</v>
      </c>
      <c r="E59" s="21" t="s">
        <v>17</v>
      </c>
      <c r="F59" s="21" t="s">
        <v>25</v>
      </c>
      <c r="G59" s="24">
        <v>9</v>
      </c>
      <c r="H59" s="24"/>
      <c r="J59" s="21" t="s">
        <v>71</v>
      </c>
      <c r="K59" s="24">
        <v>3655.33</v>
      </c>
    </row>
    <row r="60" spans="1:11" x14ac:dyDescent="0.25">
      <c r="A60" s="76">
        <v>46001</v>
      </c>
      <c r="B60" s="21" t="s">
        <v>328</v>
      </c>
      <c r="C60" s="21" t="s">
        <v>20</v>
      </c>
      <c r="D60" s="21" t="s">
        <v>13</v>
      </c>
      <c r="E60" s="21"/>
      <c r="F60" s="21"/>
      <c r="G60" s="24">
        <v>1246</v>
      </c>
      <c r="H60" s="24"/>
      <c r="J60" s="21" t="s">
        <v>71</v>
      </c>
      <c r="K60" s="24">
        <v>4901.33</v>
      </c>
    </row>
    <row r="61" spans="1:11" x14ac:dyDescent="0.25">
      <c r="A61" s="76">
        <v>46001</v>
      </c>
      <c r="B61" s="21" t="s">
        <v>349</v>
      </c>
      <c r="C61" s="21" t="s">
        <v>20</v>
      </c>
      <c r="D61" s="21" t="s">
        <v>22</v>
      </c>
      <c r="E61" s="21" t="s">
        <v>17</v>
      </c>
      <c r="F61" s="21"/>
      <c r="G61" s="24">
        <v>34.299999999999997</v>
      </c>
      <c r="H61" s="24"/>
      <c r="J61" s="21" t="s">
        <v>71</v>
      </c>
      <c r="K61" s="24">
        <v>4935.63</v>
      </c>
    </row>
    <row r="62" spans="1:11" x14ac:dyDescent="0.25">
      <c r="A62" s="76">
        <v>46002</v>
      </c>
      <c r="B62" s="21" t="s">
        <v>413</v>
      </c>
      <c r="C62" s="21" t="s">
        <v>12</v>
      </c>
      <c r="D62" s="21" t="s">
        <v>19</v>
      </c>
      <c r="E62" s="21" t="s">
        <v>17</v>
      </c>
      <c r="F62" s="21" t="s">
        <v>25</v>
      </c>
      <c r="G62" s="24">
        <v>378.5</v>
      </c>
      <c r="H62" s="24"/>
      <c r="J62" s="21" t="s">
        <v>71</v>
      </c>
      <c r="K62" s="24">
        <v>4557.13</v>
      </c>
    </row>
    <row r="63" spans="1:11" x14ac:dyDescent="0.25">
      <c r="A63" s="76">
        <v>46002</v>
      </c>
      <c r="B63" s="21" t="s">
        <v>414</v>
      </c>
      <c r="C63" s="21" t="s">
        <v>12</v>
      </c>
      <c r="D63" s="21" t="s">
        <v>66</v>
      </c>
      <c r="E63" s="21" t="s">
        <v>17</v>
      </c>
      <c r="F63" s="21" t="s">
        <v>25</v>
      </c>
      <c r="G63" s="24">
        <v>8013.92</v>
      </c>
      <c r="H63" s="24"/>
      <c r="J63" s="21" t="s">
        <v>71</v>
      </c>
      <c r="K63" s="24">
        <v>-3456.79</v>
      </c>
    </row>
    <row r="64" spans="1:11" x14ac:dyDescent="0.25">
      <c r="A64" s="76">
        <v>46002</v>
      </c>
      <c r="B64" s="21" t="s">
        <v>415</v>
      </c>
      <c r="C64" s="21" t="s">
        <v>12</v>
      </c>
      <c r="D64" s="21" t="s">
        <v>68</v>
      </c>
      <c r="E64" s="21" t="s">
        <v>17</v>
      </c>
      <c r="F64" s="21" t="s">
        <v>25</v>
      </c>
      <c r="G64" s="24">
        <v>450</v>
      </c>
      <c r="H64" s="24"/>
      <c r="J64" s="21" t="s">
        <v>71</v>
      </c>
      <c r="K64" s="24">
        <v>-3906.79</v>
      </c>
    </row>
    <row r="65" spans="1:11" x14ac:dyDescent="0.25">
      <c r="A65" s="76">
        <v>46002</v>
      </c>
      <c r="B65" s="21" t="s">
        <v>416</v>
      </c>
      <c r="C65" s="21" t="s">
        <v>12</v>
      </c>
      <c r="D65" s="21" t="s">
        <v>19</v>
      </c>
      <c r="E65" s="21" t="s">
        <v>17</v>
      </c>
      <c r="F65" s="21"/>
      <c r="G65" s="24">
        <v>80</v>
      </c>
      <c r="H65" s="24"/>
      <c r="J65" s="21" t="s">
        <v>71</v>
      </c>
      <c r="K65" s="24">
        <v>-3986.79</v>
      </c>
    </row>
    <row r="66" spans="1:11" x14ac:dyDescent="0.25">
      <c r="A66" s="76">
        <v>46002</v>
      </c>
      <c r="B66" s="21" t="s">
        <v>417</v>
      </c>
      <c r="C66" s="21" t="s">
        <v>12</v>
      </c>
      <c r="D66" s="21" t="s">
        <v>19</v>
      </c>
      <c r="E66" s="21" t="s">
        <v>14</v>
      </c>
      <c r="F66" s="21" t="s">
        <v>15</v>
      </c>
      <c r="G66" s="24">
        <v>200</v>
      </c>
      <c r="H66" s="24"/>
      <c r="J66" s="21" t="s">
        <v>71</v>
      </c>
      <c r="K66" s="24">
        <v>-4186.79</v>
      </c>
    </row>
    <row r="67" spans="1:11" x14ac:dyDescent="0.25">
      <c r="A67" s="76">
        <v>46002</v>
      </c>
      <c r="B67" s="21" t="s">
        <v>11</v>
      </c>
      <c r="C67" s="21" t="s">
        <v>12</v>
      </c>
      <c r="D67" s="21" t="s">
        <v>19</v>
      </c>
      <c r="E67" s="21" t="s">
        <v>14</v>
      </c>
      <c r="F67" s="21" t="s">
        <v>15</v>
      </c>
      <c r="G67" s="24">
        <v>150</v>
      </c>
      <c r="H67" s="24"/>
      <c r="J67" s="21" t="s">
        <v>71</v>
      </c>
      <c r="K67" s="24">
        <v>-4336.79</v>
      </c>
    </row>
    <row r="68" spans="1:11" x14ac:dyDescent="0.25">
      <c r="A68" s="76">
        <v>46002</v>
      </c>
      <c r="B68" s="21" t="s">
        <v>328</v>
      </c>
      <c r="C68" s="21" t="s">
        <v>20</v>
      </c>
      <c r="D68" s="21" t="s">
        <v>13</v>
      </c>
      <c r="E68" s="21"/>
      <c r="F68" s="21"/>
      <c r="G68" s="24">
        <v>2280</v>
      </c>
      <c r="H68" s="24"/>
      <c r="J68" s="21" t="s">
        <v>71</v>
      </c>
      <c r="K68" s="24">
        <v>-2056.79</v>
      </c>
    </row>
    <row r="69" spans="1:11" x14ac:dyDescent="0.25">
      <c r="A69" s="76">
        <v>46002</v>
      </c>
      <c r="B69" s="21" t="s">
        <v>349</v>
      </c>
      <c r="C69" s="21" t="s">
        <v>20</v>
      </c>
      <c r="D69" s="21" t="s">
        <v>22</v>
      </c>
      <c r="E69" s="21" t="s">
        <v>17</v>
      </c>
      <c r="F69" s="21"/>
      <c r="G69" s="24">
        <v>49</v>
      </c>
      <c r="H69" s="24"/>
      <c r="J69" s="21" t="s">
        <v>71</v>
      </c>
      <c r="K69" s="24">
        <v>-2007.79</v>
      </c>
    </row>
    <row r="70" spans="1:11" x14ac:dyDescent="0.25">
      <c r="A70" s="76">
        <v>46002</v>
      </c>
      <c r="B70" s="21" t="s">
        <v>45</v>
      </c>
      <c r="C70" s="21" t="s">
        <v>12</v>
      </c>
      <c r="D70" s="21" t="s">
        <v>24</v>
      </c>
      <c r="E70" s="21" t="s">
        <v>17</v>
      </c>
      <c r="F70" s="21" t="s">
        <v>25</v>
      </c>
      <c r="G70" s="24">
        <v>26</v>
      </c>
      <c r="H70" s="24"/>
      <c r="J70" s="21" t="s">
        <v>71</v>
      </c>
      <c r="K70" s="24">
        <v>-2033.79</v>
      </c>
    </row>
    <row r="71" spans="1:11" x14ac:dyDescent="0.25">
      <c r="A71" s="76">
        <v>46003</v>
      </c>
      <c r="B71" s="21" t="s">
        <v>366</v>
      </c>
      <c r="C71" s="21" t="s">
        <v>20</v>
      </c>
      <c r="D71" s="21" t="s">
        <v>13</v>
      </c>
      <c r="E71" s="21"/>
      <c r="F71" s="21"/>
      <c r="G71" s="24">
        <v>4609</v>
      </c>
      <c r="H71" s="24"/>
      <c r="J71" s="21" t="s">
        <v>71</v>
      </c>
      <c r="K71" s="24">
        <v>2575.21</v>
      </c>
    </row>
    <row r="72" spans="1:11" x14ac:dyDescent="0.25">
      <c r="A72" s="76">
        <v>46003</v>
      </c>
      <c r="B72" s="21" t="s">
        <v>418</v>
      </c>
      <c r="C72" s="21" t="s">
        <v>20</v>
      </c>
      <c r="D72" s="21" t="s">
        <v>22</v>
      </c>
      <c r="E72" s="21" t="s">
        <v>17</v>
      </c>
      <c r="F72" s="21"/>
      <c r="G72" s="24">
        <v>137.57</v>
      </c>
      <c r="H72" s="24"/>
      <c r="J72" s="21" t="s">
        <v>71</v>
      </c>
      <c r="K72" s="24">
        <v>2712.78</v>
      </c>
    </row>
    <row r="73" spans="1:11" x14ac:dyDescent="0.25">
      <c r="A73" s="76">
        <v>46003</v>
      </c>
      <c r="B73" s="21" t="s">
        <v>23</v>
      </c>
      <c r="C73" s="21" t="s">
        <v>12</v>
      </c>
      <c r="D73" s="21" t="s">
        <v>24</v>
      </c>
      <c r="E73" s="21" t="s">
        <v>17</v>
      </c>
      <c r="F73" s="21" t="s">
        <v>25</v>
      </c>
      <c r="G73" s="24">
        <v>36</v>
      </c>
      <c r="H73" s="24"/>
      <c r="J73" s="21" t="s">
        <v>71</v>
      </c>
      <c r="K73" s="24">
        <v>2676.78</v>
      </c>
    </row>
    <row r="74" spans="1:11" x14ac:dyDescent="0.25">
      <c r="A74" s="76">
        <v>46003</v>
      </c>
      <c r="B74" s="21" t="s">
        <v>11</v>
      </c>
      <c r="C74" s="21" t="s">
        <v>12</v>
      </c>
      <c r="D74" s="21" t="s">
        <v>19</v>
      </c>
      <c r="E74" s="21" t="s">
        <v>14</v>
      </c>
      <c r="F74" s="21" t="s">
        <v>15</v>
      </c>
      <c r="G74" s="24">
        <v>508</v>
      </c>
      <c r="H74" s="24"/>
      <c r="J74" s="21" t="s">
        <v>71</v>
      </c>
      <c r="K74" s="24">
        <v>2168.7800000000002</v>
      </c>
    </row>
    <row r="75" spans="1:11" x14ac:dyDescent="0.25">
      <c r="A75" s="76">
        <v>46004</v>
      </c>
      <c r="B75" s="21" t="s">
        <v>366</v>
      </c>
      <c r="C75" s="21" t="s">
        <v>20</v>
      </c>
      <c r="D75" s="21" t="s">
        <v>13</v>
      </c>
      <c r="E75" s="21"/>
      <c r="F75" s="21"/>
      <c r="G75" s="24">
        <v>6263.5</v>
      </c>
      <c r="H75" s="24"/>
      <c r="J75" s="21" t="s">
        <v>71</v>
      </c>
      <c r="K75" s="24">
        <v>8432.2800000000007</v>
      </c>
    </row>
    <row r="76" spans="1:11" x14ac:dyDescent="0.25">
      <c r="A76" s="76">
        <v>46004</v>
      </c>
      <c r="B76" s="21" t="s">
        <v>349</v>
      </c>
      <c r="C76" s="21" t="s">
        <v>20</v>
      </c>
      <c r="D76" s="21" t="s">
        <v>22</v>
      </c>
      <c r="E76" s="21" t="s">
        <v>17</v>
      </c>
      <c r="F76" s="21"/>
      <c r="G76" s="24">
        <v>309.3</v>
      </c>
      <c r="H76" s="24"/>
      <c r="J76" s="21" t="s">
        <v>71</v>
      </c>
      <c r="K76" s="24">
        <v>8741.58</v>
      </c>
    </row>
    <row r="77" spans="1:11" x14ac:dyDescent="0.25">
      <c r="A77" s="76">
        <v>46004</v>
      </c>
      <c r="B77" s="21" t="s">
        <v>23</v>
      </c>
      <c r="C77" s="21" t="s">
        <v>12</v>
      </c>
      <c r="D77" s="21" t="s">
        <v>24</v>
      </c>
      <c r="E77" s="21" t="s">
        <v>17</v>
      </c>
      <c r="F77" s="21" t="s">
        <v>25</v>
      </c>
      <c r="G77" s="24">
        <v>44</v>
      </c>
      <c r="H77" s="24"/>
      <c r="J77" s="21" t="s">
        <v>71</v>
      </c>
      <c r="K77" s="24">
        <v>8697.58</v>
      </c>
    </row>
    <row r="78" spans="1:11" x14ac:dyDescent="0.25">
      <c r="A78" s="76">
        <v>46005</v>
      </c>
      <c r="B78" s="21" t="s">
        <v>328</v>
      </c>
      <c r="C78" s="21" t="s">
        <v>20</v>
      </c>
      <c r="D78" s="21" t="s">
        <v>13</v>
      </c>
      <c r="E78" s="21"/>
      <c r="F78" s="21"/>
      <c r="G78" s="24">
        <v>7458</v>
      </c>
      <c r="H78" s="24"/>
      <c r="J78" s="21" t="s">
        <v>71</v>
      </c>
      <c r="K78" s="24">
        <v>16155.58</v>
      </c>
    </row>
    <row r="79" spans="1:11" x14ac:dyDescent="0.25">
      <c r="A79" s="76">
        <v>46005</v>
      </c>
      <c r="B79" s="21" t="s">
        <v>349</v>
      </c>
      <c r="C79" s="21" t="s">
        <v>20</v>
      </c>
      <c r="D79" s="21" t="s">
        <v>22</v>
      </c>
      <c r="E79" s="21" t="s">
        <v>17</v>
      </c>
      <c r="F79" s="21"/>
      <c r="G79" s="24">
        <v>271.33999999999997</v>
      </c>
      <c r="H79" s="24"/>
      <c r="J79" s="21" t="s">
        <v>71</v>
      </c>
      <c r="K79" s="24">
        <v>16426.919999999998</v>
      </c>
    </row>
    <row r="80" spans="1:11" x14ac:dyDescent="0.25">
      <c r="A80" s="76">
        <v>46005</v>
      </c>
      <c r="B80" s="21" t="s">
        <v>23</v>
      </c>
      <c r="C80" s="21" t="s">
        <v>12</v>
      </c>
      <c r="D80" s="21" t="s">
        <v>24</v>
      </c>
      <c r="E80" s="21" t="s">
        <v>17</v>
      </c>
      <c r="F80" s="21" t="s">
        <v>25</v>
      </c>
      <c r="G80" s="24">
        <v>53</v>
      </c>
      <c r="H80" s="24"/>
      <c r="J80" s="21" t="s">
        <v>71</v>
      </c>
      <c r="K80" s="24">
        <v>16373.92</v>
      </c>
    </row>
    <row r="81" spans="1:11" x14ac:dyDescent="0.25">
      <c r="A81" s="76">
        <v>46005</v>
      </c>
      <c r="B81" s="21" t="s">
        <v>419</v>
      </c>
      <c r="C81" s="21" t="s">
        <v>12</v>
      </c>
      <c r="D81" s="21" t="s">
        <v>27</v>
      </c>
      <c r="E81" s="21" t="s">
        <v>14</v>
      </c>
      <c r="F81" s="21" t="s">
        <v>15</v>
      </c>
      <c r="G81" s="24">
        <v>20</v>
      </c>
      <c r="H81" s="24"/>
      <c r="J81" s="21" t="s">
        <v>71</v>
      </c>
      <c r="K81" s="24">
        <v>16353.92</v>
      </c>
    </row>
    <row r="82" spans="1:11" x14ac:dyDescent="0.25">
      <c r="A82" s="76">
        <v>46006</v>
      </c>
      <c r="B82" s="21" t="s">
        <v>420</v>
      </c>
      <c r="C82" s="21" t="s">
        <v>12</v>
      </c>
      <c r="D82" s="21" t="s">
        <v>27</v>
      </c>
      <c r="E82" s="21" t="s">
        <v>17</v>
      </c>
      <c r="F82" s="21" t="s">
        <v>25</v>
      </c>
      <c r="G82" s="24">
        <v>2000</v>
      </c>
      <c r="H82" s="24"/>
      <c r="J82" s="21" t="s">
        <v>71</v>
      </c>
      <c r="K82" s="24">
        <v>14353.92</v>
      </c>
    </row>
    <row r="83" spans="1:11" x14ac:dyDescent="0.25">
      <c r="A83" s="76">
        <v>46006</v>
      </c>
      <c r="B83" s="21" t="s">
        <v>363</v>
      </c>
      <c r="C83" s="21" t="s">
        <v>12</v>
      </c>
      <c r="D83" s="21" t="s">
        <v>19</v>
      </c>
      <c r="E83" s="21" t="s">
        <v>17</v>
      </c>
      <c r="F83" s="21"/>
      <c r="G83" s="24">
        <v>1482.05</v>
      </c>
      <c r="H83" s="24"/>
      <c r="J83" s="21" t="s">
        <v>71</v>
      </c>
      <c r="K83" s="24">
        <v>12871.87</v>
      </c>
    </row>
    <row r="84" spans="1:11" x14ac:dyDescent="0.25">
      <c r="A84" s="76">
        <v>46006</v>
      </c>
      <c r="B84" s="21" t="s">
        <v>363</v>
      </c>
      <c r="C84" s="21" t="s">
        <v>12</v>
      </c>
      <c r="D84" s="21" t="s">
        <v>19</v>
      </c>
      <c r="E84" s="21" t="s">
        <v>17</v>
      </c>
      <c r="F84" s="21"/>
      <c r="G84" s="24">
        <v>584.39</v>
      </c>
      <c r="H84" s="24"/>
      <c r="J84" s="21" t="s">
        <v>71</v>
      </c>
      <c r="K84" s="24">
        <v>12287.48</v>
      </c>
    </row>
    <row r="85" spans="1:11" x14ac:dyDescent="0.25">
      <c r="A85" s="76">
        <v>46006</v>
      </c>
      <c r="B85" s="21" t="s">
        <v>343</v>
      </c>
      <c r="C85" s="21" t="s">
        <v>12</v>
      </c>
      <c r="D85" s="21" t="s">
        <v>19</v>
      </c>
      <c r="E85" s="21" t="s">
        <v>17</v>
      </c>
      <c r="F85" s="21"/>
      <c r="G85" s="24">
        <v>2146.66</v>
      </c>
      <c r="H85" s="24"/>
      <c r="J85" s="21" t="s">
        <v>71</v>
      </c>
      <c r="K85" s="24">
        <v>10140.82</v>
      </c>
    </row>
    <row r="86" spans="1:11" x14ac:dyDescent="0.25">
      <c r="A86" s="76">
        <v>46006</v>
      </c>
      <c r="B86" s="21" t="s">
        <v>421</v>
      </c>
      <c r="C86" s="21" t="s">
        <v>12</v>
      </c>
      <c r="D86" s="21" t="s">
        <v>27</v>
      </c>
      <c r="E86" s="21" t="s">
        <v>17</v>
      </c>
      <c r="F86" s="21"/>
      <c r="G86" s="24">
        <v>84.34</v>
      </c>
      <c r="H86" s="24"/>
      <c r="J86" s="21" t="s">
        <v>71</v>
      </c>
      <c r="K86" s="24">
        <v>10056.48</v>
      </c>
    </row>
    <row r="87" spans="1:11" x14ac:dyDescent="0.25">
      <c r="A87" s="76">
        <v>46006</v>
      </c>
      <c r="B87" s="21" t="s">
        <v>422</v>
      </c>
      <c r="C87" s="21" t="s">
        <v>12</v>
      </c>
      <c r="D87" s="21" t="s">
        <v>64</v>
      </c>
      <c r="E87" s="21" t="s">
        <v>17</v>
      </c>
      <c r="F87" s="21"/>
      <c r="G87" s="24">
        <v>1166.74</v>
      </c>
      <c r="H87" s="24"/>
      <c r="J87" s="21" t="s">
        <v>71</v>
      </c>
      <c r="K87" s="24">
        <v>8889.74</v>
      </c>
    </row>
    <row r="88" spans="1:11" x14ac:dyDescent="0.25">
      <c r="A88" s="76">
        <v>46006</v>
      </c>
      <c r="B88" s="21" t="s">
        <v>383</v>
      </c>
      <c r="C88" s="21" t="s">
        <v>12</v>
      </c>
      <c r="D88" s="21" t="s">
        <v>19</v>
      </c>
      <c r="E88" s="21" t="s">
        <v>17</v>
      </c>
      <c r="F88" s="21"/>
      <c r="G88" s="24">
        <v>447.66</v>
      </c>
      <c r="H88" s="24"/>
      <c r="J88" s="21" t="s">
        <v>71</v>
      </c>
      <c r="K88" s="24">
        <v>8442.08</v>
      </c>
    </row>
    <row r="89" spans="1:11" x14ac:dyDescent="0.25">
      <c r="A89" s="76">
        <v>46006</v>
      </c>
      <c r="B89" s="21" t="s">
        <v>340</v>
      </c>
      <c r="C89" s="21" t="s">
        <v>12</v>
      </c>
      <c r="D89" s="21" t="s">
        <v>19</v>
      </c>
      <c r="E89" s="21" t="s">
        <v>17</v>
      </c>
      <c r="F89" s="21"/>
      <c r="G89" s="24">
        <v>419.75</v>
      </c>
      <c r="H89" s="24"/>
      <c r="J89" s="21" t="s">
        <v>71</v>
      </c>
      <c r="K89" s="24">
        <v>8022.33</v>
      </c>
    </row>
    <row r="90" spans="1:11" x14ac:dyDescent="0.25">
      <c r="A90" s="76">
        <v>46006</v>
      </c>
      <c r="B90" s="21" t="s">
        <v>343</v>
      </c>
      <c r="C90" s="21" t="s">
        <v>12</v>
      </c>
      <c r="D90" s="21" t="s">
        <v>19</v>
      </c>
      <c r="E90" s="21" t="s">
        <v>17</v>
      </c>
      <c r="F90" s="21"/>
      <c r="G90" s="24">
        <v>237.61</v>
      </c>
      <c r="H90" s="24"/>
      <c r="J90" s="21" t="s">
        <v>71</v>
      </c>
      <c r="K90" s="24">
        <v>7784.72</v>
      </c>
    </row>
    <row r="91" spans="1:11" x14ac:dyDescent="0.25">
      <c r="A91" s="76">
        <v>46006</v>
      </c>
      <c r="B91" s="21" t="s">
        <v>343</v>
      </c>
      <c r="C91" s="21" t="s">
        <v>12</v>
      </c>
      <c r="D91" s="21" t="s">
        <v>19</v>
      </c>
      <c r="E91" s="21" t="s">
        <v>17</v>
      </c>
      <c r="F91" s="21"/>
      <c r="G91" s="24">
        <v>514.82000000000005</v>
      </c>
      <c r="H91" s="24"/>
      <c r="J91" s="21" t="s">
        <v>71</v>
      </c>
      <c r="K91" s="24">
        <v>7269.9000000000005</v>
      </c>
    </row>
    <row r="92" spans="1:11" x14ac:dyDescent="0.25">
      <c r="A92" s="76">
        <v>46006</v>
      </c>
      <c r="B92" s="21" t="s">
        <v>423</v>
      </c>
      <c r="C92" s="21" t="s">
        <v>12</v>
      </c>
      <c r="D92" s="21" t="s">
        <v>39</v>
      </c>
      <c r="E92" s="21" t="s">
        <v>17</v>
      </c>
      <c r="F92" s="21"/>
      <c r="G92" s="24">
        <v>99.9</v>
      </c>
      <c r="H92" s="24"/>
      <c r="J92" s="21" t="s">
        <v>71</v>
      </c>
      <c r="K92" s="24">
        <v>7170.0000000000009</v>
      </c>
    </row>
    <row r="93" spans="1:11" x14ac:dyDescent="0.25">
      <c r="A93" s="76">
        <v>46006</v>
      </c>
      <c r="B93" s="21" t="s">
        <v>424</v>
      </c>
      <c r="C93" s="21" t="s">
        <v>12</v>
      </c>
      <c r="D93" s="21" t="s">
        <v>27</v>
      </c>
      <c r="E93" s="21" t="s">
        <v>17</v>
      </c>
      <c r="F93" s="21"/>
      <c r="G93" s="24">
        <v>236.6</v>
      </c>
      <c r="H93" s="24"/>
      <c r="J93" s="21" t="s">
        <v>71</v>
      </c>
      <c r="K93" s="24">
        <v>6933.4000000000005</v>
      </c>
    </row>
    <row r="94" spans="1:11" x14ac:dyDescent="0.25">
      <c r="A94" s="76">
        <v>46006</v>
      </c>
      <c r="B94" s="21" t="s">
        <v>363</v>
      </c>
      <c r="C94" s="21" t="s">
        <v>12</v>
      </c>
      <c r="D94" s="21" t="s">
        <v>19</v>
      </c>
      <c r="E94" s="21" t="s">
        <v>17</v>
      </c>
      <c r="F94" s="21"/>
      <c r="G94" s="24">
        <v>3040.57</v>
      </c>
      <c r="H94" s="24"/>
      <c r="J94" s="21" t="s">
        <v>71</v>
      </c>
      <c r="K94" s="24">
        <v>3892.83</v>
      </c>
    </row>
    <row r="95" spans="1:11" x14ac:dyDescent="0.25">
      <c r="A95" s="76">
        <v>46006</v>
      </c>
      <c r="B95" s="21" t="s">
        <v>399</v>
      </c>
      <c r="C95" s="21" t="s">
        <v>12</v>
      </c>
      <c r="D95" s="21" t="s">
        <v>19</v>
      </c>
      <c r="E95" s="21" t="s">
        <v>17</v>
      </c>
      <c r="F95" s="21" t="s">
        <v>25</v>
      </c>
      <c r="G95" s="24">
        <v>666</v>
      </c>
      <c r="H95" s="24"/>
      <c r="J95" s="21" t="s">
        <v>71</v>
      </c>
      <c r="K95" s="24">
        <v>3226.83</v>
      </c>
    </row>
    <row r="96" spans="1:11" x14ac:dyDescent="0.25">
      <c r="A96" s="76">
        <v>46006</v>
      </c>
      <c r="B96" s="21" t="s">
        <v>393</v>
      </c>
      <c r="C96" s="21" t="s">
        <v>12</v>
      </c>
      <c r="D96" s="21" t="s">
        <v>19</v>
      </c>
      <c r="E96" s="21" t="s">
        <v>14</v>
      </c>
      <c r="F96" s="21" t="s">
        <v>15</v>
      </c>
      <c r="G96" s="24">
        <v>94</v>
      </c>
      <c r="H96" s="24"/>
      <c r="J96" s="21" t="s">
        <v>71</v>
      </c>
      <c r="K96" s="24">
        <v>3132.83</v>
      </c>
    </row>
    <row r="97" spans="1:11" x14ac:dyDescent="0.25">
      <c r="A97" s="76">
        <v>46006</v>
      </c>
      <c r="B97" s="21" t="s">
        <v>328</v>
      </c>
      <c r="C97" s="21" t="s">
        <v>20</v>
      </c>
      <c r="D97" s="21" t="s">
        <v>13</v>
      </c>
      <c r="E97" s="21"/>
      <c r="F97" s="21"/>
      <c r="G97" s="24">
        <v>2306</v>
      </c>
      <c r="H97" s="24"/>
      <c r="J97" s="21" t="s">
        <v>71</v>
      </c>
      <c r="K97" s="24">
        <v>5438.83</v>
      </c>
    </row>
    <row r="98" spans="1:11" x14ac:dyDescent="0.25">
      <c r="A98" s="76">
        <v>46007</v>
      </c>
      <c r="B98" s="21" t="s">
        <v>348</v>
      </c>
      <c r="C98" s="21" t="s">
        <v>12</v>
      </c>
      <c r="D98" s="21" t="s">
        <v>19</v>
      </c>
      <c r="E98" s="21" t="s">
        <v>17</v>
      </c>
      <c r="F98" s="21"/>
      <c r="G98" s="24">
        <v>672.56</v>
      </c>
      <c r="H98" s="24"/>
      <c r="J98" s="21" t="s">
        <v>71</v>
      </c>
      <c r="K98" s="24">
        <v>4766.2700000000004</v>
      </c>
    </row>
    <row r="99" spans="1:11" x14ac:dyDescent="0.25">
      <c r="A99" s="76">
        <v>46007</v>
      </c>
      <c r="B99" s="21" t="s">
        <v>11</v>
      </c>
      <c r="C99" s="21" t="s">
        <v>12</v>
      </c>
      <c r="D99" s="21" t="s">
        <v>19</v>
      </c>
      <c r="E99" s="21" t="s">
        <v>14</v>
      </c>
      <c r="F99" s="21" t="s">
        <v>15</v>
      </c>
      <c r="G99" s="24">
        <v>94</v>
      </c>
      <c r="H99" s="24"/>
      <c r="J99" s="21" t="s">
        <v>71</v>
      </c>
      <c r="K99" s="24">
        <v>4672.2700000000004</v>
      </c>
    </row>
    <row r="100" spans="1:11" x14ac:dyDescent="0.25">
      <c r="A100" s="76">
        <v>46007</v>
      </c>
      <c r="B100" s="21" t="s">
        <v>349</v>
      </c>
      <c r="C100" s="21" t="s">
        <v>20</v>
      </c>
      <c r="D100" s="21" t="s">
        <v>22</v>
      </c>
      <c r="E100" s="21" t="s">
        <v>17</v>
      </c>
      <c r="F100" s="21"/>
      <c r="G100" s="24">
        <v>68.599999999999994</v>
      </c>
      <c r="H100" s="24"/>
      <c r="J100" s="21" t="s">
        <v>71</v>
      </c>
      <c r="K100" s="24">
        <v>4740.8700000000008</v>
      </c>
    </row>
    <row r="101" spans="1:11" x14ac:dyDescent="0.25">
      <c r="A101" s="76">
        <v>46007</v>
      </c>
      <c r="B101" s="21" t="s">
        <v>366</v>
      </c>
      <c r="C101" s="21" t="s">
        <v>20</v>
      </c>
      <c r="D101" s="21" t="s">
        <v>13</v>
      </c>
      <c r="E101" s="21"/>
      <c r="F101" s="21"/>
      <c r="G101" s="24">
        <v>2812</v>
      </c>
      <c r="H101" s="24"/>
      <c r="J101" s="21" t="s">
        <v>71</v>
      </c>
      <c r="K101" s="24">
        <v>7552.8700000000008</v>
      </c>
    </row>
    <row r="102" spans="1:11" x14ac:dyDescent="0.25">
      <c r="A102" s="76">
        <v>46007</v>
      </c>
      <c r="B102" s="21" t="s">
        <v>23</v>
      </c>
      <c r="C102" s="21" t="s">
        <v>12</v>
      </c>
      <c r="D102" s="21" t="s">
        <v>24</v>
      </c>
      <c r="E102" s="21" t="s">
        <v>17</v>
      </c>
      <c r="F102" s="21" t="s">
        <v>25</v>
      </c>
      <c r="G102" s="24">
        <v>9</v>
      </c>
      <c r="H102" s="24"/>
      <c r="J102" s="21" t="s">
        <v>71</v>
      </c>
      <c r="K102" s="24">
        <v>7543.8700000000008</v>
      </c>
    </row>
    <row r="103" spans="1:11" x14ac:dyDescent="0.25">
      <c r="A103" s="76">
        <v>46008</v>
      </c>
      <c r="B103" s="21" t="s">
        <v>410</v>
      </c>
      <c r="C103" s="21" t="s">
        <v>12</v>
      </c>
      <c r="D103" s="21" t="s">
        <v>19</v>
      </c>
      <c r="E103" s="21" t="s">
        <v>17</v>
      </c>
      <c r="F103" s="21"/>
      <c r="G103" s="24">
        <v>329.39</v>
      </c>
      <c r="H103" s="24"/>
      <c r="J103" s="21" t="s">
        <v>71</v>
      </c>
      <c r="K103" s="24">
        <v>7214.48</v>
      </c>
    </row>
    <row r="104" spans="1:11" x14ac:dyDescent="0.25">
      <c r="A104" s="76">
        <v>46008</v>
      </c>
      <c r="B104" s="21" t="s">
        <v>344</v>
      </c>
      <c r="C104" s="21" t="s">
        <v>12</v>
      </c>
      <c r="D104" s="21" t="s">
        <v>19</v>
      </c>
      <c r="E104" s="21" t="s">
        <v>17</v>
      </c>
      <c r="F104" s="21"/>
      <c r="G104" s="24">
        <v>825.85</v>
      </c>
      <c r="H104" s="24"/>
      <c r="J104" s="21" t="s">
        <v>71</v>
      </c>
      <c r="K104" s="24">
        <v>6388.63</v>
      </c>
    </row>
    <row r="105" spans="1:11" x14ac:dyDescent="0.25">
      <c r="A105" s="76">
        <v>46008</v>
      </c>
      <c r="B105" s="21" t="s">
        <v>425</v>
      </c>
      <c r="C105" s="21" t="s">
        <v>12</v>
      </c>
      <c r="D105" s="21" t="s">
        <v>19</v>
      </c>
      <c r="E105" s="21" t="s">
        <v>17</v>
      </c>
      <c r="F105" s="21"/>
      <c r="G105" s="24">
        <v>278</v>
      </c>
      <c r="H105" s="24"/>
      <c r="J105" s="21" t="s">
        <v>71</v>
      </c>
      <c r="K105" s="24">
        <v>6110.63</v>
      </c>
    </row>
    <row r="106" spans="1:11" x14ac:dyDescent="0.25">
      <c r="A106" s="76">
        <v>46008</v>
      </c>
      <c r="B106" s="21" t="s">
        <v>366</v>
      </c>
      <c r="C106" s="21" t="s">
        <v>20</v>
      </c>
      <c r="D106" s="21" t="s">
        <v>13</v>
      </c>
      <c r="E106" s="21"/>
      <c r="F106" s="21"/>
      <c r="G106" s="24">
        <v>1542</v>
      </c>
      <c r="H106" s="24"/>
      <c r="J106" s="21" t="s">
        <v>71</v>
      </c>
      <c r="K106" s="24">
        <v>7652.63</v>
      </c>
    </row>
    <row r="107" spans="1:11" x14ac:dyDescent="0.25">
      <c r="A107" s="76">
        <v>46008</v>
      </c>
      <c r="B107" s="21" t="s">
        <v>426</v>
      </c>
      <c r="C107" s="21" t="s">
        <v>20</v>
      </c>
      <c r="D107" s="21" t="s">
        <v>22</v>
      </c>
      <c r="E107" s="21" t="s">
        <v>17</v>
      </c>
      <c r="F107" s="21"/>
      <c r="G107" s="24">
        <v>109.23</v>
      </c>
      <c r="H107" s="24"/>
      <c r="J107" s="21" t="s">
        <v>71</v>
      </c>
      <c r="K107" s="24">
        <v>7761.86</v>
      </c>
    </row>
    <row r="108" spans="1:11" x14ac:dyDescent="0.25">
      <c r="A108" s="76">
        <v>46008</v>
      </c>
      <c r="B108" s="21" t="s">
        <v>45</v>
      </c>
      <c r="C108" s="21" t="s">
        <v>12</v>
      </c>
      <c r="D108" s="21" t="s">
        <v>24</v>
      </c>
      <c r="E108" s="21" t="s">
        <v>17</v>
      </c>
      <c r="F108" s="21" t="s">
        <v>25</v>
      </c>
      <c r="G108" s="24">
        <v>18</v>
      </c>
      <c r="H108" s="24"/>
      <c r="J108" s="21" t="s">
        <v>71</v>
      </c>
      <c r="K108" s="24">
        <v>7743.86</v>
      </c>
    </row>
    <row r="109" spans="1:11" x14ac:dyDescent="0.25">
      <c r="A109" s="76">
        <v>46009</v>
      </c>
      <c r="B109" s="21" t="s">
        <v>398</v>
      </c>
      <c r="C109" s="21" t="s">
        <v>12</v>
      </c>
      <c r="D109" s="21" t="s">
        <v>19</v>
      </c>
      <c r="E109" s="21" t="s">
        <v>17</v>
      </c>
      <c r="F109" s="21"/>
      <c r="G109" s="24">
        <v>1360.97</v>
      </c>
      <c r="H109" s="24"/>
      <c r="J109" s="21" t="s">
        <v>71</v>
      </c>
      <c r="K109" s="24">
        <v>6382.8899999999994</v>
      </c>
    </row>
    <row r="110" spans="1:11" x14ac:dyDescent="0.25">
      <c r="A110" s="76">
        <v>46009</v>
      </c>
      <c r="B110" s="21" t="s">
        <v>328</v>
      </c>
      <c r="C110" s="21" t="s">
        <v>20</v>
      </c>
      <c r="D110" s="21" t="s">
        <v>13</v>
      </c>
      <c r="E110" s="21"/>
      <c r="F110" s="21"/>
      <c r="G110" s="24">
        <v>1946</v>
      </c>
      <c r="H110" s="24"/>
      <c r="J110" s="21" t="s">
        <v>71</v>
      </c>
      <c r="K110" s="24">
        <v>8328.89</v>
      </c>
    </row>
    <row r="111" spans="1:11" x14ac:dyDescent="0.25">
      <c r="A111" s="76">
        <v>46009</v>
      </c>
      <c r="B111" s="21" t="s">
        <v>426</v>
      </c>
      <c r="C111" s="21" t="s">
        <v>20</v>
      </c>
      <c r="D111" s="21" t="s">
        <v>22</v>
      </c>
      <c r="E111" s="21" t="s">
        <v>17</v>
      </c>
      <c r="F111" s="21"/>
      <c r="G111" s="24">
        <v>0</v>
      </c>
      <c r="H111" s="24"/>
      <c r="J111" s="21" t="s">
        <v>71</v>
      </c>
      <c r="K111" s="24">
        <v>8328.89</v>
      </c>
    </row>
    <row r="112" spans="1:11" x14ac:dyDescent="0.25">
      <c r="A112" s="76">
        <v>46009</v>
      </c>
      <c r="B112" s="21" t="s">
        <v>11</v>
      </c>
      <c r="C112" s="21" t="s">
        <v>12</v>
      </c>
      <c r="D112" s="21" t="s">
        <v>19</v>
      </c>
      <c r="E112" s="21" t="s">
        <v>14</v>
      </c>
      <c r="F112" s="21" t="s">
        <v>15</v>
      </c>
      <c r="G112" s="24">
        <v>287</v>
      </c>
      <c r="H112" s="24"/>
      <c r="J112" s="21" t="s">
        <v>71</v>
      </c>
      <c r="K112" s="24">
        <v>8041.8899999999994</v>
      </c>
    </row>
    <row r="113" spans="1:11" x14ac:dyDescent="0.25">
      <c r="A113" s="76">
        <v>46009</v>
      </c>
      <c r="B113" s="21" t="s">
        <v>23</v>
      </c>
      <c r="C113" s="21" t="s">
        <v>12</v>
      </c>
      <c r="D113" s="21" t="s">
        <v>24</v>
      </c>
      <c r="E113" s="21" t="s">
        <v>17</v>
      </c>
      <c r="F113" s="21" t="s">
        <v>25</v>
      </c>
      <c r="G113" s="24">
        <v>0</v>
      </c>
      <c r="H113" s="24"/>
      <c r="J113" s="21" t="s">
        <v>71</v>
      </c>
      <c r="K113" s="24">
        <v>8041.8899999999994</v>
      </c>
    </row>
    <row r="114" spans="1:11" x14ac:dyDescent="0.25">
      <c r="A114" s="76">
        <v>46010</v>
      </c>
      <c r="B114" s="21" t="s">
        <v>427</v>
      </c>
      <c r="C114" s="21" t="s">
        <v>12</v>
      </c>
      <c r="D114" s="21" t="s">
        <v>27</v>
      </c>
      <c r="E114" s="21" t="s">
        <v>17</v>
      </c>
      <c r="F114" s="21" t="s">
        <v>25</v>
      </c>
      <c r="G114" s="24">
        <v>1551.45</v>
      </c>
      <c r="H114" s="24"/>
      <c r="J114" s="21" t="s">
        <v>71</v>
      </c>
      <c r="K114" s="24">
        <v>6490.44</v>
      </c>
    </row>
    <row r="115" spans="1:11" x14ac:dyDescent="0.25">
      <c r="A115" s="76">
        <v>46010</v>
      </c>
      <c r="B115" s="21" t="s">
        <v>428</v>
      </c>
      <c r="C115" s="21" t="s">
        <v>12</v>
      </c>
      <c r="D115" s="21" t="s">
        <v>27</v>
      </c>
      <c r="E115" s="21" t="s">
        <v>17</v>
      </c>
      <c r="F115" s="21" t="s">
        <v>25</v>
      </c>
      <c r="G115" s="24">
        <v>2341.7800000000002</v>
      </c>
      <c r="H115" s="24"/>
      <c r="J115" s="21" t="s">
        <v>71</v>
      </c>
      <c r="K115" s="24">
        <v>4148.66</v>
      </c>
    </row>
    <row r="116" spans="1:11" x14ac:dyDescent="0.25">
      <c r="A116" s="76">
        <v>46010</v>
      </c>
      <c r="B116" s="21" t="s">
        <v>429</v>
      </c>
      <c r="C116" s="21" t="s">
        <v>12</v>
      </c>
      <c r="D116" s="21" t="s">
        <v>27</v>
      </c>
      <c r="E116" s="21" t="s">
        <v>17</v>
      </c>
      <c r="F116" s="21" t="s">
        <v>25</v>
      </c>
      <c r="G116" s="24">
        <v>1666.67</v>
      </c>
      <c r="H116" s="24"/>
      <c r="J116" s="21" t="s">
        <v>71</v>
      </c>
      <c r="K116" s="24">
        <v>2481.9899999999998</v>
      </c>
    </row>
    <row r="117" spans="1:11" x14ac:dyDescent="0.25">
      <c r="A117" s="76">
        <v>46010</v>
      </c>
      <c r="B117" s="21" t="s">
        <v>430</v>
      </c>
      <c r="C117" s="21" t="s">
        <v>12</v>
      </c>
      <c r="D117" s="21" t="s">
        <v>33</v>
      </c>
      <c r="E117" s="21" t="s">
        <v>14</v>
      </c>
      <c r="F117" s="21" t="s">
        <v>15</v>
      </c>
      <c r="G117" s="24">
        <v>21</v>
      </c>
      <c r="H117" s="24"/>
      <c r="J117" s="21" t="s">
        <v>71</v>
      </c>
      <c r="K117" s="24">
        <v>2460.9899999999998</v>
      </c>
    </row>
    <row r="118" spans="1:11" x14ac:dyDescent="0.25">
      <c r="A118" s="76">
        <v>46010</v>
      </c>
      <c r="B118" s="21" t="s">
        <v>431</v>
      </c>
      <c r="C118" s="21" t="s">
        <v>12</v>
      </c>
      <c r="D118" s="21" t="s">
        <v>58</v>
      </c>
      <c r="E118" s="21" t="s">
        <v>17</v>
      </c>
      <c r="F118" s="21"/>
      <c r="G118" s="24">
        <v>329.11</v>
      </c>
      <c r="H118" s="24"/>
      <c r="J118" s="21" t="s">
        <v>71</v>
      </c>
      <c r="K118" s="24">
        <v>2131.88</v>
      </c>
    </row>
    <row r="119" spans="1:11" x14ac:dyDescent="0.25">
      <c r="A119" s="76">
        <v>46010</v>
      </c>
      <c r="B119" s="21" t="s">
        <v>299</v>
      </c>
      <c r="C119" s="21" t="s">
        <v>12</v>
      </c>
      <c r="D119" s="21" t="s">
        <v>58</v>
      </c>
      <c r="E119" s="21" t="s">
        <v>17</v>
      </c>
      <c r="F119" s="21"/>
      <c r="G119" s="24">
        <v>1036.17</v>
      </c>
      <c r="H119" s="24"/>
      <c r="J119" s="21" t="s">
        <v>71</v>
      </c>
      <c r="K119" s="24">
        <v>1095.71</v>
      </c>
    </row>
    <row r="120" spans="1:11" x14ac:dyDescent="0.25">
      <c r="A120" s="76">
        <v>46010</v>
      </c>
      <c r="B120" s="21" t="s">
        <v>350</v>
      </c>
      <c r="C120" s="21" t="s">
        <v>12</v>
      </c>
      <c r="D120" s="21" t="s">
        <v>58</v>
      </c>
      <c r="E120" s="21" t="s">
        <v>17</v>
      </c>
      <c r="F120" s="21"/>
      <c r="G120" s="24">
        <v>1106.22</v>
      </c>
      <c r="H120" s="24"/>
      <c r="J120" s="21" t="s">
        <v>71</v>
      </c>
      <c r="K120" s="24">
        <v>-10.510000000000449</v>
      </c>
    </row>
    <row r="121" spans="1:11" x14ac:dyDescent="0.25">
      <c r="A121" s="76">
        <v>46010</v>
      </c>
      <c r="B121" s="21" t="s">
        <v>393</v>
      </c>
      <c r="C121" s="21" t="s">
        <v>12</v>
      </c>
      <c r="D121" s="21" t="s">
        <v>19</v>
      </c>
      <c r="E121" s="21" t="s">
        <v>17</v>
      </c>
      <c r="F121" s="21" t="s">
        <v>15</v>
      </c>
      <c r="G121" s="24">
        <v>423</v>
      </c>
      <c r="H121" s="24"/>
      <c r="J121" s="21" t="s">
        <v>71</v>
      </c>
      <c r="K121" s="24">
        <v>-433.51000000000039</v>
      </c>
    </row>
    <row r="122" spans="1:11" x14ac:dyDescent="0.25">
      <c r="A122" s="76">
        <v>46010</v>
      </c>
      <c r="B122" s="21" t="s">
        <v>328</v>
      </c>
      <c r="C122" s="21" t="s">
        <v>20</v>
      </c>
      <c r="D122" s="21" t="s">
        <v>13</v>
      </c>
      <c r="E122" s="21"/>
      <c r="F122" s="21"/>
      <c r="G122" s="24">
        <v>2744</v>
      </c>
      <c r="H122" s="24"/>
      <c r="J122" s="21" t="s">
        <v>71</v>
      </c>
      <c r="K122" s="24">
        <v>2310.4899999999998</v>
      </c>
    </row>
    <row r="123" spans="1:11" x14ac:dyDescent="0.25">
      <c r="A123" s="76">
        <v>46010</v>
      </c>
      <c r="B123" s="21" t="s">
        <v>349</v>
      </c>
      <c r="C123" s="21" t="s">
        <v>20</v>
      </c>
      <c r="D123" s="21" t="s">
        <v>22</v>
      </c>
      <c r="E123" s="21" t="s">
        <v>17</v>
      </c>
      <c r="F123" s="21"/>
      <c r="G123" s="24">
        <v>154.93</v>
      </c>
      <c r="H123" s="24"/>
      <c r="J123" s="21" t="s">
        <v>71</v>
      </c>
      <c r="K123" s="24">
        <v>2465.42</v>
      </c>
    </row>
    <row r="124" spans="1:11" x14ac:dyDescent="0.25">
      <c r="A124" s="76">
        <v>46010</v>
      </c>
      <c r="B124" s="21" t="s">
        <v>45</v>
      </c>
      <c r="C124" s="21" t="s">
        <v>12</v>
      </c>
      <c r="D124" s="21" t="s">
        <v>24</v>
      </c>
      <c r="E124" s="21" t="s">
        <v>17</v>
      </c>
      <c r="F124" s="21" t="s">
        <v>25</v>
      </c>
      <c r="G124" s="24">
        <v>25</v>
      </c>
      <c r="H124" s="24"/>
      <c r="J124" s="21" t="s">
        <v>71</v>
      </c>
      <c r="K124" s="24">
        <v>2440.42</v>
      </c>
    </row>
    <row r="125" spans="1:11" x14ac:dyDescent="0.25">
      <c r="A125" s="76">
        <v>46011</v>
      </c>
      <c r="B125" s="21" t="s">
        <v>328</v>
      </c>
      <c r="C125" s="21" t="s">
        <v>20</v>
      </c>
      <c r="D125" s="21" t="s">
        <v>13</v>
      </c>
      <c r="E125" s="21"/>
      <c r="F125" s="21"/>
      <c r="G125" s="24">
        <v>10108</v>
      </c>
      <c r="H125" s="24"/>
      <c r="J125" s="21" t="s">
        <v>71</v>
      </c>
      <c r="K125" s="24">
        <v>12548.42</v>
      </c>
    </row>
    <row r="126" spans="1:11" x14ac:dyDescent="0.25">
      <c r="A126" s="76">
        <v>46011</v>
      </c>
      <c r="B126" s="21" t="s">
        <v>349</v>
      </c>
      <c r="C126" s="21" t="s">
        <v>20</v>
      </c>
      <c r="D126" s="21" t="s">
        <v>22</v>
      </c>
      <c r="E126" s="21" t="s">
        <v>17</v>
      </c>
      <c r="F126" s="21"/>
      <c r="G126" s="24">
        <v>149.97</v>
      </c>
      <c r="H126" s="24"/>
      <c r="J126" s="21" t="s">
        <v>71</v>
      </c>
      <c r="K126" s="24">
        <v>12698.39</v>
      </c>
    </row>
    <row r="127" spans="1:11" x14ac:dyDescent="0.25">
      <c r="A127" s="76">
        <v>46011</v>
      </c>
      <c r="B127" s="21" t="s">
        <v>45</v>
      </c>
      <c r="C127" s="21" t="s">
        <v>12</v>
      </c>
      <c r="D127" s="21" t="s">
        <v>24</v>
      </c>
      <c r="E127" s="21" t="s">
        <v>17</v>
      </c>
      <c r="F127" s="21" t="s">
        <v>25</v>
      </c>
      <c r="G127" s="24">
        <v>27</v>
      </c>
      <c r="H127" s="24"/>
      <c r="J127" s="21" t="s">
        <v>71</v>
      </c>
      <c r="K127" s="24">
        <v>12671.39</v>
      </c>
    </row>
    <row r="128" spans="1:11" x14ac:dyDescent="0.25">
      <c r="A128" s="76">
        <v>46012</v>
      </c>
      <c r="B128" s="21" t="s">
        <v>328</v>
      </c>
      <c r="C128" s="21" t="s">
        <v>20</v>
      </c>
      <c r="D128" s="21" t="s">
        <v>13</v>
      </c>
      <c r="E128" s="21"/>
      <c r="F128" s="21"/>
      <c r="G128" s="24">
        <v>11350</v>
      </c>
      <c r="H128" s="24"/>
      <c r="J128" s="21" t="s">
        <v>71</v>
      </c>
      <c r="K128" s="24">
        <v>24021.39</v>
      </c>
    </row>
    <row r="129" spans="1:11" x14ac:dyDescent="0.25">
      <c r="A129" s="76">
        <v>46012</v>
      </c>
      <c r="B129" s="21" t="s">
        <v>426</v>
      </c>
      <c r="C129" s="21" t="s">
        <v>20</v>
      </c>
      <c r="D129" s="21" t="s">
        <v>22</v>
      </c>
      <c r="E129" s="21" t="s">
        <v>17</v>
      </c>
      <c r="F129" s="21"/>
      <c r="G129" s="24">
        <v>438.87</v>
      </c>
      <c r="H129" s="24"/>
      <c r="J129" s="21" t="s">
        <v>71</v>
      </c>
      <c r="K129" s="24">
        <v>24460.26</v>
      </c>
    </row>
    <row r="130" spans="1:11" x14ac:dyDescent="0.25">
      <c r="A130" s="76">
        <v>46012</v>
      </c>
      <c r="B130" s="21" t="s">
        <v>23</v>
      </c>
      <c r="C130" s="21" t="s">
        <v>12</v>
      </c>
      <c r="D130" s="21" t="s">
        <v>24</v>
      </c>
      <c r="E130" s="21" t="s">
        <v>17</v>
      </c>
      <c r="F130" s="21" t="s">
        <v>25</v>
      </c>
      <c r="G130" s="24">
        <v>70</v>
      </c>
      <c r="H130" s="24"/>
      <c r="J130" s="21" t="s">
        <v>71</v>
      </c>
      <c r="K130" s="24">
        <v>24390.26</v>
      </c>
    </row>
    <row r="131" spans="1:11" x14ac:dyDescent="0.25">
      <c r="A131" s="76">
        <v>46012</v>
      </c>
      <c r="B131" s="21" t="s">
        <v>33</v>
      </c>
      <c r="C131" s="21" t="s">
        <v>12</v>
      </c>
      <c r="D131" s="21" t="s">
        <v>33</v>
      </c>
      <c r="E131" s="21" t="s">
        <v>14</v>
      </c>
      <c r="F131" s="21" t="s">
        <v>15</v>
      </c>
      <c r="G131" s="24">
        <v>120</v>
      </c>
      <c r="H131" s="24"/>
      <c r="J131" s="21" t="s">
        <v>71</v>
      </c>
      <c r="K131" s="24">
        <v>24270.26</v>
      </c>
    </row>
    <row r="132" spans="1:11" x14ac:dyDescent="0.25">
      <c r="A132" s="76">
        <v>46012</v>
      </c>
      <c r="B132" s="21" t="s">
        <v>11</v>
      </c>
      <c r="C132" s="21" t="s">
        <v>12</v>
      </c>
      <c r="D132" s="21" t="s">
        <v>19</v>
      </c>
      <c r="E132" s="21" t="s">
        <v>14</v>
      </c>
      <c r="F132" s="21" t="s">
        <v>15</v>
      </c>
      <c r="G132" s="24">
        <v>141</v>
      </c>
      <c r="H132" s="24"/>
      <c r="J132" s="21" t="s">
        <v>71</v>
      </c>
      <c r="K132" s="24">
        <v>24129.26</v>
      </c>
    </row>
    <row r="133" spans="1:11" x14ac:dyDescent="0.25">
      <c r="A133" s="76">
        <v>46013</v>
      </c>
      <c r="B133" s="21" t="s">
        <v>432</v>
      </c>
      <c r="C133" s="21" t="s">
        <v>12</v>
      </c>
      <c r="D133" s="21" t="s">
        <v>19</v>
      </c>
      <c r="E133" s="21" t="s">
        <v>17</v>
      </c>
      <c r="F133" s="21"/>
      <c r="G133" s="24">
        <v>817.19</v>
      </c>
      <c r="H133" s="24"/>
      <c r="J133" s="21" t="s">
        <v>71</v>
      </c>
      <c r="K133" s="24">
        <v>23312.07</v>
      </c>
    </row>
    <row r="134" spans="1:11" x14ac:dyDescent="0.25">
      <c r="A134" s="76">
        <v>46013</v>
      </c>
      <c r="B134" s="21" t="s">
        <v>383</v>
      </c>
      <c r="C134" s="21" t="s">
        <v>12</v>
      </c>
      <c r="D134" s="21" t="s">
        <v>19</v>
      </c>
      <c r="E134" s="21" t="s">
        <v>17</v>
      </c>
      <c r="F134" s="21"/>
      <c r="G134" s="24">
        <v>424.25</v>
      </c>
      <c r="H134" s="24"/>
      <c r="J134" s="21" t="s">
        <v>71</v>
      </c>
      <c r="K134" s="24">
        <v>22887.82</v>
      </c>
    </row>
    <row r="135" spans="1:11" x14ac:dyDescent="0.25">
      <c r="A135" s="76">
        <v>46013</v>
      </c>
      <c r="B135" s="21" t="s">
        <v>383</v>
      </c>
      <c r="C135" s="21" t="s">
        <v>12</v>
      </c>
      <c r="D135" s="21" t="s">
        <v>19</v>
      </c>
      <c r="E135" s="21" t="s">
        <v>17</v>
      </c>
      <c r="F135" s="21"/>
      <c r="G135" s="24">
        <v>416.99</v>
      </c>
      <c r="H135" s="24"/>
      <c r="J135" s="21" t="s">
        <v>71</v>
      </c>
      <c r="K135" s="24">
        <v>22470.83</v>
      </c>
    </row>
    <row r="136" spans="1:11" x14ac:dyDescent="0.25">
      <c r="A136" s="76">
        <v>46013</v>
      </c>
      <c r="B136" s="21" t="s">
        <v>433</v>
      </c>
      <c r="C136" s="21" t="s">
        <v>12</v>
      </c>
      <c r="D136" s="21" t="s">
        <v>58</v>
      </c>
      <c r="E136" s="21" t="s">
        <v>17</v>
      </c>
      <c r="F136" s="21"/>
      <c r="G136" s="24">
        <v>477.12</v>
      </c>
      <c r="H136" s="24"/>
      <c r="J136" s="21" t="s">
        <v>71</v>
      </c>
      <c r="K136" s="24">
        <v>21993.71</v>
      </c>
    </row>
    <row r="137" spans="1:11" x14ac:dyDescent="0.25">
      <c r="A137" s="76">
        <v>46013</v>
      </c>
      <c r="B137" s="21" t="s">
        <v>434</v>
      </c>
      <c r="C137" s="21" t="s">
        <v>12</v>
      </c>
      <c r="D137" s="21" t="s">
        <v>58</v>
      </c>
      <c r="E137" s="21" t="s">
        <v>17</v>
      </c>
      <c r="F137" s="21"/>
      <c r="G137" s="24">
        <v>11212.31</v>
      </c>
      <c r="H137" s="24"/>
      <c r="J137" s="21" t="s">
        <v>71</v>
      </c>
      <c r="K137" s="24">
        <v>10781.4</v>
      </c>
    </row>
    <row r="138" spans="1:11" x14ac:dyDescent="0.25">
      <c r="A138" s="76">
        <v>46013</v>
      </c>
      <c r="B138" s="21" t="s">
        <v>407</v>
      </c>
      <c r="C138" s="21" t="s">
        <v>12</v>
      </c>
      <c r="D138" s="21" t="s">
        <v>19</v>
      </c>
      <c r="E138" s="21" t="s">
        <v>17</v>
      </c>
      <c r="F138" s="21" t="s">
        <v>25</v>
      </c>
      <c r="G138" s="24">
        <v>270</v>
      </c>
      <c r="H138" s="24"/>
      <c r="J138" s="21" t="s">
        <v>71</v>
      </c>
      <c r="K138" s="24">
        <v>10511.4</v>
      </c>
    </row>
    <row r="139" spans="1:11" x14ac:dyDescent="0.25">
      <c r="A139" s="76">
        <v>46013</v>
      </c>
      <c r="B139" s="21" t="s">
        <v>393</v>
      </c>
      <c r="C139" s="21" t="s">
        <v>12</v>
      </c>
      <c r="D139" s="21" t="s">
        <v>19</v>
      </c>
      <c r="E139" s="21" t="s">
        <v>14</v>
      </c>
      <c r="F139" s="21" t="s">
        <v>15</v>
      </c>
      <c r="G139" s="24">
        <v>141</v>
      </c>
      <c r="H139" s="24"/>
      <c r="J139" s="21" t="s">
        <v>71</v>
      </c>
      <c r="K139" s="24">
        <v>10370.4</v>
      </c>
    </row>
    <row r="140" spans="1:11" x14ac:dyDescent="0.25">
      <c r="A140" s="76">
        <v>46013</v>
      </c>
      <c r="B140" s="21" t="s">
        <v>366</v>
      </c>
      <c r="C140" s="21" t="s">
        <v>20</v>
      </c>
      <c r="D140" s="21" t="s">
        <v>13</v>
      </c>
      <c r="E140" s="21" t="s">
        <v>14</v>
      </c>
      <c r="F140" s="21"/>
      <c r="G140" s="24">
        <v>5250</v>
      </c>
      <c r="H140" s="24"/>
      <c r="J140" s="21" t="s">
        <v>71</v>
      </c>
      <c r="K140" s="24">
        <v>15620.4</v>
      </c>
    </row>
    <row r="141" spans="1:11" x14ac:dyDescent="0.25">
      <c r="A141" s="76">
        <v>46013</v>
      </c>
      <c r="B141" s="21" t="s">
        <v>364</v>
      </c>
      <c r="C141" s="21" t="s">
        <v>12</v>
      </c>
      <c r="D141" s="21" t="s">
        <v>19</v>
      </c>
      <c r="E141" s="21" t="s">
        <v>17</v>
      </c>
      <c r="F141" s="21" t="s">
        <v>25</v>
      </c>
      <c r="G141" s="24">
        <v>78</v>
      </c>
      <c r="H141" s="24"/>
      <c r="J141" s="21" t="s">
        <v>71</v>
      </c>
      <c r="K141" s="24">
        <v>15542.4</v>
      </c>
    </row>
    <row r="142" spans="1:11" x14ac:dyDescent="0.25">
      <c r="A142" s="76">
        <v>46014</v>
      </c>
      <c r="B142" s="21" t="s">
        <v>435</v>
      </c>
      <c r="C142" s="21" t="s">
        <v>12</v>
      </c>
      <c r="D142" s="21" t="s">
        <v>19</v>
      </c>
      <c r="E142" s="21" t="s">
        <v>17</v>
      </c>
      <c r="F142" s="21"/>
      <c r="G142" s="24">
        <v>3941.02</v>
      </c>
      <c r="H142" s="24"/>
      <c r="J142" s="21" t="s">
        <v>71</v>
      </c>
      <c r="K142" s="24">
        <v>11601.38</v>
      </c>
    </row>
    <row r="143" spans="1:11" x14ac:dyDescent="0.25">
      <c r="A143" s="76">
        <v>46014</v>
      </c>
      <c r="B143" s="21" t="s">
        <v>387</v>
      </c>
      <c r="C143" s="21" t="s">
        <v>12</v>
      </c>
      <c r="D143" s="21" t="s">
        <v>19</v>
      </c>
      <c r="E143" s="21" t="s">
        <v>17</v>
      </c>
      <c r="F143" s="21"/>
      <c r="G143" s="24">
        <v>792</v>
      </c>
      <c r="H143" s="24"/>
      <c r="J143" s="21" t="s">
        <v>71</v>
      </c>
      <c r="K143" s="24">
        <v>10809.38</v>
      </c>
    </row>
    <row r="144" spans="1:11" x14ac:dyDescent="0.25">
      <c r="A144" s="76">
        <v>46014</v>
      </c>
      <c r="B144" s="21" t="s">
        <v>387</v>
      </c>
      <c r="C144" s="21" t="s">
        <v>12</v>
      </c>
      <c r="D144" s="21" t="s">
        <v>19</v>
      </c>
      <c r="E144" s="21" t="s">
        <v>17</v>
      </c>
      <c r="F144" s="21"/>
      <c r="G144" s="24">
        <v>1871.04</v>
      </c>
      <c r="H144" s="24"/>
      <c r="J144" s="21" t="s">
        <v>71</v>
      </c>
      <c r="K144" s="24">
        <v>8938.34</v>
      </c>
    </row>
    <row r="145" spans="1:11" x14ac:dyDescent="0.25">
      <c r="A145" s="76">
        <v>46014</v>
      </c>
      <c r="B145" s="21" t="s">
        <v>393</v>
      </c>
      <c r="C145" s="21" t="s">
        <v>12</v>
      </c>
      <c r="D145" s="21" t="s">
        <v>13</v>
      </c>
      <c r="E145" s="21" t="s">
        <v>14</v>
      </c>
      <c r="F145" s="21" t="s">
        <v>15</v>
      </c>
      <c r="G145" s="24">
        <v>235</v>
      </c>
      <c r="H145" s="24"/>
      <c r="J145" s="21" t="s">
        <v>71</v>
      </c>
      <c r="K145" s="24">
        <v>8703.34</v>
      </c>
    </row>
    <row r="146" spans="1:11" x14ac:dyDescent="0.25">
      <c r="A146" s="76">
        <v>46014</v>
      </c>
      <c r="B146" s="21" t="s">
        <v>328</v>
      </c>
      <c r="C146" s="21" t="s">
        <v>20</v>
      </c>
      <c r="D146" s="21" t="s">
        <v>13</v>
      </c>
      <c r="E146" s="21"/>
      <c r="F146" s="21"/>
      <c r="G146" s="24">
        <v>6430</v>
      </c>
      <c r="H146" s="24"/>
      <c r="J146" s="21" t="s">
        <v>71</v>
      </c>
      <c r="K146" s="24">
        <v>15133.34</v>
      </c>
    </row>
    <row r="147" spans="1:11" x14ac:dyDescent="0.25">
      <c r="A147" s="76">
        <v>46014</v>
      </c>
      <c r="B147" s="21" t="s">
        <v>44</v>
      </c>
      <c r="C147" s="21" t="s">
        <v>20</v>
      </c>
      <c r="D147" s="21" t="s">
        <v>22</v>
      </c>
      <c r="E147" s="21" t="s">
        <v>17</v>
      </c>
      <c r="F147" s="21"/>
      <c r="G147" s="24">
        <v>40.24</v>
      </c>
      <c r="H147" s="24"/>
      <c r="J147" s="21" t="s">
        <v>71</v>
      </c>
      <c r="K147" s="24">
        <v>15173.58</v>
      </c>
    </row>
    <row r="148" spans="1:11" x14ac:dyDescent="0.25">
      <c r="A148" s="76">
        <v>46014</v>
      </c>
      <c r="B148" s="21" t="s">
        <v>45</v>
      </c>
      <c r="C148" s="21" t="s">
        <v>12</v>
      </c>
      <c r="D148" s="21" t="s">
        <v>24</v>
      </c>
      <c r="E148" s="21" t="s">
        <v>17</v>
      </c>
      <c r="F148" s="21" t="s">
        <v>25</v>
      </c>
      <c r="G148" s="24">
        <v>18</v>
      </c>
      <c r="H148" s="24"/>
      <c r="J148" s="21" t="s">
        <v>71</v>
      </c>
      <c r="K148" s="24">
        <v>15155.58</v>
      </c>
    </row>
    <row r="149" spans="1:11" x14ac:dyDescent="0.25">
      <c r="A149" s="76">
        <v>46015</v>
      </c>
      <c r="B149" s="21" t="s">
        <v>308</v>
      </c>
      <c r="C149" s="21" t="s">
        <v>12</v>
      </c>
      <c r="D149" s="21" t="s">
        <v>19</v>
      </c>
      <c r="E149" s="21" t="s">
        <v>17</v>
      </c>
      <c r="F149" s="21"/>
      <c r="G149" s="24">
        <v>2675.38</v>
      </c>
      <c r="H149" s="24"/>
      <c r="J149" s="21" t="s">
        <v>71</v>
      </c>
      <c r="K149" s="24">
        <v>12480.2</v>
      </c>
    </row>
    <row r="150" spans="1:11" x14ac:dyDescent="0.25">
      <c r="A150" s="76">
        <v>46015</v>
      </c>
      <c r="B150" s="21" t="s">
        <v>388</v>
      </c>
      <c r="C150" s="21" t="s">
        <v>12</v>
      </c>
      <c r="D150" s="21" t="s">
        <v>19</v>
      </c>
      <c r="E150" s="21" t="s">
        <v>17</v>
      </c>
      <c r="F150" s="21"/>
      <c r="G150" s="24">
        <v>777</v>
      </c>
      <c r="H150" s="24"/>
      <c r="J150" s="21" t="s">
        <v>71</v>
      </c>
      <c r="K150" s="24">
        <v>11703.2</v>
      </c>
    </row>
    <row r="151" spans="1:11" x14ac:dyDescent="0.25">
      <c r="A151" s="76">
        <v>46015</v>
      </c>
      <c r="B151" s="21" t="s">
        <v>328</v>
      </c>
      <c r="C151" s="21" t="s">
        <v>20</v>
      </c>
      <c r="D151" s="21" t="s">
        <v>13</v>
      </c>
      <c r="E151" s="21"/>
      <c r="F151" s="21"/>
      <c r="G151" s="24">
        <v>5413</v>
      </c>
      <c r="H151" s="24"/>
      <c r="J151" s="21" t="s">
        <v>71</v>
      </c>
      <c r="K151" s="24">
        <v>17116.2</v>
      </c>
    </row>
    <row r="152" spans="1:11" x14ac:dyDescent="0.25">
      <c r="A152" s="76">
        <v>46015</v>
      </c>
      <c r="B152" s="21" t="s">
        <v>44</v>
      </c>
      <c r="C152" s="21" t="s">
        <v>20</v>
      </c>
      <c r="D152" s="21" t="s">
        <v>13</v>
      </c>
      <c r="E152" s="21" t="s">
        <v>17</v>
      </c>
      <c r="F152" s="21"/>
      <c r="G152" s="24">
        <v>151.79</v>
      </c>
      <c r="H152" s="24"/>
      <c r="J152" s="21" t="s">
        <v>71</v>
      </c>
      <c r="K152" s="24">
        <v>17267.990000000002</v>
      </c>
    </row>
    <row r="153" spans="1:11" x14ac:dyDescent="0.25">
      <c r="A153" s="76">
        <v>46015</v>
      </c>
      <c r="B153" s="21" t="s">
        <v>45</v>
      </c>
      <c r="C153" s="21" t="s">
        <v>12</v>
      </c>
      <c r="D153" s="21" t="s">
        <v>24</v>
      </c>
      <c r="E153" s="21" t="s">
        <v>17</v>
      </c>
      <c r="F153" s="21" t="s">
        <v>25</v>
      </c>
      <c r="G153" s="24">
        <v>18</v>
      </c>
      <c r="H153" s="24"/>
      <c r="J153" s="21" t="s">
        <v>71</v>
      </c>
      <c r="K153" s="24">
        <v>17249.990000000002</v>
      </c>
    </row>
    <row r="154" spans="1:11" x14ac:dyDescent="0.25">
      <c r="A154" s="76">
        <v>46017</v>
      </c>
      <c r="B154" s="21" t="s">
        <v>393</v>
      </c>
      <c r="C154" s="21" t="s">
        <v>12</v>
      </c>
      <c r="D154" s="21" t="s">
        <v>19</v>
      </c>
      <c r="E154" s="21" t="s">
        <v>14</v>
      </c>
      <c r="F154" s="21" t="s">
        <v>15</v>
      </c>
      <c r="G154" s="24">
        <v>282</v>
      </c>
      <c r="H154" s="24"/>
      <c r="J154" s="21" t="s">
        <v>71</v>
      </c>
      <c r="K154" s="24">
        <v>16967.990000000002</v>
      </c>
    </row>
    <row r="155" spans="1:11" x14ac:dyDescent="0.25">
      <c r="A155" s="76">
        <v>46017</v>
      </c>
      <c r="B155" s="21" t="s">
        <v>407</v>
      </c>
      <c r="C155" s="21" t="s">
        <v>12</v>
      </c>
      <c r="D155" s="21" t="s">
        <v>19</v>
      </c>
      <c r="E155" s="21" t="s">
        <v>17</v>
      </c>
      <c r="F155" s="21" t="s">
        <v>25</v>
      </c>
      <c r="G155" s="24">
        <v>240</v>
      </c>
      <c r="H155" s="24"/>
      <c r="J155" s="21" t="s">
        <v>71</v>
      </c>
      <c r="K155" s="24">
        <v>16727.990000000002</v>
      </c>
    </row>
    <row r="156" spans="1:11" x14ac:dyDescent="0.25">
      <c r="A156" s="76">
        <v>46017</v>
      </c>
      <c r="B156" s="21" t="s">
        <v>436</v>
      </c>
      <c r="C156" s="21" t="s">
        <v>12</v>
      </c>
      <c r="D156" s="21" t="s">
        <v>19</v>
      </c>
      <c r="E156" s="21" t="s">
        <v>17</v>
      </c>
      <c r="F156" s="21" t="s">
        <v>25</v>
      </c>
      <c r="G156" s="24">
        <v>378.5</v>
      </c>
      <c r="H156" s="24"/>
      <c r="J156" s="21" t="s">
        <v>71</v>
      </c>
      <c r="K156" s="24">
        <v>16349.49</v>
      </c>
    </row>
    <row r="157" spans="1:11" x14ac:dyDescent="0.25">
      <c r="A157" s="76">
        <v>46017</v>
      </c>
      <c r="B157" s="21" t="s">
        <v>11</v>
      </c>
      <c r="C157" s="21" t="s">
        <v>12</v>
      </c>
      <c r="D157" s="21" t="s">
        <v>19</v>
      </c>
      <c r="E157" s="21" t="s">
        <v>14</v>
      </c>
      <c r="F157" s="21" t="s">
        <v>15</v>
      </c>
      <c r="G157" s="24">
        <v>329</v>
      </c>
      <c r="H157" s="24"/>
      <c r="J157" s="21" t="s">
        <v>71</v>
      </c>
      <c r="K157" s="24">
        <v>16020.49</v>
      </c>
    </row>
    <row r="158" spans="1:11" x14ac:dyDescent="0.25">
      <c r="A158" s="76">
        <v>46017</v>
      </c>
      <c r="B158" s="21" t="s">
        <v>364</v>
      </c>
      <c r="C158" s="21" t="s">
        <v>12</v>
      </c>
      <c r="D158" s="21" t="s">
        <v>19</v>
      </c>
      <c r="E158" s="21" t="s">
        <v>17</v>
      </c>
      <c r="F158" s="21" t="s">
        <v>25</v>
      </c>
      <c r="G158" s="24">
        <v>834.75</v>
      </c>
      <c r="H158" s="24"/>
      <c r="J158" s="21" t="s">
        <v>71</v>
      </c>
      <c r="K158" s="24">
        <v>15185.74</v>
      </c>
    </row>
    <row r="159" spans="1:11" x14ac:dyDescent="0.25">
      <c r="A159" s="76">
        <v>46017</v>
      </c>
      <c r="B159" s="21" t="s">
        <v>13</v>
      </c>
      <c r="C159" s="21" t="s">
        <v>20</v>
      </c>
      <c r="D159" s="21" t="s">
        <v>13</v>
      </c>
      <c r="E159" s="21"/>
      <c r="F159" s="21"/>
      <c r="G159" s="24">
        <v>10522</v>
      </c>
      <c r="H159" s="24"/>
      <c r="J159" s="21" t="s">
        <v>71</v>
      </c>
      <c r="K159" s="24">
        <v>25707.74</v>
      </c>
    </row>
    <row r="160" spans="1:11" x14ac:dyDescent="0.25">
      <c r="A160" s="76">
        <v>46017</v>
      </c>
      <c r="B160" s="21" t="s">
        <v>44</v>
      </c>
      <c r="C160" s="21" t="s">
        <v>20</v>
      </c>
      <c r="D160" s="21" t="s">
        <v>22</v>
      </c>
      <c r="E160" s="21" t="s">
        <v>17</v>
      </c>
      <c r="F160" s="21"/>
      <c r="G160" s="24">
        <v>275.95</v>
      </c>
      <c r="H160" s="24"/>
      <c r="J160" s="21" t="s">
        <v>71</v>
      </c>
      <c r="K160" s="24">
        <v>25983.69</v>
      </c>
    </row>
    <row r="161" spans="1:11" x14ac:dyDescent="0.25">
      <c r="A161" s="76">
        <v>46017</v>
      </c>
      <c r="B161" s="21" t="s">
        <v>45</v>
      </c>
      <c r="C161" s="21" t="s">
        <v>12</v>
      </c>
      <c r="D161" s="21" t="s">
        <v>24</v>
      </c>
      <c r="E161" s="21" t="s">
        <v>17</v>
      </c>
      <c r="F161" s="21" t="s">
        <v>25</v>
      </c>
      <c r="G161" s="24">
        <v>43</v>
      </c>
      <c r="H161" s="24"/>
      <c r="J161" s="21" t="s">
        <v>71</v>
      </c>
      <c r="K161" s="24">
        <v>25940.69</v>
      </c>
    </row>
    <row r="162" spans="1:11" x14ac:dyDescent="0.25">
      <c r="A162" s="76">
        <v>46017</v>
      </c>
      <c r="B162" s="21" t="s">
        <v>437</v>
      </c>
      <c r="C162" s="21" t="s">
        <v>12</v>
      </c>
      <c r="D162" s="21" t="s">
        <v>33</v>
      </c>
      <c r="E162" s="21" t="s">
        <v>14</v>
      </c>
      <c r="F162" s="21" t="s">
        <v>15</v>
      </c>
      <c r="G162" s="24">
        <v>120</v>
      </c>
      <c r="H162" s="24"/>
      <c r="J162" s="21" t="s">
        <v>71</v>
      </c>
      <c r="K162" s="24">
        <v>25820.69</v>
      </c>
    </row>
    <row r="163" spans="1:11" x14ac:dyDescent="0.25">
      <c r="A163" s="76">
        <v>46017</v>
      </c>
      <c r="B163" s="21" t="s">
        <v>438</v>
      </c>
      <c r="C163" s="21" t="s">
        <v>12</v>
      </c>
      <c r="D163" s="21" t="s">
        <v>33</v>
      </c>
      <c r="E163" s="21" t="s">
        <v>14</v>
      </c>
      <c r="F163" s="21" t="s">
        <v>15</v>
      </c>
      <c r="G163" s="24">
        <v>150</v>
      </c>
      <c r="H163" s="24"/>
      <c r="J163" s="21" t="s">
        <v>71</v>
      </c>
      <c r="K163" s="24">
        <v>25670.69</v>
      </c>
    </row>
    <row r="164" spans="1:11" x14ac:dyDescent="0.25">
      <c r="A164" s="76">
        <v>46018</v>
      </c>
      <c r="B164" s="21" t="s">
        <v>335</v>
      </c>
      <c r="C164" s="21" t="s">
        <v>12</v>
      </c>
      <c r="D164" s="21" t="s">
        <v>33</v>
      </c>
      <c r="E164" s="21" t="s">
        <v>14</v>
      </c>
      <c r="F164" s="21" t="s">
        <v>15</v>
      </c>
      <c r="G164" s="24">
        <v>120</v>
      </c>
      <c r="H164" s="24"/>
      <c r="J164" s="21" t="s">
        <v>71</v>
      </c>
      <c r="K164" s="24">
        <v>25550.69</v>
      </c>
    </row>
    <row r="165" spans="1:11" x14ac:dyDescent="0.25">
      <c r="A165" s="76">
        <v>46018</v>
      </c>
      <c r="B165" s="21" t="s">
        <v>328</v>
      </c>
      <c r="C165" s="21" t="s">
        <v>20</v>
      </c>
      <c r="D165" s="21" t="s">
        <v>13</v>
      </c>
      <c r="E165" s="21"/>
      <c r="F165" s="21"/>
      <c r="G165" s="24">
        <v>11431</v>
      </c>
      <c r="H165" s="24"/>
      <c r="J165" s="21" t="s">
        <v>71</v>
      </c>
      <c r="K165" s="24">
        <v>36981.69</v>
      </c>
    </row>
    <row r="166" spans="1:11" x14ac:dyDescent="0.25">
      <c r="A166" s="76">
        <v>46018</v>
      </c>
      <c r="B166" s="21" t="s">
        <v>44</v>
      </c>
      <c r="C166" s="21" t="s">
        <v>20</v>
      </c>
      <c r="D166" s="21" t="s">
        <v>22</v>
      </c>
      <c r="E166" s="21" t="s">
        <v>17</v>
      </c>
      <c r="F166" s="21"/>
      <c r="G166" s="24">
        <v>59.53</v>
      </c>
      <c r="H166" s="24"/>
      <c r="J166" s="21" t="s">
        <v>71</v>
      </c>
      <c r="K166" s="24">
        <v>37041.22</v>
      </c>
    </row>
    <row r="167" spans="1:11" x14ac:dyDescent="0.25">
      <c r="A167" s="76">
        <v>46018</v>
      </c>
      <c r="B167" s="21" t="s">
        <v>45</v>
      </c>
      <c r="C167" s="21" t="s">
        <v>12</v>
      </c>
      <c r="D167" s="21" t="s">
        <v>24</v>
      </c>
      <c r="E167" s="21" t="s">
        <v>17</v>
      </c>
      <c r="F167" s="21" t="s">
        <v>25</v>
      </c>
      <c r="G167" s="24">
        <v>18</v>
      </c>
      <c r="H167" s="24"/>
      <c r="J167" s="21" t="s">
        <v>71</v>
      </c>
      <c r="K167" s="24">
        <v>37023.22</v>
      </c>
    </row>
    <row r="168" spans="1:11" x14ac:dyDescent="0.25">
      <c r="A168" s="76">
        <v>46019</v>
      </c>
      <c r="B168" s="21" t="s">
        <v>439</v>
      </c>
      <c r="C168" s="21" t="s">
        <v>12</v>
      </c>
      <c r="D168" s="21" t="s">
        <v>19</v>
      </c>
      <c r="E168" s="21"/>
      <c r="F168" s="21"/>
      <c r="G168" s="24">
        <v>248.76</v>
      </c>
      <c r="H168" s="24"/>
      <c r="I168" s="21" t="s">
        <v>440</v>
      </c>
      <c r="J168" s="21" t="s">
        <v>71</v>
      </c>
      <c r="K168" s="24">
        <v>36774.46</v>
      </c>
    </row>
    <row r="169" spans="1:11" x14ac:dyDescent="0.25">
      <c r="A169" s="76">
        <v>46019</v>
      </c>
      <c r="B169" s="21" t="s">
        <v>33</v>
      </c>
      <c r="C169" s="21" t="s">
        <v>12</v>
      </c>
      <c r="D169" s="21" t="s">
        <v>33</v>
      </c>
      <c r="E169" s="21" t="s">
        <v>14</v>
      </c>
      <c r="F169" s="21" t="s">
        <v>15</v>
      </c>
      <c r="G169" s="24">
        <v>270</v>
      </c>
      <c r="H169" s="24"/>
      <c r="J169" s="21" t="s">
        <v>71</v>
      </c>
      <c r="K169" s="24">
        <v>36504.46</v>
      </c>
    </row>
    <row r="170" spans="1:11" x14ac:dyDescent="0.25">
      <c r="A170" s="76">
        <v>46019</v>
      </c>
      <c r="B170" s="21" t="s">
        <v>366</v>
      </c>
      <c r="C170" s="21" t="s">
        <v>20</v>
      </c>
      <c r="D170" s="21" t="s">
        <v>13</v>
      </c>
      <c r="E170" s="21"/>
      <c r="F170" s="21"/>
      <c r="G170" s="24">
        <v>12041</v>
      </c>
      <c r="H170" s="24"/>
      <c r="J170" s="21" t="s">
        <v>71</v>
      </c>
      <c r="K170" s="24">
        <v>48545.46</v>
      </c>
    </row>
    <row r="171" spans="1:11" x14ac:dyDescent="0.25">
      <c r="A171" s="76">
        <v>46019</v>
      </c>
      <c r="B171" s="21" t="s">
        <v>44</v>
      </c>
      <c r="C171" s="21" t="s">
        <v>20</v>
      </c>
      <c r="D171" s="21" t="s">
        <v>22</v>
      </c>
      <c r="E171" s="21" t="s">
        <v>17</v>
      </c>
      <c r="F171" s="21"/>
      <c r="G171" s="24">
        <v>461.78</v>
      </c>
      <c r="H171" s="24"/>
      <c r="J171" s="21" t="s">
        <v>71</v>
      </c>
      <c r="K171" s="24">
        <v>49007.24</v>
      </c>
    </row>
    <row r="172" spans="1:11" x14ac:dyDescent="0.25">
      <c r="A172" s="76">
        <v>46019</v>
      </c>
      <c r="B172" s="21" t="s">
        <v>23</v>
      </c>
      <c r="C172" s="21" t="s">
        <v>12</v>
      </c>
      <c r="D172" s="21" t="s">
        <v>24</v>
      </c>
      <c r="E172" s="21" t="s">
        <v>17</v>
      </c>
      <c r="F172" s="21" t="s">
        <v>25</v>
      </c>
      <c r="G172" s="24">
        <v>70</v>
      </c>
      <c r="H172" s="24"/>
      <c r="J172" s="21" t="s">
        <v>71</v>
      </c>
      <c r="K172" s="24">
        <v>48937.24</v>
      </c>
    </row>
    <row r="173" spans="1:11" x14ac:dyDescent="0.25">
      <c r="A173" s="76">
        <v>46020</v>
      </c>
      <c r="B173" s="21" t="s">
        <v>360</v>
      </c>
      <c r="C173" s="21" t="s">
        <v>12</v>
      </c>
      <c r="D173" s="21" t="s">
        <v>19</v>
      </c>
      <c r="E173" s="21" t="s">
        <v>17</v>
      </c>
      <c r="F173" s="21" t="s">
        <v>25</v>
      </c>
      <c r="G173" s="24">
        <v>378.5</v>
      </c>
      <c r="H173" s="24"/>
      <c r="J173" s="21" t="s">
        <v>71</v>
      </c>
      <c r="K173" s="24">
        <v>48558.74</v>
      </c>
    </row>
    <row r="174" spans="1:11" x14ac:dyDescent="0.25">
      <c r="A174" s="76">
        <v>46020</v>
      </c>
      <c r="B174" s="21" t="s">
        <v>441</v>
      </c>
      <c r="C174" s="21" t="s">
        <v>12</v>
      </c>
      <c r="D174" s="21" t="s">
        <v>62</v>
      </c>
      <c r="E174" s="21" t="s">
        <v>14</v>
      </c>
      <c r="F174" s="21" t="s">
        <v>15</v>
      </c>
      <c r="G174" s="24">
        <v>227.65</v>
      </c>
      <c r="H174" s="24"/>
      <c r="J174" s="21" t="s">
        <v>71</v>
      </c>
      <c r="K174" s="24">
        <v>48331.09</v>
      </c>
    </row>
    <row r="175" spans="1:11" x14ac:dyDescent="0.25">
      <c r="A175" s="76">
        <v>46020</v>
      </c>
      <c r="B175" s="21" t="s">
        <v>45</v>
      </c>
      <c r="C175" s="21" t="s">
        <v>12</v>
      </c>
      <c r="D175" s="21" t="s">
        <v>24</v>
      </c>
      <c r="E175" s="21" t="s">
        <v>17</v>
      </c>
      <c r="F175" s="21" t="s">
        <v>25</v>
      </c>
      <c r="G175" s="24">
        <v>26</v>
      </c>
      <c r="H175" s="24"/>
      <c r="J175" s="21" t="s">
        <v>71</v>
      </c>
      <c r="K175" s="24">
        <v>48305.09</v>
      </c>
    </row>
    <row r="176" spans="1:11" x14ac:dyDescent="0.25">
      <c r="A176" s="76">
        <v>46020</v>
      </c>
      <c r="B176" s="21" t="s">
        <v>442</v>
      </c>
      <c r="C176" s="21" t="s">
        <v>12</v>
      </c>
      <c r="D176" s="21" t="s">
        <v>33</v>
      </c>
      <c r="E176" s="21" t="s">
        <v>14</v>
      </c>
      <c r="F176" s="21" t="s">
        <v>15</v>
      </c>
      <c r="G176" s="24">
        <v>50</v>
      </c>
      <c r="H176" s="24"/>
      <c r="J176" s="21" t="s">
        <v>71</v>
      </c>
      <c r="K176" s="24">
        <v>48255.09</v>
      </c>
    </row>
    <row r="177" spans="1:11" x14ac:dyDescent="0.25">
      <c r="A177" s="76">
        <v>46020</v>
      </c>
      <c r="B177" s="21" t="s">
        <v>393</v>
      </c>
      <c r="C177" s="21" t="s">
        <v>12</v>
      </c>
      <c r="D177" s="21" t="s">
        <v>19</v>
      </c>
      <c r="E177" s="21" t="s">
        <v>14</v>
      </c>
      <c r="F177" s="21" t="s">
        <v>15</v>
      </c>
      <c r="G177" s="24">
        <v>235</v>
      </c>
      <c r="H177" s="24"/>
      <c r="J177" s="21" t="s">
        <v>71</v>
      </c>
      <c r="K177" s="24">
        <v>48020.09</v>
      </c>
    </row>
    <row r="178" spans="1:11" x14ac:dyDescent="0.25">
      <c r="A178" s="76">
        <v>46020</v>
      </c>
      <c r="B178" s="21" t="s">
        <v>30</v>
      </c>
      <c r="C178" s="21" t="s">
        <v>20</v>
      </c>
      <c r="D178" s="21" t="s">
        <v>13</v>
      </c>
      <c r="E178" s="21"/>
      <c r="F178" s="21"/>
      <c r="G178" s="24">
        <v>6090</v>
      </c>
      <c r="H178" s="24"/>
      <c r="J178" s="21" t="s">
        <v>71</v>
      </c>
      <c r="K178" s="24">
        <v>54110.09</v>
      </c>
    </row>
    <row r="179" spans="1:11" x14ac:dyDescent="0.25">
      <c r="A179" s="76">
        <v>46020</v>
      </c>
      <c r="B179" s="21" t="s">
        <v>44</v>
      </c>
      <c r="C179" s="21" t="s">
        <v>20</v>
      </c>
      <c r="D179" s="21" t="s">
        <v>22</v>
      </c>
      <c r="E179" s="21" t="s">
        <v>17</v>
      </c>
      <c r="F179" s="21"/>
      <c r="G179" s="24">
        <v>284.18</v>
      </c>
      <c r="H179" s="24"/>
      <c r="J179" s="21" t="s">
        <v>71</v>
      </c>
      <c r="K179" s="24">
        <v>54394.27</v>
      </c>
    </row>
    <row r="180" spans="1:11" x14ac:dyDescent="0.25">
      <c r="A180" s="76">
        <v>46021</v>
      </c>
      <c r="B180" s="21" t="s">
        <v>392</v>
      </c>
      <c r="C180" s="21" t="s">
        <v>12</v>
      </c>
      <c r="D180" s="21" t="s">
        <v>39</v>
      </c>
      <c r="E180" s="21" t="s">
        <v>17</v>
      </c>
      <c r="F180" s="21"/>
      <c r="G180" s="24">
        <v>370</v>
      </c>
      <c r="H180" s="24"/>
      <c r="J180" s="21" t="s">
        <v>71</v>
      </c>
      <c r="K180" s="24">
        <v>54024.27</v>
      </c>
    </row>
    <row r="181" spans="1:11" x14ac:dyDescent="0.25">
      <c r="A181" s="76">
        <v>46021</v>
      </c>
      <c r="B181" s="21" t="s">
        <v>443</v>
      </c>
      <c r="C181" s="21" t="s">
        <v>12</v>
      </c>
      <c r="D181" s="21" t="s">
        <v>68</v>
      </c>
      <c r="E181" s="21" t="s">
        <v>17</v>
      </c>
      <c r="F181" s="21"/>
      <c r="G181" s="24">
        <v>600</v>
      </c>
      <c r="H181" s="24"/>
      <c r="J181" s="21" t="s">
        <v>71</v>
      </c>
      <c r="K181" s="24">
        <v>53424.27</v>
      </c>
    </row>
    <row r="182" spans="1:11" x14ac:dyDescent="0.25">
      <c r="A182" s="76">
        <v>46021</v>
      </c>
      <c r="B182" s="21" t="s">
        <v>444</v>
      </c>
      <c r="C182" s="21" t="s">
        <v>12</v>
      </c>
      <c r="D182" s="21" t="s">
        <v>19</v>
      </c>
      <c r="E182" s="21" t="s">
        <v>17</v>
      </c>
      <c r="F182" s="21"/>
      <c r="G182" s="24">
        <v>736</v>
      </c>
      <c r="H182" s="24"/>
      <c r="J182" s="21" t="s">
        <v>71</v>
      </c>
      <c r="K182" s="24">
        <v>52688.27</v>
      </c>
    </row>
    <row r="183" spans="1:11" x14ac:dyDescent="0.25">
      <c r="A183" s="76">
        <v>46021</v>
      </c>
      <c r="B183" s="21" t="s">
        <v>348</v>
      </c>
      <c r="C183" s="21" t="s">
        <v>12</v>
      </c>
      <c r="D183" s="21" t="s">
        <v>19</v>
      </c>
      <c r="E183" s="21" t="s">
        <v>17</v>
      </c>
      <c r="F183" s="21"/>
      <c r="G183" s="24">
        <v>2157.96</v>
      </c>
      <c r="H183" s="24"/>
      <c r="J183" s="21" t="s">
        <v>71</v>
      </c>
      <c r="K183" s="24">
        <v>50530.31</v>
      </c>
    </row>
    <row r="184" spans="1:11" x14ac:dyDescent="0.25">
      <c r="A184" s="76">
        <v>46021</v>
      </c>
      <c r="B184" s="21" t="s">
        <v>347</v>
      </c>
      <c r="C184" s="21" t="s">
        <v>12</v>
      </c>
      <c r="D184" s="21" t="s">
        <v>19</v>
      </c>
      <c r="E184" s="21" t="s">
        <v>17</v>
      </c>
      <c r="F184" s="21"/>
      <c r="G184" s="24">
        <v>1161.5</v>
      </c>
      <c r="H184" s="24"/>
      <c r="J184" s="21" t="s">
        <v>71</v>
      </c>
      <c r="K184" s="24">
        <v>49368.81</v>
      </c>
    </row>
    <row r="185" spans="1:11" x14ac:dyDescent="0.25">
      <c r="A185" s="76">
        <v>46021</v>
      </c>
      <c r="B185" s="21" t="s">
        <v>397</v>
      </c>
      <c r="C185" s="21" t="s">
        <v>12</v>
      </c>
      <c r="D185" s="21" t="s">
        <v>19</v>
      </c>
      <c r="E185" s="21" t="s">
        <v>17</v>
      </c>
      <c r="F185" s="21"/>
      <c r="G185" s="24">
        <v>708.88</v>
      </c>
      <c r="H185" s="24"/>
      <c r="J185" s="21" t="s">
        <v>71</v>
      </c>
      <c r="K185" s="24">
        <v>48659.93</v>
      </c>
    </row>
    <row r="186" spans="1:11" x14ac:dyDescent="0.25">
      <c r="A186" s="76">
        <v>46021</v>
      </c>
      <c r="B186" s="21" t="s">
        <v>13</v>
      </c>
      <c r="C186" s="21" t="s">
        <v>20</v>
      </c>
      <c r="D186" s="21" t="s">
        <v>13</v>
      </c>
      <c r="E186" s="21"/>
      <c r="F186" s="21"/>
      <c r="G186" s="24">
        <v>7250</v>
      </c>
      <c r="H186" s="24"/>
      <c r="J186" s="21" t="s">
        <v>71</v>
      </c>
      <c r="K186" s="24">
        <v>55909.93</v>
      </c>
    </row>
    <row r="187" spans="1:11" x14ac:dyDescent="0.25">
      <c r="A187" s="76">
        <v>46021</v>
      </c>
      <c r="B187" s="21" t="s">
        <v>44</v>
      </c>
      <c r="C187" s="21" t="s">
        <v>20</v>
      </c>
      <c r="D187" s="21" t="s">
        <v>22</v>
      </c>
      <c r="E187" s="21" t="s">
        <v>17</v>
      </c>
      <c r="F187" s="21"/>
      <c r="G187" s="24">
        <v>49.59</v>
      </c>
      <c r="H187" s="24"/>
      <c r="J187" s="21" t="s">
        <v>71</v>
      </c>
      <c r="K187" s="24">
        <v>55959.519999999997</v>
      </c>
    </row>
    <row r="188" spans="1:11" x14ac:dyDescent="0.25">
      <c r="A188" s="76">
        <v>46021</v>
      </c>
      <c r="B188" s="21" t="s">
        <v>23</v>
      </c>
      <c r="C188" s="21" t="s">
        <v>12</v>
      </c>
      <c r="D188" s="21" t="s">
        <v>24</v>
      </c>
      <c r="E188" s="21" t="s">
        <v>17</v>
      </c>
      <c r="F188" s="21" t="s">
        <v>25</v>
      </c>
      <c r="G188" s="24">
        <v>8</v>
      </c>
      <c r="H188" s="24"/>
      <c r="J188" s="21" t="s">
        <v>71</v>
      </c>
      <c r="K188" s="24">
        <v>55951.519999999997</v>
      </c>
    </row>
    <row r="189" spans="1:11" x14ac:dyDescent="0.25">
      <c r="A189" s="76">
        <v>46021</v>
      </c>
      <c r="B189" s="21" t="s">
        <v>11</v>
      </c>
      <c r="C189" s="21" t="s">
        <v>12</v>
      </c>
      <c r="D189" s="21" t="s">
        <v>19</v>
      </c>
      <c r="E189" s="21" t="s">
        <v>14</v>
      </c>
      <c r="F189" s="21" t="s">
        <v>15</v>
      </c>
      <c r="G189" s="24">
        <v>141</v>
      </c>
      <c r="H189" s="24"/>
      <c r="J189" s="21" t="s">
        <v>71</v>
      </c>
      <c r="K189" s="24">
        <v>55810.52</v>
      </c>
    </row>
    <row r="190" spans="1:11" x14ac:dyDescent="0.25">
      <c r="A190" s="76">
        <v>46021</v>
      </c>
      <c r="B190" s="21" t="s">
        <v>409</v>
      </c>
      <c r="C190" s="21" t="s">
        <v>12</v>
      </c>
      <c r="D190" s="21" t="s">
        <v>39</v>
      </c>
      <c r="E190" s="21" t="s">
        <v>14</v>
      </c>
      <c r="F190" s="21" t="s">
        <v>15</v>
      </c>
      <c r="G190" s="24">
        <v>2903.4</v>
      </c>
      <c r="H190" s="24"/>
      <c r="J190" s="21" t="s">
        <v>71</v>
      </c>
      <c r="K190" s="24">
        <v>52907.12</v>
      </c>
    </row>
    <row r="191" spans="1:11" x14ac:dyDescent="0.25">
      <c r="A191" s="76">
        <v>46022</v>
      </c>
      <c r="B191" s="21" t="s">
        <v>445</v>
      </c>
      <c r="C191" s="21" t="s">
        <v>12</v>
      </c>
      <c r="D191" s="21" t="s">
        <v>27</v>
      </c>
      <c r="E191" s="21" t="s">
        <v>17</v>
      </c>
      <c r="F191" s="21" t="s">
        <v>25</v>
      </c>
      <c r="G191" s="24">
        <v>218</v>
      </c>
      <c r="H191" s="24"/>
      <c r="J191" s="21" t="s">
        <v>71</v>
      </c>
      <c r="K191" s="24">
        <v>52689.120000000003</v>
      </c>
    </row>
    <row r="192" spans="1:11" x14ac:dyDescent="0.25">
      <c r="A192" s="76">
        <v>46022</v>
      </c>
      <c r="B192" s="21" t="s">
        <v>13</v>
      </c>
      <c r="C192" s="21" t="s">
        <v>20</v>
      </c>
      <c r="D192" s="21" t="s">
        <v>13</v>
      </c>
      <c r="E192" s="21"/>
      <c r="F192" s="21"/>
      <c r="G192" s="24"/>
      <c r="H192" s="24"/>
      <c r="J192" s="21" t="s">
        <v>71</v>
      </c>
      <c r="K192" s="24">
        <v>52689.120000000003</v>
      </c>
    </row>
    <row r="193" spans="1:11" x14ac:dyDescent="0.25">
      <c r="A193" s="76">
        <v>46022</v>
      </c>
      <c r="B193" s="21" t="s">
        <v>44</v>
      </c>
      <c r="C193" s="21" t="s">
        <v>20</v>
      </c>
      <c r="D193" s="21" t="s">
        <v>22</v>
      </c>
      <c r="E193" s="21"/>
      <c r="F193" s="21"/>
      <c r="G193" s="24"/>
      <c r="H193" s="24"/>
      <c r="J193" s="21" t="s">
        <v>71</v>
      </c>
      <c r="K193" s="24">
        <v>52689.120000000003</v>
      </c>
    </row>
    <row r="194" spans="1:11" x14ac:dyDescent="0.25">
      <c r="A194" s="76">
        <v>46022</v>
      </c>
      <c r="B194" s="21" t="s">
        <v>23</v>
      </c>
      <c r="C194" s="21" t="s">
        <v>12</v>
      </c>
      <c r="D194" s="21" t="s">
        <v>24</v>
      </c>
      <c r="E194" s="21" t="s">
        <v>17</v>
      </c>
      <c r="F194" s="21" t="s">
        <v>25</v>
      </c>
      <c r="G194" s="24"/>
      <c r="H194" s="24"/>
      <c r="J194" s="21" t="s">
        <v>71</v>
      </c>
      <c r="K194" s="24">
        <v>52689.120000000003</v>
      </c>
    </row>
    <row r="195" spans="1:11" x14ac:dyDescent="0.25">
      <c r="A195" s="76">
        <v>46022</v>
      </c>
      <c r="B195" s="21" t="s">
        <v>314</v>
      </c>
      <c r="C195" s="21" t="s">
        <v>12</v>
      </c>
      <c r="D195" s="21" t="s">
        <v>27</v>
      </c>
      <c r="E195" s="21" t="s">
        <v>17</v>
      </c>
      <c r="F195" s="21"/>
      <c r="G195" s="24">
        <v>2400</v>
      </c>
      <c r="H195" s="24"/>
      <c r="J195" s="21" t="s">
        <v>71</v>
      </c>
      <c r="K195" s="24">
        <v>50289.120000000003</v>
      </c>
    </row>
  </sheetData>
  <autoFilter ref="A1:K195" xr:uid="{00000000-0009-0000-0000-000006000000}"/>
  <phoneticPr fontId="1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2:K216"/>
  <sheetViews>
    <sheetView topLeftCell="A191" workbookViewId="0">
      <selection activeCell="J3" sqref="J3:J216"/>
    </sheetView>
  </sheetViews>
  <sheetFormatPr defaultColWidth="14.42578125" defaultRowHeight="15" customHeight="1" x14ac:dyDescent="0.25"/>
  <sheetData>
    <row r="2" spans="1:11" x14ac:dyDescent="0.25">
      <c r="A2" s="21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21"/>
      <c r="I2" s="21" t="s">
        <v>8</v>
      </c>
      <c r="J2" s="21" t="s">
        <v>9</v>
      </c>
      <c r="K2" s="21" t="s">
        <v>10</v>
      </c>
    </row>
    <row r="3" spans="1:11" x14ac:dyDescent="0.25">
      <c r="A3" s="76">
        <v>46024</v>
      </c>
      <c r="B3" s="21" t="s">
        <v>16</v>
      </c>
      <c r="C3" s="21" t="s">
        <v>12</v>
      </c>
      <c r="D3" s="21" t="s">
        <v>16</v>
      </c>
      <c r="E3" s="21" t="s">
        <v>17</v>
      </c>
      <c r="F3" s="21"/>
      <c r="G3" s="24">
        <v>13185</v>
      </c>
      <c r="H3" s="24"/>
      <c r="I3" s="21"/>
      <c r="J3" s="21" t="s">
        <v>446</v>
      </c>
      <c r="K3" s="24">
        <v>-13185</v>
      </c>
    </row>
    <row r="4" spans="1:11" x14ac:dyDescent="0.25">
      <c r="A4" s="76">
        <v>46024</v>
      </c>
      <c r="B4" s="21" t="s">
        <v>30</v>
      </c>
      <c r="C4" s="21" t="s">
        <v>20</v>
      </c>
      <c r="D4" s="21" t="s">
        <v>13</v>
      </c>
      <c r="E4" s="21"/>
      <c r="F4" s="21"/>
      <c r="G4" s="24">
        <v>10749</v>
      </c>
      <c r="H4" s="24"/>
      <c r="I4" s="21"/>
      <c r="J4" s="21" t="s">
        <v>446</v>
      </c>
      <c r="K4" s="24">
        <v>-2436</v>
      </c>
    </row>
    <row r="5" spans="1:11" x14ac:dyDescent="0.25">
      <c r="A5" s="76">
        <v>46024</v>
      </c>
      <c r="B5" s="21" t="s">
        <v>21</v>
      </c>
      <c r="C5" s="21" t="s">
        <v>20</v>
      </c>
      <c r="D5" s="21" t="s">
        <v>22</v>
      </c>
      <c r="E5" s="21"/>
      <c r="F5" s="21"/>
      <c r="G5" s="24">
        <v>228.9</v>
      </c>
      <c r="H5" s="24"/>
      <c r="I5" s="21"/>
      <c r="J5" s="21" t="s">
        <v>446</v>
      </c>
      <c r="K5" s="24">
        <v>-2207.1</v>
      </c>
    </row>
    <row r="6" spans="1:11" x14ac:dyDescent="0.25">
      <c r="A6" s="76">
        <v>46024</v>
      </c>
      <c r="B6" s="21" t="s">
        <v>23</v>
      </c>
      <c r="C6" s="21" t="s">
        <v>12</v>
      </c>
      <c r="D6" s="21" t="s">
        <v>24</v>
      </c>
      <c r="E6" s="21" t="s">
        <v>17</v>
      </c>
      <c r="F6" s="21" t="s">
        <v>25</v>
      </c>
      <c r="G6" s="24">
        <v>35</v>
      </c>
      <c r="H6" s="24"/>
      <c r="I6" s="21"/>
      <c r="J6" s="21" t="s">
        <v>446</v>
      </c>
      <c r="K6" s="24">
        <v>-2242.1</v>
      </c>
    </row>
    <row r="7" spans="1:11" x14ac:dyDescent="0.25">
      <c r="A7" s="76">
        <v>46024</v>
      </c>
      <c r="B7" s="21" t="s">
        <v>11</v>
      </c>
      <c r="C7" s="21" t="s">
        <v>12</v>
      </c>
      <c r="D7" s="21" t="s">
        <v>19</v>
      </c>
      <c r="E7" s="21" t="s">
        <v>14</v>
      </c>
      <c r="F7" s="21" t="s">
        <v>15</v>
      </c>
      <c r="G7" s="24">
        <v>188</v>
      </c>
      <c r="H7" s="24"/>
      <c r="I7" s="21"/>
      <c r="J7" s="21" t="s">
        <v>446</v>
      </c>
      <c r="K7" s="24">
        <v>-2430.1</v>
      </c>
    </row>
    <row r="8" spans="1:11" x14ac:dyDescent="0.25">
      <c r="A8" s="76">
        <v>46024</v>
      </c>
      <c r="B8" s="21" t="s">
        <v>360</v>
      </c>
      <c r="C8" s="21" t="s">
        <v>12</v>
      </c>
      <c r="D8" s="21" t="s">
        <v>19</v>
      </c>
      <c r="E8" s="21" t="s">
        <v>17</v>
      </c>
      <c r="F8" s="21" t="s">
        <v>25</v>
      </c>
      <c r="G8" s="24">
        <v>203.5</v>
      </c>
      <c r="H8" s="24"/>
      <c r="I8" s="21"/>
      <c r="J8" s="21" t="s">
        <v>446</v>
      </c>
      <c r="K8" s="24">
        <v>-2633.6</v>
      </c>
    </row>
    <row r="9" spans="1:11" x14ac:dyDescent="0.25">
      <c r="A9" s="76">
        <v>46024</v>
      </c>
      <c r="B9" s="21" t="s">
        <v>447</v>
      </c>
      <c r="C9" s="21" t="s">
        <v>12</v>
      </c>
      <c r="D9" s="21" t="s">
        <v>73</v>
      </c>
      <c r="E9" s="21" t="s">
        <v>17</v>
      </c>
      <c r="F9" s="21"/>
      <c r="G9" s="24">
        <v>5091.58</v>
      </c>
      <c r="H9" s="24"/>
      <c r="I9" s="21"/>
      <c r="J9" s="21" t="s">
        <v>446</v>
      </c>
      <c r="K9" s="24">
        <v>-7725.18</v>
      </c>
    </row>
    <row r="10" spans="1:11" x14ac:dyDescent="0.25">
      <c r="A10" s="76">
        <v>46024</v>
      </c>
      <c r="B10" s="21" t="s">
        <v>448</v>
      </c>
      <c r="C10" s="21" t="s">
        <v>12</v>
      </c>
      <c r="D10" s="21" t="s">
        <v>73</v>
      </c>
      <c r="E10" s="21" t="s">
        <v>17</v>
      </c>
      <c r="F10" s="21" t="s">
        <v>25</v>
      </c>
      <c r="G10" s="24">
        <v>8462.74</v>
      </c>
      <c r="H10" s="24"/>
      <c r="I10" s="21"/>
      <c r="J10" s="21" t="s">
        <v>446</v>
      </c>
      <c r="K10" s="24">
        <v>-16187.92</v>
      </c>
    </row>
    <row r="11" spans="1:11" x14ac:dyDescent="0.25">
      <c r="A11" s="76">
        <v>46025</v>
      </c>
      <c r="B11" s="21" t="s">
        <v>11</v>
      </c>
      <c r="C11" s="21" t="s">
        <v>12</v>
      </c>
      <c r="D11" s="21" t="s">
        <v>19</v>
      </c>
      <c r="E11" s="21" t="s">
        <v>14</v>
      </c>
      <c r="F11" s="21" t="s">
        <v>15</v>
      </c>
      <c r="G11" s="24">
        <v>300</v>
      </c>
      <c r="H11" s="24"/>
      <c r="I11" s="21"/>
      <c r="J11" s="21" t="s">
        <v>446</v>
      </c>
      <c r="K11" s="24">
        <v>-16487.919999999998</v>
      </c>
    </row>
    <row r="12" spans="1:11" x14ac:dyDescent="0.25">
      <c r="A12" s="76">
        <v>46025</v>
      </c>
      <c r="B12" s="21" t="s">
        <v>33</v>
      </c>
      <c r="C12" s="21" t="s">
        <v>12</v>
      </c>
      <c r="D12" s="21" t="s">
        <v>33</v>
      </c>
      <c r="E12" s="21" t="s">
        <v>14</v>
      </c>
      <c r="F12" s="21" t="s">
        <v>15</v>
      </c>
      <c r="G12" s="24">
        <v>150</v>
      </c>
      <c r="H12" s="24"/>
      <c r="I12" s="21"/>
      <c r="J12" s="21" t="s">
        <v>446</v>
      </c>
      <c r="K12" s="24">
        <v>-16637.919999999998</v>
      </c>
    </row>
    <row r="13" spans="1:11" x14ac:dyDescent="0.25">
      <c r="A13" s="76">
        <v>46025</v>
      </c>
      <c r="B13" s="21" t="s">
        <v>13</v>
      </c>
      <c r="C13" s="21" t="s">
        <v>20</v>
      </c>
      <c r="D13" s="21" t="s">
        <v>13</v>
      </c>
      <c r="E13" s="21"/>
      <c r="F13" s="21"/>
      <c r="G13" s="24">
        <v>12622</v>
      </c>
      <c r="H13" s="24"/>
      <c r="I13" s="21"/>
      <c r="J13" s="21" t="s">
        <v>446</v>
      </c>
      <c r="K13" s="24">
        <v>-4015.9199999999978</v>
      </c>
    </row>
    <row r="14" spans="1:11" x14ac:dyDescent="0.25">
      <c r="A14" s="76">
        <v>46025</v>
      </c>
      <c r="B14" s="21" t="s">
        <v>21</v>
      </c>
      <c r="C14" s="21" t="s">
        <v>20</v>
      </c>
      <c r="D14" s="21" t="s">
        <v>22</v>
      </c>
      <c r="E14" s="21" t="s">
        <v>17</v>
      </c>
      <c r="F14" s="21"/>
      <c r="G14" s="24">
        <v>183.15</v>
      </c>
      <c r="H14" s="24"/>
      <c r="I14" s="21"/>
      <c r="J14" s="21" t="s">
        <v>446</v>
      </c>
      <c r="K14" s="24">
        <v>-3832.7699999999982</v>
      </c>
    </row>
    <row r="15" spans="1:11" x14ac:dyDescent="0.25">
      <c r="A15" s="76">
        <v>46025</v>
      </c>
      <c r="B15" s="21" t="s">
        <v>23</v>
      </c>
      <c r="C15" s="21" t="s">
        <v>12</v>
      </c>
      <c r="D15" s="21" t="s">
        <v>24</v>
      </c>
      <c r="E15" s="21" t="s">
        <v>17</v>
      </c>
      <c r="F15" s="21" t="s">
        <v>25</v>
      </c>
      <c r="G15" s="24">
        <v>44</v>
      </c>
      <c r="H15" s="24"/>
      <c r="I15" s="21"/>
      <c r="J15" s="21" t="s">
        <v>446</v>
      </c>
      <c r="K15" s="24">
        <v>-3876.7699999999982</v>
      </c>
    </row>
    <row r="16" spans="1:11" x14ac:dyDescent="0.25">
      <c r="A16" s="76">
        <v>46026</v>
      </c>
      <c r="B16" s="21" t="s">
        <v>11</v>
      </c>
      <c r="C16" s="21" t="s">
        <v>12</v>
      </c>
      <c r="D16" s="21" t="s">
        <v>19</v>
      </c>
      <c r="E16" s="21" t="s">
        <v>14</v>
      </c>
      <c r="F16" s="21" t="s">
        <v>15</v>
      </c>
      <c r="G16" s="24">
        <v>235</v>
      </c>
      <c r="H16" s="24"/>
      <c r="I16" s="21"/>
      <c r="J16" s="21" t="s">
        <v>446</v>
      </c>
      <c r="K16" s="24">
        <v>-4111.7699999999986</v>
      </c>
    </row>
    <row r="17" spans="1:11" x14ac:dyDescent="0.25">
      <c r="A17" s="76">
        <v>46026</v>
      </c>
      <c r="B17" s="21" t="s">
        <v>33</v>
      </c>
      <c r="C17" s="21" t="s">
        <v>12</v>
      </c>
      <c r="D17" s="21" t="s">
        <v>33</v>
      </c>
      <c r="E17" s="21" t="s">
        <v>14</v>
      </c>
      <c r="F17" s="21" t="s">
        <v>15</v>
      </c>
      <c r="G17" s="24">
        <v>270</v>
      </c>
      <c r="H17" s="24"/>
      <c r="I17" s="21"/>
      <c r="J17" s="21" t="s">
        <v>446</v>
      </c>
      <c r="K17" s="24">
        <v>-4381.7699999999986</v>
      </c>
    </row>
    <row r="18" spans="1:11" x14ac:dyDescent="0.25">
      <c r="A18" s="76">
        <v>46026</v>
      </c>
      <c r="B18" s="21" t="s">
        <v>13</v>
      </c>
      <c r="C18" s="21" t="s">
        <v>20</v>
      </c>
      <c r="D18" s="21" t="s">
        <v>13</v>
      </c>
      <c r="E18" s="21"/>
      <c r="F18" s="21"/>
      <c r="G18" s="24">
        <v>12260</v>
      </c>
      <c r="H18" s="24"/>
      <c r="I18" s="21"/>
      <c r="J18" s="21" t="s">
        <v>446</v>
      </c>
      <c r="K18" s="24">
        <v>7878.2300000000014</v>
      </c>
    </row>
    <row r="19" spans="1:11" x14ac:dyDescent="0.25">
      <c r="A19" s="76">
        <v>46026</v>
      </c>
      <c r="B19" s="21" t="s">
        <v>21</v>
      </c>
      <c r="C19" s="21" t="s">
        <v>20</v>
      </c>
      <c r="D19" s="21" t="s">
        <v>22</v>
      </c>
      <c r="E19" s="21" t="s">
        <v>17</v>
      </c>
      <c r="F19" s="21"/>
      <c r="G19" s="24">
        <v>798.02</v>
      </c>
      <c r="H19" s="24"/>
      <c r="I19" s="21"/>
      <c r="J19" s="21" t="s">
        <v>446</v>
      </c>
      <c r="K19" s="24">
        <v>8676.2500000000018</v>
      </c>
    </row>
    <row r="20" spans="1:11" x14ac:dyDescent="0.25">
      <c r="A20" s="76">
        <v>46026</v>
      </c>
      <c r="B20" s="21" t="s">
        <v>23</v>
      </c>
      <c r="C20" s="21" t="s">
        <v>12</v>
      </c>
      <c r="D20" s="21" t="s">
        <v>24</v>
      </c>
      <c r="E20" s="21" t="s">
        <v>17</v>
      </c>
      <c r="F20" s="21" t="s">
        <v>25</v>
      </c>
      <c r="G20" s="24">
        <v>95</v>
      </c>
      <c r="H20" s="24"/>
      <c r="I20" s="21"/>
      <c r="J20" s="21" t="s">
        <v>446</v>
      </c>
      <c r="K20" s="24">
        <v>8581.2500000000018</v>
      </c>
    </row>
    <row r="21" spans="1:11" x14ac:dyDescent="0.25">
      <c r="A21" s="76">
        <v>46027</v>
      </c>
      <c r="B21" s="21" t="s">
        <v>450</v>
      </c>
      <c r="C21" s="21" t="s">
        <v>12</v>
      </c>
      <c r="D21" s="21" t="s">
        <v>62</v>
      </c>
      <c r="E21" s="21" t="s">
        <v>17</v>
      </c>
      <c r="F21" s="21"/>
      <c r="G21" s="24">
        <v>929.88</v>
      </c>
      <c r="H21" s="24"/>
      <c r="I21" s="21"/>
      <c r="J21" s="21" t="s">
        <v>446</v>
      </c>
      <c r="K21" s="24">
        <v>7651.3700000000017</v>
      </c>
    </row>
    <row r="22" spans="1:11" x14ac:dyDescent="0.25">
      <c r="A22" s="76">
        <v>46027</v>
      </c>
      <c r="B22" s="21" t="s">
        <v>340</v>
      </c>
      <c r="C22" s="21" t="s">
        <v>12</v>
      </c>
      <c r="D22" s="21" t="s">
        <v>19</v>
      </c>
      <c r="E22" s="21" t="s">
        <v>17</v>
      </c>
      <c r="F22" s="21"/>
      <c r="G22" s="24">
        <v>1115.22</v>
      </c>
      <c r="H22" s="24"/>
      <c r="I22" s="21"/>
      <c r="J22" s="21" t="s">
        <v>446</v>
      </c>
      <c r="K22" s="24">
        <v>6536.1500000000005</v>
      </c>
    </row>
    <row r="23" spans="1:11" x14ac:dyDescent="0.25">
      <c r="A23" s="76">
        <v>46027</v>
      </c>
      <c r="B23" s="21" t="s">
        <v>340</v>
      </c>
      <c r="C23" s="21" t="s">
        <v>12</v>
      </c>
      <c r="D23" s="21" t="s">
        <v>19</v>
      </c>
      <c r="E23" s="21" t="s">
        <v>17</v>
      </c>
      <c r="F23" s="21"/>
      <c r="G23" s="24">
        <v>833.98</v>
      </c>
      <c r="H23" s="24"/>
      <c r="I23" s="21"/>
      <c r="J23" s="21" t="s">
        <v>446</v>
      </c>
      <c r="K23" s="24">
        <v>5702.1700000000019</v>
      </c>
    </row>
    <row r="24" spans="1:11" x14ac:dyDescent="0.25">
      <c r="A24" s="76">
        <v>46027</v>
      </c>
      <c r="B24" s="21" t="s">
        <v>451</v>
      </c>
      <c r="C24" s="21" t="s">
        <v>12</v>
      </c>
      <c r="D24" s="21" t="s">
        <v>19</v>
      </c>
      <c r="E24" s="21" t="s">
        <v>17</v>
      </c>
      <c r="F24" s="21"/>
      <c r="G24" s="24">
        <v>315</v>
      </c>
      <c r="H24" s="24"/>
      <c r="I24" s="21"/>
      <c r="J24" s="21" t="s">
        <v>446</v>
      </c>
      <c r="K24" s="24">
        <v>5387.1700000000019</v>
      </c>
    </row>
    <row r="25" spans="1:11" x14ac:dyDescent="0.25">
      <c r="A25" s="76">
        <v>46027</v>
      </c>
      <c r="B25" s="21" t="s">
        <v>452</v>
      </c>
      <c r="C25" s="21" t="s">
        <v>12</v>
      </c>
      <c r="D25" s="21" t="s">
        <v>19</v>
      </c>
      <c r="E25" s="21" t="s">
        <v>17</v>
      </c>
      <c r="F25" s="21"/>
      <c r="G25" s="24">
        <v>646</v>
      </c>
      <c r="H25" s="24"/>
      <c r="I25" s="21"/>
      <c r="J25" s="21" t="s">
        <v>446</v>
      </c>
      <c r="K25" s="24">
        <v>4741.1700000000019</v>
      </c>
    </row>
    <row r="26" spans="1:11" x14ac:dyDescent="0.25">
      <c r="A26" s="76">
        <v>46027</v>
      </c>
      <c r="B26" s="21" t="s">
        <v>38</v>
      </c>
      <c r="C26" s="21" t="s">
        <v>12</v>
      </c>
      <c r="D26" s="21" t="s">
        <v>39</v>
      </c>
      <c r="E26" s="21" t="s">
        <v>17</v>
      </c>
      <c r="F26" s="21"/>
      <c r="G26" s="24">
        <v>9000</v>
      </c>
      <c r="H26" s="24"/>
      <c r="I26" s="21"/>
      <c r="J26" s="21" t="s">
        <v>446</v>
      </c>
      <c r="K26" s="24">
        <v>-4258.8299999999981</v>
      </c>
    </row>
    <row r="27" spans="1:11" x14ac:dyDescent="0.25">
      <c r="A27" s="76">
        <v>46027</v>
      </c>
      <c r="B27" s="21" t="s">
        <v>11</v>
      </c>
      <c r="C27" s="21" t="s">
        <v>12</v>
      </c>
      <c r="D27" s="21" t="s">
        <v>19</v>
      </c>
      <c r="E27" s="21" t="s">
        <v>14</v>
      </c>
      <c r="F27" s="21"/>
      <c r="G27" s="24">
        <v>141</v>
      </c>
      <c r="H27" s="24"/>
      <c r="I27" s="21"/>
      <c r="J27" s="21" t="s">
        <v>446</v>
      </c>
      <c r="K27" s="24">
        <v>-4399.8299999999981</v>
      </c>
    </row>
    <row r="28" spans="1:11" x14ac:dyDescent="0.25">
      <c r="A28" s="76">
        <v>46027</v>
      </c>
      <c r="B28" s="21" t="s">
        <v>13</v>
      </c>
      <c r="C28" s="21" t="s">
        <v>20</v>
      </c>
      <c r="D28" s="21" t="s">
        <v>13</v>
      </c>
      <c r="E28" s="21"/>
      <c r="F28" s="21"/>
      <c r="G28" s="24">
        <v>4473</v>
      </c>
      <c r="H28" s="24"/>
      <c r="I28" s="21"/>
      <c r="J28" s="21" t="s">
        <v>446</v>
      </c>
      <c r="K28" s="24">
        <v>73.170000000001892</v>
      </c>
    </row>
    <row r="29" spans="1:11" x14ac:dyDescent="0.25">
      <c r="A29" s="76">
        <v>46027</v>
      </c>
      <c r="B29" s="21" t="s">
        <v>21</v>
      </c>
      <c r="C29" s="21" t="s">
        <v>20</v>
      </c>
      <c r="D29" s="21" t="s">
        <v>22</v>
      </c>
      <c r="E29" s="21" t="s">
        <v>17</v>
      </c>
      <c r="F29" s="21"/>
      <c r="G29" s="24">
        <v>96.29</v>
      </c>
      <c r="H29" s="24"/>
      <c r="I29" s="21"/>
      <c r="J29" s="21" t="s">
        <v>446</v>
      </c>
      <c r="K29" s="24">
        <v>169.46000000000191</v>
      </c>
    </row>
    <row r="30" spans="1:11" x14ac:dyDescent="0.25">
      <c r="A30" s="76">
        <v>46027</v>
      </c>
      <c r="B30" s="21" t="s">
        <v>23</v>
      </c>
      <c r="C30" s="21" t="s">
        <v>12</v>
      </c>
      <c r="D30" s="21" t="s">
        <v>24</v>
      </c>
      <c r="E30" s="21" t="s">
        <v>17</v>
      </c>
      <c r="F30" s="21"/>
      <c r="G30" s="24">
        <v>8</v>
      </c>
      <c r="H30" s="24"/>
      <c r="I30" s="21"/>
      <c r="J30" s="21" t="s">
        <v>446</v>
      </c>
      <c r="K30" s="24">
        <v>161.46000000000191</v>
      </c>
    </row>
    <row r="31" spans="1:11" x14ac:dyDescent="0.25">
      <c r="A31" s="76">
        <v>46027</v>
      </c>
      <c r="B31" s="21" t="s">
        <v>325</v>
      </c>
      <c r="C31" s="21" t="s">
        <v>12</v>
      </c>
      <c r="D31" s="21" t="s">
        <v>325</v>
      </c>
      <c r="E31" s="21" t="s">
        <v>17</v>
      </c>
      <c r="F31" s="21"/>
      <c r="G31" s="24">
        <v>5371.8</v>
      </c>
      <c r="H31" s="24"/>
      <c r="I31" s="21"/>
      <c r="J31" s="21" t="s">
        <v>446</v>
      </c>
      <c r="K31" s="24">
        <v>-5210.3399999999983</v>
      </c>
    </row>
    <row r="32" spans="1:11" x14ac:dyDescent="0.25">
      <c r="A32" s="76">
        <v>46027</v>
      </c>
      <c r="B32" s="21" t="s">
        <v>453</v>
      </c>
      <c r="C32" s="21" t="s">
        <v>12</v>
      </c>
      <c r="D32" s="21" t="s">
        <v>68</v>
      </c>
      <c r="E32" s="21" t="s">
        <v>17</v>
      </c>
      <c r="F32" s="21"/>
      <c r="G32" s="24">
        <v>1000</v>
      </c>
      <c r="H32" s="24"/>
      <c r="I32" s="21"/>
      <c r="J32" s="21" t="s">
        <v>446</v>
      </c>
      <c r="K32" s="24">
        <v>-6210.3399999999983</v>
      </c>
    </row>
    <row r="33" spans="1:11" x14ac:dyDescent="0.25">
      <c r="A33" s="76">
        <v>46028</v>
      </c>
      <c r="B33" s="21" t="s">
        <v>377</v>
      </c>
      <c r="C33" s="21" t="s">
        <v>12</v>
      </c>
      <c r="D33" s="21" t="s">
        <v>62</v>
      </c>
      <c r="E33" s="21" t="s">
        <v>14</v>
      </c>
      <c r="F33" s="21" t="s">
        <v>15</v>
      </c>
      <c r="G33" s="24">
        <v>20</v>
      </c>
      <c r="H33" s="24"/>
      <c r="I33" s="21"/>
      <c r="J33" s="21" t="s">
        <v>446</v>
      </c>
      <c r="K33" s="24">
        <v>-6230.3399999999983</v>
      </c>
    </row>
    <row r="34" spans="1:11" x14ac:dyDescent="0.25">
      <c r="A34" s="76">
        <v>46028</v>
      </c>
      <c r="B34" s="21" t="s">
        <v>13</v>
      </c>
      <c r="C34" s="21" t="s">
        <v>20</v>
      </c>
      <c r="D34" s="21" t="s">
        <v>13</v>
      </c>
      <c r="E34" s="21"/>
      <c r="F34" s="21"/>
      <c r="G34" s="24">
        <v>4131</v>
      </c>
      <c r="H34" s="24"/>
      <c r="I34" s="21"/>
      <c r="J34" s="21" t="s">
        <v>446</v>
      </c>
      <c r="K34" s="24">
        <v>-2099.3399999999979</v>
      </c>
    </row>
    <row r="35" spans="1:11" x14ac:dyDescent="0.25">
      <c r="A35" s="76">
        <v>46028</v>
      </c>
      <c r="B35" s="21" t="s">
        <v>21</v>
      </c>
      <c r="C35" s="21" t="s">
        <v>20</v>
      </c>
      <c r="D35" s="21" t="s">
        <v>22</v>
      </c>
      <c r="E35" s="21" t="s">
        <v>17</v>
      </c>
      <c r="F35" s="21"/>
      <c r="G35" s="24">
        <v>19.600000000000001</v>
      </c>
      <c r="H35" s="24"/>
      <c r="I35" s="21"/>
      <c r="J35" s="21" t="s">
        <v>446</v>
      </c>
      <c r="K35" s="24">
        <v>-2079.739999999998</v>
      </c>
    </row>
    <row r="36" spans="1:11" x14ac:dyDescent="0.25">
      <c r="A36" s="76">
        <v>46028</v>
      </c>
      <c r="B36" s="21" t="s">
        <v>23</v>
      </c>
      <c r="C36" s="21" t="s">
        <v>12</v>
      </c>
      <c r="D36" s="21" t="s">
        <v>24</v>
      </c>
      <c r="E36" s="21" t="s">
        <v>17</v>
      </c>
      <c r="F36" s="21"/>
      <c r="G36" s="24">
        <v>0</v>
      </c>
      <c r="H36" s="24"/>
      <c r="I36" s="21"/>
      <c r="J36" s="21" t="s">
        <v>446</v>
      </c>
      <c r="K36" s="24">
        <v>-2079.739999999998</v>
      </c>
    </row>
    <row r="37" spans="1:11" x14ac:dyDescent="0.25">
      <c r="A37" s="76">
        <v>46028</v>
      </c>
      <c r="B37" s="21" t="s">
        <v>451</v>
      </c>
      <c r="C37" s="21" t="s">
        <v>12</v>
      </c>
      <c r="D37" s="21" t="s">
        <v>19</v>
      </c>
      <c r="E37" s="21" t="s">
        <v>17</v>
      </c>
      <c r="F37" s="21" t="s">
        <v>25</v>
      </c>
      <c r="G37" s="24">
        <v>290</v>
      </c>
      <c r="H37" s="24"/>
      <c r="I37" s="21"/>
      <c r="J37" s="21" t="s">
        <v>446</v>
      </c>
      <c r="K37" s="24">
        <v>-2369.739999999998</v>
      </c>
    </row>
    <row r="38" spans="1:11" x14ac:dyDescent="0.25">
      <c r="A38" s="76">
        <v>46028</v>
      </c>
      <c r="B38" s="21" t="s">
        <v>308</v>
      </c>
      <c r="C38" s="21" t="s">
        <v>12</v>
      </c>
      <c r="D38" s="21" t="s">
        <v>19</v>
      </c>
      <c r="E38" s="21" t="s">
        <v>17</v>
      </c>
      <c r="F38" s="21"/>
      <c r="G38" s="24">
        <v>3208.22</v>
      </c>
      <c r="H38" s="24"/>
      <c r="I38" s="21"/>
      <c r="J38" s="21" t="s">
        <v>446</v>
      </c>
      <c r="K38" s="24">
        <v>-5577.9599999999982</v>
      </c>
    </row>
    <row r="39" spans="1:11" x14ac:dyDescent="0.25">
      <c r="A39" s="76">
        <v>46028</v>
      </c>
      <c r="B39" s="21" t="s">
        <v>365</v>
      </c>
      <c r="C39" s="21" t="s">
        <v>12</v>
      </c>
      <c r="D39" s="21" t="s">
        <v>62</v>
      </c>
      <c r="E39" s="21" t="s">
        <v>17</v>
      </c>
      <c r="F39" s="21"/>
      <c r="G39" s="24">
        <v>476.59</v>
      </c>
      <c r="H39" s="24"/>
      <c r="I39" s="21"/>
      <c r="J39" s="21" t="s">
        <v>446</v>
      </c>
      <c r="K39" s="24">
        <v>-6054.5499999999984</v>
      </c>
    </row>
    <row r="40" spans="1:11" x14ac:dyDescent="0.25">
      <c r="A40" s="76">
        <v>46028</v>
      </c>
      <c r="B40" s="21" t="s">
        <v>346</v>
      </c>
      <c r="C40" s="21" t="s">
        <v>12</v>
      </c>
      <c r="D40" s="21" t="s">
        <v>19</v>
      </c>
      <c r="E40" s="21" t="s">
        <v>17</v>
      </c>
      <c r="F40" s="21"/>
      <c r="G40" s="24">
        <v>3409.49</v>
      </c>
      <c r="H40" s="24"/>
      <c r="I40" s="21"/>
      <c r="J40" s="21" t="s">
        <v>446</v>
      </c>
      <c r="K40" s="24">
        <v>-9464.0399999999972</v>
      </c>
    </row>
    <row r="41" spans="1:11" x14ac:dyDescent="0.25">
      <c r="A41" s="76">
        <v>46028</v>
      </c>
      <c r="B41" s="21" t="s">
        <v>454</v>
      </c>
      <c r="C41" s="21" t="s">
        <v>12</v>
      </c>
      <c r="D41" s="21" t="s">
        <v>19</v>
      </c>
      <c r="E41" s="21" t="s">
        <v>17</v>
      </c>
      <c r="F41" s="21"/>
      <c r="G41" s="24">
        <v>2269.2600000000002</v>
      </c>
      <c r="H41" s="24"/>
      <c r="I41" s="21"/>
      <c r="J41" s="21" t="s">
        <v>446</v>
      </c>
      <c r="K41" s="24">
        <v>-11733.3</v>
      </c>
    </row>
    <row r="42" spans="1:11" x14ac:dyDescent="0.25">
      <c r="A42" s="76">
        <v>46028</v>
      </c>
      <c r="B42" s="21" t="s">
        <v>346</v>
      </c>
      <c r="C42" s="21" t="s">
        <v>12</v>
      </c>
      <c r="D42" s="21" t="s">
        <v>19</v>
      </c>
      <c r="E42" s="21" t="s">
        <v>17</v>
      </c>
      <c r="F42" s="21"/>
      <c r="G42" s="24">
        <v>2707.7</v>
      </c>
      <c r="H42" s="24"/>
      <c r="I42" s="21"/>
      <c r="J42" s="21" t="s">
        <v>446</v>
      </c>
      <c r="K42" s="24">
        <v>-14441</v>
      </c>
    </row>
    <row r="43" spans="1:11" x14ac:dyDescent="0.25">
      <c r="A43" s="76">
        <v>46028</v>
      </c>
      <c r="B43" s="21" t="s">
        <v>455</v>
      </c>
      <c r="C43" s="21" t="s">
        <v>12</v>
      </c>
      <c r="D43" s="21" t="s">
        <v>39</v>
      </c>
      <c r="E43" s="21" t="s">
        <v>17</v>
      </c>
      <c r="F43" s="21"/>
      <c r="G43" s="24">
        <v>102.2</v>
      </c>
      <c r="H43" s="24"/>
      <c r="I43" s="21"/>
      <c r="J43" s="21" t="s">
        <v>446</v>
      </c>
      <c r="K43" s="24">
        <v>-14543.2</v>
      </c>
    </row>
    <row r="44" spans="1:11" x14ac:dyDescent="0.25">
      <c r="A44" s="76">
        <v>46028</v>
      </c>
      <c r="B44" s="21" t="s">
        <v>456</v>
      </c>
      <c r="C44" s="21" t="s">
        <v>12</v>
      </c>
      <c r="D44" s="21" t="s">
        <v>19</v>
      </c>
      <c r="E44" s="21" t="s">
        <v>17</v>
      </c>
      <c r="F44" s="21"/>
      <c r="G44" s="24">
        <v>1028.1199999999999</v>
      </c>
      <c r="H44" s="24"/>
      <c r="I44" s="21"/>
      <c r="J44" s="21" t="s">
        <v>446</v>
      </c>
      <c r="K44" s="24">
        <v>-15571.32</v>
      </c>
    </row>
    <row r="45" spans="1:11" x14ac:dyDescent="0.25">
      <c r="A45" s="76">
        <v>46028</v>
      </c>
      <c r="B45" s="21" t="s">
        <v>11</v>
      </c>
      <c r="C45" s="21" t="s">
        <v>12</v>
      </c>
      <c r="D45" s="21" t="s">
        <v>19</v>
      </c>
      <c r="E45" s="21" t="s">
        <v>14</v>
      </c>
      <c r="F45" s="21" t="s">
        <v>15</v>
      </c>
      <c r="G45" s="24">
        <v>47</v>
      </c>
      <c r="H45" s="24"/>
      <c r="I45" s="21"/>
      <c r="J45" s="21" t="s">
        <v>446</v>
      </c>
      <c r="K45" s="24">
        <v>-15618.32</v>
      </c>
    </row>
    <row r="46" spans="1:11" x14ac:dyDescent="0.25">
      <c r="A46" s="76">
        <v>46029</v>
      </c>
      <c r="B46" s="21" t="s">
        <v>457</v>
      </c>
      <c r="C46" s="21" t="s">
        <v>12</v>
      </c>
      <c r="D46" s="21" t="s">
        <v>60</v>
      </c>
      <c r="E46" s="21" t="s">
        <v>17</v>
      </c>
      <c r="F46" s="21"/>
      <c r="G46" s="24">
        <v>342.77</v>
      </c>
      <c r="H46" s="24"/>
      <c r="J46" s="21" t="s">
        <v>446</v>
      </c>
      <c r="K46" s="24">
        <v>-15961.09</v>
      </c>
    </row>
    <row r="47" spans="1:11" x14ac:dyDescent="0.25">
      <c r="A47" s="76">
        <v>46029</v>
      </c>
      <c r="B47" s="21" t="s">
        <v>458</v>
      </c>
      <c r="C47" s="21" t="s">
        <v>12</v>
      </c>
      <c r="D47" s="21" t="s">
        <v>27</v>
      </c>
      <c r="E47" s="21" t="s">
        <v>17</v>
      </c>
      <c r="F47" s="21" t="s">
        <v>25</v>
      </c>
      <c r="G47" s="24">
        <v>8362.66</v>
      </c>
      <c r="H47" s="24"/>
      <c r="J47" s="21" t="s">
        <v>446</v>
      </c>
      <c r="K47" s="24">
        <v>-24323.75</v>
      </c>
    </row>
    <row r="48" spans="1:11" x14ac:dyDescent="0.25">
      <c r="A48" s="76">
        <v>46029</v>
      </c>
      <c r="B48" s="21" t="s">
        <v>459</v>
      </c>
      <c r="C48" s="21" t="s">
        <v>12</v>
      </c>
      <c r="D48" s="21" t="s">
        <v>27</v>
      </c>
      <c r="E48" s="21" t="s">
        <v>17</v>
      </c>
      <c r="F48" s="21" t="s">
        <v>25</v>
      </c>
      <c r="G48" s="24">
        <v>4000</v>
      </c>
      <c r="H48" s="24"/>
      <c r="J48" s="21" t="s">
        <v>446</v>
      </c>
      <c r="K48" s="24">
        <v>-28323.75</v>
      </c>
    </row>
    <row r="49" spans="1:11" x14ac:dyDescent="0.25">
      <c r="A49" s="76">
        <v>46029</v>
      </c>
      <c r="B49" s="21" t="s">
        <v>13</v>
      </c>
      <c r="C49" s="21" t="s">
        <v>20</v>
      </c>
      <c r="D49" s="21" t="s">
        <v>13</v>
      </c>
      <c r="E49" s="21"/>
      <c r="F49" s="21"/>
      <c r="G49" s="24">
        <v>3146</v>
      </c>
      <c r="H49" s="24"/>
      <c r="J49" s="21" t="s">
        <v>446</v>
      </c>
      <c r="K49" s="24">
        <v>-25177.75</v>
      </c>
    </row>
    <row r="50" spans="1:11" x14ac:dyDescent="0.25">
      <c r="A50" s="76">
        <v>46029</v>
      </c>
      <c r="B50" s="21" t="s">
        <v>460</v>
      </c>
      <c r="C50" s="21" t="s">
        <v>20</v>
      </c>
      <c r="D50" s="21" t="s">
        <v>22</v>
      </c>
      <c r="E50" s="21" t="s">
        <v>17</v>
      </c>
      <c r="F50" s="21"/>
      <c r="G50" s="24">
        <v>0</v>
      </c>
      <c r="H50" s="24"/>
      <c r="J50" s="21" t="s">
        <v>446</v>
      </c>
      <c r="K50" s="24">
        <v>-25177.75</v>
      </c>
    </row>
    <row r="51" spans="1:11" x14ac:dyDescent="0.25">
      <c r="A51" s="76">
        <v>46029</v>
      </c>
      <c r="B51" s="21" t="s">
        <v>45</v>
      </c>
      <c r="C51" s="21" t="s">
        <v>12</v>
      </c>
      <c r="D51" s="21" t="s">
        <v>24</v>
      </c>
      <c r="E51" s="21" t="s">
        <v>17</v>
      </c>
      <c r="F51" s="21" t="s">
        <v>25</v>
      </c>
      <c r="G51" s="24">
        <v>0</v>
      </c>
      <c r="H51" s="24"/>
      <c r="J51" s="21" t="s">
        <v>446</v>
      </c>
      <c r="K51" s="24">
        <v>-25177.75</v>
      </c>
    </row>
    <row r="52" spans="1:11" x14ac:dyDescent="0.25">
      <c r="A52" s="76">
        <v>46029</v>
      </c>
      <c r="B52" s="21" t="s">
        <v>11</v>
      </c>
      <c r="C52" s="21" t="s">
        <v>12</v>
      </c>
      <c r="D52" s="21" t="s">
        <v>19</v>
      </c>
      <c r="E52" s="21" t="s">
        <v>14</v>
      </c>
      <c r="F52" s="21" t="s">
        <v>15</v>
      </c>
      <c r="G52" s="24">
        <v>244</v>
      </c>
      <c r="H52" s="24"/>
      <c r="J52" s="21" t="s">
        <v>446</v>
      </c>
      <c r="K52" s="24">
        <v>-25421.75</v>
      </c>
    </row>
    <row r="53" spans="1:11" x14ac:dyDescent="0.25">
      <c r="A53" s="76">
        <v>46030</v>
      </c>
      <c r="B53" s="21" t="s">
        <v>461</v>
      </c>
      <c r="C53" s="21" t="s">
        <v>12</v>
      </c>
      <c r="D53" s="21" t="s">
        <v>19</v>
      </c>
      <c r="E53" s="21" t="s">
        <v>17</v>
      </c>
      <c r="F53" s="21"/>
      <c r="G53" s="24">
        <v>156.08000000000001</v>
      </c>
      <c r="H53" s="24"/>
      <c r="J53" s="21" t="s">
        <v>446</v>
      </c>
      <c r="K53" s="24">
        <v>-25577.83</v>
      </c>
    </row>
    <row r="54" spans="1:11" x14ac:dyDescent="0.25">
      <c r="A54" s="76">
        <v>46030</v>
      </c>
      <c r="B54" s="21" t="s">
        <v>393</v>
      </c>
      <c r="C54" s="21" t="s">
        <v>12</v>
      </c>
      <c r="D54" s="21" t="s">
        <v>19</v>
      </c>
      <c r="E54" s="21" t="s">
        <v>14</v>
      </c>
      <c r="F54" s="21" t="s">
        <v>15</v>
      </c>
      <c r="G54" s="24">
        <v>470</v>
      </c>
      <c r="H54" s="24"/>
      <c r="J54" s="21" t="s">
        <v>446</v>
      </c>
      <c r="K54" s="24">
        <v>-26047.83</v>
      </c>
    </row>
    <row r="55" spans="1:11" x14ac:dyDescent="0.25">
      <c r="A55" s="76">
        <v>46030</v>
      </c>
      <c r="B55" s="21" t="s">
        <v>30</v>
      </c>
      <c r="C55" s="21" t="s">
        <v>20</v>
      </c>
      <c r="D55" s="21" t="s">
        <v>13</v>
      </c>
      <c r="E55" s="21"/>
      <c r="F55" s="21"/>
      <c r="G55" s="24">
        <v>5211</v>
      </c>
      <c r="H55" s="24"/>
      <c r="J55" s="21" t="s">
        <v>446</v>
      </c>
      <c r="K55" s="24">
        <v>-20836.830000000002</v>
      </c>
    </row>
    <row r="56" spans="1:11" x14ac:dyDescent="0.25">
      <c r="A56" s="76">
        <v>46030</v>
      </c>
      <c r="B56" s="21" t="s">
        <v>351</v>
      </c>
      <c r="C56" s="21" t="s">
        <v>20</v>
      </c>
      <c r="D56" s="21" t="s">
        <v>22</v>
      </c>
      <c r="E56" s="21" t="s">
        <v>17</v>
      </c>
      <c r="F56" s="21"/>
      <c r="G56" s="24">
        <v>0</v>
      </c>
      <c r="H56" s="24"/>
      <c r="J56" s="21" t="s">
        <v>446</v>
      </c>
      <c r="K56" s="24">
        <v>-20836.830000000002</v>
      </c>
    </row>
    <row r="57" spans="1:11" x14ac:dyDescent="0.25">
      <c r="A57" s="76">
        <v>46030</v>
      </c>
      <c r="B57" s="21" t="s">
        <v>45</v>
      </c>
      <c r="C57" s="21" t="s">
        <v>12</v>
      </c>
      <c r="D57" s="21" t="s">
        <v>24</v>
      </c>
      <c r="E57" s="21" t="s">
        <v>17</v>
      </c>
      <c r="F57" s="21" t="s">
        <v>25</v>
      </c>
      <c r="G57" s="24">
        <v>0</v>
      </c>
      <c r="H57" s="24"/>
      <c r="J57" s="21" t="s">
        <v>446</v>
      </c>
      <c r="K57" s="24">
        <v>-20836.830000000002</v>
      </c>
    </row>
    <row r="58" spans="1:11" x14ac:dyDescent="0.25">
      <c r="A58" s="76">
        <v>46030</v>
      </c>
      <c r="B58" s="21" t="s">
        <v>462</v>
      </c>
      <c r="C58" s="21" t="s">
        <v>12</v>
      </c>
      <c r="D58" s="21" t="s">
        <v>33</v>
      </c>
      <c r="E58" s="21" t="s">
        <v>17</v>
      </c>
      <c r="F58" s="21" t="s">
        <v>25</v>
      </c>
      <c r="G58" s="24">
        <v>112</v>
      </c>
      <c r="H58" s="24"/>
      <c r="J58" s="21" t="s">
        <v>446</v>
      </c>
      <c r="K58" s="24">
        <v>-20948.830000000002</v>
      </c>
    </row>
    <row r="59" spans="1:11" x14ac:dyDescent="0.25">
      <c r="A59" s="76">
        <v>46030</v>
      </c>
      <c r="B59" s="21" t="s">
        <v>463</v>
      </c>
      <c r="C59" s="21" t="s">
        <v>12</v>
      </c>
      <c r="D59" s="21" t="s">
        <v>27</v>
      </c>
      <c r="E59" s="21" t="s">
        <v>17</v>
      </c>
      <c r="F59" s="21" t="s">
        <v>25</v>
      </c>
      <c r="G59" s="24">
        <v>900</v>
      </c>
      <c r="H59" s="24"/>
      <c r="J59" s="21" t="s">
        <v>446</v>
      </c>
      <c r="K59" s="24">
        <v>-21848.83</v>
      </c>
    </row>
    <row r="60" spans="1:11" x14ac:dyDescent="0.25">
      <c r="A60" s="76">
        <v>46031</v>
      </c>
      <c r="B60" s="21" t="s">
        <v>343</v>
      </c>
      <c r="C60" s="21" t="s">
        <v>12</v>
      </c>
      <c r="D60" s="21" t="s">
        <v>19</v>
      </c>
      <c r="E60" s="21" t="s">
        <v>17</v>
      </c>
      <c r="F60" s="21"/>
      <c r="G60" s="24">
        <v>2097.7199999999998</v>
      </c>
      <c r="H60" s="24"/>
      <c r="J60" s="21" t="s">
        <v>446</v>
      </c>
      <c r="K60" s="24">
        <v>-23946.55</v>
      </c>
    </row>
    <row r="61" spans="1:11" x14ac:dyDescent="0.25">
      <c r="A61" s="76">
        <v>46031</v>
      </c>
      <c r="B61" s="21" t="s">
        <v>393</v>
      </c>
      <c r="C61" s="21" t="s">
        <v>12</v>
      </c>
      <c r="D61" s="21" t="s">
        <v>19</v>
      </c>
      <c r="E61" s="21" t="s">
        <v>14</v>
      </c>
      <c r="F61" s="21" t="s">
        <v>15</v>
      </c>
      <c r="G61" s="24">
        <v>329</v>
      </c>
      <c r="H61" s="24"/>
      <c r="J61" s="21" t="s">
        <v>446</v>
      </c>
      <c r="K61" s="24">
        <v>-24275.55</v>
      </c>
    </row>
    <row r="62" spans="1:11" x14ac:dyDescent="0.25">
      <c r="A62" s="76">
        <v>46031</v>
      </c>
      <c r="B62" s="21" t="s">
        <v>30</v>
      </c>
      <c r="C62" s="21" t="s">
        <v>20</v>
      </c>
      <c r="D62" s="21" t="s">
        <v>13</v>
      </c>
      <c r="E62" s="21"/>
      <c r="F62" s="21"/>
      <c r="G62" s="24">
        <v>8220</v>
      </c>
      <c r="H62" s="24"/>
      <c r="J62" s="21" t="s">
        <v>446</v>
      </c>
      <c r="K62" s="24">
        <v>-16055.55</v>
      </c>
    </row>
    <row r="63" spans="1:11" x14ac:dyDescent="0.25">
      <c r="A63" s="76">
        <v>46031</v>
      </c>
      <c r="B63" s="21" t="s">
        <v>44</v>
      </c>
      <c r="C63" s="21" t="s">
        <v>20</v>
      </c>
      <c r="D63" s="21" t="s">
        <v>22</v>
      </c>
      <c r="E63" s="21" t="s">
        <v>17</v>
      </c>
      <c r="F63" s="21"/>
      <c r="G63" s="24">
        <v>58.01</v>
      </c>
      <c r="H63" s="24"/>
      <c r="J63" s="21" t="s">
        <v>446</v>
      </c>
      <c r="K63" s="24">
        <v>-15997.54</v>
      </c>
    </row>
    <row r="64" spans="1:11" x14ac:dyDescent="0.25">
      <c r="A64" s="76">
        <v>46031</v>
      </c>
      <c r="B64" s="21" t="s">
        <v>45</v>
      </c>
      <c r="C64" s="21" t="s">
        <v>12</v>
      </c>
      <c r="D64" s="21" t="s">
        <v>24</v>
      </c>
      <c r="E64" s="21" t="s">
        <v>17</v>
      </c>
      <c r="F64" s="21" t="s">
        <v>25</v>
      </c>
      <c r="G64" s="24">
        <v>17</v>
      </c>
      <c r="H64" s="24"/>
      <c r="J64" s="21" t="s">
        <v>446</v>
      </c>
      <c r="K64" s="24">
        <v>-16014.54</v>
      </c>
    </row>
    <row r="65" spans="1:11" x14ac:dyDescent="0.25">
      <c r="A65" s="76">
        <v>46031</v>
      </c>
      <c r="B65" s="21" t="s">
        <v>360</v>
      </c>
      <c r="C65" s="21" t="s">
        <v>12</v>
      </c>
      <c r="D65" s="21" t="s">
        <v>19</v>
      </c>
      <c r="E65" s="21" t="s">
        <v>17</v>
      </c>
      <c r="F65" s="21" t="s">
        <v>25</v>
      </c>
      <c r="G65" s="24">
        <v>378.5</v>
      </c>
      <c r="H65" s="24"/>
      <c r="J65" s="21" t="s">
        <v>446</v>
      </c>
      <c r="K65" s="24">
        <v>-16393.04</v>
      </c>
    </row>
    <row r="66" spans="1:11" x14ac:dyDescent="0.25">
      <c r="A66" s="76">
        <v>46032</v>
      </c>
      <c r="B66" s="21" t="s">
        <v>68</v>
      </c>
      <c r="C66" s="21" t="s">
        <v>12</v>
      </c>
      <c r="D66" s="21" t="s">
        <v>68</v>
      </c>
      <c r="E66" s="21" t="s">
        <v>17</v>
      </c>
      <c r="F66" s="21" t="s">
        <v>25</v>
      </c>
      <c r="G66" s="24">
        <v>450</v>
      </c>
      <c r="H66" s="24"/>
      <c r="J66" s="21" t="s">
        <v>446</v>
      </c>
      <c r="K66" s="24">
        <v>-16843.04</v>
      </c>
    </row>
    <row r="67" spans="1:11" x14ac:dyDescent="0.25">
      <c r="A67" s="76">
        <v>46032</v>
      </c>
      <c r="B67" s="21" t="s">
        <v>66</v>
      </c>
      <c r="C67" s="21" t="s">
        <v>12</v>
      </c>
      <c r="D67" s="21" t="s">
        <v>66</v>
      </c>
      <c r="E67" s="21" t="s">
        <v>17</v>
      </c>
      <c r="F67" s="21" t="s">
        <v>25</v>
      </c>
      <c r="G67" s="24">
        <v>9629.0499999999993</v>
      </c>
      <c r="H67" s="24"/>
      <c r="J67" s="21" t="s">
        <v>446</v>
      </c>
      <c r="K67" s="24">
        <v>-26472.09</v>
      </c>
    </row>
    <row r="68" spans="1:11" x14ac:dyDescent="0.25">
      <c r="A68" s="76">
        <v>46032</v>
      </c>
      <c r="B68" s="21" t="s">
        <v>464</v>
      </c>
      <c r="C68" s="21" t="s">
        <v>12</v>
      </c>
      <c r="D68" s="21" t="s">
        <v>27</v>
      </c>
      <c r="E68" s="21" t="s">
        <v>17</v>
      </c>
      <c r="F68" s="21"/>
      <c r="G68" s="24">
        <v>72</v>
      </c>
      <c r="H68" s="24"/>
      <c r="J68" s="21" t="s">
        <v>446</v>
      </c>
      <c r="K68" s="24">
        <v>-26544.09</v>
      </c>
    </row>
    <row r="69" spans="1:11" x14ac:dyDescent="0.25">
      <c r="A69" s="76">
        <v>46032</v>
      </c>
      <c r="B69" s="21" t="s">
        <v>13</v>
      </c>
      <c r="C69" s="21" t="s">
        <v>20</v>
      </c>
      <c r="D69" s="21" t="s">
        <v>13</v>
      </c>
      <c r="E69" s="21"/>
      <c r="F69" s="21"/>
      <c r="G69" s="24">
        <v>11002</v>
      </c>
      <c r="H69" s="24"/>
      <c r="J69" s="21" t="s">
        <v>446</v>
      </c>
      <c r="K69" s="24">
        <v>-15542.09</v>
      </c>
    </row>
    <row r="70" spans="1:11" x14ac:dyDescent="0.25">
      <c r="A70" s="76">
        <v>46032</v>
      </c>
      <c r="B70" s="21" t="s">
        <v>21</v>
      </c>
      <c r="C70" s="21" t="s">
        <v>20</v>
      </c>
      <c r="D70" s="21" t="s">
        <v>22</v>
      </c>
      <c r="E70" s="21" t="s">
        <v>17</v>
      </c>
      <c r="F70" s="21"/>
      <c r="G70" s="24">
        <v>259.87</v>
      </c>
      <c r="H70" s="24"/>
      <c r="J70" s="21" t="s">
        <v>446</v>
      </c>
      <c r="K70" s="24">
        <v>-15282.22</v>
      </c>
    </row>
    <row r="71" spans="1:11" x14ac:dyDescent="0.25">
      <c r="A71" s="76">
        <v>46032</v>
      </c>
      <c r="B71" s="21" t="s">
        <v>23</v>
      </c>
      <c r="C71" s="21" t="s">
        <v>12</v>
      </c>
      <c r="D71" s="21" t="s">
        <v>24</v>
      </c>
      <c r="E71" s="21" t="s">
        <v>17</v>
      </c>
      <c r="F71" s="21" t="s">
        <v>25</v>
      </c>
      <c r="G71" s="24">
        <v>43</v>
      </c>
      <c r="H71" s="24"/>
      <c r="J71" s="21" t="s">
        <v>446</v>
      </c>
      <c r="K71" s="24">
        <v>-15325.22</v>
      </c>
    </row>
    <row r="72" spans="1:11" x14ac:dyDescent="0.25">
      <c r="A72" s="76">
        <v>46032</v>
      </c>
      <c r="B72" s="21" t="s">
        <v>33</v>
      </c>
      <c r="C72" s="21" t="s">
        <v>12</v>
      </c>
      <c r="D72" s="21" t="s">
        <v>33</v>
      </c>
      <c r="E72" s="21" t="s">
        <v>14</v>
      </c>
      <c r="F72" s="21" t="s">
        <v>15</v>
      </c>
      <c r="G72" s="24">
        <v>150</v>
      </c>
      <c r="H72" s="24"/>
      <c r="J72" s="21" t="s">
        <v>446</v>
      </c>
      <c r="K72" s="24">
        <v>-15475.22</v>
      </c>
    </row>
    <row r="73" spans="1:11" x14ac:dyDescent="0.25">
      <c r="A73" s="76">
        <v>46032</v>
      </c>
      <c r="B73" s="21" t="s">
        <v>422</v>
      </c>
      <c r="C73" s="21" t="s">
        <v>12</v>
      </c>
      <c r="D73" s="21" t="s">
        <v>39</v>
      </c>
      <c r="E73" s="21" t="s">
        <v>17</v>
      </c>
      <c r="F73" s="21"/>
      <c r="G73" s="24">
        <v>685</v>
      </c>
      <c r="H73" s="24"/>
      <c r="J73" s="21" t="s">
        <v>446</v>
      </c>
      <c r="K73" s="24">
        <v>-16160.22</v>
      </c>
    </row>
    <row r="74" spans="1:11" x14ac:dyDescent="0.25">
      <c r="A74" s="76">
        <v>46032</v>
      </c>
      <c r="B74" s="21" t="s">
        <v>451</v>
      </c>
      <c r="C74" s="21" t="s">
        <v>12</v>
      </c>
      <c r="D74" s="21" t="s">
        <v>19</v>
      </c>
      <c r="E74" s="21" t="s">
        <v>17</v>
      </c>
      <c r="F74" s="21" t="s">
        <v>25</v>
      </c>
      <c r="G74" s="24">
        <v>110</v>
      </c>
      <c r="H74" s="24"/>
      <c r="J74" s="21" t="s">
        <v>446</v>
      </c>
      <c r="K74" s="24">
        <v>-16270.22</v>
      </c>
    </row>
    <row r="75" spans="1:11" x14ac:dyDescent="0.25">
      <c r="A75" s="76">
        <v>46033</v>
      </c>
      <c r="B75" s="21" t="s">
        <v>30</v>
      </c>
      <c r="C75" s="21" t="s">
        <v>20</v>
      </c>
      <c r="D75" s="21" t="s">
        <v>13</v>
      </c>
      <c r="E75" s="21"/>
      <c r="F75" s="21"/>
      <c r="G75" s="24">
        <v>11570</v>
      </c>
      <c r="H75" s="24"/>
      <c r="J75" s="21" t="s">
        <v>446</v>
      </c>
      <c r="K75" s="24">
        <v>-4700.2199999999993</v>
      </c>
    </row>
    <row r="76" spans="1:11" x14ac:dyDescent="0.25">
      <c r="A76" s="76">
        <v>46033</v>
      </c>
      <c r="B76" s="21" t="s">
        <v>44</v>
      </c>
      <c r="C76" s="21" t="s">
        <v>20</v>
      </c>
      <c r="D76" s="21" t="s">
        <v>22</v>
      </c>
      <c r="E76" s="21" t="s">
        <v>17</v>
      </c>
      <c r="F76" s="21"/>
      <c r="G76" s="24">
        <v>643.9</v>
      </c>
      <c r="H76" s="24"/>
      <c r="J76" s="21" t="s">
        <v>446</v>
      </c>
      <c r="K76" s="24">
        <v>-4056.3199999999988</v>
      </c>
    </row>
    <row r="77" spans="1:11" x14ac:dyDescent="0.25">
      <c r="A77" s="76">
        <v>46033</v>
      </c>
      <c r="B77" s="21" t="s">
        <v>23</v>
      </c>
      <c r="C77" s="21" t="s">
        <v>12</v>
      </c>
      <c r="D77" s="21" t="s">
        <v>24</v>
      </c>
      <c r="E77" s="21" t="s">
        <v>17</v>
      </c>
      <c r="F77" s="21" t="s">
        <v>25</v>
      </c>
      <c r="G77" s="24">
        <v>89</v>
      </c>
      <c r="H77" s="24"/>
      <c r="J77" s="21" t="s">
        <v>446</v>
      </c>
      <c r="K77" s="24">
        <v>-4145.32</v>
      </c>
    </row>
    <row r="78" spans="1:11" x14ac:dyDescent="0.25">
      <c r="A78" s="76">
        <v>46033</v>
      </c>
      <c r="B78" s="21" t="s">
        <v>11</v>
      </c>
      <c r="C78" s="21" t="s">
        <v>12</v>
      </c>
      <c r="D78" s="21" t="s">
        <v>19</v>
      </c>
      <c r="E78" s="21" t="s">
        <v>14</v>
      </c>
      <c r="F78" s="21" t="s">
        <v>15</v>
      </c>
      <c r="G78" s="24">
        <v>94</v>
      </c>
      <c r="H78" s="24"/>
      <c r="J78" s="21" t="s">
        <v>446</v>
      </c>
      <c r="K78" s="24">
        <v>-4239.32</v>
      </c>
    </row>
    <row r="79" spans="1:11" x14ac:dyDescent="0.25">
      <c r="A79" s="76">
        <v>46033</v>
      </c>
      <c r="B79" s="21" t="s">
        <v>33</v>
      </c>
      <c r="C79" s="21" t="s">
        <v>12</v>
      </c>
      <c r="D79" s="21" t="s">
        <v>33</v>
      </c>
      <c r="E79" s="21" t="s">
        <v>14</v>
      </c>
      <c r="F79" s="21" t="s">
        <v>15</v>
      </c>
      <c r="G79" s="24">
        <v>300</v>
      </c>
      <c r="H79" s="24"/>
      <c r="J79" s="21" t="s">
        <v>446</v>
      </c>
      <c r="K79" s="24">
        <v>-4539.32</v>
      </c>
    </row>
    <row r="80" spans="1:11" x14ac:dyDescent="0.25">
      <c r="A80" s="76">
        <v>46034</v>
      </c>
      <c r="B80" s="21" t="s">
        <v>322</v>
      </c>
      <c r="C80" s="21" t="s">
        <v>12</v>
      </c>
      <c r="D80" s="21" t="s">
        <v>65</v>
      </c>
      <c r="E80" s="21" t="s">
        <v>17</v>
      </c>
      <c r="F80" s="21" t="s">
        <v>25</v>
      </c>
      <c r="G80" s="24">
        <v>45</v>
      </c>
      <c r="H80" s="24"/>
      <c r="J80" s="21" t="s">
        <v>446</v>
      </c>
      <c r="K80" s="24">
        <v>-4584.32</v>
      </c>
    </row>
    <row r="81" spans="1:11" x14ac:dyDescent="0.25">
      <c r="A81" s="76">
        <v>46034</v>
      </c>
      <c r="B81" s="21" t="s">
        <v>363</v>
      </c>
      <c r="C81" s="21" t="s">
        <v>12</v>
      </c>
      <c r="D81" s="21" t="s">
        <v>19</v>
      </c>
      <c r="E81" s="21" t="s">
        <v>17</v>
      </c>
      <c r="F81" s="21"/>
      <c r="G81" s="24">
        <v>557.34</v>
      </c>
      <c r="H81" s="24"/>
      <c r="J81" s="21" t="s">
        <v>446</v>
      </c>
      <c r="K81" s="24">
        <v>-5141.66</v>
      </c>
    </row>
    <row r="82" spans="1:11" x14ac:dyDescent="0.25">
      <c r="A82" s="76">
        <v>46034</v>
      </c>
      <c r="B82" s="21" t="s">
        <v>465</v>
      </c>
      <c r="C82" s="21" t="s">
        <v>12</v>
      </c>
      <c r="D82" s="21" t="s">
        <v>62</v>
      </c>
      <c r="E82" s="21" t="s">
        <v>17</v>
      </c>
      <c r="F82" s="21" t="s">
        <v>25</v>
      </c>
      <c r="G82" s="24">
        <v>2078.71</v>
      </c>
      <c r="H82" s="24"/>
      <c r="J82" s="21" t="s">
        <v>446</v>
      </c>
      <c r="K82" s="24">
        <v>-7220.37</v>
      </c>
    </row>
    <row r="83" spans="1:11" x14ac:dyDescent="0.25">
      <c r="A83" s="76">
        <v>46034</v>
      </c>
      <c r="B83" s="21" t="s">
        <v>30</v>
      </c>
      <c r="C83" s="21" t="s">
        <v>20</v>
      </c>
      <c r="D83" s="21" t="s">
        <v>13</v>
      </c>
      <c r="E83" s="21"/>
      <c r="F83" s="21"/>
      <c r="G83" s="24">
        <v>4081</v>
      </c>
      <c r="H83" s="24"/>
      <c r="J83" s="21" t="s">
        <v>446</v>
      </c>
      <c r="K83" s="24">
        <v>-3139.37</v>
      </c>
    </row>
    <row r="84" spans="1:11" x14ac:dyDescent="0.25">
      <c r="A84" s="76">
        <v>46034</v>
      </c>
      <c r="B84" s="21" t="s">
        <v>44</v>
      </c>
      <c r="C84" s="21" t="s">
        <v>20</v>
      </c>
      <c r="D84" s="21" t="s">
        <v>22</v>
      </c>
      <c r="E84" s="21" t="s">
        <v>17</v>
      </c>
      <c r="F84" s="21"/>
      <c r="G84" s="24">
        <v>157.56</v>
      </c>
      <c r="H84" s="24"/>
      <c r="J84" s="21" t="s">
        <v>446</v>
      </c>
      <c r="K84" s="24">
        <v>-2981.81</v>
      </c>
    </row>
    <row r="85" spans="1:11" x14ac:dyDescent="0.25">
      <c r="A85" s="76">
        <v>46034</v>
      </c>
      <c r="B85" s="21" t="s">
        <v>45</v>
      </c>
      <c r="C85" s="21" t="s">
        <v>12</v>
      </c>
      <c r="D85" s="21" t="s">
        <v>24</v>
      </c>
      <c r="E85" s="21" t="s">
        <v>17</v>
      </c>
      <c r="F85" s="21" t="s">
        <v>25</v>
      </c>
      <c r="G85" s="24">
        <v>18</v>
      </c>
      <c r="H85" s="24"/>
      <c r="J85" s="21" t="s">
        <v>446</v>
      </c>
      <c r="K85" s="24">
        <v>-2999.81</v>
      </c>
    </row>
    <row r="86" spans="1:11" x14ac:dyDescent="0.25">
      <c r="A86" s="76">
        <v>46034</v>
      </c>
      <c r="B86" s="21" t="s">
        <v>393</v>
      </c>
      <c r="C86" s="21" t="s">
        <v>12</v>
      </c>
      <c r="D86" s="21" t="s">
        <v>19</v>
      </c>
      <c r="E86" s="21" t="s">
        <v>14</v>
      </c>
      <c r="F86" s="21" t="s">
        <v>15</v>
      </c>
      <c r="G86" s="24">
        <v>141</v>
      </c>
      <c r="H86" s="24"/>
      <c r="J86" s="21" t="s">
        <v>446</v>
      </c>
      <c r="K86" s="24">
        <v>-3140.81</v>
      </c>
    </row>
    <row r="87" spans="1:11" x14ac:dyDescent="0.25">
      <c r="A87" s="76">
        <v>46034</v>
      </c>
      <c r="B87" s="21" t="s">
        <v>466</v>
      </c>
      <c r="C87" s="21" t="s">
        <v>12</v>
      </c>
      <c r="D87" s="21" t="s">
        <v>19</v>
      </c>
      <c r="E87" s="21" t="s">
        <v>14</v>
      </c>
      <c r="F87" s="21" t="s">
        <v>15</v>
      </c>
      <c r="G87" s="24">
        <v>35</v>
      </c>
      <c r="H87" s="24"/>
      <c r="J87" s="21" t="s">
        <v>446</v>
      </c>
      <c r="K87" s="24">
        <v>-3175.81</v>
      </c>
    </row>
    <row r="88" spans="1:11" x14ac:dyDescent="0.25">
      <c r="A88" s="76">
        <v>46035</v>
      </c>
      <c r="B88" s="21" t="s">
        <v>308</v>
      </c>
      <c r="C88" s="21" t="s">
        <v>12</v>
      </c>
      <c r="D88" s="21" t="s">
        <v>19</v>
      </c>
      <c r="E88" s="21" t="s">
        <v>17</v>
      </c>
      <c r="F88" s="21"/>
      <c r="G88" s="24">
        <v>514.83000000000004</v>
      </c>
      <c r="H88" s="24"/>
      <c r="J88" s="21" t="s">
        <v>446</v>
      </c>
      <c r="K88" s="24">
        <v>-3690.64</v>
      </c>
    </row>
    <row r="89" spans="1:11" x14ac:dyDescent="0.25">
      <c r="A89" s="76">
        <v>46035</v>
      </c>
      <c r="B89" s="21" t="s">
        <v>346</v>
      </c>
      <c r="C89" s="21" t="s">
        <v>12</v>
      </c>
      <c r="D89" s="21" t="s">
        <v>19</v>
      </c>
      <c r="E89" s="21" t="s">
        <v>17</v>
      </c>
      <c r="F89" s="21"/>
      <c r="G89" s="24">
        <v>3409.49</v>
      </c>
      <c r="H89" s="24"/>
      <c r="J89" s="21" t="s">
        <v>446</v>
      </c>
      <c r="K89" s="24">
        <v>-7100.1299999999992</v>
      </c>
    </row>
    <row r="90" spans="1:11" x14ac:dyDescent="0.25">
      <c r="A90" s="76">
        <v>46035</v>
      </c>
      <c r="B90" s="21" t="s">
        <v>467</v>
      </c>
      <c r="C90" s="21" t="s">
        <v>12</v>
      </c>
      <c r="D90" s="21" t="s">
        <v>62</v>
      </c>
      <c r="E90" s="21" t="s">
        <v>17</v>
      </c>
      <c r="F90" s="21"/>
      <c r="G90" s="24">
        <v>754</v>
      </c>
      <c r="H90" s="24"/>
      <c r="J90" s="21" t="s">
        <v>446</v>
      </c>
      <c r="K90" s="24">
        <v>-7854.1299999999992</v>
      </c>
    </row>
    <row r="91" spans="1:11" x14ac:dyDescent="0.25">
      <c r="A91" s="76">
        <v>46035</v>
      </c>
      <c r="B91" s="21" t="s">
        <v>97</v>
      </c>
      <c r="C91" s="21" t="s">
        <v>12</v>
      </c>
      <c r="D91" s="21" t="s">
        <v>62</v>
      </c>
      <c r="E91" s="21" t="s">
        <v>17</v>
      </c>
      <c r="F91" s="21" t="s">
        <v>25</v>
      </c>
      <c r="G91" s="24">
        <v>600</v>
      </c>
      <c r="H91" s="24"/>
      <c r="J91" s="21" t="s">
        <v>446</v>
      </c>
      <c r="K91" s="24">
        <v>-8454.1299999999992</v>
      </c>
    </row>
    <row r="92" spans="1:11" x14ac:dyDescent="0.25">
      <c r="A92" s="76">
        <v>46035</v>
      </c>
      <c r="B92" s="21" t="s">
        <v>13</v>
      </c>
      <c r="C92" s="21" t="s">
        <v>20</v>
      </c>
      <c r="D92" s="21" t="s">
        <v>13</v>
      </c>
      <c r="E92" s="21"/>
      <c r="F92" s="21"/>
      <c r="G92" s="24">
        <v>3341</v>
      </c>
      <c r="H92" s="24"/>
      <c r="J92" s="21" t="s">
        <v>446</v>
      </c>
      <c r="K92" s="24">
        <v>-5113.1299999999992</v>
      </c>
    </row>
    <row r="93" spans="1:11" x14ac:dyDescent="0.25">
      <c r="A93" s="76">
        <v>46035</v>
      </c>
      <c r="B93" s="21" t="s">
        <v>21</v>
      </c>
      <c r="C93" s="21" t="s">
        <v>20</v>
      </c>
      <c r="D93" s="21" t="s">
        <v>22</v>
      </c>
      <c r="E93" s="21" t="s">
        <v>17</v>
      </c>
      <c r="F93" s="21"/>
      <c r="G93" s="24">
        <v>0</v>
      </c>
      <c r="H93" s="24"/>
      <c r="J93" s="21" t="s">
        <v>446</v>
      </c>
      <c r="K93" s="24">
        <v>-5113.1299999999992</v>
      </c>
    </row>
    <row r="94" spans="1:11" x14ac:dyDescent="0.25">
      <c r="A94" s="76">
        <v>46035</v>
      </c>
      <c r="B94" s="21" t="s">
        <v>23</v>
      </c>
      <c r="C94" s="21" t="s">
        <v>12</v>
      </c>
      <c r="D94" s="21" t="s">
        <v>24</v>
      </c>
      <c r="E94" s="21" t="s">
        <v>17</v>
      </c>
      <c r="F94" s="21" t="s">
        <v>25</v>
      </c>
      <c r="G94" s="24">
        <v>0</v>
      </c>
      <c r="H94" s="24"/>
      <c r="J94" s="21" t="s">
        <v>446</v>
      </c>
      <c r="K94" s="24">
        <v>-5113.1299999999992</v>
      </c>
    </row>
    <row r="95" spans="1:11" x14ac:dyDescent="0.25">
      <c r="A95" s="76">
        <v>46035</v>
      </c>
      <c r="B95" s="21" t="s">
        <v>11</v>
      </c>
      <c r="C95" s="21" t="s">
        <v>12</v>
      </c>
      <c r="D95" s="21" t="s">
        <v>19</v>
      </c>
      <c r="E95" s="21" t="s">
        <v>14</v>
      </c>
      <c r="F95" s="21" t="s">
        <v>15</v>
      </c>
      <c r="G95" s="24">
        <v>94</v>
      </c>
      <c r="H95" s="24"/>
      <c r="J95" s="21" t="s">
        <v>446</v>
      </c>
      <c r="K95" s="24">
        <v>-5207.1299999999992</v>
      </c>
    </row>
    <row r="96" spans="1:11" x14ac:dyDescent="0.25">
      <c r="A96" s="76">
        <v>46035</v>
      </c>
      <c r="B96" s="21" t="s">
        <v>468</v>
      </c>
      <c r="C96" s="21" t="s">
        <v>12</v>
      </c>
      <c r="D96" s="21" t="s">
        <v>33</v>
      </c>
      <c r="E96" s="21" t="s">
        <v>14</v>
      </c>
      <c r="F96" s="21" t="s">
        <v>15</v>
      </c>
      <c r="G96" s="24">
        <v>200</v>
      </c>
      <c r="H96" s="24"/>
      <c r="J96" s="21" t="s">
        <v>446</v>
      </c>
      <c r="K96" s="24">
        <v>-5407.1299999999992</v>
      </c>
    </row>
    <row r="97" spans="1:11" x14ac:dyDescent="0.25">
      <c r="A97" s="76">
        <v>46036</v>
      </c>
      <c r="B97" s="21" t="s">
        <v>13</v>
      </c>
      <c r="C97" s="21" t="s">
        <v>20</v>
      </c>
      <c r="D97" s="21" t="s">
        <v>13</v>
      </c>
      <c r="E97" s="21"/>
      <c r="F97" s="21"/>
      <c r="G97" s="24">
        <v>3528</v>
      </c>
      <c r="H97" s="24"/>
      <c r="J97" s="21" t="s">
        <v>446</v>
      </c>
      <c r="K97" s="24">
        <v>-1879.129999999999</v>
      </c>
    </row>
    <row r="98" spans="1:11" x14ac:dyDescent="0.25">
      <c r="A98" s="76">
        <v>46036</v>
      </c>
      <c r="B98" s="21" t="s">
        <v>469</v>
      </c>
      <c r="C98" s="21" t="s">
        <v>20</v>
      </c>
      <c r="D98" s="21" t="s">
        <v>22</v>
      </c>
      <c r="E98" s="21" t="s">
        <v>17</v>
      </c>
      <c r="F98" s="21"/>
      <c r="G98" s="24">
        <v>0</v>
      </c>
      <c r="H98" s="24"/>
      <c r="J98" s="21" t="s">
        <v>446</v>
      </c>
      <c r="K98" s="24">
        <v>-1879.129999999999</v>
      </c>
    </row>
    <row r="99" spans="1:11" x14ac:dyDescent="0.25">
      <c r="A99" s="76">
        <v>46036</v>
      </c>
      <c r="B99" s="21" t="s">
        <v>23</v>
      </c>
      <c r="C99" s="21" t="s">
        <v>12</v>
      </c>
      <c r="D99" s="21" t="s">
        <v>24</v>
      </c>
      <c r="E99" s="21" t="s">
        <v>17</v>
      </c>
      <c r="F99" s="21" t="s">
        <v>25</v>
      </c>
      <c r="G99" s="24">
        <v>0</v>
      </c>
      <c r="H99" s="24"/>
      <c r="J99" s="21" t="s">
        <v>446</v>
      </c>
      <c r="K99" s="24">
        <v>-1879.129999999999</v>
      </c>
    </row>
    <row r="100" spans="1:11" x14ac:dyDescent="0.25">
      <c r="A100" s="76">
        <v>46036</v>
      </c>
      <c r="B100" s="21" t="s">
        <v>11</v>
      </c>
      <c r="C100" s="21" t="s">
        <v>12</v>
      </c>
      <c r="D100" s="21" t="s">
        <v>19</v>
      </c>
      <c r="E100" s="21" t="s">
        <v>14</v>
      </c>
      <c r="F100" s="21" t="s">
        <v>15</v>
      </c>
      <c r="G100" s="24">
        <v>94</v>
      </c>
      <c r="H100" s="24"/>
      <c r="J100" s="21" t="s">
        <v>446</v>
      </c>
      <c r="K100" s="24">
        <v>-1973.129999999999</v>
      </c>
    </row>
    <row r="101" spans="1:11" x14ac:dyDescent="0.25">
      <c r="A101" s="76">
        <v>46036</v>
      </c>
      <c r="B101" s="21" t="s">
        <v>470</v>
      </c>
      <c r="C101" s="21" t="s">
        <v>12</v>
      </c>
      <c r="D101" s="21" t="s">
        <v>62</v>
      </c>
      <c r="E101" s="21" t="s">
        <v>14</v>
      </c>
      <c r="F101" s="21" t="s">
        <v>15</v>
      </c>
      <c r="G101" s="24">
        <v>72</v>
      </c>
      <c r="H101" s="24"/>
      <c r="J101" s="21" t="s">
        <v>446</v>
      </c>
      <c r="K101" s="24">
        <v>-2045.129999999999</v>
      </c>
    </row>
    <row r="102" spans="1:11" x14ac:dyDescent="0.25">
      <c r="A102" s="76">
        <v>46036</v>
      </c>
      <c r="B102" s="21" t="s">
        <v>471</v>
      </c>
      <c r="C102" s="21" t="s">
        <v>12</v>
      </c>
      <c r="D102" s="21" t="s">
        <v>19</v>
      </c>
      <c r="E102" s="21" t="s">
        <v>17</v>
      </c>
      <c r="F102" s="21" t="s">
        <v>25</v>
      </c>
      <c r="G102" s="24">
        <v>611.88</v>
      </c>
      <c r="H102" s="24"/>
      <c r="J102" s="21" t="s">
        <v>446</v>
      </c>
      <c r="K102" s="24">
        <v>-2657.0099999999989</v>
      </c>
    </row>
    <row r="103" spans="1:11" x14ac:dyDescent="0.25">
      <c r="A103" s="76">
        <v>46037</v>
      </c>
      <c r="B103" s="21" t="s">
        <v>424</v>
      </c>
      <c r="C103" s="21" t="s">
        <v>12</v>
      </c>
      <c r="D103" s="21" t="s">
        <v>27</v>
      </c>
      <c r="E103" s="21" t="s">
        <v>17</v>
      </c>
      <c r="F103" s="21"/>
      <c r="G103" s="24">
        <v>202.8</v>
      </c>
      <c r="H103" s="24"/>
      <c r="J103" s="21" t="s">
        <v>446</v>
      </c>
      <c r="K103" s="24">
        <v>-2859.809999999999</v>
      </c>
    </row>
    <row r="104" spans="1:11" x14ac:dyDescent="0.25">
      <c r="A104" s="76">
        <v>46037</v>
      </c>
      <c r="B104" s="21" t="s">
        <v>361</v>
      </c>
      <c r="C104" s="21" t="s">
        <v>12</v>
      </c>
      <c r="D104" s="21" t="s">
        <v>39</v>
      </c>
      <c r="E104" s="21" t="s">
        <v>17</v>
      </c>
      <c r="F104" s="21" t="s">
        <v>25</v>
      </c>
      <c r="G104" s="24">
        <v>99.9</v>
      </c>
      <c r="H104" s="24"/>
      <c r="J104" s="21" t="s">
        <v>446</v>
      </c>
      <c r="K104" s="24">
        <v>-2959.71</v>
      </c>
    </row>
    <row r="105" spans="1:11" x14ac:dyDescent="0.25">
      <c r="A105" s="76">
        <v>46037</v>
      </c>
      <c r="B105" s="21" t="s">
        <v>472</v>
      </c>
      <c r="C105" s="21" t="s">
        <v>12</v>
      </c>
      <c r="D105" s="21" t="s">
        <v>39</v>
      </c>
      <c r="E105" s="21" t="s">
        <v>17</v>
      </c>
      <c r="F105" s="21" t="s">
        <v>25</v>
      </c>
      <c r="G105" s="24">
        <v>350</v>
      </c>
      <c r="H105" s="24"/>
      <c r="J105" s="21" t="s">
        <v>446</v>
      </c>
      <c r="K105" s="24">
        <v>-3309.71</v>
      </c>
    </row>
    <row r="106" spans="1:11" x14ac:dyDescent="0.25">
      <c r="A106" s="76">
        <v>46037</v>
      </c>
      <c r="B106" s="21" t="s">
        <v>30</v>
      </c>
      <c r="C106" s="21" t="s">
        <v>20</v>
      </c>
      <c r="D106" s="21" t="s">
        <v>13</v>
      </c>
      <c r="E106" s="21"/>
      <c r="F106" s="21"/>
      <c r="G106" s="24">
        <v>2990</v>
      </c>
      <c r="H106" s="24"/>
      <c r="J106" s="21" t="s">
        <v>446</v>
      </c>
      <c r="K106" s="24">
        <v>-319.70999999999958</v>
      </c>
    </row>
    <row r="107" spans="1:11" x14ac:dyDescent="0.25">
      <c r="A107" s="76">
        <v>46037</v>
      </c>
      <c r="B107" s="21" t="s">
        <v>44</v>
      </c>
      <c r="C107" s="21" t="s">
        <v>20</v>
      </c>
      <c r="D107" s="21" t="s">
        <v>22</v>
      </c>
      <c r="E107" s="21" t="s">
        <v>17</v>
      </c>
      <c r="F107" s="21"/>
      <c r="G107" s="24">
        <v>0</v>
      </c>
      <c r="H107" s="24"/>
      <c r="J107" s="21" t="s">
        <v>446</v>
      </c>
      <c r="K107" s="24">
        <v>-319.70999999999958</v>
      </c>
    </row>
    <row r="108" spans="1:11" x14ac:dyDescent="0.25">
      <c r="A108" s="76">
        <v>46037</v>
      </c>
      <c r="B108" s="21" t="s">
        <v>45</v>
      </c>
      <c r="C108" s="21" t="s">
        <v>12</v>
      </c>
      <c r="D108" s="21" t="s">
        <v>24</v>
      </c>
      <c r="E108" s="21" t="s">
        <v>17</v>
      </c>
      <c r="F108" s="21" t="s">
        <v>25</v>
      </c>
      <c r="G108" s="24">
        <v>0</v>
      </c>
      <c r="H108" s="24"/>
      <c r="J108" s="21" t="s">
        <v>446</v>
      </c>
      <c r="K108" s="24">
        <v>-319.70999999999958</v>
      </c>
    </row>
    <row r="109" spans="1:11" x14ac:dyDescent="0.25">
      <c r="A109" s="76">
        <v>46037</v>
      </c>
      <c r="B109" s="21" t="s">
        <v>393</v>
      </c>
      <c r="C109" s="21" t="s">
        <v>12</v>
      </c>
      <c r="D109" s="21" t="s">
        <v>19</v>
      </c>
      <c r="E109" s="21" t="s">
        <v>14</v>
      </c>
      <c r="F109" s="21" t="s">
        <v>15</v>
      </c>
      <c r="G109" s="24">
        <v>282</v>
      </c>
      <c r="H109" s="24"/>
      <c r="J109" s="21" t="s">
        <v>446</v>
      </c>
      <c r="K109" s="24">
        <v>-601.70999999999958</v>
      </c>
    </row>
    <row r="110" spans="1:11" x14ac:dyDescent="0.25">
      <c r="A110" s="76">
        <v>46037</v>
      </c>
      <c r="B110" s="21" t="s">
        <v>473</v>
      </c>
      <c r="C110" s="21" t="s">
        <v>12</v>
      </c>
      <c r="D110" s="21" t="s">
        <v>19</v>
      </c>
      <c r="E110" s="21" t="s">
        <v>14</v>
      </c>
      <c r="F110" s="21" t="s">
        <v>15</v>
      </c>
      <c r="G110" s="24">
        <v>100</v>
      </c>
      <c r="H110" s="24"/>
      <c r="J110" s="21" t="s">
        <v>446</v>
      </c>
      <c r="K110" s="24">
        <v>-701.70999999999958</v>
      </c>
    </row>
    <row r="111" spans="1:11" x14ac:dyDescent="0.25">
      <c r="A111" s="76">
        <v>46037</v>
      </c>
      <c r="B111" s="21" t="s">
        <v>474</v>
      </c>
      <c r="C111" s="21" t="s">
        <v>12</v>
      </c>
      <c r="D111" s="21" t="s">
        <v>33</v>
      </c>
      <c r="E111" s="21" t="s">
        <v>14</v>
      </c>
      <c r="F111" s="21" t="s">
        <v>15</v>
      </c>
      <c r="G111" s="24">
        <v>300</v>
      </c>
      <c r="H111" s="24"/>
      <c r="J111" s="21" t="s">
        <v>446</v>
      </c>
      <c r="K111" s="24">
        <v>-1001.71</v>
      </c>
    </row>
    <row r="112" spans="1:11" x14ac:dyDescent="0.25">
      <c r="A112" s="76">
        <v>46037</v>
      </c>
      <c r="B112" s="21" t="s">
        <v>475</v>
      </c>
      <c r="C112" s="21" t="s">
        <v>12</v>
      </c>
      <c r="D112" s="21" t="s">
        <v>65</v>
      </c>
      <c r="E112" s="21" t="s">
        <v>17</v>
      </c>
      <c r="F112" s="21" t="s">
        <v>25</v>
      </c>
      <c r="G112" s="24">
        <v>3</v>
      </c>
      <c r="H112" s="24"/>
      <c r="J112" s="21" t="s">
        <v>446</v>
      </c>
      <c r="K112" s="24">
        <v>-1004.71</v>
      </c>
    </row>
    <row r="113" spans="1:11" x14ac:dyDescent="0.25">
      <c r="A113" s="76">
        <v>46038</v>
      </c>
      <c r="B113" s="21" t="s">
        <v>308</v>
      </c>
      <c r="C113" s="21" t="s">
        <v>12</v>
      </c>
      <c r="D113" s="21" t="s">
        <v>19</v>
      </c>
      <c r="E113" s="21" t="s">
        <v>17</v>
      </c>
      <c r="F113" s="21"/>
      <c r="G113" s="24">
        <v>883.29</v>
      </c>
      <c r="H113" s="24"/>
      <c r="J113" s="21" t="s">
        <v>446</v>
      </c>
      <c r="K113" s="24">
        <v>-1888</v>
      </c>
    </row>
    <row r="114" spans="1:11" x14ac:dyDescent="0.25">
      <c r="A114" s="76">
        <v>46038</v>
      </c>
      <c r="B114" s="21" t="s">
        <v>456</v>
      </c>
      <c r="C114" s="21" t="s">
        <v>12</v>
      </c>
      <c r="D114" s="21" t="s">
        <v>19</v>
      </c>
      <c r="E114" s="21" t="s">
        <v>17</v>
      </c>
      <c r="F114" s="21"/>
      <c r="G114" s="24">
        <v>222.34</v>
      </c>
      <c r="H114" s="24"/>
      <c r="J114" s="21" t="s">
        <v>446</v>
      </c>
      <c r="K114" s="24">
        <v>-2110.34</v>
      </c>
    </row>
    <row r="115" spans="1:11" x14ac:dyDescent="0.25">
      <c r="A115" s="76">
        <v>46038</v>
      </c>
      <c r="B115" s="21" t="s">
        <v>456</v>
      </c>
      <c r="C115" s="21" t="s">
        <v>12</v>
      </c>
      <c r="D115" s="21" t="s">
        <v>19</v>
      </c>
      <c r="E115" s="21" t="s">
        <v>17</v>
      </c>
      <c r="F115" s="21"/>
      <c r="G115" s="24">
        <v>329.39</v>
      </c>
      <c r="H115" s="24"/>
      <c r="J115" s="21" t="s">
        <v>446</v>
      </c>
      <c r="K115" s="24">
        <v>-2439.73</v>
      </c>
    </row>
    <row r="116" spans="1:11" x14ac:dyDescent="0.25">
      <c r="A116" s="76">
        <v>46038</v>
      </c>
      <c r="B116" s="21" t="s">
        <v>476</v>
      </c>
      <c r="C116" s="21" t="s">
        <v>12</v>
      </c>
      <c r="D116" s="21" t="s">
        <v>65</v>
      </c>
      <c r="E116" s="21" t="s">
        <v>17</v>
      </c>
      <c r="F116" s="21" t="s">
        <v>25</v>
      </c>
      <c r="G116" s="24">
        <v>506.46</v>
      </c>
      <c r="H116" s="24"/>
      <c r="J116" s="21" t="s">
        <v>446</v>
      </c>
      <c r="K116" s="24">
        <v>-2946.19</v>
      </c>
    </row>
    <row r="117" spans="1:11" x14ac:dyDescent="0.25">
      <c r="A117" s="76">
        <v>46038</v>
      </c>
      <c r="B117" s="21" t="s">
        <v>13</v>
      </c>
      <c r="C117" s="21" t="s">
        <v>20</v>
      </c>
      <c r="D117" s="21" t="s">
        <v>13</v>
      </c>
      <c r="E117" s="21"/>
      <c r="F117" s="21"/>
      <c r="G117" s="24">
        <v>5074</v>
      </c>
      <c r="H117" s="24"/>
      <c r="J117" s="21" t="s">
        <v>446</v>
      </c>
      <c r="K117" s="24">
        <v>2127.81</v>
      </c>
    </row>
    <row r="118" spans="1:11" x14ac:dyDescent="0.25">
      <c r="A118" s="76">
        <v>46038</v>
      </c>
      <c r="B118" s="21" t="s">
        <v>21</v>
      </c>
      <c r="C118" s="21" t="s">
        <v>20</v>
      </c>
      <c r="D118" s="21" t="s">
        <v>22</v>
      </c>
      <c r="E118" s="21" t="s">
        <v>17</v>
      </c>
      <c r="F118" s="21"/>
      <c r="G118" s="24">
        <v>95.88</v>
      </c>
      <c r="H118" s="24"/>
      <c r="J118" s="21" t="s">
        <v>446</v>
      </c>
      <c r="K118" s="24">
        <v>2223.690000000001</v>
      </c>
    </row>
    <row r="119" spans="1:11" x14ac:dyDescent="0.25">
      <c r="A119" s="76">
        <v>46038</v>
      </c>
      <c r="B119" s="21" t="s">
        <v>23</v>
      </c>
      <c r="C119" s="21" t="s">
        <v>12</v>
      </c>
      <c r="D119" s="21" t="s">
        <v>24</v>
      </c>
      <c r="E119" s="21" t="s">
        <v>17</v>
      </c>
      <c r="F119" s="21" t="s">
        <v>25</v>
      </c>
      <c r="G119" s="24">
        <v>18</v>
      </c>
      <c r="H119" s="24"/>
      <c r="J119" s="21" t="s">
        <v>446</v>
      </c>
      <c r="K119" s="24">
        <v>2205.690000000001</v>
      </c>
    </row>
    <row r="120" spans="1:11" x14ac:dyDescent="0.25">
      <c r="A120" s="76">
        <v>46038</v>
      </c>
      <c r="B120" s="21" t="s">
        <v>11</v>
      </c>
      <c r="C120" s="21" t="s">
        <v>12</v>
      </c>
      <c r="D120" s="21" t="s">
        <v>19</v>
      </c>
      <c r="E120" s="21" t="s">
        <v>14</v>
      </c>
      <c r="F120" s="21" t="s">
        <v>15</v>
      </c>
      <c r="G120" s="24">
        <v>329</v>
      </c>
      <c r="H120" s="24"/>
      <c r="J120" s="21" t="s">
        <v>446</v>
      </c>
      <c r="K120" s="24">
        <v>1876.690000000001</v>
      </c>
    </row>
    <row r="121" spans="1:11" x14ac:dyDescent="0.25">
      <c r="A121" s="76">
        <v>46038</v>
      </c>
      <c r="B121" s="21" t="s">
        <v>407</v>
      </c>
      <c r="C121" s="21" t="s">
        <v>12</v>
      </c>
      <c r="D121" s="21" t="s">
        <v>19</v>
      </c>
      <c r="E121" s="21" t="s">
        <v>17</v>
      </c>
      <c r="F121" s="21" t="s">
        <v>25</v>
      </c>
      <c r="G121" s="24">
        <v>395</v>
      </c>
      <c r="H121" s="24"/>
      <c r="J121" s="21" t="s">
        <v>446</v>
      </c>
      <c r="K121" s="24">
        <v>1481.690000000001</v>
      </c>
    </row>
    <row r="122" spans="1:11" x14ac:dyDescent="0.25">
      <c r="A122" s="76">
        <v>46038</v>
      </c>
      <c r="B122" s="21" t="s">
        <v>475</v>
      </c>
      <c r="C122" s="21" t="s">
        <v>12</v>
      </c>
      <c r="D122" s="21" t="s">
        <v>27</v>
      </c>
      <c r="E122" s="21" t="s">
        <v>14</v>
      </c>
      <c r="F122" s="21" t="s">
        <v>15</v>
      </c>
      <c r="G122" s="24">
        <v>3</v>
      </c>
      <c r="H122" s="24"/>
      <c r="J122" s="21" t="s">
        <v>446</v>
      </c>
      <c r="K122" s="24">
        <v>1478.690000000001</v>
      </c>
    </row>
    <row r="123" spans="1:11" x14ac:dyDescent="0.25">
      <c r="A123" s="76">
        <v>46039</v>
      </c>
      <c r="B123" s="21" t="s">
        <v>30</v>
      </c>
      <c r="C123" s="21" t="s">
        <v>20</v>
      </c>
      <c r="D123" s="21" t="s">
        <v>13</v>
      </c>
      <c r="E123" s="21"/>
      <c r="F123" s="21"/>
      <c r="G123" s="24">
        <v>8892</v>
      </c>
      <c r="H123" s="24"/>
      <c r="J123" s="21" t="s">
        <v>446</v>
      </c>
      <c r="K123" s="24">
        <v>10370.69</v>
      </c>
    </row>
    <row r="124" spans="1:11" x14ac:dyDescent="0.25">
      <c r="A124" s="76">
        <v>46039</v>
      </c>
      <c r="B124" s="21" t="s">
        <v>44</v>
      </c>
      <c r="C124" s="21" t="s">
        <v>20</v>
      </c>
      <c r="D124" s="21" t="s">
        <v>22</v>
      </c>
      <c r="E124" s="21" t="s">
        <v>17</v>
      </c>
      <c r="F124" s="21"/>
      <c r="G124" s="24">
        <v>297.36</v>
      </c>
      <c r="H124" s="24"/>
      <c r="J124" s="21" t="s">
        <v>446</v>
      </c>
      <c r="K124" s="24">
        <v>10668.05</v>
      </c>
    </row>
    <row r="125" spans="1:11" x14ac:dyDescent="0.25">
      <c r="A125" s="76">
        <v>46039</v>
      </c>
      <c r="B125" s="21" t="s">
        <v>45</v>
      </c>
      <c r="C125" s="21" t="s">
        <v>12</v>
      </c>
      <c r="D125" s="21" t="s">
        <v>24</v>
      </c>
      <c r="E125" s="21" t="s">
        <v>17</v>
      </c>
      <c r="F125" s="21" t="s">
        <v>25</v>
      </c>
      <c r="G125" s="24">
        <v>52</v>
      </c>
      <c r="H125" s="24"/>
      <c r="J125" s="21" t="s">
        <v>446</v>
      </c>
      <c r="K125" s="24">
        <v>10616.05</v>
      </c>
    </row>
    <row r="126" spans="1:11" x14ac:dyDescent="0.25">
      <c r="A126" s="76">
        <v>46039</v>
      </c>
      <c r="B126" s="21" t="s">
        <v>477</v>
      </c>
      <c r="C126" s="21" t="s">
        <v>12</v>
      </c>
      <c r="D126" s="21" t="s">
        <v>33</v>
      </c>
      <c r="E126" s="21" t="s">
        <v>14</v>
      </c>
      <c r="F126" s="21" t="s">
        <v>15</v>
      </c>
      <c r="G126" s="24">
        <v>50</v>
      </c>
      <c r="H126" s="24"/>
      <c r="J126" s="21" t="s">
        <v>446</v>
      </c>
      <c r="K126" s="24">
        <v>10566.05</v>
      </c>
    </row>
    <row r="127" spans="1:11" x14ac:dyDescent="0.25">
      <c r="A127" s="76">
        <v>46040</v>
      </c>
      <c r="B127" s="21" t="s">
        <v>13</v>
      </c>
      <c r="C127" s="21" t="s">
        <v>20</v>
      </c>
      <c r="D127" s="21" t="s">
        <v>13</v>
      </c>
      <c r="E127" s="21"/>
      <c r="F127" s="21"/>
      <c r="G127" s="24">
        <v>6136</v>
      </c>
      <c r="H127" s="24"/>
      <c r="J127" s="21" t="s">
        <v>446</v>
      </c>
      <c r="K127" s="24">
        <v>16702.05</v>
      </c>
    </row>
    <row r="128" spans="1:11" x14ac:dyDescent="0.25">
      <c r="A128" s="76">
        <v>46040</v>
      </c>
      <c r="B128" s="21" t="s">
        <v>21</v>
      </c>
      <c r="C128" s="21" t="s">
        <v>20</v>
      </c>
      <c r="D128" s="21" t="s">
        <v>22</v>
      </c>
      <c r="E128" s="21" t="s">
        <v>17</v>
      </c>
      <c r="F128" s="21"/>
      <c r="G128" s="24">
        <v>331.95</v>
      </c>
      <c r="H128" s="24"/>
      <c r="J128" s="21" t="s">
        <v>446</v>
      </c>
      <c r="K128" s="24">
        <v>17034</v>
      </c>
    </row>
    <row r="129" spans="1:11" x14ac:dyDescent="0.25">
      <c r="A129" s="76">
        <v>46040</v>
      </c>
      <c r="B129" s="21" t="s">
        <v>23</v>
      </c>
      <c r="C129" s="21" t="s">
        <v>12</v>
      </c>
      <c r="D129" s="21" t="s">
        <v>24</v>
      </c>
      <c r="E129" s="21" t="s">
        <v>17</v>
      </c>
      <c r="F129" s="21" t="s">
        <v>25</v>
      </c>
      <c r="G129" s="24">
        <v>71</v>
      </c>
      <c r="H129" s="24"/>
      <c r="J129" s="21" t="s">
        <v>446</v>
      </c>
      <c r="K129" s="24">
        <v>16963</v>
      </c>
    </row>
    <row r="130" spans="1:11" x14ac:dyDescent="0.25">
      <c r="A130" s="76">
        <v>46040</v>
      </c>
      <c r="B130" s="21" t="s">
        <v>33</v>
      </c>
      <c r="C130" s="21" t="s">
        <v>12</v>
      </c>
      <c r="D130" s="21" t="s">
        <v>33</v>
      </c>
      <c r="E130" s="21" t="s">
        <v>14</v>
      </c>
      <c r="F130" s="21" t="s">
        <v>15</v>
      </c>
      <c r="G130" s="24">
        <v>0</v>
      </c>
      <c r="H130" s="24"/>
      <c r="J130" s="21" t="s">
        <v>446</v>
      </c>
      <c r="K130" s="24">
        <v>16963</v>
      </c>
    </row>
    <row r="131" spans="1:11" x14ac:dyDescent="0.25">
      <c r="A131" s="76">
        <v>46040</v>
      </c>
      <c r="B131" s="21" t="s">
        <v>11</v>
      </c>
      <c r="C131" s="21" t="s">
        <v>12</v>
      </c>
      <c r="D131" s="21" t="s">
        <v>19</v>
      </c>
      <c r="E131" s="21" t="s">
        <v>14</v>
      </c>
      <c r="F131" s="21" t="s">
        <v>15</v>
      </c>
      <c r="G131" s="24">
        <v>0</v>
      </c>
      <c r="H131" s="24"/>
      <c r="J131" s="21" t="s">
        <v>446</v>
      </c>
      <c r="K131" s="24">
        <v>16963</v>
      </c>
    </row>
    <row r="132" spans="1:11" x14ac:dyDescent="0.25">
      <c r="A132" s="76">
        <v>46040</v>
      </c>
      <c r="B132" s="21" t="s">
        <v>478</v>
      </c>
      <c r="C132" s="21" t="s">
        <v>12</v>
      </c>
      <c r="D132" s="21" t="s">
        <v>27</v>
      </c>
      <c r="E132" s="21" t="s">
        <v>14</v>
      </c>
      <c r="F132" s="21" t="s">
        <v>15</v>
      </c>
      <c r="G132" s="24">
        <v>285</v>
      </c>
      <c r="H132" s="24"/>
      <c r="J132" s="21" t="s">
        <v>446</v>
      </c>
      <c r="K132" s="24">
        <v>16678</v>
      </c>
    </row>
    <row r="133" spans="1:11" x14ac:dyDescent="0.25">
      <c r="A133" s="76">
        <v>46040</v>
      </c>
      <c r="B133" s="21" t="s">
        <v>479</v>
      </c>
      <c r="C133" s="21" t="s">
        <v>12</v>
      </c>
      <c r="D133" s="21" t="s">
        <v>27</v>
      </c>
      <c r="E133" s="21" t="s">
        <v>17</v>
      </c>
      <c r="F133" s="21" t="s">
        <v>25</v>
      </c>
      <c r="G133" s="24">
        <v>1802.9</v>
      </c>
      <c r="H133" s="24"/>
      <c r="J133" s="21" t="s">
        <v>446</v>
      </c>
      <c r="K133" s="24">
        <v>14875.1</v>
      </c>
    </row>
    <row r="134" spans="1:11" x14ac:dyDescent="0.25">
      <c r="A134" s="76">
        <v>46040</v>
      </c>
      <c r="B134" s="21" t="s">
        <v>348</v>
      </c>
      <c r="C134" s="21" t="s">
        <v>12</v>
      </c>
      <c r="D134" s="21" t="s">
        <v>19</v>
      </c>
      <c r="E134" s="21" t="s">
        <v>17</v>
      </c>
      <c r="F134" s="21"/>
      <c r="G134" s="24">
        <v>526.15</v>
      </c>
      <c r="H134" s="24"/>
      <c r="J134" s="21" t="s">
        <v>446</v>
      </c>
      <c r="K134" s="24">
        <v>14348.95</v>
      </c>
    </row>
    <row r="135" spans="1:11" x14ac:dyDescent="0.25">
      <c r="A135" s="76">
        <v>46040</v>
      </c>
      <c r="B135" s="21" t="s">
        <v>343</v>
      </c>
      <c r="C135" s="21" t="s">
        <v>12</v>
      </c>
      <c r="D135" s="21" t="s">
        <v>19</v>
      </c>
      <c r="E135" s="21" t="s">
        <v>17</v>
      </c>
      <c r="F135" s="21"/>
      <c r="G135" s="24">
        <v>817.19</v>
      </c>
      <c r="H135" s="24"/>
      <c r="J135" s="21" t="s">
        <v>446</v>
      </c>
      <c r="K135" s="24">
        <v>13531.76</v>
      </c>
    </row>
    <row r="136" spans="1:11" x14ac:dyDescent="0.25">
      <c r="A136" s="76">
        <v>46041</v>
      </c>
      <c r="B136" s="21" t="s">
        <v>360</v>
      </c>
      <c r="C136" s="21" t="s">
        <v>12</v>
      </c>
      <c r="D136" s="21" t="s">
        <v>19</v>
      </c>
      <c r="E136" s="21" t="s">
        <v>17</v>
      </c>
      <c r="F136" s="21" t="s">
        <v>25</v>
      </c>
      <c r="G136" s="24">
        <v>382.5</v>
      </c>
      <c r="H136" s="24"/>
      <c r="J136" s="21" t="s">
        <v>446</v>
      </c>
      <c r="K136" s="24">
        <v>13149.26</v>
      </c>
    </row>
    <row r="137" spans="1:11" x14ac:dyDescent="0.25">
      <c r="A137" s="76">
        <v>46041</v>
      </c>
      <c r="B137" s="21" t="s">
        <v>480</v>
      </c>
      <c r="C137" s="21" t="s">
        <v>12</v>
      </c>
      <c r="D137" s="21" t="s">
        <v>39</v>
      </c>
      <c r="E137" s="21" t="s">
        <v>17</v>
      </c>
      <c r="F137" s="21" t="s">
        <v>25</v>
      </c>
      <c r="G137" s="24">
        <v>800</v>
      </c>
      <c r="H137" s="24"/>
      <c r="J137" s="21" t="s">
        <v>446</v>
      </c>
      <c r="K137" s="24">
        <v>12349.26</v>
      </c>
    </row>
    <row r="138" spans="1:11" x14ac:dyDescent="0.25">
      <c r="A138" s="76">
        <v>46041</v>
      </c>
      <c r="B138" s="21" t="s">
        <v>13</v>
      </c>
      <c r="C138" s="21" t="s">
        <v>20</v>
      </c>
      <c r="D138" s="21" t="s">
        <v>13</v>
      </c>
      <c r="E138" s="21"/>
      <c r="F138" s="21"/>
      <c r="G138" s="24">
        <v>3678</v>
      </c>
      <c r="H138" s="24"/>
      <c r="J138" s="21" t="s">
        <v>446</v>
      </c>
      <c r="K138" s="24">
        <v>16027.26</v>
      </c>
    </row>
    <row r="139" spans="1:11" x14ac:dyDescent="0.25">
      <c r="A139" s="76">
        <v>46041</v>
      </c>
      <c r="B139" s="21" t="s">
        <v>21</v>
      </c>
      <c r="C139" s="21" t="s">
        <v>20</v>
      </c>
      <c r="D139" s="21" t="s">
        <v>22</v>
      </c>
      <c r="E139" s="21" t="s">
        <v>17</v>
      </c>
      <c r="F139" s="21"/>
      <c r="G139" s="24">
        <v>54.89</v>
      </c>
      <c r="H139" s="24"/>
      <c r="J139" s="21" t="s">
        <v>446</v>
      </c>
      <c r="K139" s="24">
        <v>16082.15</v>
      </c>
    </row>
    <row r="140" spans="1:11" x14ac:dyDescent="0.25">
      <c r="A140" s="76">
        <v>46041</v>
      </c>
      <c r="B140" s="21" t="s">
        <v>23</v>
      </c>
      <c r="C140" s="21" t="s">
        <v>12</v>
      </c>
      <c r="D140" s="21" t="s">
        <v>24</v>
      </c>
      <c r="E140" s="21" t="s">
        <v>17</v>
      </c>
      <c r="F140" s="21" t="s">
        <v>25</v>
      </c>
      <c r="G140" s="24">
        <v>9</v>
      </c>
      <c r="H140" s="24"/>
      <c r="J140" s="21" t="s">
        <v>446</v>
      </c>
      <c r="K140" s="24">
        <v>16073.15</v>
      </c>
    </row>
    <row r="141" spans="1:11" x14ac:dyDescent="0.25">
      <c r="A141" s="76">
        <v>46042</v>
      </c>
      <c r="B141" s="21" t="s">
        <v>454</v>
      </c>
      <c r="C141" s="21" t="s">
        <v>12</v>
      </c>
      <c r="D141" s="21" t="s">
        <v>19</v>
      </c>
      <c r="E141" s="21" t="s">
        <v>17</v>
      </c>
      <c r="F141" s="21"/>
      <c r="G141" s="24">
        <v>2269.2600000000002</v>
      </c>
      <c r="H141" s="24"/>
      <c r="J141" s="21" t="s">
        <v>446</v>
      </c>
      <c r="K141" s="24">
        <v>13803.89</v>
      </c>
    </row>
    <row r="142" spans="1:11" x14ac:dyDescent="0.25">
      <c r="A142" s="76">
        <v>46042</v>
      </c>
      <c r="B142" s="21" t="s">
        <v>346</v>
      </c>
      <c r="C142" s="21" t="s">
        <v>12</v>
      </c>
      <c r="D142" s="21" t="s">
        <v>19</v>
      </c>
      <c r="E142" s="21" t="s">
        <v>17</v>
      </c>
      <c r="F142" s="21"/>
      <c r="G142" s="24">
        <v>3409.49</v>
      </c>
      <c r="H142" s="24"/>
      <c r="J142" s="21" t="s">
        <v>446</v>
      </c>
      <c r="K142" s="24">
        <v>10394.4</v>
      </c>
    </row>
    <row r="143" spans="1:11" x14ac:dyDescent="0.25">
      <c r="A143" s="76">
        <v>46042</v>
      </c>
      <c r="B143" s="21" t="s">
        <v>365</v>
      </c>
      <c r="C143" s="21" t="s">
        <v>12</v>
      </c>
      <c r="D143" s="21" t="s">
        <v>62</v>
      </c>
      <c r="E143" s="21" t="s">
        <v>17</v>
      </c>
      <c r="F143" s="21"/>
      <c r="G143" s="24">
        <v>447.5</v>
      </c>
      <c r="H143" s="24"/>
      <c r="J143" s="21" t="s">
        <v>446</v>
      </c>
      <c r="K143" s="24">
        <v>9946.9000000000033</v>
      </c>
    </row>
    <row r="144" spans="1:11" x14ac:dyDescent="0.25">
      <c r="A144" s="76">
        <v>46042</v>
      </c>
      <c r="B144" s="21" t="s">
        <v>481</v>
      </c>
      <c r="C144" s="21" t="s">
        <v>12</v>
      </c>
      <c r="D144" s="21" t="s">
        <v>58</v>
      </c>
      <c r="E144" s="21" t="s">
        <v>17</v>
      </c>
      <c r="F144" s="21"/>
      <c r="G144" s="24">
        <v>3499.65</v>
      </c>
      <c r="H144" s="24"/>
      <c r="J144" s="21" t="s">
        <v>446</v>
      </c>
      <c r="K144" s="24">
        <v>6447.2500000000036</v>
      </c>
    </row>
    <row r="145" spans="1:11" x14ac:dyDescent="0.25">
      <c r="A145" s="76">
        <v>46042</v>
      </c>
      <c r="B145" s="21" t="s">
        <v>482</v>
      </c>
      <c r="C145" s="21" t="s">
        <v>12</v>
      </c>
      <c r="D145" s="21" t="s">
        <v>58</v>
      </c>
      <c r="E145" s="21" t="s">
        <v>17</v>
      </c>
      <c r="F145" s="21"/>
      <c r="G145" s="24">
        <v>1074.93</v>
      </c>
      <c r="H145" s="24"/>
      <c r="J145" s="21" t="s">
        <v>446</v>
      </c>
      <c r="K145" s="24">
        <v>5372.3200000000033</v>
      </c>
    </row>
    <row r="146" spans="1:11" x14ac:dyDescent="0.25">
      <c r="A146" s="76">
        <v>46042</v>
      </c>
      <c r="B146" s="21" t="s">
        <v>483</v>
      </c>
      <c r="C146" s="21" t="s">
        <v>12</v>
      </c>
      <c r="D146" s="21" t="s">
        <v>58</v>
      </c>
      <c r="E146" s="21" t="s">
        <v>17</v>
      </c>
      <c r="F146" s="21"/>
      <c r="G146" s="24">
        <v>832.34</v>
      </c>
      <c r="H146" s="24"/>
      <c r="J146" s="21" t="s">
        <v>446</v>
      </c>
      <c r="K146" s="24">
        <v>4539.9800000000032</v>
      </c>
    </row>
    <row r="147" spans="1:11" x14ac:dyDescent="0.25">
      <c r="A147" s="76">
        <v>46042</v>
      </c>
      <c r="B147" s="21" t="s">
        <v>484</v>
      </c>
      <c r="C147" s="21" t="s">
        <v>12</v>
      </c>
      <c r="D147" s="21" t="s">
        <v>58</v>
      </c>
      <c r="E147" s="21" t="s">
        <v>17</v>
      </c>
      <c r="F147" s="21"/>
      <c r="G147" s="24">
        <v>13722.55</v>
      </c>
      <c r="H147" s="24"/>
      <c r="J147" s="21" t="s">
        <v>446</v>
      </c>
      <c r="K147" s="24">
        <v>-9182.5699999999961</v>
      </c>
    </row>
    <row r="148" spans="1:11" x14ac:dyDescent="0.25">
      <c r="A148" s="76">
        <v>46042</v>
      </c>
      <c r="B148" s="21" t="s">
        <v>13</v>
      </c>
      <c r="C148" s="21" t="s">
        <v>20</v>
      </c>
      <c r="D148" s="21" t="s">
        <v>13</v>
      </c>
      <c r="E148" s="21"/>
      <c r="F148" s="21"/>
      <c r="G148" s="24">
        <v>3462</v>
      </c>
      <c r="H148" s="24"/>
      <c r="J148" s="21" t="s">
        <v>446</v>
      </c>
      <c r="K148" s="24">
        <v>-5720.5699999999961</v>
      </c>
    </row>
    <row r="149" spans="1:11" x14ac:dyDescent="0.25">
      <c r="A149" s="76">
        <v>46042</v>
      </c>
      <c r="B149" s="21" t="s">
        <v>485</v>
      </c>
      <c r="C149" s="21" t="s">
        <v>20</v>
      </c>
      <c r="D149" s="21" t="s">
        <v>22</v>
      </c>
      <c r="E149" s="21" t="s">
        <v>17</v>
      </c>
      <c r="F149" s="21"/>
      <c r="G149" s="24">
        <v>18.989999999999998</v>
      </c>
      <c r="H149" s="24"/>
      <c r="J149" s="21" t="s">
        <v>446</v>
      </c>
      <c r="K149" s="24">
        <v>-5701.5799999999963</v>
      </c>
    </row>
    <row r="150" spans="1:11" x14ac:dyDescent="0.25">
      <c r="A150" s="76">
        <v>46042</v>
      </c>
      <c r="B150" s="21" t="s">
        <v>23</v>
      </c>
      <c r="C150" s="21" t="s">
        <v>12</v>
      </c>
      <c r="D150" s="21" t="s">
        <v>24</v>
      </c>
      <c r="E150" s="21" t="s">
        <v>17</v>
      </c>
      <c r="F150" s="21" t="s">
        <v>25</v>
      </c>
      <c r="G150" s="24">
        <v>9</v>
      </c>
      <c r="H150" s="24"/>
      <c r="J150" s="21" t="s">
        <v>446</v>
      </c>
      <c r="K150" s="24">
        <v>-5710.5799999999963</v>
      </c>
    </row>
    <row r="151" spans="1:11" x14ac:dyDescent="0.25">
      <c r="A151" s="76">
        <v>46042</v>
      </c>
      <c r="B151" s="21" t="s">
        <v>486</v>
      </c>
      <c r="C151" s="21" t="s">
        <v>12</v>
      </c>
      <c r="D151" s="21" t="s">
        <v>27</v>
      </c>
      <c r="E151" s="21" t="s">
        <v>17</v>
      </c>
      <c r="F151" s="21" t="s">
        <v>25</v>
      </c>
      <c r="G151" s="24">
        <v>500</v>
      </c>
      <c r="H151" s="24"/>
      <c r="J151" s="21" t="s">
        <v>446</v>
      </c>
      <c r="K151" s="24">
        <v>-6210.5799999999963</v>
      </c>
    </row>
    <row r="152" spans="1:11" x14ac:dyDescent="0.25">
      <c r="A152" s="76">
        <v>46042</v>
      </c>
      <c r="B152" s="21" t="s">
        <v>487</v>
      </c>
      <c r="C152" s="21" t="s">
        <v>12</v>
      </c>
      <c r="D152" s="21" t="s">
        <v>60</v>
      </c>
      <c r="E152" s="21" t="s">
        <v>17</v>
      </c>
      <c r="F152" s="21" t="s">
        <v>25</v>
      </c>
      <c r="G152" s="24">
        <v>180.41</v>
      </c>
      <c r="H152" s="24"/>
      <c r="J152" s="21" t="s">
        <v>446</v>
      </c>
      <c r="K152" s="24">
        <v>-6390.9899999999961</v>
      </c>
    </row>
    <row r="153" spans="1:11" x14ac:dyDescent="0.25">
      <c r="A153" s="76">
        <v>46042</v>
      </c>
      <c r="B153" s="21" t="s">
        <v>11</v>
      </c>
      <c r="C153" s="21" t="s">
        <v>12</v>
      </c>
      <c r="D153" s="21" t="s">
        <v>19</v>
      </c>
      <c r="E153" s="21" t="s">
        <v>14</v>
      </c>
      <c r="F153" s="21" t="s">
        <v>15</v>
      </c>
      <c r="G153" s="24">
        <v>0</v>
      </c>
      <c r="H153" s="24"/>
      <c r="J153" s="21" t="s">
        <v>446</v>
      </c>
      <c r="K153" s="24">
        <v>-6390.9899999999961</v>
      </c>
    </row>
    <row r="154" spans="1:11" x14ac:dyDescent="0.25">
      <c r="A154" s="76">
        <v>46043</v>
      </c>
      <c r="B154" s="21" t="s">
        <v>488</v>
      </c>
      <c r="C154" s="21" t="s">
        <v>12</v>
      </c>
      <c r="D154" s="21" t="s">
        <v>19</v>
      </c>
      <c r="E154" s="21" t="s">
        <v>17</v>
      </c>
      <c r="F154" s="21"/>
      <c r="G154" s="24">
        <v>278</v>
      </c>
      <c r="H154" s="24"/>
      <c r="J154" s="21" t="s">
        <v>446</v>
      </c>
      <c r="K154" s="24">
        <v>-6668.9899999999961</v>
      </c>
    </row>
    <row r="155" spans="1:11" x14ac:dyDescent="0.25">
      <c r="A155" s="76">
        <v>46043</v>
      </c>
      <c r="B155" s="21" t="s">
        <v>397</v>
      </c>
      <c r="C155" s="21" t="s">
        <v>12</v>
      </c>
      <c r="D155" s="21" t="s">
        <v>19</v>
      </c>
      <c r="E155" s="21" t="s">
        <v>17</v>
      </c>
      <c r="F155" s="21"/>
      <c r="G155" s="24">
        <v>747.87</v>
      </c>
      <c r="H155" s="24"/>
      <c r="J155" s="21" t="s">
        <v>446</v>
      </c>
      <c r="K155" s="24">
        <v>-7416.859999999996</v>
      </c>
    </row>
    <row r="156" spans="1:11" x14ac:dyDescent="0.25">
      <c r="A156" s="76">
        <v>46043</v>
      </c>
      <c r="B156" s="21" t="s">
        <v>13</v>
      </c>
      <c r="C156" s="21" t="s">
        <v>20</v>
      </c>
      <c r="D156" s="21" t="s">
        <v>13</v>
      </c>
      <c r="E156" s="21"/>
      <c r="F156" s="21"/>
      <c r="G156" s="24">
        <v>2175</v>
      </c>
      <c r="H156" s="24"/>
      <c r="J156" s="21" t="s">
        <v>446</v>
      </c>
      <c r="K156" s="24">
        <v>-5241.859999999996</v>
      </c>
    </row>
    <row r="157" spans="1:11" x14ac:dyDescent="0.25">
      <c r="A157" s="76">
        <v>46043</v>
      </c>
      <c r="B157" s="21" t="s">
        <v>21</v>
      </c>
      <c r="C157" s="21" t="s">
        <v>20</v>
      </c>
      <c r="D157" s="21" t="s">
        <v>22</v>
      </c>
      <c r="E157" s="21" t="s">
        <v>17</v>
      </c>
      <c r="F157" s="21"/>
      <c r="G157" s="24">
        <v>80.48</v>
      </c>
      <c r="H157" s="24"/>
      <c r="J157" s="21" t="s">
        <v>446</v>
      </c>
      <c r="K157" s="24">
        <v>-5161.3799999999956</v>
      </c>
    </row>
    <row r="158" spans="1:11" x14ac:dyDescent="0.25">
      <c r="A158" s="76">
        <v>46043</v>
      </c>
      <c r="B158" s="21" t="s">
        <v>23</v>
      </c>
      <c r="C158" s="21" t="s">
        <v>12</v>
      </c>
      <c r="D158" s="21" t="s">
        <v>24</v>
      </c>
      <c r="E158" s="21" t="s">
        <v>17</v>
      </c>
      <c r="F158" s="21" t="s">
        <v>25</v>
      </c>
      <c r="G158" s="24">
        <v>36</v>
      </c>
      <c r="H158" s="24"/>
      <c r="J158" s="21" t="s">
        <v>446</v>
      </c>
      <c r="K158" s="24">
        <v>-5197.3799999999956</v>
      </c>
    </row>
    <row r="159" spans="1:11" x14ac:dyDescent="0.25">
      <c r="A159" s="76">
        <v>46043</v>
      </c>
      <c r="B159" s="21" t="s">
        <v>11</v>
      </c>
      <c r="C159" s="21" t="s">
        <v>12</v>
      </c>
      <c r="D159" s="21" t="s">
        <v>19</v>
      </c>
      <c r="E159" s="21" t="s">
        <v>14</v>
      </c>
      <c r="F159" s="21" t="s">
        <v>15</v>
      </c>
      <c r="G159" s="24">
        <v>235</v>
      </c>
      <c r="H159" s="24"/>
      <c r="J159" s="21" t="s">
        <v>446</v>
      </c>
      <c r="K159" s="24">
        <v>-5432.3799999999956</v>
      </c>
    </row>
    <row r="160" spans="1:11" x14ac:dyDescent="0.25">
      <c r="A160" s="76">
        <v>46044</v>
      </c>
      <c r="B160" s="21" t="s">
        <v>489</v>
      </c>
      <c r="C160" s="21" t="s">
        <v>12</v>
      </c>
      <c r="D160" s="21" t="s">
        <v>64</v>
      </c>
      <c r="E160" s="21" t="s">
        <v>17</v>
      </c>
      <c r="F160" s="21" t="s">
        <v>25</v>
      </c>
      <c r="G160" s="24">
        <v>45</v>
      </c>
      <c r="H160" s="24"/>
      <c r="J160" s="21" t="s">
        <v>446</v>
      </c>
      <c r="K160" s="24">
        <v>-5477.3799999999956</v>
      </c>
    </row>
    <row r="161" spans="1:11" x14ac:dyDescent="0.25">
      <c r="A161" s="76">
        <v>46044</v>
      </c>
      <c r="B161" s="21" t="s">
        <v>490</v>
      </c>
      <c r="C161" s="21" t="s">
        <v>12</v>
      </c>
      <c r="D161" s="21" t="s">
        <v>39</v>
      </c>
      <c r="E161" s="21" t="s">
        <v>17</v>
      </c>
      <c r="F161" s="21" t="s">
        <v>25</v>
      </c>
      <c r="G161" s="24">
        <v>130</v>
      </c>
      <c r="H161" s="24"/>
      <c r="I161" s="21" t="s">
        <v>491</v>
      </c>
      <c r="J161" s="21" t="s">
        <v>446</v>
      </c>
      <c r="K161" s="24">
        <v>-5607.3799999999956</v>
      </c>
    </row>
    <row r="162" spans="1:11" x14ac:dyDescent="0.25">
      <c r="A162" s="76">
        <v>46044</v>
      </c>
      <c r="B162" s="21" t="s">
        <v>30</v>
      </c>
      <c r="C162" s="21" t="s">
        <v>20</v>
      </c>
      <c r="D162" s="21" t="s">
        <v>13</v>
      </c>
      <c r="E162" s="21"/>
      <c r="F162" s="21"/>
      <c r="G162" s="24">
        <v>2976</v>
      </c>
      <c r="H162" s="24"/>
      <c r="J162" s="21" t="s">
        <v>446</v>
      </c>
      <c r="K162" s="24">
        <v>-2631.379999999996</v>
      </c>
    </row>
    <row r="163" spans="1:11" x14ac:dyDescent="0.25">
      <c r="A163" s="76">
        <v>46044</v>
      </c>
      <c r="B163" s="21" t="s">
        <v>21</v>
      </c>
      <c r="C163" s="21" t="s">
        <v>20</v>
      </c>
      <c r="D163" s="21" t="s">
        <v>22</v>
      </c>
      <c r="E163" s="21" t="s">
        <v>17</v>
      </c>
      <c r="F163" s="21"/>
      <c r="G163" s="24">
        <v>85.29</v>
      </c>
      <c r="H163" s="24"/>
      <c r="J163" s="21" t="s">
        <v>446</v>
      </c>
      <c r="K163" s="24">
        <v>-2546.089999999997</v>
      </c>
    </row>
    <row r="164" spans="1:11" x14ac:dyDescent="0.25">
      <c r="A164" s="76">
        <v>46044</v>
      </c>
      <c r="B164" s="21" t="s">
        <v>23</v>
      </c>
      <c r="C164" s="21" t="s">
        <v>12</v>
      </c>
      <c r="D164" s="21" t="s">
        <v>24</v>
      </c>
      <c r="E164" s="21" t="s">
        <v>17</v>
      </c>
      <c r="F164" s="21" t="s">
        <v>25</v>
      </c>
      <c r="G164" s="24">
        <v>9</v>
      </c>
      <c r="H164" s="24"/>
      <c r="J164" s="21" t="s">
        <v>446</v>
      </c>
      <c r="K164" s="24">
        <v>-2555.089999999997</v>
      </c>
    </row>
    <row r="165" spans="1:11" x14ac:dyDescent="0.25">
      <c r="A165" s="76">
        <v>46044</v>
      </c>
      <c r="B165" s="21" t="s">
        <v>11</v>
      </c>
      <c r="C165" s="21" t="s">
        <v>12</v>
      </c>
      <c r="D165" s="21" t="s">
        <v>19</v>
      </c>
      <c r="E165" s="21" t="s">
        <v>14</v>
      </c>
      <c r="F165" s="21" t="s">
        <v>15</v>
      </c>
      <c r="G165" s="24">
        <v>235</v>
      </c>
      <c r="H165" s="24"/>
      <c r="J165" s="21" t="s">
        <v>446</v>
      </c>
      <c r="K165" s="24">
        <v>-2790.089999999997</v>
      </c>
    </row>
    <row r="166" spans="1:11" x14ac:dyDescent="0.25">
      <c r="A166" s="76">
        <v>46045</v>
      </c>
      <c r="B166" s="21" t="s">
        <v>308</v>
      </c>
      <c r="C166" s="21" t="s">
        <v>12</v>
      </c>
      <c r="D166" s="21" t="s">
        <v>19</v>
      </c>
      <c r="E166" s="21" t="s">
        <v>17</v>
      </c>
      <c r="F166" s="21"/>
      <c r="G166" s="24">
        <v>2675.38</v>
      </c>
      <c r="H166" s="24"/>
      <c r="J166" s="21" t="s">
        <v>446</v>
      </c>
      <c r="K166" s="24">
        <v>-5465.4699999999966</v>
      </c>
    </row>
    <row r="167" spans="1:11" x14ac:dyDescent="0.25">
      <c r="A167" s="76">
        <v>46045</v>
      </c>
      <c r="B167" s="21" t="s">
        <v>13</v>
      </c>
      <c r="C167" s="21" t="s">
        <v>20</v>
      </c>
      <c r="D167" s="21" t="s">
        <v>13</v>
      </c>
      <c r="E167" s="21"/>
      <c r="F167" s="21"/>
      <c r="G167" s="24">
        <v>2072</v>
      </c>
      <c r="H167" s="24"/>
      <c r="J167" s="21" t="s">
        <v>446</v>
      </c>
      <c r="K167" s="24">
        <v>-3393.4699999999971</v>
      </c>
    </row>
    <row r="168" spans="1:11" x14ac:dyDescent="0.25">
      <c r="A168" s="76">
        <v>46045</v>
      </c>
      <c r="B168" s="21" t="s">
        <v>21</v>
      </c>
      <c r="C168" s="21" t="s">
        <v>20</v>
      </c>
      <c r="D168" s="21" t="s">
        <v>22</v>
      </c>
      <c r="E168" s="21" t="s">
        <v>17</v>
      </c>
      <c r="F168" s="21"/>
      <c r="G168" s="24">
        <v>251</v>
      </c>
      <c r="H168" s="24"/>
      <c r="J168" s="21" t="s">
        <v>446</v>
      </c>
      <c r="K168" s="24">
        <v>-3142.4699999999971</v>
      </c>
    </row>
    <row r="169" spans="1:11" x14ac:dyDescent="0.25">
      <c r="A169" s="76">
        <v>46045</v>
      </c>
      <c r="B169" s="21" t="s">
        <v>492</v>
      </c>
      <c r="C169" s="21" t="s">
        <v>12</v>
      </c>
      <c r="D169" s="21" t="s">
        <v>24</v>
      </c>
      <c r="E169" s="21" t="s">
        <v>17</v>
      </c>
      <c r="F169" s="21" t="s">
        <v>25</v>
      </c>
      <c r="G169" s="24">
        <v>25</v>
      </c>
      <c r="H169" s="24"/>
      <c r="J169" s="21" t="s">
        <v>446</v>
      </c>
      <c r="K169" s="24">
        <v>-3167.4699999999971</v>
      </c>
    </row>
    <row r="170" spans="1:11" x14ac:dyDescent="0.25">
      <c r="A170" s="76">
        <v>46045</v>
      </c>
      <c r="B170" s="21" t="s">
        <v>11</v>
      </c>
      <c r="C170" s="21" t="s">
        <v>12</v>
      </c>
      <c r="D170" s="21" t="s">
        <v>19</v>
      </c>
      <c r="E170" s="21" t="s">
        <v>14</v>
      </c>
      <c r="F170" s="21" t="s">
        <v>15</v>
      </c>
      <c r="G170" s="24">
        <v>0</v>
      </c>
      <c r="H170" s="24"/>
      <c r="J170" s="21" t="s">
        <v>446</v>
      </c>
      <c r="K170" s="24">
        <v>-3167.4699999999971</v>
      </c>
    </row>
    <row r="171" spans="1:11" x14ac:dyDescent="0.25">
      <c r="A171" s="76">
        <v>46045</v>
      </c>
      <c r="B171" s="21" t="s">
        <v>493</v>
      </c>
      <c r="C171" s="21" t="s">
        <v>12</v>
      </c>
      <c r="D171" s="21" t="s">
        <v>39</v>
      </c>
      <c r="E171" s="21" t="s">
        <v>17</v>
      </c>
      <c r="F171" s="21" t="s">
        <v>25</v>
      </c>
      <c r="G171" s="24">
        <v>365</v>
      </c>
      <c r="H171" s="24"/>
      <c r="J171" s="21" t="s">
        <v>446</v>
      </c>
      <c r="K171" s="24">
        <v>-3532.4699999999971</v>
      </c>
    </row>
    <row r="172" spans="1:11" x14ac:dyDescent="0.25">
      <c r="A172" s="76">
        <v>46046</v>
      </c>
      <c r="B172" s="21" t="s">
        <v>494</v>
      </c>
      <c r="C172" s="21" t="s">
        <v>12</v>
      </c>
      <c r="D172" s="21" t="s">
        <v>27</v>
      </c>
      <c r="E172" s="21" t="s">
        <v>17</v>
      </c>
      <c r="F172" s="21" t="s">
        <v>25</v>
      </c>
      <c r="G172" s="24">
        <v>286</v>
      </c>
      <c r="H172" s="24"/>
      <c r="J172" s="21" t="s">
        <v>446</v>
      </c>
      <c r="K172" s="24">
        <v>-3818.4699999999971</v>
      </c>
    </row>
    <row r="173" spans="1:11" x14ac:dyDescent="0.25">
      <c r="A173" s="76">
        <v>46046</v>
      </c>
      <c r="B173" s="21" t="s">
        <v>13</v>
      </c>
      <c r="C173" s="21" t="s">
        <v>20</v>
      </c>
      <c r="D173" s="21" t="s">
        <v>13</v>
      </c>
      <c r="E173" s="21"/>
      <c r="F173" s="21"/>
      <c r="G173" s="24">
        <v>6766</v>
      </c>
      <c r="H173" s="24"/>
      <c r="J173" s="21" t="s">
        <v>446</v>
      </c>
      <c r="K173" s="24">
        <v>2947.5300000000029</v>
      </c>
    </row>
    <row r="174" spans="1:11" x14ac:dyDescent="0.25">
      <c r="A174" s="76">
        <v>46046</v>
      </c>
      <c r="B174" s="21" t="s">
        <v>21</v>
      </c>
      <c r="C174" s="21" t="s">
        <v>20</v>
      </c>
      <c r="D174" s="21" t="s">
        <v>22</v>
      </c>
      <c r="E174" s="21" t="s">
        <v>17</v>
      </c>
      <c r="F174" s="21"/>
      <c r="G174" s="24">
        <v>312.93</v>
      </c>
      <c r="H174" s="24"/>
      <c r="J174" s="21" t="s">
        <v>446</v>
      </c>
      <c r="K174" s="24">
        <v>3260.4600000000032</v>
      </c>
    </row>
    <row r="175" spans="1:11" x14ac:dyDescent="0.25">
      <c r="A175" s="76">
        <v>46046</v>
      </c>
      <c r="B175" s="21" t="s">
        <v>495</v>
      </c>
      <c r="C175" s="21" t="s">
        <v>12</v>
      </c>
      <c r="D175" s="21" t="s">
        <v>24</v>
      </c>
      <c r="E175" s="21" t="s">
        <v>17</v>
      </c>
      <c r="F175" s="21" t="s">
        <v>25</v>
      </c>
      <c r="G175" s="24">
        <v>43</v>
      </c>
      <c r="H175" s="24"/>
      <c r="J175" s="21" t="s">
        <v>446</v>
      </c>
      <c r="K175" s="24">
        <v>3217.4600000000032</v>
      </c>
    </row>
    <row r="176" spans="1:11" x14ac:dyDescent="0.25">
      <c r="A176" s="76">
        <v>46047</v>
      </c>
      <c r="B176" s="21" t="s">
        <v>11</v>
      </c>
      <c r="C176" s="21" t="s">
        <v>12</v>
      </c>
      <c r="D176" s="21" t="s">
        <v>19</v>
      </c>
      <c r="E176" s="21" t="s">
        <v>14</v>
      </c>
      <c r="F176" s="21" t="s">
        <v>25</v>
      </c>
      <c r="G176" s="24">
        <v>188</v>
      </c>
      <c r="H176" s="24"/>
      <c r="J176" s="21" t="s">
        <v>446</v>
      </c>
      <c r="K176" s="24">
        <v>3029.4600000000032</v>
      </c>
    </row>
    <row r="177" spans="1:11" x14ac:dyDescent="0.25">
      <c r="A177" s="76">
        <v>46047</v>
      </c>
      <c r="B177" s="21" t="s">
        <v>496</v>
      </c>
      <c r="C177" s="21" t="s">
        <v>12</v>
      </c>
      <c r="D177" s="21" t="s">
        <v>33</v>
      </c>
      <c r="E177" s="21" t="s">
        <v>14</v>
      </c>
      <c r="F177" s="21" t="s">
        <v>15</v>
      </c>
      <c r="G177" s="24">
        <v>170</v>
      </c>
      <c r="H177" s="24"/>
      <c r="J177" s="21" t="s">
        <v>446</v>
      </c>
      <c r="K177" s="24">
        <v>2859.4600000000032</v>
      </c>
    </row>
    <row r="178" spans="1:11" x14ac:dyDescent="0.25">
      <c r="A178" s="76">
        <v>46047</v>
      </c>
      <c r="B178" s="21" t="s">
        <v>32</v>
      </c>
      <c r="C178" s="21" t="s">
        <v>12</v>
      </c>
      <c r="D178" s="21" t="s">
        <v>33</v>
      </c>
      <c r="E178" s="21" t="s">
        <v>17</v>
      </c>
      <c r="F178" s="21" t="s">
        <v>25</v>
      </c>
      <c r="G178" s="24">
        <v>150</v>
      </c>
      <c r="H178" s="24"/>
      <c r="J178" s="21" t="s">
        <v>446</v>
      </c>
      <c r="K178" s="24">
        <v>2709.4600000000032</v>
      </c>
    </row>
    <row r="179" spans="1:11" x14ac:dyDescent="0.25">
      <c r="A179" s="76">
        <v>46047</v>
      </c>
      <c r="B179" s="21" t="s">
        <v>13</v>
      </c>
      <c r="C179" s="21" t="s">
        <v>20</v>
      </c>
      <c r="D179" s="21" t="s">
        <v>13</v>
      </c>
      <c r="E179" s="21"/>
      <c r="F179" s="21"/>
      <c r="G179" s="24">
        <v>6596.5</v>
      </c>
      <c r="H179" s="24"/>
      <c r="J179" s="21" t="s">
        <v>446</v>
      </c>
      <c r="K179" s="24">
        <v>9305.9600000000028</v>
      </c>
    </row>
    <row r="180" spans="1:11" x14ac:dyDescent="0.25">
      <c r="A180" s="76">
        <v>46047</v>
      </c>
      <c r="B180" s="21" t="s">
        <v>21</v>
      </c>
      <c r="C180" s="21" t="s">
        <v>20</v>
      </c>
      <c r="D180" s="21" t="s">
        <v>22</v>
      </c>
      <c r="E180" s="21" t="s">
        <v>17</v>
      </c>
      <c r="F180" s="21"/>
      <c r="G180" s="24">
        <v>116.44</v>
      </c>
      <c r="H180" s="24"/>
      <c r="J180" s="21" t="s">
        <v>446</v>
      </c>
      <c r="K180" s="24">
        <v>9422.4000000000033</v>
      </c>
    </row>
    <row r="181" spans="1:11" x14ac:dyDescent="0.25">
      <c r="A181" s="76">
        <v>46047</v>
      </c>
      <c r="B181" s="21" t="s">
        <v>23</v>
      </c>
      <c r="C181" s="21" t="s">
        <v>12</v>
      </c>
      <c r="D181" s="21" t="s">
        <v>24</v>
      </c>
      <c r="E181" s="21" t="s">
        <v>17</v>
      </c>
      <c r="F181" s="21" t="s">
        <v>25</v>
      </c>
      <c r="G181" s="24">
        <v>27</v>
      </c>
      <c r="H181" s="24"/>
      <c r="J181" s="21" t="s">
        <v>446</v>
      </c>
      <c r="K181" s="24">
        <v>9395.4000000000033</v>
      </c>
    </row>
    <row r="182" spans="1:11" x14ac:dyDescent="0.25">
      <c r="A182" s="76">
        <v>46048</v>
      </c>
      <c r="B182" s="21" t="s">
        <v>30</v>
      </c>
      <c r="C182" s="21" t="s">
        <v>20</v>
      </c>
      <c r="D182" s="21" t="s">
        <v>13</v>
      </c>
      <c r="E182" s="21"/>
      <c r="F182" s="21"/>
      <c r="G182" s="24">
        <v>2696</v>
      </c>
      <c r="H182" s="24"/>
      <c r="J182" s="21" t="s">
        <v>446</v>
      </c>
      <c r="K182" s="24">
        <v>12091.4</v>
      </c>
    </row>
    <row r="183" spans="1:11" x14ac:dyDescent="0.25">
      <c r="A183" s="76">
        <v>46048</v>
      </c>
      <c r="B183" s="21" t="s">
        <v>44</v>
      </c>
      <c r="C183" s="21" t="s">
        <v>20</v>
      </c>
      <c r="D183" s="21" t="s">
        <v>22</v>
      </c>
      <c r="E183" s="21" t="s">
        <v>17</v>
      </c>
      <c r="F183" s="21"/>
      <c r="G183" s="24">
        <v>77.239999999999995</v>
      </c>
      <c r="H183" s="24"/>
      <c r="J183" s="21" t="s">
        <v>446</v>
      </c>
      <c r="K183" s="24">
        <v>12168.64</v>
      </c>
    </row>
    <row r="184" spans="1:11" x14ac:dyDescent="0.25">
      <c r="A184" s="76">
        <v>46048</v>
      </c>
      <c r="B184" s="21" t="s">
        <v>45</v>
      </c>
      <c r="C184" s="21" t="s">
        <v>12</v>
      </c>
      <c r="D184" s="21" t="s">
        <v>24</v>
      </c>
      <c r="E184" s="21" t="s">
        <v>17</v>
      </c>
      <c r="F184" s="21" t="s">
        <v>25</v>
      </c>
      <c r="G184" s="24">
        <v>18</v>
      </c>
      <c r="H184" s="24"/>
      <c r="J184" s="21" t="s">
        <v>446</v>
      </c>
      <c r="K184" s="24">
        <v>12150.64</v>
      </c>
    </row>
    <row r="185" spans="1:11" x14ac:dyDescent="0.25">
      <c r="A185" s="76">
        <v>46048</v>
      </c>
      <c r="B185" s="21" t="s">
        <v>497</v>
      </c>
      <c r="C185" s="21" t="s">
        <v>12</v>
      </c>
      <c r="D185" s="21" t="s">
        <v>19</v>
      </c>
      <c r="E185" s="21" t="s">
        <v>14</v>
      </c>
      <c r="F185" s="21" t="s">
        <v>15</v>
      </c>
      <c r="G185" s="24">
        <v>50</v>
      </c>
      <c r="H185" s="24"/>
      <c r="J185" s="21" t="s">
        <v>446</v>
      </c>
      <c r="K185" s="24">
        <v>12100.64</v>
      </c>
    </row>
    <row r="186" spans="1:11" x14ac:dyDescent="0.25">
      <c r="A186" s="76">
        <v>46049</v>
      </c>
      <c r="B186" s="21" t="s">
        <v>498</v>
      </c>
      <c r="C186" s="21" t="s">
        <v>12</v>
      </c>
      <c r="D186" s="21" t="s">
        <v>39</v>
      </c>
      <c r="E186" s="21" t="s">
        <v>14</v>
      </c>
      <c r="F186" s="21" t="s">
        <v>15</v>
      </c>
      <c r="G186" s="24">
        <v>3230</v>
      </c>
      <c r="H186" s="24"/>
      <c r="J186" s="21" t="s">
        <v>446</v>
      </c>
      <c r="K186" s="24">
        <v>8870.6400000000031</v>
      </c>
    </row>
    <row r="187" spans="1:11" x14ac:dyDescent="0.25">
      <c r="A187" s="76">
        <v>46049</v>
      </c>
      <c r="B187" s="21" t="s">
        <v>30</v>
      </c>
      <c r="C187" s="21" t="s">
        <v>20</v>
      </c>
      <c r="D187" s="21" t="s">
        <v>13</v>
      </c>
      <c r="E187" s="21"/>
      <c r="F187" s="21"/>
      <c r="G187" s="24">
        <v>2522</v>
      </c>
      <c r="H187" s="24"/>
      <c r="J187" s="21" t="s">
        <v>446</v>
      </c>
      <c r="K187" s="24">
        <v>11392.64</v>
      </c>
    </row>
    <row r="188" spans="1:11" x14ac:dyDescent="0.25">
      <c r="A188" s="76">
        <v>46049</v>
      </c>
      <c r="B188" s="21" t="s">
        <v>21</v>
      </c>
      <c r="C188" s="21" t="s">
        <v>20</v>
      </c>
      <c r="D188" s="21" t="s">
        <v>22</v>
      </c>
      <c r="E188" s="21" t="s">
        <v>17</v>
      </c>
      <c r="F188" s="21"/>
      <c r="G188" s="24">
        <v>0</v>
      </c>
      <c r="H188" s="24"/>
      <c r="J188" s="21" t="s">
        <v>446</v>
      </c>
      <c r="K188" s="24">
        <v>11392.64</v>
      </c>
    </row>
    <row r="189" spans="1:11" x14ac:dyDescent="0.25">
      <c r="A189" s="76">
        <v>46049</v>
      </c>
      <c r="B189" s="21" t="s">
        <v>23</v>
      </c>
      <c r="C189" s="21" t="s">
        <v>12</v>
      </c>
      <c r="D189" s="21" t="s">
        <v>24</v>
      </c>
      <c r="E189" s="21" t="s">
        <v>17</v>
      </c>
      <c r="F189" s="21" t="s">
        <v>25</v>
      </c>
      <c r="G189" s="24">
        <v>0</v>
      </c>
      <c r="H189" s="24"/>
      <c r="J189" s="21" t="s">
        <v>446</v>
      </c>
      <c r="K189" s="24">
        <v>11392.64</v>
      </c>
    </row>
    <row r="190" spans="1:11" x14ac:dyDescent="0.25">
      <c r="A190" s="76">
        <v>46049</v>
      </c>
      <c r="B190" s="21" t="s">
        <v>11</v>
      </c>
      <c r="C190" s="21" t="s">
        <v>12</v>
      </c>
      <c r="D190" s="21" t="s">
        <v>19</v>
      </c>
      <c r="E190" s="21" t="s">
        <v>14</v>
      </c>
      <c r="F190" s="21" t="s">
        <v>15</v>
      </c>
      <c r="G190" s="24">
        <v>124</v>
      </c>
      <c r="H190" s="24"/>
      <c r="J190" s="21" t="s">
        <v>446</v>
      </c>
      <c r="K190" s="24">
        <v>11268.64</v>
      </c>
    </row>
    <row r="191" spans="1:11" x14ac:dyDescent="0.25">
      <c r="A191" s="76">
        <v>46049</v>
      </c>
      <c r="B191" s="21" t="s">
        <v>346</v>
      </c>
      <c r="C191" s="21" t="s">
        <v>12</v>
      </c>
      <c r="D191" s="21" t="s">
        <v>19</v>
      </c>
      <c r="E191" s="21" t="s">
        <v>17</v>
      </c>
      <c r="F191" s="21"/>
      <c r="G191" s="24">
        <v>552</v>
      </c>
      <c r="H191" s="24"/>
      <c r="J191" s="21" t="s">
        <v>446</v>
      </c>
      <c r="K191" s="24">
        <v>10716.64</v>
      </c>
    </row>
    <row r="192" spans="1:11" x14ac:dyDescent="0.25">
      <c r="A192" s="76">
        <v>46049</v>
      </c>
      <c r="B192" s="21" t="s">
        <v>346</v>
      </c>
      <c r="C192" s="21" t="s">
        <v>12</v>
      </c>
      <c r="D192" s="21" t="s">
        <v>19</v>
      </c>
      <c r="E192" s="21" t="s">
        <v>17</v>
      </c>
      <c r="F192" s="21"/>
      <c r="G192" s="24">
        <v>907.2</v>
      </c>
      <c r="H192" s="24"/>
      <c r="J192" s="21" t="s">
        <v>446</v>
      </c>
      <c r="K192" s="24">
        <v>9809.4400000000023</v>
      </c>
    </row>
    <row r="193" spans="1:11" x14ac:dyDescent="0.25">
      <c r="A193" s="76">
        <v>46049</v>
      </c>
      <c r="B193" s="21" t="s">
        <v>346</v>
      </c>
      <c r="C193" s="21" t="s">
        <v>12</v>
      </c>
      <c r="D193" s="21" t="s">
        <v>19</v>
      </c>
      <c r="E193" s="21" t="s">
        <v>17</v>
      </c>
      <c r="F193" s="21"/>
      <c r="G193" s="24">
        <v>907.2</v>
      </c>
      <c r="H193" s="24"/>
      <c r="J193" s="21" t="s">
        <v>446</v>
      </c>
      <c r="K193" s="24">
        <v>8902.2400000000016</v>
      </c>
    </row>
    <row r="194" spans="1:11" x14ac:dyDescent="0.25">
      <c r="A194" s="76">
        <v>46049</v>
      </c>
      <c r="B194" s="21" t="s">
        <v>345</v>
      </c>
      <c r="C194" s="21" t="s">
        <v>12</v>
      </c>
      <c r="D194" s="21" t="s">
        <v>19</v>
      </c>
      <c r="E194" s="21" t="s">
        <v>17</v>
      </c>
      <c r="F194" s="21"/>
      <c r="G194" s="24">
        <v>1794.8</v>
      </c>
      <c r="H194" s="24"/>
      <c r="J194" s="21" t="s">
        <v>446</v>
      </c>
      <c r="K194" s="24">
        <v>7107.4400000000014</v>
      </c>
    </row>
    <row r="195" spans="1:11" x14ac:dyDescent="0.25">
      <c r="A195" s="76">
        <v>46050</v>
      </c>
      <c r="B195" s="21" t="s">
        <v>382</v>
      </c>
      <c r="C195" s="21" t="s">
        <v>12</v>
      </c>
      <c r="D195" s="21" t="s">
        <v>19</v>
      </c>
      <c r="E195" s="21" t="s">
        <v>17</v>
      </c>
      <c r="F195" s="21"/>
      <c r="G195" s="24">
        <v>614.16</v>
      </c>
      <c r="H195" s="24"/>
      <c r="J195" s="21" t="s">
        <v>446</v>
      </c>
      <c r="K195" s="24">
        <v>6493.2800000000016</v>
      </c>
    </row>
    <row r="196" spans="1:11" x14ac:dyDescent="0.25">
      <c r="A196" s="76">
        <v>46050</v>
      </c>
      <c r="B196" s="21" t="s">
        <v>499</v>
      </c>
      <c r="C196" s="21" t="s">
        <v>12</v>
      </c>
      <c r="D196" s="21" t="s">
        <v>19</v>
      </c>
      <c r="E196" s="21" t="s">
        <v>17</v>
      </c>
      <c r="F196" s="21"/>
      <c r="G196" s="24">
        <v>116.97</v>
      </c>
      <c r="H196" s="24"/>
      <c r="J196" s="21" t="s">
        <v>446</v>
      </c>
      <c r="K196" s="24">
        <v>6376.3100000000013</v>
      </c>
    </row>
    <row r="197" spans="1:11" x14ac:dyDescent="0.25">
      <c r="A197" s="76">
        <v>46050</v>
      </c>
      <c r="B197" s="21" t="s">
        <v>30</v>
      </c>
      <c r="C197" s="21" t="s">
        <v>20</v>
      </c>
      <c r="D197" s="21" t="s">
        <v>13</v>
      </c>
      <c r="E197" s="21"/>
      <c r="F197" s="21"/>
      <c r="G197" s="24">
        <v>2076</v>
      </c>
      <c r="H197" s="24"/>
      <c r="J197" s="21" t="s">
        <v>446</v>
      </c>
      <c r="K197" s="24">
        <v>8452.3100000000013</v>
      </c>
    </row>
    <row r="198" spans="1:11" x14ac:dyDescent="0.25">
      <c r="A198" s="76">
        <v>46050</v>
      </c>
      <c r="B198" s="21" t="s">
        <v>44</v>
      </c>
      <c r="C198" s="21" t="s">
        <v>20</v>
      </c>
      <c r="D198" s="21" t="s">
        <v>22</v>
      </c>
      <c r="E198" s="21" t="s">
        <v>17</v>
      </c>
      <c r="F198" s="21"/>
      <c r="G198" s="24">
        <v>0</v>
      </c>
      <c r="H198" s="24"/>
      <c r="J198" s="21" t="s">
        <v>446</v>
      </c>
      <c r="K198" s="24">
        <v>8452.3100000000013</v>
      </c>
    </row>
    <row r="199" spans="1:11" x14ac:dyDescent="0.25">
      <c r="A199" s="76">
        <v>46050</v>
      </c>
      <c r="B199" s="21" t="s">
        <v>45</v>
      </c>
      <c r="C199" s="21" t="s">
        <v>12</v>
      </c>
      <c r="D199" s="21" t="s">
        <v>24</v>
      </c>
      <c r="E199" s="21" t="s">
        <v>17</v>
      </c>
      <c r="F199" s="21" t="s">
        <v>25</v>
      </c>
      <c r="G199" s="24">
        <v>0</v>
      </c>
      <c r="H199" s="24"/>
      <c r="J199" s="21" t="s">
        <v>446</v>
      </c>
      <c r="K199" s="24">
        <v>8452.3100000000013</v>
      </c>
    </row>
    <row r="200" spans="1:11" x14ac:dyDescent="0.25">
      <c r="A200" s="76">
        <v>46050</v>
      </c>
      <c r="B200" s="21" t="s">
        <v>393</v>
      </c>
      <c r="C200" s="21" t="s">
        <v>12</v>
      </c>
      <c r="D200" s="21" t="s">
        <v>19</v>
      </c>
      <c r="E200" s="21" t="s">
        <v>14</v>
      </c>
      <c r="F200" s="21" t="s">
        <v>15</v>
      </c>
      <c r="G200" s="24">
        <v>188</v>
      </c>
      <c r="H200" s="24"/>
      <c r="J200" s="21" t="s">
        <v>446</v>
      </c>
      <c r="K200" s="24">
        <v>8264.3100000000013</v>
      </c>
    </row>
    <row r="201" spans="1:11" x14ac:dyDescent="0.25">
      <c r="A201" s="76">
        <v>46051</v>
      </c>
      <c r="B201" s="21" t="s">
        <v>433</v>
      </c>
      <c r="C201" s="21" t="s">
        <v>12</v>
      </c>
      <c r="D201" s="21" t="s">
        <v>58</v>
      </c>
      <c r="E201" s="21" t="s">
        <v>17</v>
      </c>
      <c r="F201" s="21"/>
      <c r="G201" s="24">
        <v>869.4</v>
      </c>
      <c r="H201" s="24"/>
      <c r="J201" s="21" t="s">
        <v>446</v>
      </c>
      <c r="K201" s="24">
        <v>7394.9100000000017</v>
      </c>
    </row>
    <row r="202" spans="1:11" x14ac:dyDescent="0.25">
      <c r="A202" s="76">
        <v>46051</v>
      </c>
      <c r="B202" s="21" t="s">
        <v>500</v>
      </c>
      <c r="C202" s="21" t="s">
        <v>12</v>
      </c>
      <c r="D202" s="21" t="s">
        <v>39</v>
      </c>
      <c r="E202" s="21" t="s">
        <v>17</v>
      </c>
      <c r="F202" s="21"/>
      <c r="G202" s="24">
        <v>370</v>
      </c>
      <c r="H202" s="24"/>
      <c r="J202" s="21" t="s">
        <v>446</v>
      </c>
      <c r="K202" s="24">
        <v>7024.9100000000017</v>
      </c>
    </row>
    <row r="203" spans="1:11" x14ac:dyDescent="0.25">
      <c r="A203" s="76">
        <v>46051</v>
      </c>
      <c r="B203" s="21" t="s">
        <v>393</v>
      </c>
      <c r="C203" s="21" t="s">
        <v>12</v>
      </c>
      <c r="D203" s="21" t="s">
        <v>19</v>
      </c>
      <c r="E203" s="21" t="s">
        <v>14</v>
      </c>
      <c r="F203" s="21" t="s">
        <v>15</v>
      </c>
      <c r="G203" s="24">
        <v>141</v>
      </c>
      <c r="H203" s="24"/>
      <c r="J203" s="21" t="s">
        <v>446</v>
      </c>
      <c r="K203" s="24">
        <v>6883.9100000000017</v>
      </c>
    </row>
    <row r="204" spans="1:11" x14ac:dyDescent="0.25">
      <c r="A204" s="76">
        <v>46051</v>
      </c>
      <c r="B204" s="21" t="s">
        <v>45</v>
      </c>
      <c r="C204" s="21" t="s">
        <v>12</v>
      </c>
      <c r="D204" s="21" t="s">
        <v>24</v>
      </c>
      <c r="E204" s="21" t="s">
        <v>17</v>
      </c>
      <c r="F204" s="21" t="s">
        <v>25</v>
      </c>
      <c r="G204" s="24">
        <v>9</v>
      </c>
      <c r="H204" s="24"/>
      <c r="J204" s="21" t="s">
        <v>446</v>
      </c>
      <c r="K204" s="24">
        <v>6874.9100000000017</v>
      </c>
    </row>
    <row r="205" spans="1:11" x14ac:dyDescent="0.25">
      <c r="A205" s="76">
        <v>46051</v>
      </c>
      <c r="B205" s="21" t="s">
        <v>30</v>
      </c>
      <c r="C205" s="21" t="s">
        <v>20</v>
      </c>
      <c r="D205" s="21" t="s">
        <v>13</v>
      </c>
      <c r="E205" s="21"/>
      <c r="F205" s="21"/>
      <c r="G205" s="24">
        <v>2596</v>
      </c>
      <c r="H205" s="24"/>
      <c r="J205" s="21" t="s">
        <v>446</v>
      </c>
      <c r="K205" s="24">
        <v>9470.9100000000017</v>
      </c>
    </row>
    <row r="206" spans="1:11" x14ac:dyDescent="0.25">
      <c r="A206" s="76">
        <v>46051</v>
      </c>
      <c r="B206" s="21" t="s">
        <v>44</v>
      </c>
      <c r="C206" s="21" t="s">
        <v>20</v>
      </c>
      <c r="D206" s="21" t="s">
        <v>22</v>
      </c>
      <c r="E206" s="21" t="s">
        <v>17</v>
      </c>
      <c r="F206" s="21"/>
      <c r="G206" s="24">
        <v>40.24</v>
      </c>
      <c r="H206" s="24"/>
      <c r="J206" s="21" t="s">
        <v>446</v>
      </c>
      <c r="K206" s="24">
        <v>9511.1500000000015</v>
      </c>
    </row>
    <row r="207" spans="1:11" x14ac:dyDescent="0.25">
      <c r="A207" s="76">
        <v>46051</v>
      </c>
      <c r="B207" s="21" t="s">
        <v>501</v>
      </c>
      <c r="C207" s="21" t="s">
        <v>12</v>
      </c>
      <c r="D207" s="21" t="s">
        <v>27</v>
      </c>
      <c r="E207" s="21" t="s">
        <v>17</v>
      </c>
      <c r="F207" s="21" t="s">
        <v>25</v>
      </c>
      <c r="G207" s="24">
        <v>218</v>
      </c>
      <c r="H207" s="24"/>
      <c r="J207" s="21" t="s">
        <v>446</v>
      </c>
      <c r="K207" s="24">
        <v>9293.1500000000015</v>
      </c>
    </row>
    <row r="208" spans="1:11" x14ac:dyDescent="0.25">
      <c r="A208" s="76">
        <v>46052</v>
      </c>
      <c r="B208" s="21" t="s">
        <v>11</v>
      </c>
      <c r="C208" s="21" t="s">
        <v>12</v>
      </c>
      <c r="D208" s="21" t="s">
        <v>19</v>
      </c>
      <c r="E208" s="21" t="s">
        <v>14</v>
      </c>
      <c r="F208" s="21" t="s">
        <v>15</v>
      </c>
      <c r="G208" s="24">
        <v>282</v>
      </c>
      <c r="H208" s="24"/>
      <c r="J208" s="21" t="s">
        <v>446</v>
      </c>
      <c r="K208" s="24">
        <v>9011.1500000000015</v>
      </c>
    </row>
    <row r="209" spans="1:11" x14ac:dyDescent="0.25">
      <c r="A209" s="76">
        <v>46052</v>
      </c>
      <c r="B209" s="21" t="s">
        <v>13</v>
      </c>
      <c r="C209" s="21" t="s">
        <v>20</v>
      </c>
      <c r="D209" s="21" t="s">
        <v>13</v>
      </c>
      <c r="E209" s="21"/>
      <c r="F209" s="21"/>
      <c r="G209" s="24">
        <v>1925</v>
      </c>
      <c r="H209" s="24"/>
      <c r="J209" s="21" t="s">
        <v>446</v>
      </c>
      <c r="K209" s="24">
        <v>10936.15</v>
      </c>
    </row>
    <row r="210" spans="1:11" x14ac:dyDescent="0.25">
      <c r="A210" s="76">
        <v>46052</v>
      </c>
      <c r="B210" s="21" t="s">
        <v>21</v>
      </c>
      <c r="C210" s="21" t="s">
        <v>20</v>
      </c>
      <c r="D210" s="21" t="s">
        <v>22</v>
      </c>
      <c r="E210" s="21" t="s">
        <v>17</v>
      </c>
      <c r="F210" s="21"/>
      <c r="G210" s="24">
        <v>29.5</v>
      </c>
      <c r="H210" s="24"/>
      <c r="J210" s="21" t="s">
        <v>446</v>
      </c>
      <c r="K210" s="24">
        <v>10965.65</v>
      </c>
    </row>
    <row r="211" spans="1:11" x14ac:dyDescent="0.25">
      <c r="A211" s="76">
        <v>46052</v>
      </c>
      <c r="B211" s="21" t="s">
        <v>23</v>
      </c>
      <c r="C211" s="21" t="s">
        <v>12</v>
      </c>
      <c r="D211" s="21" t="s">
        <v>24</v>
      </c>
      <c r="E211" s="21" t="s">
        <v>17</v>
      </c>
      <c r="F211" s="21" t="s">
        <v>25</v>
      </c>
      <c r="G211" s="24">
        <v>21</v>
      </c>
      <c r="H211" s="24"/>
      <c r="J211" s="21" t="s">
        <v>446</v>
      </c>
      <c r="K211" s="24">
        <v>10944.65</v>
      </c>
    </row>
    <row r="212" spans="1:11" x14ac:dyDescent="0.25">
      <c r="A212" s="76">
        <v>46052</v>
      </c>
      <c r="B212" s="21" t="s">
        <v>502</v>
      </c>
      <c r="C212" s="21" t="s">
        <v>12</v>
      </c>
      <c r="D212" s="21" t="s">
        <v>68</v>
      </c>
      <c r="E212" s="21" t="s">
        <v>17</v>
      </c>
      <c r="F212" s="21" t="s">
        <v>25</v>
      </c>
      <c r="G212" s="24">
        <v>100</v>
      </c>
      <c r="H212" s="24"/>
      <c r="J212" s="21" t="s">
        <v>446</v>
      </c>
      <c r="K212" s="24">
        <v>10844.65</v>
      </c>
    </row>
    <row r="213" spans="1:11" x14ac:dyDescent="0.25">
      <c r="A213" s="76">
        <v>46053</v>
      </c>
      <c r="B213" s="21" t="s">
        <v>503</v>
      </c>
      <c r="C213" s="21" t="s">
        <v>12</v>
      </c>
      <c r="D213" s="21" t="s">
        <v>68</v>
      </c>
      <c r="E213" s="21" t="s">
        <v>17</v>
      </c>
      <c r="F213" s="21" t="s">
        <v>25</v>
      </c>
      <c r="G213" s="24">
        <v>600</v>
      </c>
      <c r="H213" s="24"/>
      <c r="J213" s="21" t="s">
        <v>446</v>
      </c>
      <c r="K213" s="24">
        <v>10244.65</v>
      </c>
    </row>
    <row r="214" spans="1:11" x14ac:dyDescent="0.25">
      <c r="A214" s="76">
        <v>46053</v>
      </c>
      <c r="B214" s="21" t="s">
        <v>314</v>
      </c>
      <c r="C214" s="21" t="s">
        <v>12</v>
      </c>
      <c r="D214" s="21" t="s">
        <v>27</v>
      </c>
      <c r="E214" s="21" t="s">
        <v>17</v>
      </c>
      <c r="F214" s="21"/>
      <c r="G214" s="24">
        <v>2000</v>
      </c>
      <c r="H214" s="24"/>
      <c r="J214" s="21" t="s">
        <v>446</v>
      </c>
      <c r="K214" s="24">
        <v>8244.6500000000015</v>
      </c>
    </row>
    <row r="215" spans="1:11" x14ac:dyDescent="0.25">
      <c r="A215" s="76">
        <v>46053</v>
      </c>
      <c r="B215" s="21" t="s">
        <v>30</v>
      </c>
      <c r="C215" s="21" t="s">
        <v>20</v>
      </c>
      <c r="D215" s="21" t="s">
        <v>13</v>
      </c>
      <c r="E215" s="21"/>
      <c r="F215" s="21"/>
      <c r="G215" s="24">
        <v>8313</v>
      </c>
      <c r="H215" s="24"/>
      <c r="J215" s="21" t="s">
        <v>446</v>
      </c>
      <c r="K215" s="24">
        <v>16557.650000000001</v>
      </c>
    </row>
    <row r="216" spans="1:11" x14ac:dyDescent="0.25">
      <c r="A216" s="76">
        <v>46053</v>
      </c>
      <c r="B216" s="21" t="s">
        <v>44</v>
      </c>
      <c r="C216" s="21" t="s">
        <v>20</v>
      </c>
      <c r="D216" s="21" t="s">
        <v>22</v>
      </c>
      <c r="E216" s="21" t="s">
        <v>17</v>
      </c>
      <c r="F216" s="21"/>
      <c r="G216" s="24">
        <v>194</v>
      </c>
      <c r="H216" s="24"/>
      <c r="J216" s="21" t="s">
        <v>446</v>
      </c>
      <c r="K216" s="24">
        <v>16751.650000000001</v>
      </c>
    </row>
  </sheetData>
  <autoFilter ref="A2:K216" xr:uid="{00000000-0001-0000-0700-000000000000}"/>
  <phoneticPr fontId="15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193"/>
  <sheetViews>
    <sheetView topLeftCell="A168" workbookViewId="0">
      <selection activeCell="J2" sqref="J2:J193"/>
    </sheetView>
  </sheetViews>
  <sheetFormatPr defaultColWidth="14.42578125" defaultRowHeight="15" customHeight="1" x14ac:dyDescent="0.25"/>
  <cols>
    <col min="2" max="2" width="32.5703125" customWidth="1"/>
    <col min="3" max="3" width="7.7109375" customWidth="1"/>
    <col min="4" max="4" width="16.140625" customWidth="1"/>
    <col min="6" max="6" width="19.28515625" customWidth="1"/>
    <col min="11" max="11" width="15.7109375" customWidth="1"/>
  </cols>
  <sheetData>
    <row r="1" spans="1:1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/>
      <c r="I1" s="2" t="s">
        <v>8</v>
      </c>
      <c r="J1" s="2" t="s">
        <v>9</v>
      </c>
      <c r="K1" s="2" t="s">
        <v>10</v>
      </c>
    </row>
    <row r="2" spans="1:11" x14ac:dyDescent="0.25">
      <c r="A2" s="77">
        <v>46054</v>
      </c>
      <c r="B2" s="5" t="s">
        <v>504</v>
      </c>
      <c r="C2" s="5" t="s">
        <v>12</v>
      </c>
      <c r="D2" s="5" t="s">
        <v>33</v>
      </c>
      <c r="E2" s="5" t="s">
        <v>17</v>
      </c>
      <c r="F2" s="5" t="s">
        <v>25</v>
      </c>
      <c r="G2" s="26">
        <v>390</v>
      </c>
      <c r="H2" s="26"/>
      <c r="I2" s="5"/>
      <c r="J2" s="5" t="s">
        <v>449</v>
      </c>
      <c r="K2" s="26">
        <v>-390</v>
      </c>
    </row>
    <row r="3" spans="1:11" x14ac:dyDescent="0.25">
      <c r="A3" s="77">
        <v>46054</v>
      </c>
      <c r="B3" s="5" t="s">
        <v>30</v>
      </c>
      <c r="C3" s="5" t="s">
        <v>20</v>
      </c>
      <c r="D3" s="5" t="s">
        <v>13</v>
      </c>
      <c r="E3" s="5"/>
      <c r="F3" s="5"/>
      <c r="G3" s="26">
        <v>5836</v>
      </c>
      <c r="H3" s="26"/>
      <c r="I3" s="5"/>
      <c r="J3" s="5" t="s">
        <v>449</v>
      </c>
      <c r="K3" s="26">
        <v>5446</v>
      </c>
    </row>
    <row r="4" spans="1:11" x14ac:dyDescent="0.25">
      <c r="A4" s="77">
        <v>46054</v>
      </c>
      <c r="B4" s="5" t="s">
        <v>21</v>
      </c>
      <c r="C4" s="5" t="s">
        <v>20</v>
      </c>
      <c r="D4" s="5" t="s">
        <v>22</v>
      </c>
      <c r="E4" s="5" t="s">
        <v>17</v>
      </c>
      <c r="F4" s="5"/>
      <c r="G4" s="26">
        <v>387.11</v>
      </c>
      <c r="H4" s="26"/>
      <c r="I4" s="5"/>
      <c r="J4" s="5" t="s">
        <v>449</v>
      </c>
      <c r="K4" s="26">
        <v>5833.11</v>
      </c>
    </row>
    <row r="5" spans="1:11" x14ac:dyDescent="0.25">
      <c r="A5" s="77">
        <v>46054</v>
      </c>
      <c r="B5" s="5" t="s">
        <v>23</v>
      </c>
      <c r="C5" s="5" t="s">
        <v>12</v>
      </c>
      <c r="D5" s="5" t="s">
        <v>24</v>
      </c>
      <c r="E5" s="5" t="s">
        <v>17</v>
      </c>
      <c r="F5" s="5" t="s">
        <v>25</v>
      </c>
      <c r="G5" s="26">
        <v>54</v>
      </c>
      <c r="H5" s="26"/>
      <c r="I5" s="5"/>
      <c r="J5" s="5" t="s">
        <v>449</v>
      </c>
      <c r="K5" s="26">
        <v>5779.11</v>
      </c>
    </row>
    <row r="6" spans="1:11" x14ac:dyDescent="0.25">
      <c r="A6" s="77">
        <v>46055</v>
      </c>
      <c r="B6" s="5" t="s">
        <v>348</v>
      </c>
      <c r="C6" s="5" t="s">
        <v>12</v>
      </c>
      <c r="D6" s="5" t="s">
        <v>19</v>
      </c>
      <c r="E6" s="5" t="s">
        <v>17</v>
      </c>
      <c r="F6" s="5"/>
      <c r="G6" s="26">
        <v>464.11</v>
      </c>
      <c r="H6" s="26"/>
      <c r="I6" s="5"/>
      <c r="J6" s="5" t="s">
        <v>449</v>
      </c>
      <c r="K6" s="26">
        <v>5315</v>
      </c>
    </row>
    <row r="7" spans="1:11" x14ac:dyDescent="0.25">
      <c r="A7" s="77">
        <v>46055</v>
      </c>
      <c r="B7" s="5" t="s">
        <v>433</v>
      </c>
      <c r="C7" s="5" t="s">
        <v>12</v>
      </c>
      <c r="D7" s="5" t="s">
        <v>58</v>
      </c>
      <c r="E7" s="5" t="s">
        <v>17</v>
      </c>
      <c r="F7" s="5"/>
      <c r="G7" s="26">
        <v>263.86</v>
      </c>
      <c r="H7" s="26"/>
      <c r="I7" s="5"/>
      <c r="J7" s="5" t="s">
        <v>449</v>
      </c>
      <c r="K7" s="26">
        <v>5051.1400000000003</v>
      </c>
    </row>
    <row r="8" spans="1:11" x14ac:dyDescent="0.25">
      <c r="A8" s="77">
        <v>46055</v>
      </c>
      <c r="B8" s="5" t="s">
        <v>30</v>
      </c>
      <c r="C8" s="5" t="s">
        <v>20</v>
      </c>
      <c r="D8" s="5" t="s">
        <v>13</v>
      </c>
      <c r="E8" s="5"/>
      <c r="F8" s="5"/>
      <c r="G8" s="26">
        <v>1657</v>
      </c>
      <c r="H8" s="26"/>
      <c r="I8" s="5"/>
      <c r="J8" s="5" t="s">
        <v>449</v>
      </c>
      <c r="K8" s="26">
        <v>6708.14</v>
      </c>
    </row>
    <row r="9" spans="1:11" x14ac:dyDescent="0.25">
      <c r="A9" s="77">
        <v>46055</v>
      </c>
      <c r="B9" s="5" t="s">
        <v>44</v>
      </c>
      <c r="C9" s="5" t="s">
        <v>20</v>
      </c>
      <c r="D9" s="5" t="s">
        <v>22</v>
      </c>
      <c r="E9" s="5" t="s">
        <v>17</v>
      </c>
      <c r="F9" s="5"/>
      <c r="G9" s="26">
        <v>0</v>
      </c>
      <c r="H9" s="26"/>
      <c r="I9" s="5"/>
      <c r="J9" s="5" t="s">
        <v>449</v>
      </c>
      <c r="K9" s="26">
        <v>6708.14</v>
      </c>
    </row>
    <row r="10" spans="1:11" x14ac:dyDescent="0.25">
      <c r="A10" s="77">
        <v>46055</v>
      </c>
      <c r="B10" s="5" t="s">
        <v>45</v>
      </c>
      <c r="C10" s="5" t="s">
        <v>12</v>
      </c>
      <c r="D10" s="5" t="s">
        <v>24</v>
      </c>
      <c r="E10" s="5" t="s">
        <v>17</v>
      </c>
      <c r="F10" s="5" t="s">
        <v>25</v>
      </c>
      <c r="G10" s="26">
        <v>0</v>
      </c>
      <c r="H10" s="26"/>
      <c r="I10" s="5"/>
      <c r="J10" s="5" t="s">
        <v>449</v>
      </c>
      <c r="K10" s="26">
        <v>6708.14</v>
      </c>
    </row>
    <row r="11" spans="1:11" x14ac:dyDescent="0.25">
      <c r="A11" s="77">
        <v>46055</v>
      </c>
      <c r="B11" s="5" t="s">
        <v>393</v>
      </c>
      <c r="C11" s="5" t="s">
        <v>12</v>
      </c>
      <c r="D11" s="5" t="s">
        <v>19</v>
      </c>
      <c r="E11" s="5" t="s">
        <v>14</v>
      </c>
      <c r="F11" s="5" t="s">
        <v>15</v>
      </c>
      <c r="G11" s="26">
        <v>0</v>
      </c>
      <c r="H11" s="26"/>
      <c r="I11" s="5"/>
      <c r="J11" s="5" t="s">
        <v>449</v>
      </c>
      <c r="K11" s="26">
        <v>6708.14</v>
      </c>
    </row>
    <row r="12" spans="1:11" x14ac:dyDescent="0.25">
      <c r="A12" s="77">
        <v>46055</v>
      </c>
      <c r="B12" s="5" t="s">
        <v>505</v>
      </c>
      <c r="C12" s="5" t="s">
        <v>12</v>
      </c>
      <c r="D12" s="5" t="s">
        <v>64</v>
      </c>
      <c r="E12" s="5" t="s">
        <v>17</v>
      </c>
      <c r="F12" s="5" t="s">
        <v>25</v>
      </c>
      <c r="G12" s="26">
        <v>45</v>
      </c>
      <c r="H12" s="26"/>
      <c r="I12" s="5"/>
      <c r="J12" s="5" t="s">
        <v>449</v>
      </c>
      <c r="K12" s="26">
        <v>6663.14</v>
      </c>
    </row>
    <row r="13" spans="1:11" x14ac:dyDescent="0.25">
      <c r="A13" s="77">
        <v>46055</v>
      </c>
      <c r="B13" s="5" t="s">
        <v>506</v>
      </c>
      <c r="C13" s="5" t="s">
        <v>12</v>
      </c>
      <c r="D13" s="5" t="s">
        <v>68</v>
      </c>
      <c r="E13" s="5" t="s">
        <v>17</v>
      </c>
      <c r="F13" s="5" t="s">
        <v>25</v>
      </c>
      <c r="G13" s="26">
        <v>45</v>
      </c>
      <c r="H13" s="26"/>
      <c r="I13" s="5"/>
      <c r="J13" s="5" t="s">
        <v>449</v>
      </c>
      <c r="K13" s="26">
        <v>6618.14</v>
      </c>
    </row>
    <row r="14" spans="1:11" x14ac:dyDescent="0.25">
      <c r="A14" s="77">
        <v>46056</v>
      </c>
      <c r="B14" s="5" t="s">
        <v>13</v>
      </c>
      <c r="C14" s="5" t="s">
        <v>20</v>
      </c>
      <c r="D14" s="5" t="s">
        <v>13</v>
      </c>
      <c r="E14" s="5"/>
      <c r="F14" s="5"/>
      <c r="G14" s="26">
        <v>1296</v>
      </c>
      <c r="H14" s="26"/>
      <c r="I14" s="5"/>
      <c r="J14" s="5" t="s">
        <v>449</v>
      </c>
      <c r="K14" s="26">
        <v>7914.14</v>
      </c>
    </row>
    <row r="15" spans="1:11" x14ac:dyDescent="0.25">
      <c r="A15" s="77">
        <v>46056</v>
      </c>
      <c r="B15" s="5" t="s">
        <v>21</v>
      </c>
      <c r="C15" s="5" t="s">
        <v>20</v>
      </c>
      <c r="D15" s="5" t="s">
        <v>22</v>
      </c>
      <c r="E15" s="5" t="s">
        <v>17</v>
      </c>
      <c r="F15" s="5"/>
      <c r="G15" s="26">
        <v>151.79</v>
      </c>
      <c r="H15" s="26"/>
      <c r="I15" s="5"/>
      <c r="J15" s="5" t="s">
        <v>449</v>
      </c>
      <c r="K15" s="26">
        <v>8065.93</v>
      </c>
    </row>
    <row r="16" spans="1:11" x14ac:dyDescent="0.25">
      <c r="A16" s="77">
        <v>46056</v>
      </c>
      <c r="B16" s="5" t="s">
        <v>23</v>
      </c>
      <c r="C16" s="5" t="s">
        <v>12</v>
      </c>
      <c r="D16" s="5" t="s">
        <v>24</v>
      </c>
      <c r="E16" s="5" t="s">
        <v>17</v>
      </c>
      <c r="F16" s="5" t="s">
        <v>25</v>
      </c>
      <c r="G16" s="26">
        <v>36</v>
      </c>
      <c r="H16" s="26"/>
      <c r="I16" s="5"/>
      <c r="J16" s="5" t="s">
        <v>449</v>
      </c>
      <c r="K16" s="26">
        <v>8029.93</v>
      </c>
    </row>
    <row r="17" spans="1:11" x14ac:dyDescent="0.25">
      <c r="A17" s="77">
        <v>46056</v>
      </c>
      <c r="B17" s="5" t="s">
        <v>393</v>
      </c>
      <c r="C17" s="5" t="s">
        <v>12</v>
      </c>
      <c r="D17" s="5" t="s">
        <v>19</v>
      </c>
      <c r="E17" s="5" t="s">
        <v>14</v>
      </c>
      <c r="F17" s="5" t="s">
        <v>15</v>
      </c>
      <c r="G17" s="26">
        <v>0</v>
      </c>
      <c r="H17" s="26"/>
      <c r="I17" s="5"/>
      <c r="J17" s="5" t="s">
        <v>449</v>
      </c>
      <c r="K17" s="26">
        <v>8029.93</v>
      </c>
    </row>
    <row r="18" spans="1:11" x14ac:dyDescent="0.25">
      <c r="A18" s="77">
        <v>46056</v>
      </c>
      <c r="B18" s="5" t="s">
        <v>31</v>
      </c>
      <c r="C18" s="5" t="s">
        <v>12</v>
      </c>
      <c r="D18" s="5" t="s">
        <v>19</v>
      </c>
      <c r="E18" s="5" t="s">
        <v>17</v>
      </c>
      <c r="F18" s="5" t="s">
        <v>25</v>
      </c>
      <c r="G18" s="26">
        <v>455</v>
      </c>
      <c r="H18" s="26"/>
      <c r="I18" s="5"/>
      <c r="J18" s="5" t="s">
        <v>449</v>
      </c>
      <c r="K18" s="26">
        <v>7574.93</v>
      </c>
    </row>
    <row r="19" spans="1:11" x14ac:dyDescent="0.25">
      <c r="A19" s="77">
        <v>46056</v>
      </c>
      <c r="B19" s="5" t="s">
        <v>507</v>
      </c>
      <c r="C19" s="5" t="s">
        <v>12</v>
      </c>
      <c r="D19" s="5" t="s">
        <v>19</v>
      </c>
      <c r="E19" s="5" t="s">
        <v>17</v>
      </c>
      <c r="F19" s="5" t="s">
        <v>25</v>
      </c>
      <c r="G19" s="5">
        <v>203.5</v>
      </c>
      <c r="H19" s="26"/>
      <c r="I19" s="5"/>
      <c r="J19" s="5" t="s">
        <v>449</v>
      </c>
      <c r="K19" s="26">
        <v>7371.43</v>
      </c>
    </row>
    <row r="20" spans="1:11" x14ac:dyDescent="0.25">
      <c r="A20" s="77">
        <v>46056</v>
      </c>
      <c r="B20" s="5" t="s">
        <v>397</v>
      </c>
      <c r="C20" s="5" t="s">
        <v>12</v>
      </c>
      <c r="D20" s="5" t="s">
        <v>19</v>
      </c>
      <c r="E20" s="5" t="s">
        <v>17</v>
      </c>
      <c r="F20" s="5"/>
      <c r="G20" s="26">
        <v>708.88</v>
      </c>
      <c r="H20" s="26"/>
      <c r="I20" s="5"/>
      <c r="J20" s="5" t="s">
        <v>449</v>
      </c>
      <c r="K20" s="26">
        <v>6662.55</v>
      </c>
    </row>
    <row r="21" spans="1:11" x14ac:dyDescent="0.25">
      <c r="A21" s="77">
        <v>46056</v>
      </c>
      <c r="B21" s="5" t="s">
        <v>387</v>
      </c>
      <c r="C21" s="5" t="s">
        <v>12</v>
      </c>
      <c r="D21" s="5" t="s">
        <v>19</v>
      </c>
      <c r="E21" s="5" t="s">
        <v>17</v>
      </c>
      <c r="F21" s="5"/>
      <c r="G21" s="26">
        <v>1106.8</v>
      </c>
      <c r="H21" s="26"/>
      <c r="I21" s="5"/>
      <c r="J21" s="5" t="s">
        <v>449</v>
      </c>
      <c r="K21" s="26">
        <v>5555.75</v>
      </c>
    </row>
    <row r="22" spans="1:11" x14ac:dyDescent="0.25">
      <c r="A22" s="77">
        <v>46056</v>
      </c>
      <c r="B22" s="5" t="s">
        <v>386</v>
      </c>
      <c r="C22" s="5" t="s">
        <v>12</v>
      </c>
      <c r="D22" s="5" t="s">
        <v>19</v>
      </c>
      <c r="E22" s="5" t="s">
        <v>17</v>
      </c>
      <c r="F22" s="5"/>
      <c r="G22" s="26">
        <v>2822</v>
      </c>
      <c r="H22" s="26"/>
      <c r="I22" s="5"/>
      <c r="J22" s="5" t="s">
        <v>449</v>
      </c>
      <c r="K22" s="26">
        <v>2733.75</v>
      </c>
    </row>
    <row r="23" spans="1:11" x14ac:dyDescent="0.25">
      <c r="A23" s="77">
        <v>46056</v>
      </c>
      <c r="B23" s="5" t="s">
        <v>508</v>
      </c>
      <c r="C23" s="5" t="s">
        <v>12</v>
      </c>
      <c r="D23" s="5" t="s">
        <v>19</v>
      </c>
      <c r="E23" s="5" t="s">
        <v>17</v>
      </c>
      <c r="F23" s="5"/>
      <c r="G23" s="26">
        <v>2269.94</v>
      </c>
      <c r="H23" s="26"/>
      <c r="I23" s="5"/>
      <c r="J23" s="5" t="s">
        <v>449</v>
      </c>
      <c r="K23" s="26">
        <v>463.80999999999989</v>
      </c>
    </row>
    <row r="24" spans="1:11" x14ac:dyDescent="0.25">
      <c r="A24" s="77">
        <v>46056</v>
      </c>
      <c r="B24" s="5" t="s">
        <v>509</v>
      </c>
      <c r="C24" s="5" t="s">
        <v>12</v>
      </c>
      <c r="D24" s="5" t="s">
        <v>19</v>
      </c>
      <c r="E24" s="5" t="s">
        <v>14</v>
      </c>
      <c r="F24" s="5" t="s">
        <v>15</v>
      </c>
      <c r="G24" s="26">
        <v>53</v>
      </c>
      <c r="H24" s="26"/>
      <c r="I24" s="5"/>
      <c r="J24" s="5" t="s">
        <v>449</v>
      </c>
      <c r="K24" s="26">
        <v>410.80999999999989</v>
      </c>
    </row>
    <row r="25" spans="1:11" x14ac:dyDescent="0.25">
      <c r="A25" s="77">
        <v>46057</v>
      </c>
      <c r="B25" s="5" t="s">
        <v>30</v>
      </c>
      <c r="C25" s="5" t="s">
        <v>20</v>
      </c>
      <c r="D25" s="5" t="s">
        <v>13</v>
      </c>
      <c r="E25" s="5"/>
      <c r="F25" s="5"/>
      <c r="G25" s="26">
        <v>1846</v>
      </c>
      <c r="H25" s="26"/>
      <c r="I25" s="5"/>
      <c r="J25" s="5" t="s">
        <v>449</v>
      </c>
      <c r="K25" s="26">
        <v>2256.81</v>
      </c>
    </row>
    <row r="26" spans="1:11" x14ac:dyDescent="0.25">
      <c r="A26" s="77">
        <v>46057</v>
      </c>
      <c r="B26" s="5" t="s">
        <v>21</v>
      </c>
      <c r="C26" s="5" t="s">
        <v>20</v>
      </c>
      <c r="D26" s="5" t="s">
        <v>22</v>
      </c>
      <c r="E26" s="5" t="s">
        <v>17</v>
      </c>
      <c r="F26" s="5"/>
      <c r="G26" s="26">
        <v>226.89</v>
      </c>
      <c r="H26" s="26"/>
      <c r="I26" s="5"/>
      <c r="J26" s="5" t="s">
        <v>449</v>
      </c>
      <c r="K26" s="26">
        <v>2483.6999999999998</v>
      </c>
    </row>
    <row r="27" spans="1:11" x14ac:dyDescent="0.25">
      <c r="A27" s="77">
        <v>46057</v>
      </c>
      <c r="B27" s="5" t="s">
        <v>23</v>
      </c>
      <c r="C27" s="5" t="s">
        <v>12</v>
      </c>
      <c r="D27" s="5" t="s">
        <v>24</v>
      </c>
      <c r="E27" s="5" t="s">
        <v>17</v>
      </c>
      <c r="F27" s="5" t="s">
        <v>25</v>
      </c>
      <c r="G27" s="26">
        <v>27</v>
      </c>
      <c r="H27" s="26"/>
      <c r="I27" s="5"/>
      <c r="J27" s="5" t="s">
        <v>449</v>
      </c>
      <c r="K27" s="26">
        <v>2456.6999999999998</v>
      </c>
    </row>
    <row r="28" spans="1:11" x14ac:dyDescent="0.25">
      <c r="A28" s="77">
        <v>46057</v>
      </c>
      <c r="B28" s="5" t="s">
        <v>393</v>
      </c>
      <c r="C28" s="5" t="s">
        <v>12</v>
      </c>
      <c r="D28" s="5" t="s">
        <v>19</v>
      </c>
      <c r="E28" s="5" t="s">
        <v>14</v>
      </c>
      <c r="F28" s="5" t="s">
        <v>15</v>
      </c>
      <c r="G28" s="26">
        <v>235</v>
      </c>
      <c r="H28" s="26"/>
      <c r="I28" s="5"/>
      <c r="J28" s="5" t="s">
        <v>449</v>
      </c>
      <c r="K28" s="26">
        <v>2221.6999999999998</v>
      </c>
    </row>
    <row r="29" spans="1:11" x14ac:dyDescent="0.25">
      <c r="A29" s="77">
        <v>46057</v>
      </c>
      <c r="B29" s="5" t="s">
        <v>510</v>
      </c>
      <c r="C29" s="5" t="s">
        <v>12</v>
      </c>
      <c r="D29" s="5" t="s">
        <v>27</v>
      </c>
      <c r="E29" s="5" t="s">
        <v>17</v>
      </c>
      <c r="F29" s="5" t="s">
        <v>25</v>
      </c>
      <c r="G29" s="26">
        <v>6269.02</v>
      </c>
      <c r="H29" s="26"/>
      <c r="I29" s="5"/>
      <c r="J29" s="5" t="s">
        <v>449</v>
      </c>
      <c r="K29" s="26">
        <v>-4047.3200000000011</v>
      </c>
    </row>
    <row r="30" spans="1:11" x14ac:dyDescent="0.25">
      <c r="A30" s="77">
        <v>46057</v>
      </c>
      <c r="B30" s="5" t="s">
        <v>511</v>
      </c>
      <c r="C30" s="5" t="s">
        <v>12</v>
      </c>
      <c r="D30" s="5" t="s">
        <v>27</v>
      </c>
      <c r="E30" s="5" t="s">
        <v>17</v>
      </c>
      <c r="F30" s="5" t="s">
        <v>25</v>
      </c>
      <c r="G30" s="26">
        <v>4500</v>
      </c>
      <c r="H30" s="26"/>
      <c r="I30" s="5"/>
      <c r="J30" s="5" t="s">
        <v>449</v>
      </c>
      <c r="K30" s="26">
        <v>-8547.32</v>
      </c>
    </row>
    <row r="31" spans="1:11" x14ac:dyDescent="0.25">
      <c r="A31" s="77">
        <v>46058</v>
      </c>
      <c r="B31" s="5" t="s">
        <v>512</v>
      </c>
      <c r="C31" s="5" t="s">
        <v>12</v>
      </c>
      <c r="D31" s="5" t="s">
        <v>325</v>
      </c>
      <c r="E31" s="5" t="s">
        <v>17</v>
      </c>
      <c r="F31" s="5"/>
      <c r="G31" s="26">
        <v>4243.3900000000003</v>
      </c>
      <c r="H31" s="26"/>
      <c r="I31" s="5"/>
      <c r="J31" s="5" t="s">
        <v>449</v>
      </c>
      <c r="K31" s="26">
        <v>-12790.71</v>
      </c>
    </row>
    <row r="32" spans="1:11" x14ac:dyDescent="0.25">
      <c r="A32" s="77">
        <v>46058</v>
      </c>
      <c r="B32" s="5" t="s">
        <v>303</v>
      </c>
      <c r="C32" s="5" t="s">
        <v>12</v>
      </c>
      <c r="D32" s="5" t="s">
        <v>68</v>
      </c>
      <c r="E32" s="5" t="s">
        <v>17</v>
      </c>
      <c r="F32" s="5"/>
      <c r="G32" s="26">
        <v>1000</v>
      </c>
      <c r="H32" s="26"/>
      <c r="I32" s="5"/>
      <c r="J32" s="5" t="s">
        <v>449</v>
      </c>
      <c r="K32" s="26">
        <v>-13790.71</v>
      </c>
    </row>
    <row r="33" spans="1:11" x14ac:dyDescent="0.25">
      <c r="A33" s="77">
        <v>46058</v>
      </c>
      <c r="B33" s="5" t="s">
        <v>38</v>
      </c>
      <c r="C33" s="5" t="s">
        <v>12</v>
      </c>
      <c r="D33" s="5" t="s">
        <v>39</v>
      </c>
      <c r="E33" s="5" t="s">
        <v>17</v>
      </c>
      <c r="F33" s="5"/>
      <c r="G33" s="26">
        <v>9000</v>
      </c>
      <c r="H33" s="26"/>
      <c r="I33" s="5"/>
      <c r="J33" s="5" t="s">
        <v>449</v>
      </c>
      <c r="K33" s="26">
        <v>-22790.71</v>
      </c>
    </row>
    <row r="34" spans="1:11" x14ac:dyDescent="0.25">
      <c r="A34" s="77">
        <v>46058</v>
      </c>
      <c r="B34" s="5" t="s">
        <v>41</v>
      </c>
      <c r="C34" s="5" t="s">
        <v>12</v>
      </c>
      <c r="D34" s="5" t="s">
        <v>39</v>
      </c>
      <c r="E34" s="5" t="s">
        <v>17</v>
      </c>
      <c r="F34" s="5"/>
      <c r="G34" s="26">
        <v>100</v>
      </c>
      <c r="H34" s="26"/>
      <c r="I34" s="5"/>
      <c r="J34" s="5" t="s">
        <v>449</v>
      </c>
      <c r="K34" s="26">
        <v>-22890.71</v>
      </c>
    </row>
    <row r="35" spans="1:11" x14ac:dyDescent="0.25">
      <c r="A35" s="77">
        <v>46058</v>
      </c>
      <c r="B35" s="5" t="s">
        <v>11</v>
      </c>
      <c r="C35" s="5" t="s">
        <v>12</v>
      </c>
      <c r="D35" s="5" t="s">
        <v>19</v>
      </c>
      <c r="E35" s="5" t="s">
        <v>14</v>
      </c>
      <c r="F35" s="5" t="s">
        <v>15</v>
      </c>
      <c r="G35" s="26">
        <v>0</v>
      </c>
      <c r="H35" s="26"/>
      <c r="I35" s="5"/>
      <c r="J35" s="5" t="s">
        <v>449</v>
      </c>
      <c r="K35" s="26">
        <v>-22890.71</v>
      </c>
    </row>
    <row r="36" spans="1:11" x14ac:dyDescent="0.25">
      <c r="A36" s="77">
        <v>46058</v>
      </c>
      <c r="B36" s="5" t="s">
        <v>30</v>
      </c>
      <c r="C36" s="5" t="s">
        <v>20</v>
      </c>
      <c r="D36" s="5" t="s">
        <v>13</v>
      </c>
      <c r="E36" s="5"/>
      <c r="F36" s="5"/>
      <c r="G36" s="26">
        <v>1824</v>
      </c>
      <c r="H36" s="26"/>
      <c r="I36" s="5"/>
      <c r="J36" s="5" t="s">
        <v>449</v>
      </c>
      <c r="K36" s="26">
        <v>-21066.71</v>
      </c>
    </row>
    <row r="37" spans="1:11" x14ac:dyDescent="0.25">
      <c r="A37" s="77">
        <v>46058</v>
      </c>
      <c r="B37" s="5" t="s">
        <v>351</v>
      </c>
      <c r="C37" s="5" t="s">
        <v>20</v>
      </c>
      <c r="D37" s="5" t="s">
        <v>22</v>
      </c>
      <c r="E37" s="5" t="s">
        <v>17</v>
      </c>
      <c r="F37" s="5"/>
      <c r="G37" s="26">
        <v>0</v>
      </c>
      <c r="H37" s="26"/>
      <c r="I37" s="5"/>
      <c r="J37" s="5" t="s">
        <v>449</v>
      </c>
      <c r="K37" s="26">
        <v>-21066.71</v>
      </c>
    </row>
    <row r="38" spans="1:11" x14ac:dyDescent="0.25">
      <c r="A38" s="77">
        <v>46058</v>
      </c>
      <c r="B38" s="5" t="s">
        <v>45</v>
      </c>
      <c r="C38" s="5" t="s">
        <v>12</v>
      </c>
      <c r="D38" s="5" t="s">
        <v>24</v>
      </c>
      <c r="E38" s="5" t="s">
        <v>17</v>
      </c>
      <c r="F38" s="5" t="s">
        <v>25</v>
      </c>
      <c r="G38" s="26">
        <v>0</v>
      </c>
      <c r="H38" s="26"/>
      <c r="I38" s="5"/>
      <c r="J38" s="5" t="s">
        <v>449</v>
      </c>
      <c r="K38" s="26">
        <v>-21066.71</v>
      </c>
    </row>
    <row r="39" spans="1:11" x14ac:dyDescent="0.25">
      <c r="A39" s="77">
        <v>46058</v>
      </c>
      <c r="B39" s="5" t="s">
        <v>364</v>
      </c>
      <c r="C39" s="5" t="s">
        <v>12</v>
      </c>
      <c r="D39" s="5" t="s">
        <v>19</v>
      </c>
      <c r="E39" s="5" t="s">
        <v>17</v>
      </c>
      <c r="F39" s="5" t="s">
        <v>25</v>
      </c>
      <c r="G39" s="26">
        <v>594.5</v>
      </c>
      <c r="H39" s="26"/>
      <c r="I39" s="5"/>
      <c r="J39" s="5" t="s">
        <v>449</v>
      </c>
      <c r="K39" s="26">
        <v>-21661.21</v>
      </c>
    </row>
    <row r="40" spans="1:11" x14ac:dyDescent="0.25">
      <c r="A40" s="77">
        <v>46059</v>
      </c>
      <c r="B40" s="5" t="s">
        <v>11</v>
      </c>
      <c r="C40" s="5" t="s">
        <v>12</v>
      </c>
      <c r="D40" s="5" t="s">
        <v>19</v>
      </c>
      <c r="E40" s="5" t="s">
        <v>14</v>
      </c>
      <c r="F40" s="5" t="s">
        <v>15</v>
      </c>
      <c r="G40" s="26">
        <v>329</v>
      </c>
      <c r="H40" s="26"/>
      <c r="I40" s="5"/>
      <c r="J40" s="5" t="s">
        <v>449</v>
      </c>
      <c r="K40" s="26">
        <v>-21990.21</v>
      </c>
    </row>
    <row r="41" spans="1:11" x14ac:dyDescent="0.25">
      <c r="A41" s="77">
        <v>46059</v>
      </c>
      <c r="B41" s="5" t="s">
        <v>13</v>
      </c>
      <c r="C41" s="5" t="s">
        <v>20</v>
      </c>
      <c r="D41" s="5" t="s">
        <v>13</v>
      </c>
      <c r="E41" s="5"/>
      <c r="F41" s="5"/>
      <c r="G41" s="26">
        <v>1840</v>
      </c>
      <c r="H41" s="26"/>
      <c r="I41" s="5"/>
      <c r="J41" s="5" t="s">
        <v>449</v>
      </c>
      <c r="K41" s="26">
        <v>-20150.21</v>
      </c>
    </row>
    <row r="42" spans="1:11" x14ac:dyDescent="0.25">
      <c r="A42" s="77">
        <v>46059</v>
      </c>
      <c r="B42" s="5" t="s">
        <v>21</v>
      </c>
      <c r="C42" s="5" t="s">
        <v>20</v>
      </c>
      <c r="D42" s="5" t="s">
        <v>22</v>
      </c>
      <c r="E42" s="5" t="s">
        <v>17</v>
      </c>
      <c r="F42" s="5"/>
      <c r="G42" s="26">
        <v>157.84</v>
      </c>
      <c r="H42" s="26"/>
      <c r="I42" s="5"/>
      <c r="J42" s="5" t="s">
        <v>449</v>
      </c>
      <c r="K42" s="26">
        <v>-19992.37</v>
      </c>
    </row>
    <row r="43" spans="1:11" x14ac:dyDescent="0.25">
      <c r="A43" s="77">
        <v>46059</v>
      </c>
      <c r="B43" s="5" t="s">
        <v>23</v>
      </c>
      <c r="C43" s="5" t="s">
        <v>12</v>
      </c>
      <c r="D43" s="5" t="s">
        <v>24</v>
      </c>
      <c r="E43" s="5" t="s">
        <v>17</v>
      </c>
      <c r="F43" s="5" t="s">
        <v>25</v>
      </c>
      <c r="G43" s="26">
        <v>44</v>
      </c>
      <c r="H43" s="26"/>
      <c r="I43" s="5"/>
      <c r="J43" s="5" t="s">
        <v>449</v>
      </c>
      <c r="K43" s="26">
        <v>-20036.37</v>
      </c>
    </row>
    <row r="44" spans="1:11" x14ac:dyDescent="0.25">
      <c r="A44" s="77">
        <v>46060</v>
      </c>
      <c r="B44" s="5" t="s">
        <v>13</v>
      </c>
      <c r="C44" s="5" t="s">
        <v>20</v>
      </c>
      <c r="D44" s="5" t="s">
        <v>13</v>
      </c>
      <c r="E44" s="5"/>
      <c r="F44" s="5"/>
      <c r="G44" s="26">
        <v>4623</v>
      </c>
      <c r="H44" s="26"/>
      <c r="I44" s="5"/>
      <c r="J44" s="5" t="s">
        <v>449</v>
      </c>
      <c r="K44" s="26">
        <v>-15413.37</v>
      </c>
    </row>
    <row r="45" spans="1:11" x14ac:dyDescent="0.25">
      <c r="A45" s="77">
        <v>46060</v>
      </c>
      <c r="B45" s="5" t="s">
        <v>21</v>
      </c>
      <c r="C45" s="5" t="s">
        <v>20</v>
      </c>
      <c r="D45" s="5" t="s">
        <v>22</v>
      </c>
      <c r="E45" s="5" t="s">
        <v>17</v>
      </c>
      <c r="F45" s="5"/>
      <c r="G45" s="26">
        <v>108.95</v>
      </c>
      <c r="H45" s="26"/>
      <c r="I45" s="5"/>
      <c r="J45" s="5" t="s">
        <v>449</v>
      </c>
      <c r="K45" s="26">
        <v>-15304.42</v>
      </c>
    </row>
    <row r="46" spans="1:11" x14ac:dyDescent="0.25">
      <c r="A46" s="77">
        <v>46060</v>
      </c>
      <c r="B46" s="5" t="s">
        <v>23</v>
      </c>
      <c r="C46" s="5" t="s">
        <v>12</v>
      </c>
      <c r="D46" s="5" t="s">
        <v>24</v>
      </c>
      <c r="E46" s="5" t="s">
        <v>17</v>
      </c>
      <c r="F46" s="5" t="s">
        <v>25</v>
      </c>
      <c r="G46" s="26">
        <v>17</v>
      </c>
      <c r="H46" s="26"/>
      <c r="I46" s="5"/>
      <c r="J46" s="5" t="s">
        <v>449</v>
      </c>
      <c r="K46" s="26">
        <v>-15321.42</v>
      </c>
    </row>
    <row r="47" spans="1:11" x14ac:dyDescent="0.25">
      <c r="A47" s="77">
        <v>46060</v>
      </c>
      <c r="B47" s="5" t="s">
        <v>513</v>
      </c>
      <c r="C47" s="5" t="s">
        <v>12</v>
      </c>
      <c r="D47" s="5" t="s">
        <v>33</v>
      </c>
      <c r="E47" s="5" t="s">
        <v>17</v>
      </c>
      <c r="F47" s="5" t="s">
        <v>25</v>
      </c>
      <c r="G47" s="26">
        <v>330</v>
      </c>
      <c r="H47" s="26"/>
      <c r="I47" s="5"/>
      <c r="J47" s="5" t="s">
        <v>449</v>
      </c>
      <c r="K47" s="26">
        <v>-15651.42</v>
      </c>
    </row>
    <row r="48" spans="1:11" x14ac:dyDescent="0.25">
      <c r="A48" s="77">
        <v>46060</v>
      </c>
      <c r="B48" s="5" t="s">
        <v>514</v>
      </c>
      <c r="C48" s="5" t="s">
        <v>12</v>
      </c>
      <c r="D48" s="5" t="s">
        <v>29</v>
      </c>
      <c r="E48" s="5" t="s">
        <v>17</v>
      </c>
      <c r="F48" s="5" t="s">
        <v>25</v>
      </c>
      <c r="G48" s="26">
        <v>350</v>
      </c>
      <c r="H48" s="26"/>
      <c r="I48" s="5"/>
      <c r="J48" s="5" t="s">
        <v>449</v>
      </c>
      <c r="K48" s="26">
        <v>-16001.42</v>
      </c>
    </row>
    <row r="49" spans="1:11" x14ac:dyDescent="0.25">
      <c r="A49" s="77">
        <v>46060</v>
      </c>
      <c r="B49" s="5" t="s">
        <v>515</v>
      </c>
      <c r="C49" s="5" t="s">
        <v>12</v>
      </c>
      <c r="D49" s="5" t="s">
        <v>62</v>
      </c>
      <c r="E49" s="5" t="s">
        <v>14</v>
      </c>
      <c r="F49" s="5" t="s">
        <v>15</v>
      </c>
      <c r="G49" s="26">
        <v>50</v>
      </c>
      <c r="H49" s="26"/>
      <c r="I49" s="5"/>
      <c r="J49" s="5" t="s">
        <v>449</v>
      </c>
      <c r="K49" s="26">
        <v>-16051.42</v>
      </c>
    </row>
    <row r="50" spans="1:11" x14ac:dyDescent="0.25">
      <c r="A50" s="77">
        <v>46061</v>
      </c>
      <c r="B50" s="5" t="s">
        <v>13</v>
      </c>
      <c r="C50" s="5" t="s">
        <v>20</v>
      </c>
      <c r="D50" s="5" t="s">
        <v>13</v>
      </c>
      <c r="E50" s="5"/>
      <c r="F50" s="5"/>
      <c r="G50" s="26">
        <v>5426</v>
      </c>
      <c r="H50" s="26"/>
      <c r="I50" s="5"/>
      <c r="J50" s="5" t="s">
        <v>449</v>
      </c>
      <c r="K50" s="26">
        <v>-10625.42</v>
      </c>
    </row>
    <row r="51" spans="1:11" x14ac:dyDescent="0.25">
      <c r="A51" s="77">
        <v>46061</v>
      </c>
      <c r="B51" s="5" t="s">
        <v>21</v>
      </c>
      <c r="C51" s="5" t="s">
        <v>20</v>
      </c>
      <c r="D51" s="5" t="s">
        <v>22</v>
      </c>
      <c r="E51" s="5" t="s">
        <v>17</v>
      </c>
      <c r="F51" s="5"/>
      <c r="G51" s="26">
        <v>191.32</v>
      </c>
      <c r="H51" s="26"/>
      <c r="I51" s="5"/>
      <c r="J51" s="5" t="s">
        <v>449</v>
      </c>
      <c r="K51" s="26">
        <v>-10434.1</v>
      </c>
    </row>
    <row r="52" spans="1:11" x14ac:dyDescent="0.25">
      <c r="A52" s="77">
        <v>46061</v>
      </c>
      <c r="B52" s="5" t="s">
        <v>23</v>
      </c>
      <c r="C52" s="5" t="s">
        <v>12</v>
      </c>
      <c r="D52" s="5" t="s">
        <v>24</v>
      </c>
      <c r="E52" s="5" t="s">
        <v>17</v>
      </c>
      <c r="F52" s="5" t="s">
        <v>25</v>
      </c>
      <c r="G52" s="26">
        <v>17</v>
      </c>
      <c r="H52" s="26"/>
      <c r="I52" s="5"/>
      <c r="J52" s="5" t="s">
        <v>449</v>
      </c>
      <c r="K52" s="26">
        <v>-10451.1</v>
      </c>
    </row>
    <row r="53" spans="1:11" x14ac:dyDescent="0.25">
      <c r="A53" s="77">
        <v>46061</v>
      </c>
      <c r="B53" s="5" t="s">
        <v>377</v>
      </c>
      <c r="C53" s="5" t="s">
        <v>12</v>
      </c>
      <c r="D53" s="5" t="s">
        <v>62</v>
      </c>
      <c r="E53" s="5" t="s">
        <v>14</v>
      </c>
      <c r="F53" s="5" t="s">
        <v>15</v>
      </c>
      <c r="G53" s="26">
        <v>20</v>
      </c>
      <c r="H53" s="26"/>
      <c r="I53" s="5"/>
      <c r="J53" s="5" t="s">
        <v>449</v>
      </c>
      <c r="K53" s="26">
        <v>-10471.1</v>
      </c>
    </row>
    <row r="54" spans="1:11" x14ac:dyDescent="0.25">
      <c r="A54" s="77">
        <v>46062</v>
      </c>
      <c r="B54" s="5" t="s">
        <v>343</v>
      </c>
      <c r="C54" s="5" t="s">
        <v>12</v>
      </c>
      <c r="D54" s="5" t="s">
        <v>19</v>
      </c>
      <c r="E54" s="5" t="s">
        <v>17</v>
      </c>
      <c r="F54" s="5"/>
      <c r="G54" s="26">
        <v>2097.77</v>
      </c>
      <c r="H54" s="26"/>
      <c r="I54" s="5"/>
      <c r="J54" s="5" t="s">
        <v>449</v>
      </c>
      <c r="K54" s="26">
        <v>-12568.87</v>
      </c>
    </row>
    <row r="55" spans="1:11" x14ac:dyDescent="0.25">
      <c r="A55" s="77">
        <v>46062</v>
      </c>
      <c r="B55" s="5" t="s">
        <v>413</v>
      </c>
      <c r="C55" s="5" t="s">
        <v>12</v>
      </c>
      <c r="D55" s="5" t="s">
        <v>19</v>
      </c>
      <c r="E55" s="5" t="s">
        <v>17</v>
      </c>
      <c r="F55" s="5"/>
      <c r="G55" s="26">
        <v>382.5</v>
      </c>
      <c r="H55" s="26"/>
      <c r="I55" s="5"/>
      <c r="J55" s="5" t="s">
        <v>449</v>
      </c>
      <c r="K55" s="26">
        <v>-12951.37</v>
      </c>
    </row>
    <row r="56" spans="1:11" x14ac:dyDescent="0.25">
      <c r="A56" s="77">
        <v>46062</v>
      </c>
      <c r="B56" s="5" t="s">
        <v>30</v>
      </c>
      <c r="C56" s="5" t="s">
        <v>20</v>
      </c>
      <c r="D56" s="5" t="s">
        <v>13</v>
      </c>
      <c r="E56" s="5"/>
      <c r="F56" s="5"/>
      <c r="G56" s="26">
        <v>569</v>
      </c>
      <c r="H56" s="26"/>
      <c r="I56" s="5"/>
      <c r="J56" s="5" t="s">
        <v>449</v>
      </c>
      <c r="K56" s="26">
        <v>-12382.37</v>
      </c>
    </row>
    <row r="57" spans="1:11" x14ac:dyDescent="0.25">
      <c r="A57" s="77">
        <v>46062</v>
      </c>
      <c r="B57" s="5" t="s">
        <v>44</v>
      </c>
      <c r="C57" s="5" t="s">
        <v>20</v>
      </c>
      <c r="D57" s="5" t="s">
        <v>22</v>
      </c>
      <c r="E57" s="5" t="s">
        <v>17</v>
      </c>
      <c r="F57" s="5"/>
      <c r="G57" s="26">
        <v>10.9</v>
      </c>
      <c r="H57" s="26"/>
      <c r="I57" s="5"/>
      <c r="J57" s="5" t="s">
        <v>449</v>
      </c>
      <c r="K57" s="26">
        <v>-12371.47</v>
      </c>
    </row>
    <row r="58" spans="1:11" x14ac:dyDescent="0.25">
      <c r="A58" s="77">
        <v>46062</v>
      </c>
      <c r="B58" s="5" t="s">
        <v>45</v>
      </c>
      <c r="C58" s="5" t="s">
        <v>12</v>
      </c>
      <c r="D58" s="5" t="s">
        <v>24</v>
      </c>
      <c r="E58" s="5" t="s">
        <v>17</v>
      </c>
      <c r="F58" s="5" t="s">
        <v>25</v>
      </c>
      <c r="G58" s="26">
        <v>9</v>
      </c>
      <c r="H58" s="26"/>
      <c r="I58" s="5"/>
      <c r="J58" s="5" t="s">
        <v>449</v>
      </c>
      <c r="K58" s="26">
        <v>-12380.47</v>
      </c>
    </row>
    <row r="59" spans="1:11" x14ac:dyDescent="0.25">
      <c r="A59" s="77">
        <v>46063</v>
      </c>
      <c r="B59" s="5" t="s">
        <v>66</v>
      </c>
      <c r="C59" s="5" t="s">
        <v>12</v>
      </c>
      <c r="D59" s="5" t="s">
        <v>66</v>
      </c>
      <c r="E59" s="5" t="s">
        <v>17</v>
      </c>
      <c r="F59" s="5" t="s">
        <v>25</v>
      </c>
      <c r="G59" s="26">
        <v>10172.6</v>
      </c>
      <c r="H59" s="26"/>
      <c r="I59" s="5"/>
      <c r="J59" s="5" t="s">
        <v>449</v>
      </c>
      <c r="K59" s="26">
        <v>-22553.07</v>
      </c>
    </row>
    <row r="60" spans="1:11" x14ac:dyDescent="0.25">
      <c r="A60" s="77">
        <v>46063</v>
      </c>
      <c r="B60" s="5" t="s">
        <v>68</v>
      </c>
      <c r="C60" s="5" t="s">
        <v>12</v>
      </c>
      <c r="D60" s="5" t="s">
        <v>68</v>
      </c>
      <c r="E60" s="5" t="s">
        <v>17</v>
      </c>
      <c r="F60" s="5" t="s">
        <v>25</v>
      </c>
      <c r="G60" s="26">
        <v>450</v>
      </c>
      <c r="H60" s="26"/>
      <c r="I60" s="5"/>
      <c r="J60" s="5" t="s">
        <v>449</v>
      </c>
      <c r="K60" s="26">
        <v>-23003.07</v>
      </c>
    </row>
    <row r="61" spans="1:11" x14ac:dyDescent="0.25">
      <c r="A61" s="77">
        <v>46063</v>
      </c>
      <c r="B61" s="5" t="s">
        <v>516</v>
      </c>
      <c r="C61" s="5" t="s">
        <v>12</v>
      </c>
      <c r="D61" s="5" t="s">
        <v>27</v>
      </c>
      <c r="E61" s="5" t="s">
        <v>17</v>
      </c>
      <c r="F61" s="5"/>
      <c r="G61" s="26">
        <v>60</v>
      </c>
      <c r="H61" s="26"/>
      <c r="I61" s="5"/>
      <c r="J61" s="5" t="s">
        <v>449</v>
      </c>
      <c r="K61" s="26">
        <v>-23063.07</v>
      </c>
    </row>
    <row r="62" spans="1:11" x14ac:dyDescent="0.25">
      <c r="A62" s="77">
        <v>46063</v>
      </c>
      <c r="B62" s="5" t="s">
        <v>64</v>
      </c>
      <c r="C62" s="5" t="s">
        <v>12</v>
      </c>
      <c r="D62" s="5" t="s">
        <v>64</v>
      </c>
      <c r="E62" s="5" t="s">
        <v>17</v>
      </c>
      <c r="F62" s="5"/>
      <c r="G62" s="26">
        <v>732</v>
      </c>
      <c r="H62" s="26"/>
      <c r="I62" s="5"/>
      <c r="J62" s="5" t="s">
        <v>449</v>
      </c>
      <c r="K62" s="26">
        <v>-23795.07</v>
      </c>
    </row>
    <row r="63" spans="1:11" x14ac:dyDescent="0.25">
      <c r="A63" s="77">
        <v>46063</v>
      </c>
      <c r="B63" s="5" t="s">
        <v>13</v>
      </c>
      <c r="C63" s="5" t="s">
        <v>20</v>
      </c>
      <c r="D63" s="5" t="s">
        <v>13</v>
      </c>
      <c r="E63" s="5"/>
      <c r="F63" s="5"/>
      <c r="G63" s="26">
        <v>1826</v>
      </c>
      <c r="H63" s="26"/>
      <c r="I63" s="5"/>
      <c r="J63" s="5" t="s">
        <v>449</v>
      </c>
      <c r="K63" s="26">
        <v>-21969.07</v>
      </c>
    </row>
    <row r="64" spans="1:11" x14ac:dyDescent="0.25">
      <c r="A64" s="77">
        <v>46063</v>
      </c>
      <c r="B64" s="5" t="s">
        <v>351</v>
      </c>
      <c r="C64" s="5" t="s">
        <v>20</v>
      </c>
      <c r="D64" s="5" t="s">
        <v>22</v>
      </c>
      <c r="E64" s="5" t="s">
        <v>17</v>
      </c>
      <c r="F64" s="5"/>
      <c r="G64" s="26">
        <v>57.9</v>
      </c>
      <c r="H64" s="26"/>
      <c r="I64" s="5"/>
      <c r="J64" s="5" t="s">
        <v>449</v>
      </c>
      <c r="K64" s="26">
        <v>-21911.17</v>
      </c>
    </row>
    <row r="65" spans="1:11" x14ac:dyDescent="0.25">
      <c r="A65" s="77">
        <v>46063</v>
      </c>
      <c r="B65" s="5" t="s">
        <v>23</v>
      </c>
      <c r="C65" s="5" t="s">
        <v>12</v>
      </c>
      <c r="D65" s="5" t="s">
        <v>24</v>
      </c>
      <c r="E65" s="5" t="s">
        <v>17</v>
      </c>
      <c r="F65" s="5" t="s">
        <v>25</v>
      </c>
      <c r="G65" s="26">
        <v>9</v>
      </c>
      <c r="H65" s="26"/>
      <c r="I65" s="5"/>
      <c r="J65" s="5" t="s">
        <v>449</v>
      </c>
      <c r="K65" s="26">
        <v>-21920.17</v>
      </c>
    </row>
    <row r="66" spans="1:11" x14ac:dyDescent="0.25">
      <c r="A66" s="77">
        <v>46063</v>
      </c>
      <c r="B66" s="5" t="s">
        <v>346</v>
      </c>
      <c r="C66" s="5" t="s">
        <v>12</v>
      </c>
      <c r="D66" s="5" t="s">
        <v>19</v>
      </c>
      <c r="E66" s="5" t="s">
        <v>17</v>
      </c>
      <c r="F66" s="5"/>
      <c r="G66" s="26">
        <v>1105.4000000000001</v>
      </c>
      <c r="H66" s="26"/>
      <c r="I66" s="5"/>
      <c r="J66" s="5" t="s">
        <v>449</v>
      </c>
      <c r="K66" s="26">
        <v>-23025.57</v>
      </c>
    </row>
    <row r="67" spans="1:11" x14ac:dyDescent="0.25">
      <c r="A67" s="77">
        <v>46063</v>
      </c>
      <c r="B67" s="5" t="s">
        <v>346</v>
      </c>
      <c r="C67" s="5" t="s">
        <v>12</v>
      </c>
      <c r="D67" s="5" t="s">
        <v>19</v>
      </c>
      <c r="E67" s="5" t="s">
        <v>17</v>
      </c>
      <c r="F67" s="5"/>
      <c r="G67" s="26">
        <v>1107.5999999999999</v>
      </c>
      <c r="H67" s="26"/>
      <c r="I67" s="5"/>
      <c r="J67" s="5" t="s">
        <v>449</v>
      </c>
      <c r="K67" s="26">
        <v>-24133.17</v>
      </c>
    </row>
    <row r="68" spans="1:11" x14ac:dyDescent="0.25">
      <c r="A68" s="77">
        <v>46063</v>
      </c>
      <c r="B68" s="5" t="s">
        <v>31</v>
      </c>
      <c r="C68" s="5" t="s">
        <v>12</v>
      </c>
      <c r="D68" s="5" t="s">
        <v>19</v>
      </c>
      <c r="E68" s="5" t="s">
        <v>17</v>
      </c>
      <c r="F68" s="5" t="s">
        <v>25</v>
      </c>
      <c r="G68" s="26">
        <v>156</v>
      </c>
      <c r="H68" s="26"/>
      <c r="I68" s="5"/>
      <c r="J68" s="5" t="s">
        <v>449</v>
      </c>
      <c r="K68" s="26">
        <v>-24289.17</v>
      </c>
    </row>
    <row r="69" spans="1:11" x14ac:dyDescent="0.25">
      <c r="A69" s="77">
        <v>46063</v>
      </c>
      <c r="B69" s="5" t="s">
        <v>517</v>
      </c>
      <c r="C69" s="5" t="s">
        <v>12</v>
      </c>
      <c r="D69" s="5" t="s">
        <v>68</v>
      </c>
      <c r="E69" s="5" t="s">
        <v>17</v>
      </c>
      <c r="F69" s="5" t="s">
        <v>25</v>
      </c>
      <c r="G69" s="26">
        <v>500</v>
      </c>
      <c r="H69" s="26"/>
      <c r="I69" s="5"/>
      <c r="J69" s="5" t="s">
        <v>449</v>
      </c>
      <c r="K69" s="26">
        <v>-24789.17</v>
      </c>
    </row>
    <row r="70" spans="1:11" x14ac:dyDescent="0.25">
      <c r="A70" s="77">
        <v>46063</v>
      </c>
      <c r="B70" s="5" t="s">
        <v>518</v>
      </c>
      <c r="C70" s="5" t="s">
        <v>12</v>
      </c>
      <c r="D70" s="5" t="s">
        <v>62</v>
      </c>
      <c r="E70" s="5" t="s">
        <v>14</v>
      </c>
      <c r="F70" s="5" t="s">
        <v>15</v>
      </c>
      <c r="G70" s="26">
        <v>1533.4</v>
      </c>
      <c r="H70" s="26"/>
      <c r="I70" s="5"/>
      <c r="J70" s="5" t="s">
        <v>449</v>
      </c>
      <c r="K70" s="26">
        <v>-26322.57</v>
      </c>
    </row>
    <row r="71" spans="1:11" x14ac:dyDescent="0.25">
      <c r="A71" s="77">
        <v>46064</v>
      </c>
      <c r="B71" s="5" t="s">
        <v>519</v>
      </c>
      <c r="C71" s="5" t="s">
        <v>12</v>
      </c>
      <c r="D71" s="5" t="s">
        <v>19</v>
      </c>
      <c r="E71" s="5" t="s">
        <v>17</v>
      </c>
      <c r="F71" s="5"/>
      <c r="G71" s="26">
        <v>882.66</v>
      </c>
      <c r="H71" s="26"/>
      <c r="I71" s="5"/>
      <c r="J71" s="5" t="s">
        <v>449</v>
      </c>
      <c r="K71" s="26">
        <v>-27205.23</v>
      </c>
    </row>
    <row r="72" spans="1:11" x14ac:dyDescent="0.25">
      <c r="A72" s="77">
        <v>46064</v>
      </c>
      <c r="B72" s="5" t="s">
        <v>397</v>
      </c>
      <c r="C72" s="5" t="s">
        <v>12</v>
      </c>
      <c r="D72" s="5" t="s">
        <v>19</v>
      </c>
      <c r="E72" s="5" t="s">
        <v>17</v>
      </c>
      <c r="F72" s="5"/>
      <c r="G72" s="26">
        <v>116.97</v>
      </c>
      <c r="H72" s="26"/>
      <c r="I72" s="5"/>
      <c r="J72" s="5" t="s">
        <v>449</v>
      </c>
      <c r="K72" s="26">
        <v>-27322.2</v>
      </c>
    </row>
    <row r="73" spans="1:11" x14ac:dyDescent="0.25">
      <c r="A73" s="77">
        <v>46064</v>
      </c>
      <c r="B73" s="5" t="s">
        <v>398</v>
      </c>
      <c r="C73" s="5" t="s">
        <v>12</v>
      </c>
      <c r="D73" s="5" t="s">
        <v>19</v>
      </c>
      <c r="E73" s="5" t="s">
        <v>17</v>
      </c>
      <c r="F73" s="5"/>
      <c r="G73" s="26">
        <v>1831.59</v>
      </c>
      <c r="H73" s="26"/>
      <c r="I73" s="5"/>
      <c r="J73" s="5" t="s">
        <v>449</v>
      </c>
      <c r="K73" s="26">
        <v>-29153.79</v>
      </c>
    </row>
    <row r="74" spans="1:11" x14ac:dyDescent="0.25">
      <c r="A74" s="77">
        <v>46064</v>
      </c>
      <c r="B74" s="5" t="s">
        <v>11</v>
      </c>
      <c r="C74" s="5" t="s">
        <v>12</v>
      </c>
      <c r="D74" s="5" t="s">
        <v>19</v>
      </c>
      <c r="E74" s="5" t="s">
        <v>14</v>
      </c>
      <c r="F74" s="5" t="s">
        <v>15</v>
      </c>
      <c r="G74" s="26">
        <v>0</v>
      </c>
      <c r="H74" s="26"/>
      <c r="I74" s="5"/>
      <c r="J74" s="5" t="s">
        <v>449</v>
      </c>
      <c r="K74" s="26">
        <v>-29153.79</v>
      </c>
    </row>
    <row r="75" spans="1:11" x14ac:dyDescent="0.25">
      <c r="A75" s="77">
        <v>46064</v>
      </c>
      <c r="B75" s="5" t="s">
        <v>30</v>
      </c>
      <c r="C75" s="5" t="s">
        <v>20</v>
      </c>
      <c r="D75" s="5" t="s">
        <v>13</v>
      </c>
      <c r="E75" s="5"/>
      <c r="F75" s="5"/>
      <c r="G75" s="26">
        <v>1154.5999999999999</v>
      </c>
      <c r="H75" s="26"/>
      <c r="I75" s="5"/>
      <c r="J75" s="5" t="s">
        <v>449</v>
      </c>
      <c r="K75" s="26">
        <v>-27999.19</v>
      </c>
    </row>
    <row r="76" spans="1:11" x14ac:dyDescent="0.25">
      <c r="A76" s="77">
        <v>46064</v>
      </c>
      <c r="B76" s="5" t="s">
        <v>44</v>
      </c>
      <c r="C76" s="5" t="s">
        <v>20</v>
      </c>
      <c r="D76" s="5" t="s">
        <v>22</v>
      </c>
      <c r="E76" s="5" t="s">
        <v>17</v>
      </c>
      <c r="F76" s="5"/>
      <c r="G76" s="26">
        <v>24.3</v>
      </c>
      <c r="H76" s="26"/>
      <c r="I76" s="5"/>
      <c r="J76" s="5" t="s">
        <v>449</v>
      </c>
      <c r="K76" s="26">
        <v>-27974.89</v>
      </c>
    </row>
    <row r="77" spans="1:11" x14ac:dyDescent="0.25">
      <c r="A77" s="77">
        <v>46064</v>
      </c>
      <c r="B77" s="5" t="s">
        <v>45</v>
      </c>
      <c r="C77" s="5" t="s">
        <v>12</v>
      </c>
      <c r="D77" s="5" t="s">
        <v>24</v>
      </c>
      <c r="E77" s="5" t="s">
        <v>17</v>
      </c>
      <c r="F77" s="5" t="s">
        <v>25</v>
      </c>
      <c r="G77" s="26">
        <v>9</v>
      </c>
      <c r="H77" s="26"/>
      <c r="I77" s="5"/>
      <c r="J77" s="5" t="s">
        <v>449</v>
      </c>
      <c r="K77" s="26">
        <v>-27983.89</v>
      </c>
    </row>
    <row r="78" spans="1:11" x14ac:dyDescent="0.25">
      <c r="A78" s="77">
        <v>46064</v>
      </c>
      <c r="B78" s="5" t="s">
        <v>520</v>
      </c>
      <c r="C78" s="5" t="s">
        <v>12</v>
      </c>
      <c r="D78" s="5" t="s">
        <v>29</v>
      </c>
      <c r="E78" s="5" t="s">
        <v>17</v>
      </c>
      <c r="F78" s="5" t="s">
        <v>25</v>
      </c>
      <c r="G78" s="26">
        <v>1105</v>
      </c>
      <c r="H78" s="26"/>
      <c r="I78" s="5"/>
      <c r="J78" s="5" t="s">
        <v>449</v>
      </c>
      <c r="K78" s="26">
        <v>-29088.89</v>
      </c>
    </row>
    <row r="79" spans="1:11" x14ac:dyDescent="0.25">
      <c r="A79" s="77">
        <v>46065</v>
      </c>
      <c r="B79" s="5" t="s">
        <v>343</v>
      </c>
      <c r="C79" s="5" t="s">
        <v>12</v>
      </c>
      <c r="D79" s="5" t="s">
        <v>19</v>
      </c>
      <c r="E79" s="5" t="s">
        <v>17</v>
      </c>
      <c r="F79" s="5"/>
      <c r="G79" s="26">
        <v>5156.3</v>
      </c>
      <c r="H79" s="26"/>
      <c r="I79" s="5"/>
      <c r="J79" s="5" t="s">
        <v>449</v>
      </c>
      <c r="K79" s="26">
        <v>-34245.19</v>
      </c>
    </row>
    <row r="80" spans="1:11" x14ac:dyDescent="0.25">
      <c r="A80" s="77">
        <v>46065</v>
      </c>
      <c r="B80" s="5" t="s">
        <v>393</v>
      </c>
      <c r="C80" s="5" t="s">
        <v>12</v>
      </c>
      <c r="D80" s="5" t="s">
        <v>19</v>
      </c>
      <c r="E80" s="5" t="s">
        <v>14</v>
      </c>
      <c r="F80" s="5" t="s">
        <v>15</v>
      </c>
      <c r="G80" s="26">
        <v>576</v>
      </c>
      <c r="H80" s="26"/>
      <c r="I80" s="5"/>
      <c r="J80" s="5" t="s">
        <v>449</v>
      </c>
      <c r="K80" s="26">
        <v>-34821.19</v>
      </c>
    </row>
    <row r="81" spans="1:11" x14ac:dyDescent="0.25">
      <c r="A81" s="77">
        <v>46065</v>
      </c>
      <c r="B81" s="5" t="s">
        <v>30</v>
      </c>
      <c r="C81" s="5" t="s">
        <v>20</v>
      </c>
      <c r="D81" s="5" t="s">
        <v>13</v>
      </c>
      <c r="E81" s="5"/>
      <c r="F81" s="5"/>
      <c r="G81" s="26">
        <v>2113</v>
      </c>
      <c r="H81" s="26"/>
      <c r="I81" s="5"/>
      <c r="J81" s="5" t="s">
        <v>449</v>
      </c>
      <c r="K81" s="26">
        <v>-32708.19</v>
      </c>
    </row>
    <row r="82" spans="1:11" x14ac:dyDescent="0.25">
      <c r="A82" s="77">
        <v>46065</v>
      </c>
      <c r="B82" s="5" t="s">
        <v>44</v>
      </c>
      <c r="C82" s="5" t="s">
        <v>20</v>
      </c>
      <c r="D82" s="5" t="s">
        <v>22</v>
      </c>
      <c r="E82" s="5" t="s">
        <v>17</v>
      </c>
      <c r="F82" s="5"/>
      <c r="G82" s="26">
        <v>74.39</v>
      </c>
      <c r="H82" s="26"/>
      <c r="I82" s="5"/>
      <c r="J82" s="5" t="s">
        <v>449</v>
      </c>
      <c r="K82" s="26">
        <v>-32633.8</v>
      </c>
    </row>
    <row r="83" spans="1:11" x14ac:dyDescent="0.25">
      <c r="A83" s="77">
        <v>46065</v>
      </c>
      <c r="B83" s="5" t="s">
        <v>45</v>
      </c>
      <c r="C83" s="5" t="s">
        <v>12</v>
      </c>
      <c r="D83" s="5" t="s">
        <v>24</v>
      </c>
      <c r="E83" s="5" t="s">
        <v>17</v>
      </c>
      <c r="F83" s="5" t="s">
        <v>25</v>
      </c>
      <c r="G83" s="26">
        <v>18</v>
      </c>
      <c r="H83" s="26"/>
      <c r="I83" s="5"/>
      <c r="J83" s="5" t="s">
        <v>449</v>
      </c>
      <c r="K83" s="26">
        <v>-32651.8</v>
      </c>
    </row>
    <row r="84" spans="1:11" x14ac:dyDescent="0.25">
      <c r="A84" s="77">
        <v>46065</v>
      </c>
      <c r="B84" s="5" t="s">
        <v>521</v>
      </c>
      <c r="C84" s="5" t="s">
        <v>12</v>
      </c>
      <c r="D84" s="5" t="s">
        <v>33</v>
      </c>
      <c r="E84" s="5" t="s">
        <v>17</v>
      </c>
      <c r="F84" s="5" t="s">
        <v>25</v>
      </c>
      <c r="G84" s="26">
        <v>150</v>
      </c>
      <c r="H84" s="26"/>
      <c r="I84" s="5"/>
      <c r="J84" s="5" t="s">
        <v>449</v>
      </c>
      <c r="K84" s="26">
        <v>-32801.800000000003</v>
      </c>
    </row>
    <row r="85" spans="1:11" x14ac:dyDescent="0.25">
      <c r="A85" s="77">
        <v>46066</v>
      </c>
      <c r="B85" s="5" t="s">
        <v>11</v>
      </c>
      <c r="C85" s="5" t="s">
        <v>12</v>
      </c>
      <c r="D85" s="5" t="s">
        <v>19</v>
      </c>
      <c r="E85" s="5" t="s">
        <v>14</v>
      </c>
      <c r="F85" s="5" t="s">
        <v>15</v>
      </c>
      <c r="G85" s="26">
        <v>670</v>
      </c>
      <c r="H85" s="26"/>
      <c r="I85" s="5"/>
      <c r="J85" s="5" t="s">
        <v>449</v>
      </c>
      <c r="K85" s="26">
        <v>-33471.800000000003</v>
      </c>
    </row>
    <row r="86" spans="1:11" x14ac:dyDescent="0.25">
      <c r="A86" s="77">
        <v>46066</v>
      </c>
      <c r="B86" s="5" t="s">
        <v>13</v>
      </c>
      <c r="C86" s="5" t="s">
        <v>20</v>
      </c>
      <c r="D86" s="5" t="s">
        <v>13</v>
      </c>
      <c r="E86" s="5"/>
      <c r="F86" s="5"/>
      <c r="G86" s="26">
        <v>5289</v>
      </c>
      <c r="H86" s="26"/>
      <c r="I86" s="5"/>
      <c r="J86" s="5" t="s">
        <v>449</v>
      </c>
      <c r="K86" s="26">
        <v>-28182.799999999999</v>
      </c>
    </row>
    <row r="87" spans="1:11" x14ac:dyDescent="0.25">
      <c r="A87" s="77">
        <v>46066</v>
      </c>
      <c r="B87" s="5" t="s">
        <v>21</v>
      </c>
      <c r="C87" s="5" t="s">
        <v>20</v>
      </c>
      <c r="D87" s="5" t="s">
        <v>22</v>
      </c>
      <c r="E87" s="5" t="s">
        <v>17</v>
      </c>
      <c r="F87" s="5"/>
      <c r="G87" s="26">
        <v>99.78</v>
      </c>
      <c r="H87" s="26"/>
      <c r="I87" s="5"/>
      <c r="J87" s="5" t="s">
        <v>449</v>
      </c>
      <c r="K87" s="26">
        <v>-28083.02</v>
      </c>
    </row>
    <row r="88" spans="1:11" x14ac:dyDescent="0.25">
      <c r="A88" s="77">
        <v>46066</v>
      </c>
      <c r="B88" s="5" t="s">
        <v>23</v>
      </c>
      <c r="C88" s="5" t="s">
        <v>12</v>
      </c>
      <c r="D88" s="5" t="s">
        <v>24</v>
      </c>
      <c r="E88" s="5" t="s">
        <v>17</v>
      </c>
      <c r="F88" s="5" t="s">
        <v>25</v>
      </c>
      <c r="G88" s="26">
        <v>36</v>
      </c>
      <c r="H88" s="26"/>
      <c r="I88" s="5"/>
      <c r="J88" s="5" t="s">
        <v>449</v>
      </c>
      <c r="K88" s="26">
        <v>-28119.02</v>
      </c>
    </row>
    <row r="89" spans="1:11" x14ac:dyDescent="0.25">
      <c r="A89" s="77">
        <v>46067</v>
      </c>
      <c r="B89" s="5" t="s">
        <v>522</v>
      </c>
      <c r="C89" s="5" t="s">
        <v>12</v>
      </c>
      <c r="D89" s="5" t="s">
        <v>19</v>
      </c>
      <c r="E89" s="5" t="s">
        <v>14</v>
      </c>
      <c r="F89" s="5" t="s">
        <v>15</v>
      </c>
      <c r="G89" s="26">
        <v>50</v>
      </c>
      <c r="H89" s="26"/>
      <c r="I89" s="5"/>
      <c r="J89" s="5" t="s">
        <v>449</v>
      </c>
      <c r="K89" s="26">
        <v>-28169.02</v>
      </c>
    </row>
    <row r="90" spans="1:11" x14ac:dyDescent="0.25">
      <c r="A90" s="77">
        <v>46067</v>
      </c>
      <c r="B90" s="5" t="s">
        <v>13</v>
      </c>
      <c r="C90" s="5" t="s">
        <v>20</v>
      </c>
      <c r="D90" s="5" t="s">
        <v>13</v>
      </c>
      <c r="E90" s="5"/>
      <c r="F90" s="5"/>
      <c r="G90" s="26">
        <v>12357</v>
      </c>
      <c r="H90" s="26"/>
      <c r="I90" s="5"/>
      <c r="J90" s="5" t="s">
        <v>449</v>
      </c>
      <c r="K90" s="26">
        <v>-15812.02</v>
      </c>
    </row>
    <row r="91" spans="1:11" x14ac:dyDescent="0.25">
      <c r="A91" s="77">
        <v>46067</v>
      </c>
      <c r="B91" s="5" t="s">
        <v>21</v>
      </c>
      <c r="C91" s="5" t="s">
        <v>20</v>
      </c>
      <c r="D91" s="5" t="s">
        <v>22</v>
      </c>
      <c r="E91" s="5" t="s">
        <v>17</v>
      </c>
      <c r="F91" s="5"/>
      <c r="G91" s="26">
        <v>509.16</v>
      </c>
      <c r="H91" s="26"/>
      <c r="I91" s="5"/>
      <c r="J91" s="5" t="s">
        <v>449</v>
      </c>
      <c r="K91" s="26">
        <v>-15302.86</v>
      </c>
    </row>
    <row r="92" spans="1:11" x14ac:dyDescent="0.25">
      <c r="A92" s="77">
        <v>46067</v>
      </c>
      <c r="B92" s="5" t="s">
        <v>23</v>
      </c>
      <c r="C92" s="5" t="s">
        <v>12</v>
      </c>
      <c r="D92" s="5" t="s">
        <v>24</v>
      </c>
      <c r="E92" s="5" t="s">
        <v>17</v>
      </c>
      <c r="F92" s="5" t="s">
        <v>25</v>
      </c>
      <c r="G92" s="26">
        <v>79</v>
      </c>
      <c r="H92" s="26"/>
      <c r="I92" s="5"/>
      <c r="J92" s="5" t="s">
        <v>449</v>
      </c>
      <c r="K92" s="26">
        <v>-15381.86</v>
      </c>
    </row>
    <row r="93" spans="1:11" x14ac:dyDescent="0.25">
      <c r="A93" s="77">
        <v>46067</v>
      </c>
      <c r="B93" s="5" t="s">
        <v>33</v>
      </c>
      <c r="C93" s="5" t="s">
        <v>12</v>
      </c>
      <c r="D93" s="5" t="s">
        <v>33</v>
      </c>
      <c r="E93" s="5" t="s">
        <v>14</v>
      </c>
      <c r="F93" s="5" t="s">
        <v>15</v>
      </c>
      <c r="G93" s="26">
        <v>150</v>
      </c>
      <c r="H93" s="26"/>
      <c r="I93" s="5"/>
      <c r="J93" s="5" t="s">
        <v>449</v>
      </c>
      <c r="K93" s="26">
        <v>-15531.86</v>
      </c>
    </row>
    <row r="94" spans="1:11" x14ac:dyDescent="0.25">
      <c r="A94" s="77">
        <v>46067</v>
      </c>
      <c r="B94" s="5" t="s">
        <v>523</v>
      </c>
      <c r="C94" s="5" t="s">
        <v>12</v>
      </c>
      <c r="D94" s="5" t="s">
        <v>67</v>
      </c>
      <c r="E94" s="5" t="s">
        <v>14</v>
      </c>
      <c r="F94" s="5" t="s">
        <v>15</v>
      </c>
      <c r="G94" s="26">
        <v>33</v>
      </c>
      <c r="H94" s="26"/>
      <c r="I94" s="5"/>
      <c r="J94" s="5" t="s">
        <v>449</v>
      </c>
      <c r="K94" s="26">
        <v>-15564.86</v>
      </c>
    </row>
    <row r="95" spans="1:11" x14ac:dyDescent="0.25">
      <c r="A95" s="77">
        <v>46068</v>
      </c>
      <c r="B95" s="5" t="s">
        <v>33</v>
      </c>
      <c r="C95" s="5" t="s">
        <v>12</v>
      </c>
      <c r="D95" s="5" t="s">
        <v>33</v>
      </c>
      <c r="E95" s="5" t="s">
        <v>14</v>
      </c>
      <c r="F95" s="5" t="s">
        <v>15</v>
      </c>
      <c r="G95" s="26">
        <v>280</v>
      </c>
      <c r="H95" s="26"/>
      <c r="I95" s="5"/>
      <c r="J95" s="5" t="s">
        <v>449</v>
      </c>
      <c r="K95" s="26">
        <v>-15844.86</v>
      </c>
    </row>
    <row r="96" spans="1:11" x14ac:dyDescent="0.25">
      <c r="A96" s="77">
        <v>46068</v>
      </c>
      <c r="B96" s="5" t="s">
        <v>11</v>
      </c>
      <c r="C96" s="5" t="s">
        <v>12</v>
      </c>
      <c r="D96" s="5" t="s">
        <v>19</v>
      </c>
      <c r="E96" s="5" t="s">
        <v>14</v>
      </c>
      <c r="F96" s="5" t="s">
        <v>15</v>
      </c>
      <c r="G96" s="26">
        <v>482</v>
      </c>
      <c r="H96" s="26"/>
      <c r="I96" s="5"/>
      <c r="J96" s="5" t="s">
        <v>449</v>
      </c>
      <c r="K96" s="26">
        <v>-16326.86</v>
      </c>
    </row>
    <row r="97" spans="1:11" x14ac:dyDescent="0.25">
      <c r="A97" s="77">
        <v>46068</v>
      </c>
      <c r="B97" s="5" t="s">
        <v>13</v>
      </c>
      <c r="C97" s="5" t="s">
        <v>20</v>
      </c>
      <c r="D97" s="5" t="s">
        <v>13</v>
      </c>
      <c r="E97" s="5"/>
      <c r="F97" s="5"/>
      <c r="G97" s="26">
        <v>15317</v>
      </c>
      <c r="H97" s="26"/>
      <c r="I97" s="5"/>
      <c r="J97" s="5" t="s">
        <v>449</v>
      </c>
      <c r="K97" s="26">
        <v>-1009.860000000004</v>
      </c>
    </row>
    <row r="98" spans="1:11" x14ac:dyDescent="0.25">
      <c r="A98" s="77">
        <v>46068</v>
      </c>
      <c r="B98" s="5" t="s">
        <v>21</v>
      </c>
      <c r="C98" s="5" t="s">
        <v>20</v>
      </c>
      <c r="D98" s="5" t="s">
        <v>22</v>
      </c>
      <c r="E98" s="5" t="s">
        <v>17</v>
      </c>
      <c r="F98" s="5"/>
      <c r="G98" s="26">
        <v>661.44</v>
      </c>
      <c r="H98" s="26"/>
      <c r="I98" s="5"/>
      <c r="J98" s="5" t="s">
        <v>449</v>
      </c>
      <c r="K98" s="26">
        <v>-348.42000000000422</v>
      </c>
    </row>
    <row r="99" spans="1:11" x14ac:dyDescent="0.25">
      <c r="A99" s="77">
        <v>46068</v>
      </c>
      <c r="B99" s="5" t="s">
        <v>23</v>
      </c>
      <c r="C99" s="5" t="s">
        <v>12</v>
      </c>
      <c r="D99" s="5" t="s">
        <v>24</v>
      </c>
      <c r="E99" s="5" t="s">
        <v>17</v>
      </c>
      <c r="F99" s="5" t="s">
        <v>25</v>
      </c>
      <c r="G99" s="26">
        <v>107</v>
      </c>
      <c r="H99" s="26"/>
      <c r="I99" s="5"/>
      <c r="J99" s="5" t="s">
        <v>449</v>
      </c>
      <c r="K99" s="26">
        <v>-455.42000000000422</v>
      </c>
    </row>
    <row r="100" spans="1:11" x14ac:dyDescent="0.25">
      <c r="A100" s="77">
        <v>46069</v>
      </c>
      <c r="B100" s="5" t="s">
        <v>507</v>
      </c>
      <c r="C100" s="5" t="s">
        <v>12</v>
      </c>
      <c r="D100" s="5" t="s">
        <v>19</v>
      </c>
      <c r="E100" s="5" t="s">
        <v>17</v>
      </c>
      <c r="F100" s="5" t="s">
        <v>25</v>
      </c>
      <c r="G100" s="26">
        <v>203.5</v>
      </c>
      <c r="H100" s="26"/>
      <c r="I100" s="5"/>
      <c r="J100" s="5" t="s">
        <v>449</v>
      </c>
      <c r="K100" s="26">
        <v>-658.92000000000417</v>
      </c>
    </row>
    <row r="101" spans="1:11" x14ac:dyDescent="0.25">
      <c r="A101" s="77">
        <v>46069</v>
      </c>
      <c r="B101" s="5" t="s">
        <v>13</v>
      </c>
      <c r="C101" s="5" t="s">
        <v>20</v>
      </c>
      <c r="D101" s="5" t="s">
        <v>13</v>
      </c>
      <c r="E101" s="5"/>
      <c r="F101" s="5"/>
      <c r="G101" s="26">
        <v>15312</v>
      </c>
      <c r="H101" s="26"/>
      <c r="I101" s="5"/>
      <c r="J101" s="5" t="s">
        <v>449</v>
      </c>
      <c r="K101" s="26">
        <v>14653.08</v>
      </c>
    </row>
    <row r="102" spans="1:11" x14ac:dyDescent="0.25">
      <c r="A102" s="77">
        <v>46069</v>
      </c>
      <c r="B102" s="5" t="s">
        <v>21</v>
      </c>
      <c r="C102" s="5" t="s">
        <v>20</v>
      </c>
      <c r="D102" s="5" t="s">
        <v>22</v>
      </c>
      <c r="E102" s="5" t="s">
        <v>17</v>
      </c>
      <c r="F102" s="5"/>
      <c r="G102" s="26">
        <v>334.91</v>
      </c>
      <c r="H102" s="26"/>
      <c r="I102" s="5"/>
      <c r="J102" s="5" t="s">
        <v>449</v>
      </c>
      <c r="K102" s="26">
        <v>14987.99</v>
      </c>
    </row>
    <row r="103" spans="1:11" x14ac:dyDescent="0.25">
      <c r="A103" s="77">
        <v>46069</v>
      </c>
      <c r="B103" s="5" t="s">
        <v>23</v>
      </c>
      <c r="C103" s="5" t="s">
        <v>12</v>
      </c>
      <c r="D103" s="5" t="s">
        <v>24</v>
      </c>
      <c r="E103" s="5" t="s">
        <v>17</v>
      </c>
      <c r="F103" s="5" t="s">
        <v>25</v>
      </c>
      <c r="G103" s="26">
        <v>43</v>
      </c>
      <c r="H103" s="26"/>
      <c r="I103" s="5"/>
      <c r="J103" s="5" t="s">
        <v>449</v>
      </c>
      <c r="K103" s="26">
        <v>14944.99</v>
      </c>
    </row>
    <row r="104" spans="1:11" x14ac:dyDescent="0.25">
      <c r="A104" s="77">
        <v>46069</v>
      </c>
      <c r="B104" s="5" t="s">
        <v>33</v>
      </c>
      <c r="C104" s="5" t="s">
        <v>12</v>
      </c>
      <c r="D104" s="5" t="s">
        <v>33</v>
      </c>
      <c r="E104" s="5" t="s">
        <v>14</v>
      </c>
      <c r="F104" s="5" t="s">
        <v>15</v>
      </c>
      <c r="G104" s="26">
        <v>150</v>
      </c>
      <c r="H104" s="26"/>
      <c r="I104" s="5"/>
      <c r="J104" s="5" t="s">
        <v>449</v>
      </c>
      <c r="K104" s="26">
        <v>14794.99</v>
      </c>
    </row>
    <row r="105" spans="1:11" x14ac:dyDescent="0.25">
      <c r="A105" s="77">
        <v>46069</v>
      </c>
      <c r="B105" s="5" t="s">
        <v>343</v>
      </c>
      <c r="C105" s="5" t="s">
        <v>12</v>
      </c>
      <c r="D105" s="5" t="s">
        <v>19</v>
      </c>
      <c r="E105" s="5" t="s">
        <v>17</v>
      </c>
      <c r="F105" s="5"/>
      <c r="G105" s="26">
        <v>883.29</v>
      </c>
      <c r="H105" s="26"/>
      <c r="I105" s="5"/>
      <c r="J105" s="5" t="s">
        <v>449</v>
      </c>
      <c r="K105" s="26">
        <v>13911.7</v>
      </c>
    </row>
    <row r="106" spans="1:11" x14ac:dyDescent="0.25">
      <c r="A106" s="77">
        <v>46069</v>
      </c>
      <c r="B106" s="5" t="s">
        <v>383</v>
      </c>
      <c r="C106" s="5" t="s">
        <v>12</v>
      </c>
      <c r="D106" s="5" t="s">
        <v>19</v>
      </c>
      <c r="E106" s="5" t="s">
        <v>17</v>
      </c>
      <c r="F106" s="5"/>
      <c r="G106" s="26">
        <v>867.12</v>
      </c>
      <c r="H106" s="26"/>
      <c r="I106" s="5"/>
      <c r="J106" s="5" t="s">
        <v>449</v>
      </c>
      <c r="K106" s="26">
        <v>13044.58</v>
      </c>
    </row>
    <row r="107" spans="1:11" x14ac:dyDescent="0.25">
      <c r="A107" s="77">
        <v>46069</v>
      </c>
      <c r="B107" s="5" t="s">
        <v>383</v>
      </c>
      <c r="C107" s="5" t="s">
        <v>12</v>
      </c>
      <c r="D107" s="5" t="s">
        <v>19</v>
      </c>
      <c r="E107" s="5" t="s">
        <v>17</v>
      </c>
      <c r="F107" s="5"/>
      <c r="G107" s="26">
        <v>416.99</v>
      </c>
      <c r="H107" s="26"/>
      <c r="I107" s="5"/>
      <c r="J107" s="5" t="s">
        <v>449</v>
      </c>
      <c r="K107" s="26">
        <v>12627.59</v>
      </c>
    </row>
    <row r="108" spans="1:11" x14ac:dyDescent="0.25">
      <c r="A108" s="77">
        <v>46070</v>
      </c>
      <c r="B108" s="5" t="s">
        <v>348</v>
      </c>
      <c r="C108" s="5" t="s">
        <v>12</v>
      </c>
      <c r="D108" s="5" t="s">
        <v>19</v>
      </c>
      <c r="E108" s="5" t="s">
        <v>17</v>
      </c>
      <c r="F108" s="5"/>
      <c r="G108" s="26">
        <v>890.24</v>
      </c>
      <c r="H108" s="26"/>
      <c r="I108" s="5"/>
      <c r="J108" s="5" t="s">
        <v>449</v>
      </c>
      <c r="K108" s="26">
        <v>11737.35</v>
      </c>
    </row>
    <row r="109" spans="1:11" x14ac:dyDescent="0.25">
      <c r="A109" s="77">
        <v>46070</v>
      </c>
      <c r="B109" s="5" t="s">
        <v>393</v>
      </c>
      <c r="C109" s="5" t="s">
        <v>12</v>
      </c>
      <c r="D109" s="5" t="s">
        <v>19</v>
      </c>
      <c r="E109" s="5" t="s">
        <v>14</v>
      </c>
      <c r="F109" s="5" t="s">
        <v>15</v>
      </c>
      <c r="G109" s="26">
        <v>370</v>
      </c>
      <c r="H109" s="26"/>
      <c r="I109" s="5"/>
      <c r="J109" s="5" t="s">
        <v>449</v>
      </c>
      <c r="K109" s="26">
        <v>11367.35</v>
      </c>
    </row>
    <row r="110" spans="1:11" x14ac:dyDescent="0.25">
      <c r="A110" s="77">
        <v>46070</v>
      </c>
      <c r="B110" s="5" t="s">
        <v>30</v>
      </c>
      <c r="C110" s="5" t="s">
        <v>20</v>
      </c>
      <c r="D110" s="5" t="s">
        <v>13</v>
      </c>
      <c r="E110" s="5"/>
      <c r="F110" s="5"/>
      <c r="G110" s="26">
        <v>7224</v>
      </c>
      <c r="H110" s="26"/>
      <c r="I110" s="5"/>
      <c r="J110" s="5" t="s">
        <v>449</v>
      </c>
      <c r="K110" s="26">
        <v>18591.349999999999</v>
      </c>
    </row>
    <row r="111" spans="1:11" x14ac:dyDescent="0.25">
      <c r="A111" s="77">
        <v>46070</v>
      </c>
      <c r="B111" s="5" t="s">
        <v>44</v>
      </c>
      <c r="C111" s="5" t="s">
        <v>20</v>
      </c>
      <c r="D111" s="5" t="s">
        <v>22</v>
      </c>
      <c r="E111" s="5" t="s">
        <v>17</v>
      </c>
      <c r="F111" s="5"/>
      <c r="G111" s="26">
        <v>302.08999999999997</v>
      </c>
      <c r="H111" s="26"/>
      <c r="I111" s="5"/>
      <c r="J111" s="5" t="s">
        <v>449</v>
      </c>
      <c r="K111" s="26">
        <v>18893.439999999999</v>
      </c>
    </row>
    <row r="112" spans="1:11" x14ac:dyDescent="0.25">
      <c r="A112" s="77">
        <v>46070</v>
      </c>
      <c r="B112" s="5" t="s">
        <v>45</v>
      </c>
      <c r="C112" s="5" t="s">
        <v>12</v>
      </c>
      <c r="D112" s="5" t="s">
        <v>24</v>
      </c>
      <c r="E112" s="5" t="s">
        <v>17</v>
      </c>
      <c r="F112" s="5" t="s">
        <v>25</v>
      </c>
      <c r="G112" s="26">
        <v>45</v>
      </c>
      <c r="H112" s="26"/>
      <c r="I112" s="5"/>
      <c r="J112" s="5" t="s">
        <v>449</v>
      </c>
      <c r="K112" s="26">
        <v>18848.439999999999</v>
      </c>
    </row>
    <row r="113" spans="1:11" x14ac:dyDescent="0.25">
      <c r="A113" s="77">
        <v>46070</v>
      </c>
      <c r="B113" s="5" t="s">
        <v>477</v>
      </c>
      <c r="C113" s="5" t="s">
        <v>12</v>
      </c>
      <c r="D113" s="5" t="s">
        <v>33</v>
      </c>
      <c r="E113" s="5" t="s">
        <v>14</v>
      </c>
      <c r="F113" s="5" t="s">
        <v>15</v>
      </c>
      <c r="G113" s="26">
        <v>150</v>
      </c>
      <c r="H113" s="26"/>
      <c r="I113" s="5"/>
      <c r="J113" s="5" t="s">
        <v>449</v>
      </c>
      <c r="K113" s="26">
        <v>18698.439999999999</v>
      </c>
    </row>
    <row r="114" spans="1:11" x14ac:dyDescent="0.25">
      <c r="A114" s="77">
        <v>46070</v>
      </c>
      <c r="B114" s="5" t="s">
        <v>524</v>
      </c>
      <c r="C114" s="5" t="s">
        <v>12</v>
      </c>
      <c r="D114" s="5" t="s">
        <v>33</v>
      </c>
      <c r="E114" s="5" t="s">
        <v>14</v>
      </c>
      <c r="F114" s="5" t="s">
        <v>15</v>
      </c>
      <c r="G114" s="26">
        <v>50</v>
      </c>
      <c r="H114" s="26"/>
      <c r="I114" s="5"/>
      <c r="J114" s="5" t="s">
        <v>449</v>
      </c>
      <c r="K114" s="26">
        <v>18648.439999999999</v>
      </c>
    </row>
    <row r="115" spans="1:11" x14ac:dyDescent="0.25">
      <c r="A115" s="77">
        <v>46071</v>
      </c>
      <c r="B115" s="5" t="s">
        <v>31</v>
      </c>
      <c r="C115" s="5" t="s">
        <v>12</v>
      </c>
      <c r="D115" s="5" t="s">
        <v>19</v>
      </c>
      <c r="E115" s="5" t="s">
        <v>17</v>
      </c>
      <c r="F115" s="5" t="s">
        <v>25</v>
      </c>
      <c r="G115" s="26">
        <v>260</v>
      </c>
      <c r="H115" s="26"/>
      <c r="I115" s="5"/>
      <c r="J115" s="5" t="s">
        <v>449</v>
      </c>
      <c r="K115" s="26">
        <v>18388.439999999999</v>
      </c>
    </row>
    <row r="116" spans="1:11" x14ac:dyDescent="0.25">
      <c r="A116" s="77">
        <v>46071</v>
      </c>
      <c r="B116" s="5" t="s">
        <v>13</v>
      </c>
      <c r="C116" s="5" t="s">
        <v>20</v>
      </c>
      <c r="D116" s="5" t="s">
        <v>13</v>
      </c>
      <c r="E116" s="5"/>
      <c r="F116" s="5"/>
      <c r="G116" s="26">
        <v>3525</v>
      </c>
      <c r="H116" s="26"/>
      <c r="I116" s="5"/>
      <c r="J116" s="5" t="s">
        <v>449</v>
      </c>
      <c r="K116" s="26">
        <v>21913.439999999999</v>
      </c>
    </row>
    <row r="117" spans="1:11" x14ac:dyDescent="0.25">
      <c r="A117" s="77">
        <v>46071</v>
      </c>
      <c r="B117" s="5" t="s">
        <v>21</v>
      </c>
      <c r="C117" s="5" t="s">
        <v>20</v>
      </c>
      <c r="D117" s="5" t="s">
        <v>22</v>
      </c>
      <c r="E117" s="5" t="s">
        <v>17</v>
      </c>
      <c r="F117" s="5"/>
      <c r="G117" s="26">
        <v>0</v>
      </c>
      <c r="H117" s="26"/>
      <c r="I117" s="5"/>
      <c r="J117" s="5" t="s">
        <v>449</v>
      </c>
      <c r="K117" s="26">
        <v>21913.439999999999</v>
      </c>
    </row>
    <row r="118" spans="1:11" x14ac:dyDescent="0.25">
      <c r="A118" s="77">
        <v>46071</v>
      </c>
      <c r="B118" s="5" t="s">
        <v>23</v>
      </c>
      <c r="C118" s="5" t="s">
        <v>12</v>
      </c>
      <c r="D118" s="5" t="s">
        <v>24</v>
      </c>
      <c r="E118" s="5" t="s">
        <v>17</v>
      </c>
      <c r="F118" s="5" t="s">
        <v>25</v>
      </c>
      <c r="G118" s="26">
        <v>0</v>
      </c>
      <c r="H118" s="26"/>
      <c r="I118" s="5"/>
      <c r="J118" s="5" t="s">
        <v>449</v>
      </c>
      <c r="K118" s="26">
        <v>21913.439999999999</v>
      </c>
    </row>
    <row r="119" spans="1:11" x14ac:dyDescent="0.25">
      <c r="A119" s="77">
        <v>46071</v>
      </c>
      <c r="B119" s="5" t="s">
        <v>364</v>
      </c>
      <c r="C119" s="5" t="s">
        <v>12</v>
      </c>
      <c r="D119" s="5" t="s">
        <v>19</v>
      </c>
      <c r="E119" s="5" t="s">
        <v>17</v>
      </c>
      <c r="F119" s="5" t="s">
        <v>25</v>
      </c>
      <c r="G119" s="26">
        <v>657.75</v>
      </c>
      <c r="H119" s="26"/>
      <c r="I119" s="5"/>
      <c r="J119" s="5" t="s">
        <v>449</v>
      </c>
      <c r="K119" s="26">
        <v>21255.69</v>
      </c>
    </row>
    <row r="120" spans="1:11" x14ac:dyDescent="0.25">
      <c r="A120" s="77">
        <v>46071</v>
      </c>
      <c r="B120" s="5" t="s">
        <v>343</v>
      </c>
      <c r="C120" s="5" t="s">
        <v>12</v>
      </c>
      <c r="D120" s="5" t="s">
        <v>19</v>
      </c>
      <c r="E120" s="5" t="s">
        <v>17</v>
      </c>
      <c r="F120" s="5"/>
      <c r="G120" s="26">
        <v>817.21</v>
      </c>
      <c r="H120" s="26"/>
      <c r="I120" s="5"/>
      <c r="J120" s="5" t="s">
        <v>449</v>
      </c>
      <c r="K120" s="26">
        <v>20438.48</v>
      </c>
    </row>
    <row r="121" spans="1:11" x14ac:dyDescent="0.25">
      <c r="A121" s="77">
        <v>46071</v>
      </c>
      <c r="B121" s="5" t="s">
        <v>373</v>
      </c>
      <c r="C121" s="5" t="s">
        <v>12</v>
      </c>
      <c r="D121" s="5" t="s">
        <v>19</v>
      </c>
      <c r="E121" s="5" t="s">
        <v>17</v>
      </c>
      <c r="F121" s="5"/>
      <c r="G121" s="26">
        <v>882.66</v>
      </c>
      <c r="H121" s="26"/>
      <c r="I121" s="5"/>
      <c r="J121" s="5" t="s">
        <v>449</v>
      </c>
      <c r="K121" s="26">
        <v>19555.82</v>
      </c>
    </row>
    <row r="122" spans="1:11" x14ac:dyDescent="0.25">
      <c r="A122" s="77">
        <v>46071</v>
      </c>
      <c r="B122" s="5" t="s">
        <v>397</v>
      </c>
      <c r="C122" s="5" t="s">
        <v>12</v>
      </c>
      <c r="D122" s="5" t="s">
        <v>19</v>
      </c>
      <c r="E122" s="5" t="s">
        <v>17</v>
      </c>
      <c r="F122" s="5"/>
      <c r="G122" s="26">
        <v>708.88</v>
      </c>
      <c r="H122" s="26"/>
      <c r="I122" s="5"/>
      <c r="J122" s="5" t="s">
        <v>449</v>
      </c>
      <c r="K122" s="26">
        <v>18846.939999999999</v>
      </c>
    </row>
    <row r="123" spans="1:11" x14ac:dyDescent="0.25">
      <c r="A123" s="77">
        <v>46071</v>
      </c>
      <c r="B123" s="5" t="s">
        <v>525</v>
      </c>
      <c r="C123" s="5" t="s">
        <v>12</v>
      </c>
      <c r="D123" s="5" t="s">
        <v>39</v>
      </c>
      <c r="E123" s="5" t="s">
        <v>17</v>
      </c>
      <c r="F123" s="5"/>
      <c r="G123" s="26">
        <v>99.9</v>
      </c>
      <c r="H123" s="26"/>
      <c r="I123" s="5"/>
      <c r="J123" s="5" t="s">
        <v>449</v>
      </c>
      <c r="K123" s="26">
        <v>18747.04</v>
      </c>
    </row>
    <row r="124" spans="1:11" x14ac:dyDescent="0.25">
      <c r="A124" s="77">
        <v>46071</v>
      </c>
      <c r="B124" s="5" t="s">
        <v>526</v>
      </c>
      <c r="C124" s="5" t="s">
        <v>12</v>
      </c>
      <c r="D124" s="5" t="s">
        <v>58</v>
      </c>
      <c r="E124" s="5" t="s">
        <v>17</v>
      </c>
      <c r="F124" s="5"/>
      <c r="G124" s="26">
        <v>536.66999999999996</v>
      </c>
      <c r="H124" s="26"/>
      <c r="I124" s="5"/>
      <c r="J124" s="5" t="s">
        <v>449</v>
      </c>
      <c r="K124" s="26">
        <v>18210.37</v>
      </c>
    </row>
    <row r="125" spans="1:11" x14ac:dyDescent="0.25">
      <c r="A125" s="77">
        <v>46071</v>
      </c>
      <c r="B125" s="5" t="s">
        <v>488</v>
      </c>
      <c r="C125" s="5" t="s">
        <v>12</v>
      </c>
      <c r="D125" s="5" t="s">
        <v>19</v>
      </c>
      <c r="E125" s="5" t="s">
        <v>17</v>
      </c>
      <c r="F125" s="5"/>
      <c r="G125" s="26">
        <v>278</v>
      </c>
      <c r="H125" s="26"/>
      <c r="I125" s="5"/>
      <c r="J125" s="5" t="s">
        <v>449</v>
      </c>
      <c r="K125" s="26">
        <v>17932.37</v>
      </c>
    </row>
    <row r="126" spans="1:11" x14ac:dyDescent="0.25">
      <c r="A126" s="77">
        <v>46072</v>
      </c>
      <c r="B126" s="5" t="s">
        <v>393</v>
      </c>
      <c r="C126" s="5" t="s">
        <v>12</v>
      </c>
      <c r="D126" s="5" t="s">
        <v>19</v>
      </c>
      <c r="E126" s="5" t="s">
        <v>14</v>
      </c>
      <c r="F126" s="5" t="s">
        <v>15</v>
      </c>
      <c r="G126" s="26">
        <v>141</v>
      </c>
      <c r="H126" s="26"/>
      <c r="I126" s="5"/>
      <c r="J126" s="5" t="s">
        <v>449</v>
      </c>
      <c r="K126" s="26">
        <v>17791.37</v>
      </c>
    </row>
    <row r="127" spans="1:11" x14ac:dyDescent="0.25">
      <c r="A127" s="77">
        <v>46073</v>
      </c>
      <c r="B127" s="5" t="s">
        <v>407</v>
      </c>
      <c r="C127" s="5" t="s">
        <v>12</v>
      </c>
      <c r="D127" s="5" t="s">
        <v>19</v>
      </c>
      <c r="E127" s="5" t="s">
        <v>17</v>
      </c>
      <c r="F127" s="5" t="s">
        <v>25</v>
      </c>
      <c r="G127" s="26">
        <v>276</v>
      </c>
      <c r="H127" s="26"/>
      <c r="I127" s="5"/>
      <c r="J127" s="5" t="s">
        <v>449</v>
      </c>
      <c r="K127" s="26">
        <v>17515.37</v>
      </c>
    </row>
    <row r="128" spans="1:11" x14ac:dyDescent="0.25">
      <c r="A128" s="77">
        <v>46073</v>
      </c>
      <c r="B128" s="5" t="s">
        <v>527</v>
      </c>
      <c r="C128" s="5" t="s">
        <v>12</v>
      </c>
      <c r="D128" s="5" t="s">
        <v>27</v>
      </c>
      <c r="E128" s="5" t="s">
        <v>17</v>
      </c>
      <c r="F128" s="5" t="s">
        <v>25</v>
      </c>
      <c r="G128" s="26">
        <v>1151.45</v>
      </c>
      <c r="H128" s="26"/>
      <c r="I128" s="5"/>
      <c r="J128" s="5" t="s">
        <v>449</v>
      </c>
      <c r="K128" s="26">
        <v>16363.92</v>
      </c>
    </row>
    <row r="129" spans="1:11" x14ac:dyDescent="0.25">
      <c r="A129" s="77">
        <v>46073</v>
      </c>
      <c r="B129" s="5" t="s">
        <v>393</v>
      </c>
      <c r="C129" s="5" t="s">
        <v>12</v>
      </c>
      <c r="D129" s="5" t="s">
        <v>19</v>
      </c>
      <c r="E129" s="5" t="s">
        <v>14</v>
      </c>
      <c r="F129" s="5" t="s">
        <v>15</v>
      </c>
      <c r="G129" s="26">
        <v>376</v>
      </c>
      <c r="H129" s="26"/>
      <c r="I129" s="5"/>
      <c r="J129" s="5" t="s">
        <v>449</v>
      </c>
      <c r="K129" s="26">
        <v>15987.92</v>
      </c>
    </row>
    <row r="130" spans="1:11" x14ac:dyDescent="0.25">
      <c r="A130" s="77">
        <v>46073</v>
      </c>
      <c r="B130" s="5" t="s">
        <v>30</v>
      </c>
      <c r="C130" s="5" t="s">
        <v>20</v>
      </c>
      <c r="D130" s="5" t="s">
        <v>13</v>
      </c>
      <c r="E130" s="5"/>
      <c r="F130" s="5"/>
      <c r="G130" s="26">
        <v>3257</v>
      </c>
      <c r="H130" s="26"/>
      <c r="I130" s="5"/>
      <c r="J130" s="5" t="s">
        <v>449</v>
      </c>
      <c r="K130" s="26">
        <v>19244.919999999998</v>
      </c>
    </row>
    <row r="131" spans="1:11" x14ac:dyDescent="0.25">
      <c r="A131" s="77">
        <v>46073</v>
      </c>
      <c r="B131" s="5" t="s">
        <v>44</v>
      </c>
      <c r="C131" s="5" t="s">
        <v>20</v>
      </c>
      <c r="D131" s="5" t="s">
        <v>22</v>
      </c>
      <c r="E131" s="5" t="s">
        <v>17</v>
      </c>
      <c r="F131" s="5"/>
      <c r="G131" s="26">
        <v>0</v>
      </c>
      <c r="H131" s="26"/>
      <c r="I131" s="5"/>
      <c r="J131" s="5" t="s">
        <v>449</v>
      </c>
      <c r="K131" s="26">
        <v>19244.919999999998</v>
      </c>
    </row>
    <row r="132" spans="1:11" x14ac:dyDescent="0.25">
      <c r="A132" s="77">
        <v>46073</v>
      </c>
      <c r="B132" s="5" t="s">
        <v>45</v>
      </c>
      <c r="C132" s="5" t="s">
        <v>12</v>
      </c>
      <c r="D132" s="5" t="s">
        <v>24</v>
      </c>
      <c r="E132" s="5" t="s">
        <v>17</v>
      </c>
      <c r="F132" s="5" t="s">
        <v>25</v>
      </c>
      <c r="G132" s="26">
        <v>26</v>
      </c>
      <c r="H132" s="26"/>
      <c r="I132" s="5"/>
      <c r="J132" s="5" t="s">
        <v>449</v>
      </c>
      <c r="K132" s="26">
        <v>19218.919999999998</v>
      </c>
    </row>
    <row r="133" spans="1:11" x14ac:dyDescent="0.25">
      <c r="A133" s="77">
        <v>46073</v>
      </c>
      <c r="B133" s="5" t="s">
        <v>304</v>
      </c>
      <c r="C133" s="5" t="s">
        <v>12</v>
      </c>
      <c r="D133" s="5" t="s">
        <v>58</v>
      </c>
      <c r="E133" s="5" t="s">
        <v>17</v>
      </c>
      <c r="F133" s="5"/>
      <c r="G133" s="26">
        <v>742.53</v>
      </c>
      <c r="H133" s="26"/>
      <c r="I133" s="5"/>
      <c r="J133" s="5" t="s">
        <v>449</v>
      </c>
      <c r="K133" s="26">
        <v>18476.39</v>
      </c>
    </row>
    <row r="134" spans="1:11" x14ac:dyDescent="0.25">
      <c r="A134" s="77">
        <v>46073</v>
      </c>
      <c r="B134" s="5" t="s">
        <v>433</v>
      </c>
      <c r="C134" s="5" t="s">
        <v>12</v>
      </c>
      <c r="D134" s="5" t="s">
        <v>58</v>
      </c>
      <c r="E134" s="5" t="s">
        <v>17</v>
      </c>
      <c r="F134" s="5"/>
      <c r="G134" s="26">
        <v>2957.56</v>
      </c>
      <c r="H134" s="26"/>
      <c r="I134" s="5"/>
      <c r="J134" s="5" t="s">
        <v>449</v>
      </c>
      <c r="K134" s="26">
        <v>15518.83</v>
      </c>
    </row>
    <row r="135" spans="1:11" x14ac:dyDescent="0.25">
      <c r="A135" s="77">
        <v>46073</v>
      </c>
      <c r="B135" s="5" t="s">
        <v>528</v>
      </c>
      <c r="C135" s="5" t="s">
        <v>12</v>
      </c>
      <c r="D135" s="5" t="s">
        <v>58</v>
      </c>
      <c r="E135" s="5" t="s">
        <v>17</v>
      </c>
      <c r="F135" s="5"/>
      <c r="G135" s="26">
        <v>705.55</v>
      </c>
      <c r="H135" s="26"/>
      <c r="I135" s="5"/>
      <c r="J135" s="5" t="s">
        <v>449</v>
      </c>
      <c r="K135" s="26">
        <v>14813.28</v>
      </c>
    </row>
    <row r="136" spans="1:11" x14ac:dyDescent="0.25">
      <c r="A136" s="77">
        <v>46073</v>
      </c>
      <c r="B136" s="5" t="s">
        <v>529</v>
      </c>
      <c r="C136" s="5" t="s">
        <v>12</v>
      </c>
      <c r="D136" s="5" t="s">
        <v>29</v>
      </c>
      <c r="E136" s="5" t="s">
        <v>17</v>
      </c>
      <c r="F136" s="5" t="s">
        <v>25</v>
      </c>
      <c r="G136" s="26">
        <v>60</v>
      </c>
      <c r="H136" s="26"/>
      <c r="I136" s="5"/>
      <c r="J136" s="5" t="s">
        <v>449</v>
      </c>
      <c r="K136" s="26">
        <v>14753.28</v>
      </c>
    </row>
    <row r="137" spans="1:11" x14ac:dyDescent="0.25">
      <c r="A137" s="77">
        <v>46073</v>
      </c>
      <c r="B137" s="5" t="s">
        <v>530</v>
      </c>
      <c r="C137" s="5" t="s">
        <v>12</v>
      </c>
      <c r="D137" s="5" t="s">
        <v>62</v>
      </c>
      <c r="E137" s="5" t="s">
        <v>14</v>
      </c>
      <c r="F137" s="5" t="s">
        <v>15</v>
      </c>
      <c r="G137" s="26">
        <v>60</v>
      </c>
      <c r="H137" s="26"/>
      <c r="I137" s="5"/>
      <c r="J137" s="5" t="s">
        <v>449</v>
      </c>
      <c r="K137" s="26">
        <v>14693.28</v>
      </c>
    </row>
    <row r="138" spans="1:11" x14ac:dyDescent="0.25">
      <c r="A138" s="77">
        <v>46074</v>
      </c>
      <c r="B138" s="5" t="s">
        <v>30</v>
      </c>
      <c r="C138" s="5" t="s">
        <v>20</v>
      </c>
      <c r="D138" s="5" t="s">
        <v>13</v>
      </c>
      <c r="E138" s="5"/>
      <c r="F138" s="5"/>
      <c r="G138" s="26">
        <v>6026</v>
      </c>
      <c r="H138" s="26"/>
      <c r="I138" s="5"/>
      <c r="J138" s="5" t="s">
        <v>449</v>
      </c>
      <c r="K138" s="26">
        <v>20719.28</v>
      </c>
    </row>
    <row r="139" spans="1:11" x14ac:dyDescent="0.25">
      <c r="A139" s="77">
        <v>46074</v>
      </c>
      <c r="B139" s="5" t="s">
        <v>44</v>
      </c>
      <c r="C139" s="5" t="s">
        <v>20</v>
      </c>
      <c r="D139" s="5" t="s">
        <v>22</v>
      </c>
      <c r="E139" s="5" t="s">
        <v>17</v>
      </c>
      <c r="F139" s="5"/>
      <c r="G139" s="26">
        <v>205.79</v>
      </c>
      <c r="H139" s="26"/>
      <c r="I139" s="5"/>
      <c r="J139" s="5" t="s">
        <v>449</v>
      </c>
      <c r="K139" s="26">
        <v>20925.07</v>
      </c>
    </row>
    <row r="140" spans="1:11" x14ac:dyDescent="0.25">
      <c r="A140" s="77">
        <v>46074</v>
      </c>
      <c r="B140" s="5" t="s">
        <v>45</v>
      </c>
      <c r="C140" s="5" t="s">
        <v>12</v>
      </c>
      <c r="D140" s="5" t="s">
        <v>24</v>
      </c>
      <c r="E140" s="5" t="s">
        <v>17</v>
      </c>
      <c r="F140" s="5" t="s">
        <v>25</v>
      </c>
      <c r="G140" s="26">
        <v>45</v>
      </c>
      <c r="H140" s="26"/>
      <c r="I140" s="5"/>
      <c r="J140" s="5" t="s">
        <v>449</v>
      </c>
      <c r="K140" s="26">
        <v>20880.07</v>
      </c>
    </row>
    <row r="141" spans="1:11" x14ac:dyDescent="0.25">
      <c r="A141" s="77">
        <v>46075</v>
      </c>
      <c r="B141" s="5" t="s">
        <v>13</v>
      </c>
      <c r="C141" s="5" t="s">
        <v>20</v>
      </c>
      <c r="D141" s="5" t="s">
        <v>13</v>
      </c>
      <c r="E141" s="5"/>
      <c r="F141" s="5"/>
      <c r="G141" s="26">
        <v>5193</v>
      </c>
      <c r="H141" s="26"/>
      <c r="I141" s="5"/>
      <c r="J141" s="5" t="s">
        <v>449</v>
      </c>
      <c r="K141" s="26">
        <v>26073.07</v>
      </c>
    </row>
    <row r="142" spans="1:11" x14ac:dyDescent="0.25">
      <c r="A142" s="77">
        <v>46075</v>
      </c>
      <c r="B142" s="5" t="s">
        <v>21</v>
      </c>
      <c r="C142" s="5" t="s">
        <v>20</v>
      </c>
      <c r="D142" s="5" t="s">
        <v>22</v>
      </c>
      <c r="E142" s="5" t="s">
        <v>17</v>
      </c>
      <c r="F142" s="5"/>
      <c r="G142" s="26">
        <v>452.02</v>
      </c>
      <c r="H142" s="26"/>
      <c r="I142" s="5"/>
      <c r="J142" s="5" t="s">
        <v>449</v>
      </c>
      <c r="K142" s="26">
        <v>26525.09</v>
      </c>
    </row>
    <row r="143" spans="1:11" x14ac:dyDescent="0.25">
      <c r="A143" s="77">
        <v>46075</v>
      </c>
      <c r="B143" s="5" t="s">
        <v>23</v>
      </c>
      <c r="C143" s="5" t="s">
        <v>12</v>
      </c>
      <c r="D143" s="5" t="s">
        <v>24</v>
      </c>
      <c r="E143" s="5" t="s">
        <v>17</v>
      </c>
      <c r="F143" s="5" t="s">
        <v>25</v>
      </c>
      <c r="G143" s="26">
        <v>95</v>
      </c>
      <c r="H143" s="26"/>
      <c r="I143" s="5"/>
      <c r="J143" s="5" t="s">
        <v>449</v>
      </c>
      <c r="K143" s="26">
        <v>26430.09</v>
      </c>
    </row>
    <row r="144" spans="1:11" x14ac:dyDescent="0.25">
      <c r="A144" s="77">
        <v>46076</v>
      </c>
      <c r="B144" s="5" t="s">
        <v>360</v>
      </c>
      <c r="C144" s="5" t="s">
        <v>12</v>
      </c>
      <c r="D144" s="5" t="s">
        <v>19</v>
      </c>
      <c r="E144" s="5" t="s">
        <v>17</v>
      </c>
      <c r="F144" s="5" t="s">
        <v>25</v>
      </c>
      <c r="G144" s="26">
        <v>203.5</v>
      </c>
      <c r="H144" s="26"/>
      <c r="I144" s="5"/>
      <c r="J144" s="5" t="s">
        <v>449</v>
      </c>
      <c r="K144" s="26">
        <v>26226.59</v>
      </c>
    </row>
    <row r="145" spans="1:11" x14ac:dyDescent="0.25">
      <c r="A145" s="77">
        <v>46076</v>
      </c>
      <c r="B145" s="5" t="s">
        <v>531</v>
      </c>
      <c r="C145" s="5" t="s">
        <v>12</v>
      </c>
      <c r="D145" s="5" t="s">
        <v>29</v>
      </c>
      <c r="E145" s="5" t="s">
        <v>17</v>
      </c>
      <c r="F145" s="5" t="s">
        <v>25</v>
      </c>
      <c r="G145" s="26">
        <v>450</v>
      </c>
      <c r="H145" s="26"/>
      <c r="I145" s="5"/>
      <c r="J145" s="5" t="s">
        <v>449</v>
      </c>
      <c r="K145" s="26">
        <v>25776.59</v>
      </c>
    </row>
    <row r="146" spans="1:11" x14ac:dyDescent="0.25">
      <c r="A146" s="77">
        <v>46076</v>
      </c>
      <c r="B146" s="5" t="s">
        <v>532</v>
      </c>
      <c r="C146" s="5" t="s">
        <v>12</v>
      </c>
      <c r="D146" s="5" t="s">
        <v>29</v>
      </c>
      <c r="E146" s="5" t="s">
        <v>17</v>
      </c>
      <c r="F146" s="5" t="s">
        <v>25</v>
      </c>
      <c r="G146" s="26">
        <v>320</v>
      </c>
      <c r="H146" s="26"/>
      <c r="I146" s="5"/>
      <c r="J146" s="5" t="s">
        <v>449</v>
      </c>
      <c r="K146" s="26">
        <v>25456.59</v>
      </c>
    </row>
    <row r="147" spans="1:11" x14ac:dyDescent="0.25">
      <c r="A147" s="77">
        <v>46076</v>
      </c>
      <c r="B147" s="5" t="s">
        <v>343</v>
      </c>
      <c r="C147" s="5" t="s">
        <v>12</v>
      </c>
      <c r="D147" s="5" t="s">
        <v>19</v>
      </c>
      <c r="E147" s="5" t="s">
        <v>17</v>
      </c>
      <c r="F147" s="5"/>
      <c r="G147" s="26">
        <v>2675.45</v>
      </c>
      <c r="H147" s="26"/>
      <c r="I147" s="5"/>
      <c r="J147" s="5" t="s">
        <v>449</v>
      </c>
      <c r="K147" s="26">
        <v>22781.14</v>
      </c>
    </row>
    <row r="148" spans="1:11" x14ac:dyDescent="0.25">
      <c r="A148" s="77">
        <v>46076</v>
      </c>
      <c r="B148" s="5" t="s">
        <v>533</v>
      </c>
      <c r="C148" s="5" t="s">
        <v>12</v>
      </c>
      <c r="D148" s="5" t="s">
        <v>19</v>
      </c>
      <c r="E148" s="5" t="s">
        <v>17</v>
      </c>
      <c r="F148" s="5"/>
      <c r="G148" s="26">
        <v>1736.83</v>
      </c>
      <c r="H148" s="26"/>
      <c r="I148" s="5"/>
      <c r="J148" s="5" t="s">
        <v>449</v>
      </c>
      <c r="K148" s="26">
        <v>21044.31</v>
      </c>
    </row>
    <row r="149" spans="1:11" x14ac:dyDescent="0.25">
      <c r="A149" s="77">
        <v>46076</v>
      </c>
      <c r="B149" s="5" t="s">
        <v>30</v>
      </c>
      <c r="C149" s="5" t="s">
        <v>20</v>
      </c>
      <c r="D149" s="5" t="s">
        <v>13</v>
      </c>
      <c r="E149" s="5"/>
      <c r="F149" s="5"/>
      <c r="G149" s="26">
        <v>1530</v>
      </c>
      <c r="H149" s="26"/>
      <c r="I149" s="5"/>
      <c r="J149" s="5" t="s">
        <v>449</v>
      </c>
      <c r="K149" s="26">
        <v>22574.31</v>
      </c>
    </row>
    <row r="150" spans="1:11" x14ac:dyDescent="0.25">
      <c r="A150" s="77">
        <v>46076</v>
      </c>
      <c r="B150" s="5" t="s">
        <v>44</v>
      </c>
      <c r="C150" s="5" t="s">
        <v>20</v>
      </c>
      <c r="D150" s="5" t="s">
        <v>22</v>
      </c>
      <c r="E150" s="5" t="s">
        <v>17</v>
      </c>
      <c r="F150" s="5"/>
      <c r="G150" s="26">
        <v>164.3</v>
      </c>
      <c r="H150" s="26"/>
      <c r="I150" s="5"/>
      <c r="J150" s="5" t="s">
        <v>449</v>
      </c>
      <c r="K150" s="26">
        <v>22738.61</v>
      </c>
    </row>
    <row r="151" spans="1:11" x14ac:dyDescent="0.25">
      <c r="A151" s="77">
        <v>46076</v>
      </c>
      <c r="B151" s="5" t="s">
        <v>45</v>
      </c>
      <c r="C151" s="5" t="s">
        <v>12</v>
      </c>
      <c r="D151" s="5" t="s">
        <v>24</v>
      </c>
      <c r="E151" s="5" t="s">
        <v>17</v>
      </c>
      <c r="F151" s="5" t="s">
        <v>25</v>
      </c>
      <c r="G151" s="26">
        <v>17</v>
      </c>
      <c r="H151" s="26"/>
      <c r="I151" s="5"/>
      <c r="J151" s="5" t="s">
        <v>449</v>
      </c>
      <c r="K151" s="26">
        <v>22721.61</v>
      </c>
    </row>
    <row r="152" spans="1:11" x14ac:dyDescent="0.25">
      <c r="A152" s="77">
        <v>46077</v>
      </c>
      <c r="B152" s="5" t="s">
        <v>534</v>
      </c>
      <c r="C152" s="5" t="s">
        <v>12</v>
      </c>
      <c r="D152" s="5" t="s">
        <v>19</v>
      </c>
      <c r="E152" s="5" t="s">
        <v>17</v>
      </c>
      <c r="F152" s="5"/>
      <c r="G152" s="26">
        <v>1795.34</v>
      </c>
      <c r="H152" s="26"/>
      <c r="I152" s="5"/>
      <c r="J152" s="5" t="s">
        <v>449</v>
      </c>
      <c r="K152" s="26">
        <v>20926.27</v>
      </c>
    </row>
    <row r="153" spans="1:11" x14ac:dyDescent="0.25">
      <c r="A153" s="77">
        <v>46077</v>
      </c>
      <c r="B153" s="5" t="s">
        <v>346</v>
      </c>
      <c r="C153" s="5" t="s">
        <v>12</v>
      </c>
      <c r="D153" s="5" t="s">
        <v>19</v>
      </c>
      <c r="E153" s="5" t="s">
        <v>17</v>
      </c>
      <c r="F153" s="5"/>
      <c r="G153" s="26">
        <v>819.12</v>
      </c>
      <c r="H153" s="26"/>
      <c r="I153" s="5"/>
      <c r="J153" s="5" t="s">
        <v>449</v>
      </c>
      <c r="K153" s="26">
        <v>20107.150000000001</v>
      </c>
    </row>
    <row r="154" spans="1:11" x14ac:dyDescent="0.25">
      <c r="A154" s="77">
        <v>46077</v>
      </c>
      <c r="B154" s="5" t="s">
        <v>535</v>
      </c>
      <c r="C154" s="5" t="s">
        <v>12</v>
      </c>
      <c r="D154" s="5" t="s">
        <v>62</v>
      </c>
      <c r="E154" s="5" t="s">
        <v>14</v>
      </c>
      <c r="F154" s="5" t="s">
        <v>15</v>
      </c>
      <c r="G154" s="26">
        <v>95</v>
      </c>
      <c r="H154" s="26"/>
      <c r="I154" s="5"/>
      <c r="J154" s="5" t="s">
        <v>449</v>
      </c>
      <c r="K154" s="26">
        <v>20012.150000000001</v>
      </c>
    </row>
    <row r="155" spans="1:11" x14ac:dyDescent="0.25">
      <c r="A155" s="77">
        <v>46077</v>
      </c>
      <c r="B155" s="5" t="s">
        <v>30</v>
      </c>
      <c r="C155" s="5" t="s">
        <v>20</v>
      </c>
      <c r="D155" s="5" t="s">
        <v>13</v>
      </c>
      <c r="E155" s="5"/>
      <c r="F155" s="5"/>
      <c r="G155" s="26">
        <v>986</v>
      </c>
      <c r="H155" s="26"/>
      <c r="I155" s="5"/>
      <c r="J155" s="5" t="s">
        <v>449</v>
      </c>
      <c r="K155" s="26">
        <v>20998.15</v>
      </c>
    </row>
    <row r="156" spans="1:11" x14ac:dyDescent="0.25">
      <c r="A156" s="77">
        <v>46077</v>
      </c>
      <c r="B156" s="5" t="s">
        <v>460</v>
      </c>
      <c r="C156" s="5" t="s">
        <v>20</v>
      </c>
      <c r="D156" s="5" t="s">
        <v>22</v>
      </c>
      <c r="E156" s="5" t="s">
        <v>17</v>
      </c>
      <c r="F156" s="5"/>
      <c r="G156" s="26">
        <v>0</v>
      </c>
      <c r="H156" s="26"/>
      <c r="I156" s="5"/>
      <c r="J156" s="5" t="s">
        <v>449</v>
      </c>
      <c r="K156" s="26">
        <v>20998.15</v>
      </c>
    </row>
    <row r="157" spans="1:11" x14ac:dyDescent="0.25">
      <c r="A157" s="77">
        <v>46077</v>
      </c>
      <c r="B157" s="5" t="s">
        <v>23</v>
      </c>
      <c r="C157" s="5" t="s">
        <v>12</v>
      </c>
      <c r="D157" s="5" t="s">
        <v>24</v>
      </c>
      <c r="E157" s="5" t="s">
        <v>17</v>
      </c>
      <c r="F157" s="5" t="s">
        <v>25</v>
      </c>
      <c r="G157" s="26">
        <v>0</v>
      </c>
      <c r="H157" s="26"/>
      <c r="I157" s="5"/>
      <c r="J157" s="5" t="s">
        <v>449</v>
      </c>
      <c r="K157" s="26">
        <v>20998.15</v>
      </c>
    </row>
    <row r="158" spans="1:11" x14ac:dyDescent="0.25">
      <c r="A158" s="77">
        <v>46077</v>
      </c>
      <c r="B158" s="5" t="s">
        <v>472</v>
      </c>
      <c r="C158" s="5" t="s">
        <v>12</v>
      </c>
      <c r="D158" s="5" t="s">
        <v>39</v>
      </c>
      <c r="E158" s="5" t="s">
        <v>17</v>
      </c>
      <c r="F158" s="5" t="s">
        <v>25</v>
      </c>
      <c r="G158" s="26">
        <v>150</v>
      </c>
      <c r="H158" s="26"/>
      <c r="I158" s="5"/>
      <c r="J158" s="5" t="s">
        <v>449</v>
      </c>
      <c r="K158" s="26">
        <v>20848.150000000001</v>
      </c>
    </row>
    <row r="159" spans="1:11" x14ac:dyDescent="0.25">
      <c r="A159" s="77">
        <v>46077</v>
      </c>
      <c r="B159" s="5" t="s">
        <v>536</v>
      </c>
      <c r="C159" s="5" t="s">
        <v>12</v>
      </c>
      <c r="D159" s="5" t="s">
        <v>68</v>
      </c>
      <c r="E159" s="5" t="s">
        <v>17</v>
      </c>
      <c r="F159" s="5" t="s">
        <v>25</v>
      </c>
      <c r="G159" s="26">
        <v>60</v>
      </c>
      <c r="H159" s="26"/>
      <c r="I159" s="5"/>
      <c r="J159" s="5" t="s">
        <v>449</v>
      </c>
      <c r="K159" s="26">
        <v>20788.150000000001</v>
      </c>
    </row>
    <row r="160" spans="1:11" x14ac:dyDescent="0.25">
      <c r="A160" s="77">
        <v>46077</v>
      </c>
      <c r="B160" s="5" t="s">
        <v>537</v>
      </c>
      <c r="C160" s="5" t="s">
        <v>12</v>
      </c>
      <c r="D160" s="5" t="s">
        <v>19</v>
      </c>
      <c r="E160" s="5" t="s">
        <v>17</v>
      </c>
      <c r="F160" s="5" t="s">
        <v>25</v>
      </c>
      <c r="G160" s="26">
        <v>587.15</v>
      </c>
      <c r="H160" s="26"/>
      <c r="I160" s="5"/>
      <c r="J160" s="5" t="s">
        <v>449</v>
      </c>
      <c r="K160" s="26">
        <v>20201</v>
      </c>
    </row>
    <row r="161" spans="1:11" x14ac:dyDescent="0.25">
      <c r="A161" s="77">
        <v>46077</v>
      </c>
      <c r="B161" s="5" t="s">
        <v>538</v>
      </c>
      <c r="C161" s="5" t="s">
        <v>12</v>
      </c>
      <c r="D161" s="5" t="s">
        <v>29</v>
      </c>
      <c r="E161" s="5" t="s">
        <v>17</v>
      </c>
      <c r="F161" s="5" t="s">
        <v>25</v>
      </c>
      <c r="G161" s="26">
        <v>180</v>
      </c>
      <c r="H161" s="26"/>
      <c r="I161" s="5"/>
      <c r="J161" s="5" t="s">
        <v>449</v>
      </c>
      <c r="K161" s="26">
        <v>20021</v>
      </c>
    </row>
    <row r="162" spans="1:11" x14ac:dyDescent="0.25">
      <c r="A162" s="77">
        <v>46078</v>
      </c>
      <c r="B162" s="5" t="s">
        <v>344</v>
      </c>
      <c r="C162" s="5" t="s">
        <v>12</v>
      </c>
      <c r="D162" s="5" t="s">
        <v>19</v>
      </c>
      <c r="E162" s="5" t="s">
        <v>17</v>
      </c>
      <c r="F162" s="5"/>
      <c r="G162" s="26">
        <v>233.94</v>
      </c>
      <c r="H162" s="26"/>
      <c r="I162" s="5"/>
      <c r="J162" s="5" t="s">
        <v>449</v>
      </c>
      <c r="K162" s="26">
        <v>19787.060000000001</v>
      </c>
    </row>
    <row r="163" spans="1:11" x14ac:dyDescent="0.25">
      <c r="A163" s="77">
        <v>46078</v>
      </c>
      <c r="B163" s="5" t="s">
        <v>347</v>
      </c>
      <c r="C163" s="5" t="s">
        <v>12</v>
      </c>
      <c r="D163" s="5" t="s">
        <v>19</v>
      </c>
      <c r="E163" s="5" t="s">
        <v>17</v>
      </c>
      <c r="F163" s="5"/>
      <c r="G163" s="26">
        <v>882.66</v>
      </c>
      <c r="H163" s="26"/>
      <c r="I163" s="5"/>
      <c r="J163" s="5" t="s">
        <v>449</v>
      </c>
      <c r="K163" s="26">
        <v>18904.400000000001</v>
      </c>
    </row>
    <row r="164" spans="1:11" x14ac:dyDescent="0.25">
      <c r="A164" s="77">
        <v>46078</v>
      </c>
      <c r="B164" s="5" t="s">
        <v>539</v>
      </c>
      <c r="C164" s="5" t="s">
        <v>12</v>
      </c>
      <c r="D164" s="5" t="s">
        <v>325</v>
      </c>
      <c r="E164" s="5" t="s">
        <v>17</v>
      </c>
      <c r="F164" s="5"/>
      <c r="G164" s="26">
        <v>1968.98</v>
      </c>
      <c r="H164" s="26"/>
      <c r="I164" s="5"/>
      <c r="J164" s="5" t="s">
        <v>449</v>
      </c>
      <c r="K164" s="26">
        <v>16935.419999999998</v>
      </c>
    </row>
    <row r="165" spans="1:11" x14ac:dyDescent="0.25">
      <c r="A165" s="77">
        <v>46078</v>
      </c>
      <c r="B165" s="5" t="s">
        <v>303</v>
      </c>
      <c r="C165" s="5" t="s">
        <v>12</v>
      </c>
      <c r="D165" s="5" t="s">
        <v>68</v>
      </c>
      <c r="E165" s="5" t="s">
        <v>17</v>
      </c>
      <c r="F165" s="5"/>
      <c r="G165" s="26"/>
      <c r="H165" s="26"/>
      <c r="I165" s="5"/>
      <c r="J165" s="5" t="s">
        <v>449</v>
      </c>
      <c r="K165" s="26">
        <v>16935.419999999998</v>
      </c>
    </row>
    <row r="166" spans="1:11" x14ac:dyDescent="0.25">
      <c r="A166" s="77">
        <v>46078</v>
      </c>
      <c r="B166" s="5" t="s">
        <v>30</v>
      </c>
      <c r="C166" s="5" t="s">
        <v>20</v>
      </c>
      <c r="D166" s="5" t="s">
        <v>13</v>
      </c>
      <c r="E166" s="5"/>
      <c r="F166" s="5"/>
      <c r="G166" s="26">
        <v>1996</v>
      </c>
      <c r="H166" s="26"/>
      <c r="I166" s="5"/>
      <c r="J166" s="5" t="s">
        <v>449</v>
      </c>
      <c r="K166" s="26">
        <v>18931.419999999998</v>
      </c>
    </row>
    <row r="167" spans="1:11" x14ac:dyDescent="0.25">
      <c r="A167" s="77">
        <v>46078</v>
      </c>
      <c r="B167" s="5" t="s">
        <v>44</v>
      </c>
      <c r="C167" s="5" t="s">
        <v>20</v>
      </c>
      <c r="D167" s="5" t="s">
        <v>22</v>
      </c>
      <c r="E167" s="5" t="s">
        <v>17</v>
      </c>
      <c r="F167" s="5"/>
      <c r="G167" s="26">
        <v>86</v>
      </c>
      <c r="H167" s="26"/>
      <c r="I167" s="5"/>
      <c r="J167" s="5" t="s">
        <v>449</v>
      </c>
      <c r="K167" s="26">
        <v>19017.419999999998</v>
      </c>
    </row>
    <row r="168" spans="1:11" x14ac:dyDescent="0.25">
      <c r="A168" s="77">
        <v>46078</v>
      </c>
      <c r="B168" s="5" t="s">
        <v>45</v>
      </c>
      <c r="C168" s="5" t="s">
        <v>12</v>
      </c>
      <c r="D168" s="5" t="s">
        <v>24</v>
      </c>
      <c r="E168" s="5" t="s">
        <v>17</v>
      </c>
      <c r="F168" s="5" t="s">
        <v>25</v>
      </c>
      <c r="G168" s="26">
        <v>18</v>
      </c>
      <c r="H168" s="26"/>
      <c r="I168" s="5"/>
      <c r="J168" s="5" t="s">
        <v>449</v>
      </c>
      <c r="K168" s="26">
        <v>18999.419999999998</v>
      </c>
    </row>
    <row r="169" spans="1:11" x14ac:dyDescent="0.25">
      <c r="A169" s="77">
        <v>46078</v>
      </c>
      <c r="B169" s="5" t="s">
        <v>393</v>
      </c>
      <c r="C169" s="5" t="s">
        <v>12</v>
      </c>
      <c r="D169" s="5" t="s">
        <v>19</v>
      </c>
      <c r="E169" s="5" t="s">
        <v>14</v>
      </c>
      <c r="F169" s="5" t="s">
        <v>15</v>
      </c>
      <c r="G169" s="26">
        <v>750</v>
      </c>
      <c r="H169" s="26"/>
      <c r="I169" s="5"/>
      <c r="J169" s="5" t="s">
        <v>449</v>
      </c>
      <c r="K169" s="26">
        <v>18249.419999999998</v>
      </c>
    </row>
    <row r="170" spans="1:11" x14ac:dyDescent="0.25">
      <c r="A170" s="77">
        <v>46078</v>
      </c>
      <c r="B170" s="5" t="s">
        <v>509</v>
      </c>
      <c r="C170" s="5" t="s">
        <v>12</v>
      </c>
      <c r="D170" s="5" t="s">
        <v>19</v>
      </c>
      <c r="E170" s="5" t="s">
        <v>14</v>
      </c>
      <c r="F170" s="5" t="s">
        <v>15</v>
      </c>
      <c r="G170" s="26">
        <v>54</v>
      </c>
      <c r="H170" s="26"/>
      <c r="I170" s="5"/>
      <c r="J170" s="5" t="s">
        <v>449</v>
      </c>
      <c r="K170" s="26">
        <v>18195.419999999998</v>
      </c>
    </row>
    <row r="171" spans="1:11" x14ac:dyDescent="0.25">
      <c r="A171" s="77">
        <v>46078</v>
      </c>
      <c r="B171" s="5" t="s">
        <v>540</v>
      </c>
      <c r="C171" s="5" t="s">
        <v>12</v>
      </c>
      <c r="D171" s="5" t="s">
        <v>27</v>
      </c>
      <c r="E171" s="5" t="s">
        <v>17</v>
      </c>
      <c r="F171" s="5" t="s">
        <v>25</v>
      </c>
      <c r="G171" s="26">
        <v>218</v>
      </c>
      <c r="H171" s="26"/>
      <c r="I171" s="5"/>
      <c r="J171" s="5" t="s">
        <v>449</v>
      </c>
      <c r="K171" s="26">
        <v>17977.419999999998</v>
      </c>
    </row>
    <row r="172" spans="1:11" x14ac:dyDescent="0.25">
      <c r="A172" s="77">
        <v>46079</v>
      </c>
      <c r="B172" s="5" t="s">
        <v>363</v>
      </c>
      <c r="C172" s="5" t="s">
        <v>12</v>
      </c>
      <c r="D172" s="5" t="s">
        <v>19</v>
      </c>
      <c r="E172" s="5" t="s">
        <v>17</v>
      </c>
      <c r="F172" s="5"/>
      <c r="G172" s="26">
        <v>1872.38</v>
      </c>
      <c r="H172" s="26"/>
      <c r="I172" s="5"/>
      <c r="J172" s="5" t="s">
        <v>449</v>
      </c>
      <c r="K172" s="26">
        <v>16105.04</v>
      </c>
    </row>
    <row r="173" spans="1:11" x14ac:dyDescent="0.25">
      <c r="A173" s="77">
        <v>46079</v>
      </c>
      <c r="B173" s="5" t="s">
        <v>11</v>
      </c>
      <c r="C173" s="5" t="s">
        <v>12</v>
      </c>
      <c r="D173" s="5" t="s">
        <v>19</v>
      </c>
      <c r="E173" s="5" t="s">
        <v>14</v>
      </c>
      <c r="F173" s="5" t="s">
        <v>15</v>
      </c>
      <c r="G173" s="26">
        <v>141</v>
      </c>
      <c r="H173" s="26"/>
      <c r="I173" s="5"/>
      <c r="J173" s="5" t="s">
        <v>449</v>
      </c>
      <c r="K173" s="26">
        <v>15964.04</v>
      </c>
    </row>
    <row r="174" spans="1:11" x14ac:dyDescent="0.25">
      <c r="A174" s="77">
        <v>46079</v>
      </c>
      <c r="B174" s="5" t="s">
        <v>13</v>
      </c>
      <c r="C174" s="5" t="s">
        <v>20</v>
      </c>
      <c r="D174" s="5" t="s">
        <v>13</v>
      </c>
      <c r="E174" s="5"/>
      <c r="F174" s="5"/>
      <c r="G174" s="26">
        <v>947</v>
      </c>
      <c r="H174" s="26"/>
      <c r="I174" s="5"/>
      <c r="J174" s="5" t="s">
        <v>449</v>
      </c>
      <c r="K174" s="26">
        <v>16911.04</v>
      </c>
    </row>
    <row r="175" spans="1:11" x14ac:dyDescent="0.25">
      <c r="A175" s="77">
        <v>46079</v>
      </c>
      <c r="B175" s="5" t="s">
        <v>21</v>
      </c>
      <c r="C175" s="5" t="s">
        <v>20</v>
      </c>
      <c r="D175" s="5" t="s">
        <v>22</v>
      </c>
      <c r="E175" s="5" t="s">
        <v>17</v>
      </c>
      <c r="F175" s="5"/>
      <c r="G175" s="26">
        <v>0</v>
      </c>
      <c r="H175" s="26"/>
      <c r="I175" s="5"/>
      <c r="J175" s="5" t="s">
        <v>449</v>
      </c>
      <c r="K175" s="26">
        <v>16911.04</v>
      </c>
    </row>
    <row r="176" spans="1:11" x14ac:dyDescent="0.25">
      <c r="A176" s="77">
        <v>46079</v>
      </c>
      <c r="B176" s="5" t="s">
        <v>23</v>
      </c>
      <c r="C176" s="5" t="s">
        <v>12</v>
      </c>
      <c r="D176" s="5" t="s">
        <v>24</v>
      </c>
      <c r="E176" s="5" t="s">
        <v>17</v>
      </c>
      <c r="F176" s="5" t="s">
        <v>25</v>
      </c>
      <c r="G176" s="26">
        <v>9</v>
      </c>
      <c r="H176" s="26"/>
      <c r="I176" s="5"/>
      <c r="J176" s="5" t="s">
        <v>449</v>
      </c>
      <c r="K176" s="26">
        <v>16902.04</v>
      </c>
    </row>
    <row r="177" spans="1:11" x14ac:dyDescent="0.25">
      <c r="A177" s="77">
        <v>46079</v>
      </c>
      <c r="B177" s="5" t="s">
        <v>541</v>
      </c>
      <c r="C177" s="5" t="s">
        <v>12</v>
      </c>
      <c r="D177" s="5" t="s">
        <v>19</v>
      </c>
      <c r="E177" s="5" t="s">
        <v>17</v>
      </c>
      <c r="F177" s="5" t="s">
        <v>25</v>
      </c>
      <c r="G177" s="26">
        <v>700</v>
      </c>
      <c r="H177" s="26"/>
      <c r="I177" s="5"/>
      <c r="J177" s="5" t="s">
        <v>449</v>
      </c>
      <c r="K177" s="26">
        <v>16202.04</v>
      </c>
    </row>
    <row r="178" spans="1:11" x14ac:dyDescent="0.25">
      <c r="A178" s="77">
        <v>46079</v>
      </c>
      <c r="B178" s="5" t="s">
        <v>542</v>
      </c>
      <c r="C178" s="5" t="s">
        <v>12</v>
      </c>
      <c r="D178" s="5" t="s">
        <v>29</v>
      </c>
      <c r="E178" s="5" t="s">
        <v>17</v>
      </c>
      <c r="F178" s="5" t="s">
        <v>25</v>
      </c>
      <c r="G178" s="26">
        <v>180</v>
      </c>
      <c r="H178" s="26"/>
      <c r="I178" s="5"/>
      <c r="J178" s="5" t="s">
        <v>449</v>
      </c>
      <c r="K178" s="26">
        <v>16022.04</v>
      </c>
    </row>
    <row r="179" spans="1:11" x14ac:dyDescent="0.25">
      <c r="A179" s="77">
        <v>46079</v>
      </c>
      <c r="B179" s="5" t="s">
        <v>543</v>
      </c>
      <c r="C179" s="5" t="s">
        <v>12</v>
      </c>
      <c r="D179" s="5" t="s">
        <v>68</v>
      </c>
      <c r="E179" s="5" t="s">
        <v>17</v>
      </c>
      <c r="F179" s="5" t="s">
        <v>25</v>
      </c>
      <c r="G179" s="26">
        <v>552.5</v>
      </c>
      <c r="H179" s="26"/>
      <c r="I179" s="5"/>
      <c r="J179" s="5" t="s">
        <v>449</v>
      </c>
      <c r="K179" s="26">
        <v>15469.54</v>
      </c>
    </row>
    <row r="180" spans="1:11" x14ac:dyDescent="0.25">
      <c r="A180" s="77">
        <v>46079</v>
      </c>
      <c r="B180" s="5" t="s">
        <v>544</v>
      </c>
      <c r="C180" s="5" t="s">
        <v>12</v>
      </c>
      <c r="D180" s="5" t="s">
        <v>29</v>
      </c>
      <c r="E180" s="5" t="s">
        <v>17</v>
      </c>
      <c r="F180" s="5" t="s">
        <v>25</v>
      </c>
      <c r="G180" s="26">
        <v>20</v>
      </c>
      <c r="H180" s="26"/>
      <c r="I180" s="5"/>
      <c r="J180" s="5" t="s">
        <v>449</v>
      </c>
      <c r="K180" s="26">
        <v>15449.54</v>
      </c>
    </row>
    <row r="181" spans="1:11" x14ac:dyDescent="0.25">
      <c r="A181" s="77">
        <v>46080</v>
      </c>
      <c r="B181" s="5" t="s">
        <v>13</v>
      </c>
      <c r="C181" s="5" t="s">
        <v>20</v>
      </c>
      <c r="D181" s="5" t="s">
        <v>13</v>
      </c>
      <c r="E181" s="5"/>
      <c r="F181" s="5"/>
      <c r="G181" s="26">
        <v>2643</v>
      </c>
      <c r="H181" s="26"/>
      <c r="I181" s="5"/>
      <c r="J181" s="5" t="s">
        <v>449</v>
      </c>
      <c r="K181" s="26">
        <v>18092.54</v>
      </c>
    </row>
    <row r="182" spans="1:11" x14ac:dyDescent="0.25">
      <c r="A182" s="77">
        <v>46080</v>
      </c>
      <c r="B182" s="5" t="s">
        <v>21</v>
      </c>
      <c r="C182" s="5" t="s">
        <v>20</v>
      </c>
      <c r="D182" s="5" t="s">
        <v>22</v>
      </c>
      <c r="E182" s="5" t="s">
        <v>17</v>
      </c>
      <c r="F182" s="5"/>
      <c r="G182" s="26">
        <v>78</v>
      </c>
      <c r="H182" s="26"/>
      <c r="I182" s="5"/>
      <c r="J182" s="5" t="s">
        <v>449</v>
      </c>
      <c r="K182" s="26">
        <v>18170.54</v>
      </c>
    </row>
    <row r="183" spans="1:11" x14ac:dyDescent="0.25">
      <c r="A183" s="77">
        <v>46080</v>
      </c>
      <c r="B183" s="5" t="s">
        <v>23</v>
      </c>
      <c r="C183" s="5" t="s">
        <v>12</v>
      </c>
      <c r="D183" s="5" t="s">
        <v>24</v>
      </c>
      <c r="E183" s="5" t="s">
        <v>17</v>
      </c>
      <c r="F183" s="5" t="s">
        <v>25</v>
      </c>
      <c r="G183" s="26">
        <v>26</v>
      </c>
      <c r="H183" s="26"/>
      <c r="I183" s="5"/>
      <c r="J183" s="5" t="s">
        <v>449</v>
      </c>
      <c r="K183" s="26">
        <v>18144.54</v>
      </c>
    </row>
    <row r="184" spans="1:11" x14ac:dyDescent="0.25">
      <c r="A184" s="77">
        <v>46080</v>
      </c>
      <c r="B184" s="5" t="s">
        <v>11</v>
      </c>
      <c r="C184" s="5" t="s">
        <v>12</v>
      </c>
      <c r="D184" s="5" t="s">
        <v>19</v>
      </c>
      <c r="E184" s="5" t="s">
        <v>14</v>
      </c>
      <c r="F184" s="5" t="s">
        <v>15</v>
      </c>
      <c r="G184" s="26">
        <v>282</v>
      </c>
      <c r="H184" s="26"/>
      <c r="I184" s="5"/>
      <c r="J184" s="5" t="s">
        <v>449</v>
      </c>
      <c r="K184" s="26">
        <v>17862.54</v>
      </c>
    </row>
    <row r="185" spans="1:11" x14ac:dyDescent="0.25">
      <c r="A185" s="77">
        <v>46080</v>
      </c>
      <c r="B185" s="5" t="s">
        <v>433</v>
      </c>
      <c r="C185" s="5" t="s">
        <v>12</v>
      </c>
      <c r="D185" s="5" t="s">
        <v>58</v>
      </c>
      <c r="E185" s="5" t="s">
        <v>17</v>
      </c>
      <c r="F185" s="5"/>
      <c r="G185" s="26">
        <v>652.84</v>
      </c>
      <c r="H185" s="26"/>
      <c r="I185" s="5"/>
      <c r="J185" s="5" t="s">
        <v>449</v>
      </c>
      <c r="K185" s="26">
        <v>17209.7</v>
      </c>
    </row>
    <row r="186" spans="1:11" x14ac:dyDescent="0.25">
      <c r="A186" s="77">
        <v>46080</v>
      </c>
      <c r="B186" s="5" t="s">
        <v>410</v>
      </c>
      <c r="C186" s="5" t="s">
        <v>12</v>
      </c>
      <c r="D186" s="5" t="s">
        <v>19</v>
      </c>
      <c r="E186" s="5" t="s">
        <v>17</v>
      </c>
      <c r="F186" s="5"/>
      <c r="G186" s="26">
        <v>614.15</v>
      </c>
      <c r="H186" s="26"/>
      <c r="I186" s="5"/>
      <c r="J186" s="5" t="s">
        <v>449</v>
      </c>
      <c r="K186" s="26">
        <v>16595.55</v>
      </c>
    </row>
    <row r="187" spans="1:11" x14ac:dyDescent="0.25">
      <c r="A187" s="77">
        <v>46080</v>
      </c>
      <c r="B187" s="5" t="s">
        <v>545</v>
      </c>
      <c r="C187" s="5" t="s">
        <v>12</v>
      </c>
      <c r="D187" s="5" t="s">
        <v>27</v>
      </c>
      <c r="E187" s="5" t="s">
        <v>17</v>
      </c>
      <c r="F187" s="5"/>
      <c r="G187" s="26">
        <v>2000</v>
      </c>
      <c r="H187" s="26"/>
      <c r="I187" s="5"/>
      <c r="J187" s="5" t="s">
        <v>449</v>
      </c>
      <c r="K187" s="26">
        <v>14595.55</v>
      </c>
    </row>
    <row r="188" spans="1:11" x14ac:dyDescent="0.25">
      <c r="A188" s="77">
        <v>46080</v>
      </c>
      <c r="B188" s="5" t="s">
        <v>500</v>
      </c>
      <c r="C188" s="5" t="s">
        <v>12</v>
      </c>
      <c r="D188" s="5" t="s">
        <v>39</v>
      </c>
      <c r="E188" s="5" t="s">
        <v>17</v>
      </c>
      <c r="F188" s="5"/>
      <c r="G188" s="26">
        <v>370</v>
      </c>
      <c r="H188" s="26"/>
      <c r="I188" s="5"/>
      <c r="J188" s="5" t="s">
        <v>449</v>
      </c>
      <c r="K188" s="26">
        <v>14225.55</v>
      </c>
    </row>
    <row r="189" spans="1:11" x14ac:dyDescent="0.25">
      <c r="A189" s="77">
        <v>46080</v>
      </c>
      <c r="B189" s="5" t="s">
        <v>303</v>
      </c>
      <c r="C189" s="5" t="s">
        <v>12</v>
      </c>
      <c r="D189" s="5" t="s">
        <v>68</v>
      </c>
      <c r="E189" s="5" t="s">
        <v>17</v>
      </c>
      <c r="F189" s="5" t="s">
        <v>25</v>
      </c>
      <c r="G189" s="26">
        <v>600</v>
      </c>
      <c r="H189" s="26"/>
      <c r="I189" s="5"/>
      <c r="J189" s="5" t="s">
        <v>449</v>
      </c>
      <c r="K189" s="26">
        <v>13625.55</v>
      </c>
    </row>
    <row r="190" spans="1:11" x14ac:dyDescent="0.25">
      <c r="A190" s="77">
        <v>46080</v>
      </c>
      <c r="B190" s="5" t="s">
        <v>396</v>
      </c>
      <c r="C190" s="5" t="s">
        <v>12</v>
      </c>
      <c r="D190" s="5" t="s">
        <v>16</v>
      </c>
      <c r="E190" s="5" t="s">
        <v>17</v>
      </c>
      <c r="F190" s="5"/>
      <c r="G190" s="26">
        <v>13185</v>
      </c>
      <c r="H190" s="26"/>
      <c r="I190" s="5"/>
      <c r="J190" s="5" t="s">
        <v>449</v>
      </c>
      <c r="K190" s="26">
        <v>440.54999999999558</v>
      </c>
    </row>
    <row r="191" spans="1:11" x14ac:dyDescent="0.25">
      <c r="A191" s="77">
        <v>46081</v>
      </c>
      <c r="B191" s="5" t="s">
        <v>30</v>
      </c>
      <c r="C191" s="5" t="s">
        <v>20</v>
      </c>
      <c r="D191" s="5" t="s">
        <v>13</v>
      </c>
      <c r="E191" s="5"/>
      <c r="F191" s="5"/>
      <c r="G191" s="26">
        <v>6464</v>
      </c>
      <c r="H191" s="26"/>
      <c r="I191" s="5"/>
      <c r="J191" s="5" t="s">
        <v>449</v>
      </c>
      <c r="K191" s="26">
        <v>6904.5499999999956</v>
      </c>
    </row>
    <row r="192" spans="1:11" x14ac:dyDescent="0.25">
      <c r="A192" s="77">
        <v>46081</v>
      </c>
      <c r="B192" s="5" t="s">
        <v>44</v>
      </c>
      <c r="C192" s="5" t="s">
        <v>20</v>
      </c>
      <c r="D192" s="5" t="s">
        <v>22</v>
      </c>
      <c r="E192" s="5" t="s">
        <v>17</v>
      </c>
      <c r="F192" s="5"/>
      <c r="G192" s="26">
        <v>189.9</v>
      </c>
      <c r="H192" s="26"/>
      <c r="I192" s="5"/>
      <c r="J192" s="5" t="s">
        <v>449</v>
      </c>
      <c r="K192" s="26">
        <v>7094.4499999999953</v>
      </c>
    </row>
    <row r="193" spans="1:11" x14ac:dyDescent="0.25">
      <c r="A193" s="77">
        <v>46081</v>
      </c>
      <c r="B193" s="5" t="s">
        <v>45</v>
      </c>
      <c r="C193" s="5" t="s">
        <v>12</v>
      </c>
      <c r="D193" s="5" t="s">
        <v>24</v>
      </c>
      <c r="E193" s="5" t="s">
        <v>17</v>
      </c>
      <c r="F193" s="5" t="s">
        <v>25</v>
      </c>
      <c r="G193" s="26">
        <v>27</v>
      </c>
      <c r="H193" s="26"/>
      <c r="I193" s="5"/>
      <c r="J193" s="5" t="s">
        <v>449</v>
      </c>
      <c r="K193" s="26">
        <v>7067.4499999999953</v>
      </c>
    </row>
  </sheetData>
  <autoFilter ref="A1:K193" xr:uid="{00000000-0001-0000-0800-000000000000}"/>
  <phoneticPr fontId="15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K188"/>
  <sheetViews>
    <sheetView topLeftCell="A160" workbookViewId="0">
      <selection activeCell="J2" sqref="J2:J188"/>
    </sheetView>
  </sheetViews>
  <sheetFormatPr defaultColWidth="14.42578125" defaultRowHeight="15" customHeight="1" x14ac:dyDescent="0.25"/>
  <cols>
    <col min="2" max="2" width="40.7109375" customWidth="1"/>
    <col min="6" max="6" width="19.28515625" customWidth="1"/>
  </cols>
  <sheetData>
    <row r="1" spans="1:11" x14ac:dyDescent="0.25">
      <c r="A1" s="78" t="s">
        <v>1</v>
      </c>
      <c r="B1" s="78" t="s">
        <v>2</v>
      </c>
      <c r="C1" s="78" t="s">
        <v>3</v>
      </c>
      <c r="D1" s="78" t="s">
        <v>4</v>
      </c>
      <c r="E1" s="78" t="s">
        <v>5</v>
      </c>
      <c r="F1" s="78" t="s">
        <v>6</v>
      </c>
      <c r="G1" s="78" t="s">
        <v>7</v>
      </c>
      <c r="H1" s="78"/>
      <c r="I1" s="78" t="s">
        <v>8</v>
      </c>
      <c r="J1" s="78" t="s">
        <v>9</v>
      </c>
      <c r="K1" s="78" t="s">
        <v>10</v>
      </c>
    </row>
    <row r="2" spans="1:11" x14ac:dyDescent="0.25">
      <c r="A2" s="79">
        <v>46082</v>
      </c>
      <c r="B2" s="15" t="s">
        <v>13</v>
      </c>
      <c r="C2" s="15" t="s">
        <v>20</v>
      </c>
      <c r="D2" s="15" t="s">
        <v>13</v>
      </c>
      <c r="E2" s="15"/>
      <c r="F2" s="15"/>
      <c r="G2" s="80">
        <v>6466</v>
      </c>
      <c r="H2" s="80"/>
      <c r="I2" s="15"/>
      <c r="J2" s="15" t="s">
        <v>546</v>
      </c>
      <c r="K2" s="80">
        <v>6466</v>
      </c>
    </row>
    <row r="3" spans="1:11" hidden="1" x14ac:dyDescent="0.25">
      <c r="A3" s="79">
        <v>46082</v>
      </c>
      <c r="B3" s="15" t="s">
        <v>21</v>
      </c>
      <c r="C3" s="15" t="s">
        <v>20</v>
      </c>
      <c r="D3" s="15" t="s">
        <v>22</v>
      </c>
      <c r="E3" s="15" t="s">
        <v>17</v>
      </c>
      <c r="F3" s="15"/>
      <c r="G3" s="80">
        <v>349.8</v>
      </c>
      <c r="H3" s="80"/>
      <c r="I3" s="15"/>
      <c r="J3" s="15" t="s">
        <v>546</v>
      </c>
      <c r="K3" s="80">
        <v>6815.8</v>
      </c>
    </row>
    <row r="4" spans="1:11" x14ac:dyDescent="0.25">
      <c r="A4" s="79">
        <v>46082</v>
      </c>
      <c r="B4" s="15" t="s">
        <v>23</v>
      </c>
      <c r="C4" s="15" t="s">
        <v>12</v>
      </c>
      <c r="D4" s="15" t="s">
        <v>24</v>
      </c>
      <c r="E4" s="15" t="s">
        <v>17</v>
      </c>
      <c r="F4" s="15" t="s">
        <v>25</v>
      </c>
      <c r="G4" s="80">
        <v>70</v>
      </c>
      <c r="H4" s="80"/>
      <c r="I4" s="15"/>
      <c r="J4" s="15" t="s">
        <v>546</v>
      </c>
      <c r="K4" s="80">
        <v>6745.8</v>
      </c>
    </row>
    <row r="5" spans="1:11" x14ac:dyDescent="0.25">
      <c r="A5" s="79">
        <v>46083</v>
      </c>
      <c r="B5" s="15" t="s">
        <v>547</v>
      </c>
      <c r="C5" s="15" t="s">
        <v>12</v>
      </c>
      <c r="D5" s="15" t="s">
        <v>27</v>
      </c>
      <c r="E5" s="15" t="s">
        <v>17</v>
      </c>
      <c r="F5" s="15" t="s">
        <v>25</v>
      </c>
      <c r="G5" s="80">
        <v>1100</v>
      </c>
      <c r="H5" s="80"/>
      <c r="I5" s="15"/>
      <c r="J5" s="15" t="s">
        <v>546</v>
      </c>
      <c r="K5" s="80">
        <v>5645.8</v>
      </c>
    </row>
    <row r="6" spans="1:11" x14ac:dyDescent="0.25">
      <c r="A6" s="79">
        <v>46083</v>
      </c>
      <c r="B6" s="15" t="s">
        <v>548</v>
      </c>
      <c r="C6" s="15" t="s">
        <v>12</v>
      </c>
      <c r="D6" s="15" t="s">
        <v>19</v>
      </c>
      <c r="E6" s="15" t="s">
        <v>17</v>
      </c>
      <c r="F6" s="15"/>
      <c r="G6" s="80">
        <v>822.66</v>
      </c>
      <c r="H6" s="80"/>
      <c r="I6" s="15"/>
      <c r="J6" s="15" t="s">
        <v>546</v>
      </c>
      <c r="K6" s="80">
        <v>4823.1400000000003</v>
      </c>
    </row>
    <row r="7" spans="1:11" x14ac:dyDescent="0.25">
      <c r="A7" s="79">
        <v>46083</v>
      </c>
      <c r="B7" s="15" t="s">
        <v>30</v>
      </c>
      <c r="C7" s="15" t="s">
        <v>20</v>
      </c>
      <c r="D7" s="15" t="s">
        <v>13</v>
      </c>
      <c r="E7" s="15"/>
      <c r="F7" s="15"/>
      <c r="G7" s="80">
        <v>961</v>
      </c>
      <c r="H7" s="80"/>
      <c r="I7" s="15"/>
      <c r="J7" s="15" t="s">
        <v>546</v>
      </c>
      <c r="K7" s="80">
        <v>5784.14</v>
      </c>
    </row>
    <row r="8" spans="1:11" hidden="1" x14ac:dyDescent="0.25">
      <c r="A8" s="79">
        <v>46083</v>
      </c>
      <c r="B8" s="15" t="s">
        <v>44</v>
      </c>
      <c r="C8" s="15" t="s">
        <v>20</v>
      </c>
      <c r="D8" s="15" t="s">
        <v>22</v>
      </c>
      <c r="E8" s="15" t="s">
        <v>17</v>
      </c>
      <c r="F8" s="15"/>
      <c r="G8" s="80">
        <v>84.7</v>
      </c>
      <c r="H8" s="80"/>
      <c r="I8" s="15"/>
      <c r="J8" s="15" t="s">
        <v>546</v>
      </c>
      <c r="K8" s="80">
        <v>5868.84</v>
      </c>
    </row>
    <row r="9" spans="1:11" x14ac:dyDescent="0.25">
      <c r="A9" s="79">
        <v>46083</v>
      </c>
      <c r="B9" s="15" t="s">
        <v>45</v>
      </c>
      <c r="C9" s="15" t="s">
        <v>12</v>
      </c>
      <c r="D9" s="15" t="s">
        <v>24</v>
      </c>
      <c r="E9" s="15" t="s">
        <v>17</v>
      </c>
      <c r="F9" s="15" t="s">
        <v>25</v>
      </c>
      <c r="G9" s="80">
        <v>18</v>
      </c>
      <c r="H9" s="80"/>
      <c r="I9" s="15"/>
      <c r="J9" s="15" t="s">
        <v>546</v>
      </c>
      <c r="K9" s="80">
        <v>5850.84</v>
      </c>
    </row>
    <row r="10" spans="1:11" x14ac:dyDescent="0.25">
      <c r="A10" s="79">
        <v>46084</v>
      </c>
      <c r="B10" s="15" t="s">
        <v>30</v>
      </c>
      <c r="C10" s="15" t="s">
        <v>20</v>
      </c>
      <c r="D10" s="15" t="s">
        <v>13</v>
      </c>
      <c r="E10" s="15"/>
      <c r="F10" s="15"/>
      <c r="G10" s="80">
        <v>1606</v>
      </c>
      <c r="H10" s="80"/>
      <c r="I10" s="15"/>
      <c r="J10" s="15" t="s">
        <v>546</v>
      </c>
      <c r="K10" s="80">
        <v>7456.84</v>
      </c>
    </row>
    <row r="11" spans="1:11" hidden="1" x14ac:dyDescent="0.25">
      <c r="A11" s="79">
        <v>46084</v>
      </c>
      <c r="B11" s="15" t="s">
        <v>21</v>
      </c>
      <c r="C11" s="15" t="s">
        <v>20</v>
      </c>
      <c r="D11" s="15" t="s">
        <v>22</v>
      </c>
      <c r="E11" s="15" t="s">
        <v>17</v>
      </c>
      <c r="F11" s="15"/>
      <c r="G11" s="80">
        <v>187.8</v>
      </c>
      <c r="H11" s="80"/>
      <c r="I11" s="15"/>
      <c r="J11" s="15" t="s">
        <v>546</v>
      </c>
      <c r="K11" s="80">
        <v>7644.64</v>
      </c>
    </row>
    <row r="12" spans="1:11" x14ac:dyDescent="0.25">
      <c r="A12" s="79">
        <v>46084</v>
      </c>
      <c r="B12" s="15" t="s">
        <v>23</v>
      </c>
      <c r="C12" s="15" t="s">
        <v>12</v>
      </c>
      <c r="D12" s="15" t="s">
        <v>24</v>
      </c>
      <c r="E12" s="15" t="s">
        <v>17</v>
      </c>
      <c r="F12" s="15" t="s">
        <v>25</v>
      </c>
      <c r="G12" s="80">
        <v>19</v>
      </c>
      <c r="H12" s="80"/>
      <c r="I12" s="15"/>
      <c r="J12" s="15" t="s">
        <v>546</v>
      </c>
      <c r="K12" s="80">
        <v>7625.64</v>
      </c>
    </row>
    <row r="13" spans="1:11" x14ac:dyDescent="0.25">
      <c r="A13" s="79">
        <v>46084</v>
      </c>
      <c r="B13" s="15" t="s">
        <v>11</v>
      </c>
      <c r="C13" s="15" t="s">
        <v>12</v>
      </c>
      <c r="D13" s="15" t="s">
        <v>19</v>
      </c>
      <c r="E13" s="15" t="s">
        <v>14</v>
      </c>
      <c r="F13" s="15" t="s">
        <v>15</v>
      </c>
      <c r="G13" s="80">
        <v>0</v>
      </c>
      <c r="H13" s="80"/>
      <c r="I13" s="15"/>
      <c r="J13" s="15" t="s">
        <v>546</v>
      </c>
      <c r="K13" s="80">
        <v>7625.64</v>
      </c>
    </row>
    <row r="14" spans="1:11" x14ac:dyDescent="0.25">
      <c r="A14" s="79">
        <v>46084</v>
      </c>
      <c r="B14" s="15" t="s">
        <v>549</v>
      </c>
      <c r="C14" s="15" t="s">
        <v>12</v>
      </c>
      <c r="D14" s="15" t="s">
        <v>39</v>
      </c>
      <c r="E14" s="15" t="s">
        <v>14</v>
      </c>
      <c r="F14" s="15" t="s">
        <v>15</v>
      </c>
      <c r="G14" s="80">
        <v>3435.1</v>
      </c>
      <c r="H14" s="80"/>
      <c r="I14" s="15"/>
      <c r="J14" s="15" t="s">
        <v>546</v>
      </c>
      <c r="K14" s="80">
        <v>4190.5400000000009</v>
      </c>
    </row>
    <row r="15" spans="1:11" x14ac:dyDescent="0.25">
      <c r="A15" s="79">
        <v>46084</v>
      </c>
      <c r="B15" s="15" t="s">
        <v>387</v>
      </c>
      <c r="C15" s="15" t="s">
        <v>12</v>
      </c>
      <c r="D15" s="15" t="s">
        <v>19</v>
      </c>
      <c r="E15" s="15" t="s">
        <v>17</v>
      </c>
      <c r="F15" s="15"/>
      <c r="G15" s="80">
        <v>4143.2</v>
      </c>
      <c r="H15" s="80"/>
      <c r="I15" s="15"/>
      <c r="J15" s="15" t="s">
        <v>546</v>
      </c>
      <c r="K15" s="80">
        <v>47.340000000001062</v>
      </c>
    </row>
    <row r="16" spans="1:11" x14ac:dyDescent="0.25">
      <c r="A16" s="79">
        <v>46084</v>
      </c>
      <c r="B16" s="15" t="s">
        <v>550</v>
      </c>
      <c r="C16" s="15" t="s">
        <v>12</v>
      </c>
      <c r="D16" s="15" t="s">
        <v>68</v>
      </c>
      <c r="E16" s="15" t="s">
        <v>14</v>
      </c>
      <c r="F16" s="15" t="s">
        <v>15</v>
      </c>
      <c r="G16" s="80">
        <v>15</v>
      </c>
      <c r="H16" s="80"/>
      <c r="I16" s="15"/>
      <c r="J16" s="15" t="s">
        <v>546</v>
      </c>
      <c r="K16" s="80">
        <v>32.340000000001062</v>
      </c>
    </row>
    <row r="17" spans="1:11" x14ac:dyDescent="0.25">
      <c r="A17" s="79">
        <v>46085</v>
      </c>
      <c r="B17" s="15" t="s">
        <v>30</v>
      </c>
      <c r="C17" s="15" t="s">
        <v>20</v>
      </c>
      <c r="D17" s="15" t="s">
        <v>13</v>
      </c>
      <c r="E17" s="15"/>
      <c r="F17" s="15"/>
      <c r="G17" s="80">
        <v>2354</v>
      </c>
      <c r="H17" s="80"/>
      <c r="I17" s="15"/>
      <c r="J17" s="15" t="s">
        <v>546</v>
      </c>
      <c r="K17" s="80">
        <v>2386.3400000000011</v>
      </c>
    </row>
    <row r="18" spans="1:11" hidden="1" x14ac:dyDescent="0.25">
      <c r="A18" s="79">
        <v>46085</v>
      </c>
      <c r="B18" s="15" t="s">
        <v>22</v>
      </c>
      <c r="C18" s="15" t="s">
        <v>20</v>
      </c>
      <c r="D18" s="15" t="s">
        <v>22</v>
      </c>
      <c r="E18" s="15" t="s">
        <v>17</v>
      </c>
      <c r="F18" s="15"/>
      <c r="G18" s="80">
        <v>68.099999999999994</v>
      </c>
      <c r="H18" s="80"/>
      <c r="I18" s="15"/>
      <c r="J18" s="15" t="s">
        <v>546</v>
      </c>
      <c r="K18" s="80">
        <v>2454.440000000001</v>
      </c>
    </row>
    <row r="19" spans="1:11" x14ac:dyDescent="0.25">
      <c r="A19" s="79">
        <v>46085</v>
      </c>
      <c r="B19" s="15" t="s">
        <v>45</v>
      </c>
      <c r="C19" s="15" t="s">
        <v>12</v>
      </c>
      <c r="D19" s="15" t="s">
        <v>24</v>
      </c>
      <c r="E19" s="15" t="s">
        <v>17</v>
      </c>
      <c r="F19" s="15" t="s">
        <v>25</v>
      </c>
      <c r="G19" s="80">
        <v>18</v>
      </c>
      <c r="H19" s="80"/>
      <c r="I19" s="15"/>
      <c r="J19" s="15" t="s">
        <v>546</v>
      </c>
      <c r="K19" s="80">
        <v>2436.440000000001</v>
      </c>
    </row>
    <row r="20" spans="1:11" x14ac:dyDescent="0.25">
      <c r="A20" s="79">
        <v>46085</v>
      </c>
      <c r="B20" s="15" t="s">
        <v>393</v>
      </c>
      <c r="C20" s="15" t="s">
        <v>12</v>
      </c>
      <c r="D20" s="15" t="s">
        <v>19</v>
      </c>
      <c r="E20" s="15" t="s">
        <v>14</v>
      </c>
      <c r="F20" s="15" t="s">
        <v>15</v>
      </c>
      <c r="G20" s="80">
        <v>235</v>
      </c>
      <c r="H20" s="80"/>
      <c r="I20" s="15"/>
      <c r="J20" s="15" t="s">
        <v>546</v>
      </c>
      <c r="K20" s="80">
        <v>2201.440000000001</v>
      </c>
    </row>
    <row r="21" spans="1:11" x14ac:dyDescent="0.25">
      <c r="A21" s="79">
        <v>46085</v>
      </c>
      <c r="B21" s="15" t="s">
        <v>551</v>
      </c>
      <c r="C21" s="15" t="s">
        <v>12</v>
      </c>
      <c r="D21" s="15" t="s">
        <v>39</v>
      </c>
      <c r="E21" s="15" t="s">
        <v>17</v>
      </c>
      <c r="F21" s="15" t="s">
        <v>25</v>
      </c>
      <c r="G21" s="80">
        <v>200</v>
      </c>
      <c r="H21" s="80"/>
      <c r="I21" s="15"/>
      <c r="J21" s="15" t="s">
        <v>546</v>
      </c>
      <c r="K21" s="80">
        <v>2001.440000000001</v>
      </c>
    </row>
    <row r="22" spans="1:11" x14ac:dyDescent="0.25">
      <c r="A22" s="79">
        <v>46086</v>
      </c>
      <c r="B22" s="15" t="s">
        <v>38</v>
      </c>
      <c r="C22" s="15" t="s">
        <v>12</v>
      </c>
      <c r="D22" s="15" t="s">
        <v>39</v>
      </c>
      <c r="E22" s="15" t="s">
        <v>17</v>
      </c>
      <c r="F22" s="15"/>
      <c r="G22" s="80">
        <v>8918.64</v>
      </c>
      <c r="H22" s="80"/>
      <c r="I22" s="15"/>
      <c r="J22" s="15" t="s">
        <v>546</v>
      </c>
      <c r="K22" s="80">
        <v>-6917.1999999999989</v>
      </c>
    </row>
    <row r="23" spans="1:11" x14ac:dyDescent="0.25">
      <c r="A23" s="79">
        <v>46086</v>
      </c>
      <c r="B23" s="15" t="s">
        <v>40</v>
      </c>
      <c r="C23" s="15" t="s">
        <v>12</v>
      </c>
      <c r="D23" s="15" t="s">
        <v>39</v>
      </c>
      <c r="E23" s="15" t="s">
        <v>17</v>
      </c>
      <c r="F23" s="15" t="s">
        <v>25</v>
      </c>
      <c r="G23" s="80">
        <v>94.9</v>
      </c>
      <c r="H23" s="80"/>
      <c r="I23" s="15"/>
      <c r="J23" s="15" t="s">
        <v>546</v>
      </c>
      <c r="K23" s="80">
        <v>-7012.0999999999995</v>
      </c>
    </row>
    <row r="24" spans="1:11" x14ac:dyDescent="0.25">
      <c r="A24" s="79">
        <v>46086</v>
      </c>
      <c r="B24" s="15" t="s">
        <v>41</v>
      </c>
      <c r="C24" s="15" t="s">
        <v>12</v>
      </c>
      <c r="D24" s="15" t="s">
        <v>39</v>
      </c>
      <c r="E24" s="15" t="s">
        <v>17</v>
      </c>
      <c r="F24" s="15"/>
      <c r="G24" s="80">
        <v>100</v>
      </c>
      <c r="H24" s="80"/>
      <c r="I24" s="15"/>
      <c r="J24" s="15" t="s">
        <v>546</v>
      </c>
      <c r="K24" s="80">
        <v>-7112.0999999999995</v>
      </c>
    </row>
    <row r="25" spans="1:11" x14ac:dyDescent="0.25">
      <c r="A25" s="79">
        <v>46086</v>
      </c>
      <c r="B25" s="15" t="s">
        <v>552</v>
      </c>
      <c r="C25" s="15" t="s">
        <v>12</v>
      </c>
      <c r="D25" s="15" t="s">
        <v>325</v>
      </c>
      <c r="E25" s="15" t="s">
        <v>17</v>
      </c>
      <c r="F25" s="15"/>
      <c r="G25" s="80">
        <v>566.91</v>
      </c>
      <c r="H25" s="80"/>
      <c r="I25" s="15"/>
      <c r="J25" s="15" t="s">
        <v>546</v>
      </c>
      <c r="K25" s="80">
        <v>-7679.0099999999984</v>
      </c>
    </row>
    <row r="26" spans="1:11" x14ac:dyDescent="0.25">
      <c r="A26" s="79">
        <v>46086</v>
      </c>
      <c r="B26" s="15" t="s">
        <v>333</v>
      </c>
      <c r="C26" s="15" t="s">
        <v>12</v>
      </c>
      <c r="D26" s="15" t="s">
        <v>27</v>
      </c>
      <c r="E26" s="15" t="s">
        <v>17</v>
      </c>
      <c r="F26" s="15" t="s">
        <v>25</v>
      </c>
      <c r="G26" s="80">
        <v>7720.45</v>
      </c>
      <c r="H26" s="80"/>
      <c r="I26" s="15"/>
      <c r="J26" s="15" t="s">
        <v>546</v>
      </c>
      <c r="K26" s="80">
        <v>-15399.46</v>
      </c>
    </row>
    <row r="27" spans="1:11" x14ac:dyDescent="0.25">
      <c r="A27" s="79">
        <v>46086</v>
      </c>
      <c r="B27" s="15" t="s">
        <v>30</v>
      </c>
      <c r="C27" s="15" t="s">
        <v>20</v>
      </c>
      <c r="D27" s="15" t="s">
        <v>13</v>
      </c>
      <c r="E27" s="15"/>
      <c r="F27" s="15"/>
      <c r="G27" s="80">
        <v>2009</v>
      </c>
      <c r="H27" s="80"/>
      <c r="I27" s="15"/>
      <c r="J27" s="15" t="s">
        <v>546</v>
      </c>
      <c r="K27" s="80">
        <v>-13390.46</v>
      </c>
    </row>
    <row r="28" spans="1:11" hidden="1" x14ac:dyDescent="0.25">
      <c r="A28" s="79">
        <v>46086</v>
      </c>
      <c r="B28" s="15" t="s">
        <v>44</v>
      </c>
      <c r="C28" s="15" t="s">
        <v>20</v>
      </c>
      <c r="D28" s="15" t="s">
        <v>22</v>
      </c>
      <c r="E28" s="15" t="s">
        <v>17</v>
      </c>
      <c r="F28" s="15"/>
      <c r="G28" s="80">
        <v>203.2</v>
      </c>
      <c r="H28" s="80"/>
      <c r="I28" s="15"/>
      <c r="J28" s="15" t="s">
        <v>546</v>
      </c>
      <c r="K28" s="80">
        <v>-13187.26</v>
      </c>
    </row>
    <row r="29" spans="1:11" x14ac:dyDescent="0.25">
      <c r="A29" s="79">
        <v>46086</v>
      </c>
      <c r="B29" s="15" t="s">
        <v>45</v>
      </c>
      <c r="C29" s="15" t="s">
        <v>12</v>
      </c>
      <c r="D29" s="15" t="s">
        <v>24</v>
      </c>
      <c r="E29" s="15" t="s">
        <v>17</v>
      </c>
      <c r="F29" s="15" t="s">
        <v>25</v>
      </c>
      <c r="G29" s="80">
        <v>27</v>
      </c>
      <c r="H29" s="80"/>
      <c r="I29" s="15"/>
      <c r="J29" s="15" t="s">
        <v>546</v>
      </c>
      <c r="K29" s="80">
        <v>-13214.26</v>
      </c>
    </row>
    <row r="30" spans="1:11" x14ac:dyDescent="0.25">
      <c r="A30" s="79">
        <v>46086</v>
      </c>
      <c r="B30" s="15" t="s">
        <v>393</v>
      </c>
      <c r="C30" s="15" t="s">
        <v>12</v>
      </c>
      <c r="D30" s="15" t="s">
        <v>19</v>
      </c>
      <c r="E30" s="15" t="s">
        <v>14</v>
      </c>
      <c r="F30" s="15" t="s">
        <v>15</v>
      </c>
      <c r="G30" s="80">
        <v>141</v>
      </c>
      <c r="H30" s="80"/>
      <c r="I30" s="15"/>
      <c r="J30" s="15" t="s">
        <v>546</v>
      </c>
      <c r="K30" s="80">
        <v>-13355.26</v>
      </c>
    </row>
    <row r="31" spans="1:11" x14ac:dyDescent="0.25">
      <c r="A31" s="79">
        <v>46086</v>
      </c>
      <c r="B31" s="15" t="s">
        <v>412</v>
      </c>
      <c r="C31" s="15" t="s">
        <v>12</v>
      </c>
      <c r="D31" s="15" t="s">
        <v>27</v>
      </c>
      <c r="E31" s="15" t="s">
        <v>17</v>
      </c>
      <c r="F31" s="15" t="s">
        <v>25</v>
      </c>
      <c r="G31" s="80">
        <v>5000</v>
      </c>
      <c r="H31" s="80"/>
      <c r="I31" s="15"/>
      <c r="J31" s="15" t="s">
        <v>546</v>
      </c>
      <c r="K31" s="80">
        <v>-18355.259999999998</v>
      </c>
    </row>
    <row r="32" spans="1:11" x14ac:dyDescent="0.25">
      <c r="A32" s="79">
        <v>46086</v>
      </c>
      <c r="B32" s="15" t="s">
        <v>553</v>
      </c>
      <c r="C32" s="15" t="s">
        <v>12</v>
      </c>
      <c r="D32" s="15" t="s">
        <v>27</v>
      </c>
      <c r="E32" s="15" t="s">
        <v>17</v>
      </c>
      <c r="F32" s="15" t="s">
        <v>25</v>
      </c>
      <c r="G32" s="80">
        <v>162</v>
      </c>
      <c r="H32" s="80"/>
      <c r="I32" s="15"/>
      <c r="J32" s="15" t="s">
        <v>546</v>
      </c>
      <c r="K32" s="80">
        <v>-18517.259999999998</v>
      </c>
    </row>
    <row r="33" spans="1:11" x14ac:dyDescent="0.25">
      <c r="A33" s="79">
        <v>46087</v>
      </c>
      <c r="B33" s="15" t="s">
        <v>13</v>
      </c>
      <c r="C33" s="15" t="s">
        <v>20</v>
      </c>
      <c r="D33" s="15" t="s">
        <v>13</v>
      </c>
      <c r="E33" s="15"/>
      <c r="F33" s="15"/>
      <c r="G33" s="80">
        <v>4333</v>
      </c>
      <c r="H33" s="80"/>
      <c r="I33" s="15"/>
      <c r="J33" s="15" t="s">
        <v>546</v>
      </c>
      <c r="K33" s="80">
        <v>-14184.26</v>
      </c>
    </row>
    <row r="34" spans="1:11" hidden="1" x14ac:dyDescent="0.25">
      <c r="A34" s="79">
        <v>46087</v>
      </c>
      <c r="B34" s="15" t="s">
        <v>21</v>
      </c>
      <c r="C34" s="15" t="s">
        <v>20</v>
      </c>
      <c r="D34" s="15" t="s">
        <v>22</v>
      </c>
      <c r="E34" s="15" t="s">
        <v>17</v>
      </c>
      <c r="F34" s="15"/>
      <c r="G34" s="80">
        <v>457.8</v>
      </c>
      <c r="H34" s="80"/>
      <c r="I34" s="15"/>
      <c r="J34" s="15" t="s">
        <v>546</v>
      </c>
      <c r="K34" s="80">
        <v>-13726.46</v>
      </c>
    </row>
    <row r="35" spans="1:11" x14ac:dyDescent="0.25">
      <c r="A35" s="79">
        <v>46087</v>
      </c>
      <c r="B35" s="15" t="s">
        <v>23</v>
      </c>
      <c r="C35" s="15" t="s">
        <v>12</v>
      </c>
      <c r="D35" s="15" t="s">
        <v>24</v>
      </c>
      <c r="E35" s="15" t="s">
        <v>17</v>
      </c>
      <c r="F35" s="15" t="s">
        <v>25</v>
      </c>
      <c r="G35" s="80">
        <v>65</v>
      </c>
      <c r="H35" s="80"/>
      <c r="I35" s="15"/>
      <c r="J35" s="15" t="s">
        <v>546</v>
      </c>
      <c r="K35" s="80">
        <v>-13791.46</v>
      </c>
    </row>
    <row r="36" spans="1:11" x14ac:dyDescent="0.25">
      <c r="A36" s="79">
        <v>46087</v>
      </c>
      <c r="B36" s="15" t="s">
        <v>11</v>
      </c>
      <c r="C36" s="15" t="s">
        <v>12</v>
      </c>
      <c r="D36" s="15" t="s">
        <v>19</v>
      </c>
      <c r="E36" s="15" t="s">
        <v>14</v>
      </c>
      <c r="F36" s="15" t="s">
        <v>15</v>
      </c>
      <c r="G36" s="80">
        <v>423</v>
      </c>
      <c r="H36" s="80"/>
      <c r="I36" s="15"/>
      <c r="J36" s="15" t="s">
        <v>546</v>
      </c>
      <c r="K36" s="80">
        <v>-14214.46</v>
      </c>
    </row>
    <row r="37" spans="1:11" x14ac:dyDescent="0.25">
      <c r="A37" s="79">
        <v>46088</v>
      </c>
      <c r="B37" s="15" t="s">
        <v>13</v>
      </c>
      <c r="C37" s="15" t="s">
        <v>20</v>
      </c>
      <c r="D37" s="15" t="s">
        <v>13</v>
      </c>
      <c r="E37" s="15"/>
      <c r="F37" s="15"/>
      <c r="G37" s="80">
        <v>6927</v>
      </c>
      <c r="H37" s="80"/>
      <c r="I37" s="15"/>
      <c r="J37" s="15" t="s">
        <v>546</v>
      </c>
      <c r="K37" s="80">
        <v>-7287.4599999999991</v>
      </c>
    </row>
    <row r="38" spans="1:11" hidden="1" x14ac:dyDescent="0.25">
      <c r="A38" s="79">
        <v>46088</v>
      </c>
      <c r="B38" s="15" t="s">
        <v>21</v>
      </c>
      <c r="C38" s="15" t="s">
        <v>20</v>
      </c>
      <c r="D38" s="15" t="s">
        <v>22</v>
      </c>
      <c r="E38" s="15" t="s">
        <v>17</v>
      </c>
      <c r="F38" s="15"/>
      <c r="G38" s="80">
        <v>393.5</v>
      </c>
      <c r="H38" s="80"/>
      <c r="I38" s="15"/>
      <c r="J38" s="15" t="s">
        <v>546</v>
      </c>
      <c r="K38" s="80">
        <v>-6893.9599999999991</v>
      </c>
    </row>
    <row r="39" spans="1:11" x14ac:dyDescent="0.25">
      <c r="A39" s="79">
        <v>46088</v>
      </c>
      <c r="B39" s="15" t="s">
        <v>23</v>
      </c>
      <c r="C39" s="15" t="s">
        <v>12</v>
      </c>
      <c r="D39" s="15" t="s">
        <v>24</v>
      </c>
      <c r="E39" s="15" t="s">
        <v>17</v>
      </c>
      <c r="F39" s="15" t="s">
        <v>25</v>
      </c>
      <c r="G39" s="80">
        <v>72</v>
      </c>
      <c r="H39" s="80"/>
      <c r="I39" s="15"/>
      <c r="J39" s="15" t="s">
        <v>546</v>
      </c>
      <c r="K39" s="80">
        <v>-6965.9599999999991</v>
      </c>
    </row>
    <row r="40" spans="1:11" x14ac:dyDescent="0.25">
      <c r="A40" s="79">
        <v>46089</v>
      </c>
      <c r="B40" s="15" t="s">
        <v>30</v>
      </c>
      <c r="C40" s="15" t="s">
        <v>20</v>
      </c>
      <c r="D40" s="15" t="s">
        <v>13</v>
      </c>
      <c r="E40" s="15"/>
      <c r="F40" s="15"/>
      <c r="G40" s="80">
        <v>8788</v>
      </c>
      <c r="H40" s="80"/>
      <c r="I40" s="15"/>
      <c r="J40" s="15" t="s">
        <v>546</v>
      </c>
      <c r="K40" s="80">
        <v>1822.0400000000011</v>
      </c>
    </row>
    <row r="41" spans="1:11" hidden="1" x14ac:dyDescent="0.25">
      <c r="A41" s="79">
        <v>46089</v>
      </c>
      <c r="B41" s="15" t="s">
        <v>44</v>
      </c>
      <c r="C41" s="15" t="s">
        <v>20</v>
      </c>
      <c r="D41" s="15" t="s">
        <v>22</v>
      </c>
      <c r="E41" s="15" t="s">
        <v>17</v>
      </c>
      <c r="F41" s="15"/>
      <c r="G41" s="80">
        <v>412.6</v>
      </c>
      <c r="H41" s="80"/>
      <c r="I41" s="15"/>
      <c r="J41" s="15" t="s">
        <v>546</v>
      </c>
      <c r="K41" s="80">
        <v>2234.6400000000008</v>
      </c>
    </row>
    <row r="42" spans="1:11" x14ac:dyDescent="0.25">
      <c r="A42" s="79">
        <v>46089</v>
      </c>
      <c r="B42" s="15" t="s">
        <v>45</v>
      </c>
      <c r="C42" s="15" t="s">
        <v>12</v>
      </c>
      <c r="D42" s="15" t="s">
        <v>24</v>
      </c>
      <c r="E42" s="15" t="s">
        <v>17</v>
      </c>
      <c r="F42" s="15" t="s">
        <v>25</v>
      </c>
      <c r="G42" s="80">
        <v>81</v>
      </c>
      <c r="H42" s="80"/>
      <c r="I42" s="15"/>
      <c r="J42" s="15" t="s">
        <v>546</v>
      </c>
      <c r="K42" s="80">
        <v>2153.6400000000008</v>
      </c>
    </row>
    <row r="43" spans="1:11" x14ac:dyDescent="0.25">
      <c r="A43" s="79">
        <v>46090</v>
      </c>
      <c r="B43" s="15" t="s">
        <v>533</v>
      </c>
      <c r="C43" s="15" t="s">
        <v>12</v>
      </c>
      <c r="D43" s="15" t="s">
        <v>19</v>
      </c>
      <c r="E43" s="15" t="s">
        <v>17</v>
      </c>
      <c r="F43" s="15"/>
      <c r="G43" s="80">
        <v>1736.83</v>
      </c>
      <c r="H43" s="80"/>
      <c r="I43" s="15"/>
      <c r="J43" s="15" t="s">
        <v>546</v>
      </c>
      <c r="K43" s="80">
        <v>416.81000000000091</v>
      </c>
    </row>
    <row r="44" spans="1:11" x14ac:dyDescent="0.25">
      <c r="A44" s="79">
        <v>46090</v>
      </c>
      <c r="B44" s="15" t="s">
        <v>30</v>
      </c>
      <c r="C44" s="15" t="s">
        <v>20</v>
      </c>
      <c r="D44" s="15" t="s">
        <v>13</v>
      </c>
      <c r="E44" s="15"/>
      <c r="F44" s="15"/>
      <c r="G44" s="80">
        <v>1332</v>
      </c>
      <c r="H44" s="80"/>
      <c r="I44" s="15"/>
      <c r="J44" s="15" t="s">
        <v>546</v>
      </c>
      <c r="K44" s="80">
        <v>1748.8100000000011</v>
      </c>
    </row>
    <row r="45" spans="1:11" hidden="1" x14ac:dyDescent="0.25">
      <c r="A45" s="79">
        <v>46090</v>
      </c>
      <c r="B45" s="15" t="s">
        <v>44</v>
      </c>
      <c r="C45" s="15" t="s">
        <v>20</v>
      </c>
      <c r="D45" s="15" t="s">
        <v>22</v>
      </c>
      <c r="E45" s="15" t="s">
        <v>17</v>
      </c>
      <c r="F45" s="15"/>
      <c r="G45" s="80">
        <v>39</v>
      </c>
      <c r="H45" s="80"/>
      <c r="I45" s="15"/>
      <c r="J45" s="15" t="s">
        <v>546</v>
      </c>
      <c r="K45" s="80">
        <v>1787.8100000000011</v>
      </c>
    </row>
    <row r="46" spans="1:11" x14ac:dyDescent="0.25">
      <c r="A46" s="79">
        <v>46090</v>
      </c>
      <c r="B46" s="15" t="s">
        <v>45</v>
      </c>
      <c r="C46" s="15" t="s">
        <v>12</v>
      </c>
      <c r="D46" s="15" t="s">
        <v>24</v>
      </c>
      <c r="E46" s="15" t="s">
        <v>17</v>
      </c>
      <c r="F46" s="15" t="s">
        <v>25</v>
      </c>
      <c r="G46" s="80">
        <v>0</v>
      </c>
      <c r="H46" s="80"/>
      <c r="I46" s="15"/>
      <c r="J46" s="15" t="s">
        <v>546</v>
      </c>
      <c r="K46" s="80">
        <v>1787.8100000000011</v>
      </c>
    </row>
    <row r="47" spans="1:11" x14ac:dyDescent="0.25">
      <c r="A47" s="79">
        <v>46090</v>
      </c>
      <c r="B47" s="15" t="s">
        <v>393</v>
      </c>
      <c r="C47" s="15" t="s">
        <v>12</v>
      </c>
      <c r="D47" s="15" t="s">
        <v>19</v>
      </c>
      <c r="E47" s="15" t="s">
        <v>14</v>
      </c>
      <c r="F47" s="15" t="s">
        <v>15</v>
      </c>
      <c r="G47" s="80">
        <v>0</v>
      </c>
      <c r="H47" s="80"/>
      <c r="I47" s="15"/>
      <c r="J47" s="15" t="s">
        <v>546</v>
      </c>
      <c r="K47" s="80">
        <v>1787.8100000000011</v>
      </c>
    </row>
    <row r="48" spans="1:11" x14ac:dyDescent="0.25">
      <c r="A48" s="79">
        <v>46091</v>
      </c>
      <c r="B48" s="15" t="s">
        <v>422</v>
      </c>
      <c r="C48" s="15" t="s">
        <v>12</v>
      </c>
      <c r="D48" s="15" t="s">
        <v>64</v>
      </c>
      <c r="E48" s="15" t="s">
        <v>17</v>
      </c>
      <c r="F48" s="15"/>
      <c r="G48" s="80">
        <v>732</v>
      </c>
      <c r="H48" s="80"/>
      <c r="I48" s="15"/>
      <c r="J48" s="15" t="s">
        <v>546</v>
      </c>
      <c r="K48" s="80">
        <v>1055.8100000000011</v>
      </c>
    </row>
    <row r="49" spans="1:11" x14ac:dyDescent="0.25">
      <c r="A49" s="79">
        <v>46091</v>
      </c>
      <c r="B49" s="15" t="s">
        <v>66</v>
      </c>
      <c r="C49" s="15" t="s">
        <v>12</v>
      </c>
      <c r="D49" s="15" t="s">
        <v>66</v>
      </c>
      <c r="E49" s="15" t="s">
        <v>17</v>
      </c>
      <c r="F49" s="15" t="s">
        <v>25</v>
      </c>
      <c r="G49" s="80">
        <v>7563.28</v>
      </c>
      <c r="H49" s="80"/>
      <c r="I49" s="15"/>
      <c r="J49" s="15" t="s">
        <v>546</v>
      </c>
      <c r="K49" s="80">
        <v>-6507.4699999999993</v>
      </c>
    </row>
    <row r="50" spans="1:11" x14ac:dyDescent="0.25">
      <c r="A50" s="79">
        <v>46091</v>
      </c>
      <c r="B50" s="15" t="s">
        <v>415</v>
      </c>
      <c r="C50" s="15" t="s">
        <v>12</v>
      </c>
      <c r="D50" s="15" t="s">
        <v>68</v>
      </c>
      <c r="E50" s="15" t="s">
        <v>17</v>
      </c>
      <c r="F50" s="15" t="s">
        <v>25</v>
      </c>
      <c r="G50" s="80">
        <v>450</v>
      </c>
      <c r="H50" s="80"/>
      <c r="I50" s="15"/>
      <c r="J50" s="15" t="s">
        <v>546</v>
      </c>
      <c r="K50" s="80">
        <v>-6957.4699999999993</v>
      </c>
    </row>
    <row r="51" spans="1:11" x14ac:dyDescent="0.25">
      <c r="A51" s="79">
        <v>46091</v>
      </c>
      <c r="B51" s="15" t="s">
        <v>348</v>
      </c>
      <c r="C51" s="15" t="s">
        <v>12</v>
      </c>
      <c r="D51" s="15" t="s">
        <v>19</v>
      </c>
      <c r="E51" s="15" t="s">
        <v>17</v>
      </c>
      <c r="F51" s="15"/>
      <c r="G51" s="80">
        <v>400.39</v>
      </c>
      <c r="H51" s="80"/>
      <c r="I51" s="15"/>
      <c r="J51" s="15" t="s">
        <v>546</v>
      </c>
      <c r="K51" s="80">
        <v>-7357.86</v>
      </c>
    </row>
    <row r="52" spans="1:11" x14ac:dyDescent="0.25">
      <c r="A52" s="79">
        <v>46091</v>
      </c>
      <c r="B52" s="15" t="s">
        <v>554</v>
      </c>
      <c r="C52" s="15" t="s">
        <v>12</v>
      </c>
      <c r="D52" s="15" t="s">
        <v>60</v>
      </c>
      <c r="E52" s="15" t="s">
        <v>17</v>
      </c>
      <c r="F52" s="15"/>
      <c r="G52" s="80">
        <v>432.89</v>
      </c>
      <c r="H52" s="80"/>
      <c r="I52" s="15"/>
      <c r="J52" s="15" t="s">
        <v>546</v>
      </c>
      <c r="K52" s="80">
        <v>-7790.75</v>
      </c>
    </row>
    <row r="53" spans="1:11" x14ac:dyDescent="0.25">
      <c r="A53" s="79">
        <v>46091</v>
      </c>
      <c r="B53" s="15" t="s">
        <v>30</v>
      </c>
      <c r="C53" s="15" t="s">
        <v>20</v>
      </c>
      <c r="D53" s="15" t="s">
        <v>13</v>
      </c>
      <c r="E53" s="15"/>
      <c r="F53" s="15"/>
      <c r="G53" s="80">
        <v>1319</v>
      </c>
      <c r="H53" s="80"/>
      <c r="I53" s="15"/>
      <c r="J53" s="15" t="s">
        <v>546</v>
      </c>
      <c r="K53" s="80">
        <v>-6471.75</v>
      </c>
    </row>
    <row r="54" spans="1:11" hidden="1" x14ac:dyDescent="0.25">
      <c r="A54" s="79">
        <v>46091</v>
      </c>
      <c r="B54" s="15" t="s">
        <v>22</v>
      </c>
      <c r="C54" s="15" t="s">
        <v>20</v>
      </c>
      <c r="D54" s="15" t="s">
        <v>22</v>
      </c>
      <c r="E54" s="15" t="s">
        <v>17</v>
      </c>
      <c r="F54" s="15"/>
      <c r="G54" s="80">
        <v>92.6</v>
      </c>
      <c r="H54" s="80"/>
      <c r="I54" s="15"/>
      <c r="J54" s="15" t="s">
        <v>546</v>
      </c>
      <c r="K54" s="80">
        <v>-6379.15</v>
      </c>
    </row>
    <row r="55" spans="1:11" x14ac:dyDescent="0.25">
      <c r="A55" s="79">
        <v>46091</v>
      </c>
      <c r="B55" s="15" t="s">
        <v>45</v>
      </c>
      <c r="C55" s="15" t="s">
        <v>12</v>
      </c>
      <c r="D55" s="15" t="s">
        <v>24</v>
      </c>
      <c r="E55" s="15" t="s">
        <v>17</v>
      </c>
      <c r="F55" s="15" t="s">
        <v>25</v>
      </c>
      <c r="G55" s="80">
        <v>26</v>
      </c>
      <c r="H55" s="80"/>
      <c r="I55" s="15"/>
      <c r="J55" s="15" t="s">
        <v>546</v>
      </c>
      <c r="K55" s="80">
        <v>-6405.15</v>
      </c>
    </row>
    <row r="56" spans="1:11" x14ac:dyDescent="0.25">
      <c r="A56" s="79">
        <v>46091</v>
      </c>
      <c r="B56" s="15" t="s">
        <v>364</v>
      </c>
      <c r="C56" s="15" t="s">
        <v>12</v>
      </c>
      <c r="D56" s="15" t="s">
        <v>19</v>
      </c>
      <c r="E56" s="15" t="s">
        <v>17</v>
      </c>
      <c r="F56" s="15" t="s">
        <v>25</v>
      </c>
      <c r="G56" s="80">
        <v>672.88</v>
      </c>
      <c r="H56" s="80"/>
      <c r="I56" s="15"/>
      <c r="J56" s="15" t="s">
        <v>546</v>
      </c>
      <c r="K56" s="80">
        <v>-7078.03</v>
      </c>
    </row>
    <row r="57" spans="1:11" x14ac:dyDescent="0.25">
      <c r="A57" s="79">
        <v>46091</v>
      </c>
      <c r="B57" s="15" t="s">
        <v>555</v>
      </c>
      <c r="C57" s="15" t="s">
        <v>12</v>
      </c>
      <c r="D57" s="15" t="s">
        <v>58</v>
      </c>
      <c r="E57" s="15" t="s">
        <v>17</v>
      </c>
      <c r="F57" s="15"/>
      <c r="G57" s="80">
        <v>10491.39</v>
      </c>
      <c r="H57" s="80"/>
      <c r="I57" s="15"/>
      <c r="J57" s="15" t="s">
        <v>546</v>
      </c>
      <c r="K57" s="80">
        <v>-17569.419999999998</v>
      </c>
    </row>
    <row r="58" spans="1:11" x14ac:dyDescent="0.25">
      <c r="A58" s="79">
        <v>46091</v>
      </c>
      <c r="B58" s="15" t="s">
        <v>393</v>
      </c>
      <c r="C58" s="15" t="s">
        <v>12</v>
      </c>
      <c r="D58" s="15" t="s">
        <v>19</v>
      </c>
      <c r="E58" s="15" t="s">
        <v>14</v>
      </c>
      <c r="F58" s="15" t="s">
        <v>15</v>
      </c>
      <c r="G58" s="80">
        <v>0</v>
      </c>
      <c r="H58" s="80"/>
      <c r="I58" s="15"/>
      <c r="J58" s="15" t="s">
        <v>546</v>
      </c>
      <c r="K58" s="80">
        <v>-17569.419999999998</v>
      </c>
    </row>
    <row r="59" spans="1:11" x14ac:dyDescent="0.25">
      <c r="A59" s="79">
        <v>46091</v>
      </c>
      <c r="B59" s="15" t="s">
        <v>556</v>
      </c>
      <c r="C59" s="15" t="s">
        <v>12</v>
      </c>
      <c r="D59" s="15" t="s">
        <v>19</v>
      </c>
      <c r="E59" s="15" t="s">
        <v>17</v>
      </c>
      <c r="F59" s="15" t="s">
        <v>25</v>
      </c>
      <c r="G59" s="80">
        <v>382.5</v>
      </c>
      <c r="H59" s="80"/>
      <c r="I59" s="15"/>
      <c r="J59" s="15" t="s">
        <v>546</v>
      </c>
      <c r="K59" s="80">
        <v>-17951.919999999998</v>
      </c>
    </row>
    <row r="60" spans="1:11" x14ac:dyDescent="0.25">
      <c r="A60" s="79">
        <v>46092</v>
      </c>
      <c r="B60" s="15" t="s">
        <v>30</v>
      </c>
      <c r="C60" s="15" t="s">
        <v>20</v>
      </c>
      <c r="D60" s="15" t="s">
        <v>13</v>
      </c>
      <c r="E60" s="15"/>
      <c r="F60" s="15"/>
      <c r="G60" s="80">
        <v>430</v>
      </c>
      <c r="H60" s="80"/>
      <c r="I60" s="15"/>
      <c r="J60" s="15" t="s">
        <v>546</v>
      </c>
      <c r="K60" s="80">
        <v>-17521.919999999998</v>
      </c>
    </row>
    <row r="61" spans="1:11" hidden="1" x14ac:dyDescent="0.25">
      <c r="A61" s="79">
        <v>46092</v>
      </c>
      <c r="B61" s="15" t="s">
        <v>44</v>
      </c>
      <c r="C61" s="15" t="s">
        <v>20</v>
      </c>
      <c r="D61" s="15" t="s">
        <v>22</v>
      </c>
      <c r="E61" s="15" t="s">
        <v>17</v>
      </c>
      <c r="F61" s="15"/>
      <c r="G61" s="80">
        <v>0</v>
      </c>
      <c r="H61" s="80"/>
      <c r="I61" s="15"/>
      <c r="J61" s="15" t="s">
        <v>546</v>
      </c>
      <c r="K61" s="80">
        <v>-17521.919999999998</v>
      </c>
    </row>
    <row r="62" spans="1:11" x14ac:dyDescent="0.25">
      <c r="A62" s="79">
        <v>46092</v>
      </c>
      <c r="B62" s="15" t="s">
        <v>45</v>
      </c>
      <c r="C62" s="15" t="s">
        <v>12</v>
      </c>
      <c r="D62" s="15" t="s">
        <v>24</v>
      </c>
      <c r="E62" s="15" t="s">
        <v>17</v>
      </c>
      <c r="F62" s="15" t="s">
        <v>25</v>
      </c>
      <c r="G62" s="80">
        <v>0</v>
      </c>
      <c r="H62" s="80"/>
      <c r="I62" s="15"/>
      <c r="J62" s="15" t="s">
        <v>546</v>
      </c>
      <c r="K62" s="80">
        <v>-17521.919999999998</v>
      </c>
    </row>
    <row r="63" spans="1:11" x14ac:dyDescent="0.25">
      <c r="A63" s="79">
        <v>46092</v>
      </c>
      <c r="B63" s="15" t="s">
        <v>393</v>
      </c>
      <c r="C63" s="15" t="s">
        <v>12</v>
      </c>
      <c r="D63" s="15" t="s">
        <v>19</v>
      </c>
      <c r="E63" s="15" t="s">
        <v>14</v>
      </c>
      <c r="F63" s="15" t="s">
        <v>15</v>
      </c>
      <c r="G63" s="80">
        <v>188</v>
      </c>
      <c r="H63" s="80"/>
      <c r="I63" s="15"/>
      <c r="J63" s="15" t="s">
        <v>546</v>
      </c>
      <c r="K63" s="80">
        <v>-17709.919999999998</v>
      </c>
    </row>
    <row r="64" spans="1:11" x14ac:dyDescent="0.25">
      <c r="A64" s="79">
        <v>46093</v>
      </c>
      <c r="B64" s="15" t="s">
        <v>557</v>
      </c>
      <c r="C64" s="15" t="s">
        <v>12</v>
      </c>
      <c r="D64" s="15" t="s">
        <v>62</v>
      </c>
      <c r="E64" s="15" t="s">
        <v>17</v>
      </c>
      <c r="F64" s="15" t="s">
        <v>25</v>
      </c>
      <c r="G64" s="80">
        <v>45</v>
      </c>
      <c r="H64" s="80"/>
      <c r="I64" s="15"/>
      <c r="J64" s="15" t="s">
        <v>546</v>
      </c>
      <c r="K64" s="80">
        <v>-17754.919999999998</v>
      </c>
    </row>
    <row r="65" spans="1:11" x14ac:dyDescent="0.25">
      <c r="A65" s="79">
        <v>46094</v>
      </c>
      <c r="B65" s="15" t="s">
        <v>13</v>
      </c>
      <c r="C65" s="15" t="s">
        <v>20</v>
      </c>
      <c r="D65" s="15" t="s">
        <v>13</v>
      </c>
      <c r="E65" s="15"/>
      <c r="F65" s="15"/>
      <c r="G65" s="80">
        <v>1029</v>
      </c>
      <c r="H65" s="80"/>
      <c r="I65" s="15"/>
      <c r="J65" s="15" t="s">
        <v>546</v>
      </c>
      <c r="K65" s="80">
        <v>-16680.919999999998</v>
      </c>
    </row>
    <row r="66" spans="1:11" hidden="1" x14ac:dyDescent="0.25">
      <c r="A66" s="79">
        <v>46093</v>
      </c>
      <c r="B66" s="15" t="s">
        <v>21</v>
      </c>
      <c r="C66" s="15" t="s">
        <v>20</v>
      </c>
      <c r="D66" s="15" t="s">
        <v>22</v>
      </c>
      <c r="E66" s="15" t="s">
        <v>17</v>
      </c>
      <c r="F66" s="15"/>
      <c r="G66" s="80">
        <v>101.5</v>
      </c>
      <c r="H66" s="80"/>
      <c r="I66" s="15"/>
      <c r="J66" s="15" t="s">
        <v>546</v>
      </c>
      <c r="K66" s="80">
        <v>-16579.419999999998</v>
      </c>
    </row>
    <row r="67" spans="1:11" x14ac:dyDescent="0.25">
      <c r="A67" s="79">
        <v>46093</v>
      </c>
      <c r="B67" s="15" t="s">
        <v>23</v>
      </c>
      <c r="C67" s="15" t="s">
        <v>12</v>
      </c>
      <c r="D67" s="15" t="s">
        <v>24</v>
      </c>
      <c r="E67" s="15" t="s">
        <v>17</v>
      </c>
      <c r="F67" s="15" t="s">
        <v>25</v>
      </c>
      <c r="G67" s="80">
        <v>25</v>
      </c>
      <c r="H67" s="80"/>
      <c r="I67" s="15"/>
      <c r="J67" s="15" t="s">
        <v>546</v>
      </c>
      <c r="K67" s="80">
        <v>-16604.419999999998</v>
      </c>
    </row>
    <row r="68" spans="1:11" x14ac:dyDescent="0.25">
      <c r="A68" s="79">
        <v>46093</v>
      </c>
      <c r="B68" s="15" t="s">
        <v>11</v>
      </c>
      <c r="C68" s="15" t="s">
        <v>12</v>
      </c>
      <c r="D68" s="15" t="s">
        <v>19</v>
      </c>
      <c r="E68" s="15" t="s">
        <v>14</v>
      </c>
      <c r="F68" s="15" t="s">
        <v>15</v>
      </c>
      <c r="G68" s="80">
        <v>0</v>
      </c>
      <c r="H68" s="80"/>
      <c r="I68" s="15"/>
      <c r="J68" s="15" t="s">
        <v>546</v>
      </c>
      <c r="K68" s="80">
        <v>-16604.419999999998</v>
      </c>
    </row>
    <row r="69" spans="1:11" x14ac:dyDescent="0.25">
      <c r="A69" s="79">
        <v>46093</v>
      </c>
      <c r="B69" s="15" t="s">
        <v>308</v>
      </c>
      <c r="C69" s="15" t="s">
        <v>12</v>
      </c>
      <c r="D69" s="15" t="s">
        <v>19</v>
      </c>
      <c r="E69" s="15" t="s">
        <v>17</v>
      </c>
      <c r="F69" s="15"/>
      <c r="G69" s="80">
        <v>1022.5</v>
      </c>
      <c r="H69" s="80"/>
      <c r="I69" s="15"/>
      <c r="J69" s="15" t="s">
        <v>546</v>
      </c>
      <c r="K69" s="80">
        <v>-17626.919999999998</v>
      </c>
    </row>
    <row r="70" spans="1:11" x14ac:dyDescent="0.25">
      <c r="A70" s="79">
        <v>46093</v>
      </c>
      <c r="B70" s="15" t="s">
        <v>516</v>
      </c>
      <c r="C70" s="15" t="s">
        <v>12</v>
      </c>
      <c r="D70" s="15" t="s">
        <v>27</v>
      </c>
      <c r="E70" s="15" t="s">
        <v>17</v>
      </c>
      <c r="F70" s="15"/>
      <c r="G70" s="80">
        <v>72</v>
      </c>
      <c r="H70" s="80"/>
      <c r="I70" s="15"/>
      <c r="J70" s="15" t="s">
        <v>546</v>
      </c>
      <c r="K70" s="80">
        <v>-17698.919999999998</v>
      </c>
    </row>
    <row r="71" spans="1:11" x14ac:dyDescent="0.25">
      <c r="A71" s="79">
        <v>46094</v>
      </c>
      <c r="B71" s="15" t="s">
        <v>13</v>
      </c>
      <c r="C71" s="15" t="s">
        <v>20</v>
      </c>
      <c r="D71" s="15" t="s">
        <v>13</v>
      </c>
      <c r="E71" s="15"/>
      <c r="F71" s="15"/>
      <c r="G71" s="80">
        <v>1413</v>
      </c>
      <c r="H71" s="80"/>
      <c r="I71" s="15"/>
      <c r="J71" s="15" t="s">
        <v>546</v>
      </c>
      <c r="K71" s="80">
        <v>-16285.92</v>
      </c>
    </row>
    <row r="72" spans="1:11" hidden="1" x14ac:dyDescent="0.25">
      <c r="A72" s="79">
        <v>46066</v>
      </c>
      <c r="B72" s="15" t="s">
        <v>21</v>
      </c>
      <c r="C72" s="15" t="s">
        <v>20</v>
      </c>
      <c r="D72" s="15" t="s">
        <v>22</v>
      </c>
      <c r="E72" s="15" t="s">
        <v>17</v>
      </c>
      <c r="F72" s="15"/>
      <c r="G72" s="80">
        <v>39</v>
      </c>
      <c r="H72" s="80"/>
      <c r="I72" s="15"/>
      <c r="J72" s="15" t="s">
        <v>449</v>
      </c>
      <c r="K72" s="80">
        <v>-16246.92</v>
      </c>
    </row>
    <row r="73" spans="1:11" x14ac:dyDescent="0.25">
      <c r="A73" s="79">
        <v>46094</v>
      </c>
      <c r="B73" s="15" t="s">
        <v>23</v>
      </c>
      <c r="C73" s="15" t="s">
        <v>12</v>
      </c>
      <c r="D73" s="15" t="s">
        <v>24</v>
      </c>
      <c r="E73" s="15" t="s">
        <v>17</v>
      </c>
      <c r="F73" s="15" t="s">
        <v>25</v>
      </c>
      <c r="G73" s="80">
        <v>18</v>
      </c>
      <c r="H73" s="80"/>
      <c r="I73" s="15"/>
      <c r="J73" s="15" t="s">
        <v>546</v>
      </c>
      <c r="K73" s="80">
        <v>-16264.92</v>
      </c>
    </row>
    <row r="74" spans="1:11" x14ac:dyDescent="0.25">
      <c r="A74" s="79">
        <v>46094</v>
      </c>
      <c r="B74" s="15" t="s">
        <v>11</v>
      </c>
      <c r="C74" s="15" t="s">
        <v>12</v>
      </c>
      <c r="D74" s="15" t="s">
        <v>19</v>
      </c>
      <c r="E74" s="15" t="s">
        <v>14</v>
      </c>
      <c r="F74" s="15" t="s">
        <v>15</v>
      </c>
      <c r="G74" s="80">
        <v>329</v>
      </c>
      <c r="H74" s="80"/>
      <c r="I74" s="15"/>
      <c r="J74" s="15" t="s">
        <v>546</v>
      </c>
      <c r="K74" s="80">
        <v>-16593.919999999998</v>
      </c>
    </row>
    <row r="75" spans="1:11" x14ac:dyDescent="0.25">
      <c r="A75" s="79">
        <v>46095</v>
      </c>
      <c r="B75" s="15" t="s">
        <v>30</v>
      </c>
      <c r="C75" s="15" t="s">
        <v>20</v>
      </c>
      <c r="D75" s="15" t="s">
        <v>13</v>
      </c>
      <c r="E75" s="15"/>
      <c r="F75" s="15"/>
      <c r="G75" s="80">
        <v>7378</v>
      </c>
      <c r="H75" s="80"/>
      <c r="I75" s="15"/>
      <c r="J75" s="15" t="s">
        <v>546</v>
      </c>
      <c r="K75" s="80">
        <v>-9215.9199999999983</v>
      </c>
    </row>
    <row r="76" spans="1:11" hidden="1" x14ac:dyDescent="0.25">
      <c r="A76" s="79">
        <v>46095</v>
      </c>
      <c r="B76" s="15" t="s">
        <v>21</v>
      </c>
      <c r="C76" s="15" t="s">
        <v>20</v>
      </c>
      <c r="D76" s="15" t="s">
        <v>22</v>
      </c>
      <c r="E76" s="15" t="s">
        <v>17</v>
      </c>
      <c r="F76" s="15"/>
      <c r="G76" s="80">
        <v>308.39999999999998</v>
      </c>
      <c r="H76" s="80"/>
      <c r="I76" s="15"/>
      <c r="J76" s="15" t="s">
        <v>546</v>
      </c>
      <c r="K76" s="80">
        <v>-8907.5199999999986</v>
      </c>
    </row>
    <row r="77" spans="1:11" x14ac:dyDescent="0.25">
      <c r="A77" s="79">
        <v>46095</v>
      </c>
      <c r="B77" s="15" t="s">
        <v>23</v>
      </c>
      <c r="C77" s="15" t="s">
        <v>12</v>
      </c>
      <c r="D77" s="15" t="s">
        <v>24</v>
      </c>
      <c r="E77" s="15" t="s">
        <v>17</v>
      </c>
      <c r="F77" s="15" t="s">
        <v>25</v>
      </c>
      <c r="G77" s="80">
        <v>35</v>
      </c>
      <c r="H77" s="80"/>
      <c r="I77" s="15"/>
      <c r="J77" s="15" t="s">
        <v>546</v>
      </c>
      <c r="K77" s="80">
        <v>-8942.5199999999986</v>
      </c>
    </row>
    <row r="78" spans="1:11" x14ac:dyDescent="0.25">
      <c r="A78" s="79">
        <v>46096</v>
      </c>
      <c r="B78" s="15" t="s">
        <v>30</v>
      </c>
      <c r="C78" s="15" t="s">
        <v>20</v>
      </c>
      <c r="D78" s="15" t="s">
        <v>13</v>
      </c>
      <c r="E78" s="15"/>
      <c r="F78" s="15"/>
      <c r="G78" s="80">
        <v>7131</v>
      </c>
      <c r="H78" s="80"/>
      <c r="I78" s="15"/>
      <c r="J78" s="15" t="s">
        <v>546</v>
      </c>
      <c r="K78" s="80">
        <v>-1811.5199999999991</v>
      </c>
    </row>
    <row r="79" spans="1:11" hidden="1" x14ac:dyDescent="0.25">
      <c r="A79" s="79">
        <v>46096</v>
      </c>
      <c r="B79" s="15" t="s">
        <v>460</v>
      </c>
      <c r="C79" s="15" t="s">
        <v>20</v>
      </c>
      <c r="D79" s="15" t="s">
        <v>22</v>
      </c>
      <c r="E79" s="15" t="s">
        <v>17</v>
      </c>
      <c r="F79" s="15"/>
      <c r="G79" s="80">
        <v>507.5</v>
      </c>
      <c r="H79" s="80"/>
      <c r="I79" s="15"/>
      <c r="J79" s="15" t="s">
        <v>546</v>
      </c>
      <c r="K79" s="80">
        <v>-1304.0199999999991</v>
      </c>
    </row>
    <row r="80" spans="1:11" x14ac:dyDescent="0.25">
      <c r="A80" s="79">
        <v>46096</v>
      </c>
      <c r="B80" s="15" t="s">
        <v>23</v>
      </c>
      <c r="C80" s="15" t="s">
        <v>12</v>
      </c>
      <c r="D80" s="15" t="s">
        <v>24</v>
      </c>
      <c r="E80" s="15" t="s">
        <v>17</v>
      </c>
      <c r="F80" s="15" t="s">
        <v>25</v>
      </c>
      <c r="G80" s="80">
        <v>89</v>
      </c>
      <c r="H80" s="80"/>
      <c r="I80" s="15"/>
      <c r="J80" s="15" t="s">
        <v>546</v>
      </c>
      <c r="K80" s="80">
        <v>-1393.0199999999991</v>
      </c>
    </row>
    <row r="81" spans="1:11" x14ac:dyDescent="0.25">
      <c r="A81" s="79">
        <v>46096</v>
      </c>
      <c r="B81" s="15" t="s">
        <v>11</v>
      </c>
      <c r="C81" s="15" t="s">
        <v>12</v>
      </c>
      <c r="D81" s="15" t="s">
        <v>19</v>
      </c>
      <c r="E81" s="15" t="s">
        <v>14</v>
      </c>
      <c r="F81" s="15" t="s">
        <v>15</v>
      </c>
      <c r="G81" s="80">
        <v>94</v>
      </c>
      <c r="H81" s="80"/>
      <c r="I81" s="15"/>
      <c r="J81" s="15" t="s">
        <v>546</v>
      </c>
      <c r="K81" s="80">
        <v>-1487.0199999999991</v>
      </c>
    </row>
    <row r="82" spans="1:11" x14ac:dyDescent="0.25">
      <c r="A82" s="79">
        <v>46097</v>
      </c>
      <c r="B82" s="15" t="s">
        <v>308</v>
      </c>
      <c r="C82" s="15" t="s">
        <v>12</v>
      </c>
      <c r="D82" s="15" t="s">
        <v>19</v>
      </c>
      <c r="E82" s="15" t="s">
        <v>17</v>
      </c>
      <c r="F82" s="15"/>
      <c r="G82" s="80">
        <v>5051.91</v>
      </c>
      <c r="H82" s="80"/>
      <c r="I82" s="15"/>
      <c r="J82" s="15" t="s">
        <v>546</v>
      </c>
      <c r="K82" s="80">
        <v>-6538.9299999999976</v>
      </c>
    </row>
    <row r="83" spans="1:11" x14ac:dyDescent="0.25">
      <c r="A83" s="79">
        <v>46097</v>
      </c>
      <c r="B83" s="15" t="s">
        <v>558</v>
      </c>
      <c r="C83" s="15" t="s">
        <v>12</v>
      </c>
      <c r="D83" s="15" t="s">
        <v>27</v>
      </c>
      <c r="E83" s="15" t="s">
        <v>17</v>
      </c>
      <c r="F83" s="15"/>
      <c r="G83" s="80">
        <v>202.8</v>
      </c>
      <c r="H83" s="80"/>
      <c r="I83" s="15"/>
      <c r="J83" s="15" t="s">
        <v>546</v>
      </c>
      <c r="K83" s="80">
        <v>-6741.7299999999987</v>
      </c>
    </row>
    <row r="84" spans="1:11" x14ac:dyDescent="0.25">
      <c r="A84" s="79">
        <v>46097</v>
      </c>
      <c r="B84" s="15" t="s">
        <v>361</v>
      </c>
      <c r="C84" s="15" t="s">
        <v>12</v>
      </c>
      <c r="D84" s="15" t="s">
        <v>39</v>
      </c>
      <c r="E84" s="15" t="s">
        <v>17</v>
      </c>
      <c r="F84" s="15" t="s">
        <v>25</v>
      </c>
      <c r="G84" s="80">
        <v>99.9</v>
      </c>
      <c r="H84" s="80"/>
      <c r="I84" s="15"/>
      <c r="J84" s="15" t="s">
        <v>546</v>
      </c>
      <c r="K84" s="80">
        <v>-6841.6299999999983</v>
      </c>
    </row>
    <row r="85" spans="1:11" x14ac:dyDescent="0.25">
      <c r="A85" s="79">
        <v>46097</v>
      </c>
      <c r="B85" s="15" t="s">
        <v>393</v>
      </c>
      <c r="C85" s="15" t="s">
        <v>12</v>
      </c>
      <c r="D85" s="15" t="s">
        <v>19</v>
      </c>
      <c r="E85" s="15" t="s">
        <v>14</v>
      </c>
      <c r="F85" s="15" t="s">
        <v>15</v>
      </c>
      <c r="G85" s="80">
        <v>194</v>
      </c>
      <c r="H85" s="80"/>
      <c r="I85" s="15"/>
      <c r="J85" s="15" t="s">
        <v>546</v>
      </c>
      <c r="K85" s="80">
        <v>-7035.6299999999983</v>
      </c>
    </row>
    <row r="86" spans="1:11" x14ac:dyDescent="0.25">
      <c r="A86" s="79">
        <v>46097</v>
      </c>
      <c r="B86" s="15" t="s">
        <v>30</v>
      </c>
      <c r="C86" s="15" t="s">
        <v>20</v>
      </c>
      <c r="D86" s="15" t="s">
        <v>13</v>
      </c>
      <c r="E86" s="15"/>
      <c r="F86" s="15"/>
      <c r="G86" s="80">
        <v>1352</v>
      </c>
      <c r="H86" s="80"/>
      <c r="I86" s="15"/>
      <c r="J86" s="15" t="s">
        <v>546</v>
      </c>
      <c r="K86" s="80">
        <v>-5683.6299999999983</v>
      </c>
    </row>
    <row r="87" spans="1:11" hidden="1" x14ac:dyDescent="0.25">
      <c r="A87" s="79">
        <v>46097</v>
      </c>
      <c r="B87" s="15" t="s">
        <v>44</v>
      </c>
      <c r="C87" s="15" t="s">
        <v>20</v>
      </c>
      <c r="D87" s="15" t="s">
        <v>22</v>
      </c>
      <c r="E87" s="15" t="s">
        <v>17</v>
      </c>
      <c r="F87" s="15"/>
      <c r="G87" s="80">
        <v>114.3</v>
      </c>
      <c r="H87" s="80"/>
      <c r="I87" s="15"/>
      <c r="J87" s="15" t="s">
        <v>546</v>
      </c>
      <c r="K87" s="80">
        <v>-5569.3299999999981</v>
      </c>
    </row>
    <row r="88" spans="1:11" x14ac:dyDescent="0.25">
      <c r="A88" s="79">
        <v>46097</v>
      </c>
      <c r="B88" s="15" t="s">
        <v>23</v>
      </c>
      <c r="C88" s="15" t="s">
        <v>12</v>
      </c>
      <c r="D88" s="15" t="s">
        <v>24</v>
      </c>
      <c r="E88" s="15" t="s">
        <v>17</v>
      </c>
      <c r="F88" s="15" t="s">
        <v>25</v>
      </c>
      <c r="G88" s="80">
        <v>27</v>
      </c>
      <c r="H88" s="80"/>
      <c r="I88" s="15"/>
      <c r="J88" s="15" t="s">
        <v>546</v>
      </c>
      <c r="K88" s="80">
        <v>-5596.3299999999981</v>
      </c>
    </row>
    <row r="89" spans="1:11" x14ac:dyDescent="0.25">
      <c r="A89" s="79">
        <v>46097</v>
      </c>
      <c r="B89" s="15" t="s">
        <v>559</v>
      </c>
      <c r="C89" s="15" t="s">
        <v>12</v>
      </c>
      <c r="D89" s="15" t="s">
        <v>62</v>
      </c>
      <c r="E89" s="15" t="s">
        <v>17</v>
      </c>
      <c r="F89" s="15" t="s">
        <v>25</v>
      </c>
      <c r="G89" s="80">
        <v>189.91</v>
      </c>
      <c r="H89" s="80"/>
      <c r="I89" s="15"/>
      <c r="J89" s="15" t="s">
        <v>546</v>
      </c>
      <c r="K89" s="80">
        <v>-5786.239999999998</v>
      </c>
    </row>
    <row r="90" spans="1:11" x14ac:dyDescent="0.25">
      <c r="A90" s="79">
        <v>46098</v>
      </c>
      <c r="B90" s="15" t="s">
        <v>13</v>
      </c>
      <c r="C90" s="15" t="s">
        <v>20</v>
      </c>
      <c r="D90" s="15" t="s">
        <v>13</v>
      </c>
      <c r="E90" s="15"/>
      <c r="F90" s="15"/>
      <c r="G90" s="80">
        <v>2049</v>
      </c>
      <c r="H90" s="80"/>
      <c r="I90" s="15"/>
      <c r="J90" s="15" t="s">
        <v>546</v>
      </c>
      <c r="K90" s="80">
        <v>-3737.239999999998</v>
      </c>
    </row>
    <row r="91" spans="1:11" hidden="1" x14ac:dyDescent="0.25">
      <c r="A91" s="79">
        <v>46098</v>
      </c>
      <c r="B91" s="15" t="s">
        <v>21</v>
      </c>
      <c r="C91" s="15" t="s">
        <v>20</v>
      </c>
      <c r="D91" s="15" t="s">
        <v>22</v>
      </c>
      <c r="E91" s="15" t="s">
        <v>17</v>
      </c>
      <c r="F91" s="15"/>
      <c r="G91" s="80">
        <v>73.099999999999994</v>
      </c>
      <c r="H91" s="80"/>
      <c r="I91" s="15"/>
      <c r="J91" s="15" t="s">
        <v>546</v>
      </c>
      <c r="K91" s="80">
        <v>-3664.1399999999981</v>
      </c>
    </row>
    <row r="92" spans="1:11" x14ac:dyDescent="0.25">
      <c r="A92" s="79">
        <v>46098</v>
      </c>
      <c r="B92" s="15" t="s">
        <v>23</v>
      </c>
      <c r="C92" s="15" t="s">
        <v>12</v>
      </c>
      <c r="D92" s="15" t="s">
        <v>24</v>
      </c>
      <c r="E92" s="15" t="s">
        <v>17</v>
      </c>
      <c r="F92" s="15" t="s">
        <v>25</v>
      </c>
      <c r="G92" s="80">
        <v>25</v>
      </c>
      <c r="H92" s="80"/>
      <c r="I92" s="15"/>
      <c r="J92" s="15" t="s">
        <v>546</v>
      </c>
      <c r="K92" s="80">
        <v>-3689.1399999999981</v>
      </c>
    </row>
    <row r="93" spans="1:11" x14ac:dyDescent="0.25">
      <c r="A93" s="79">
        <v>46098</v>
      </c>
      <c r="B93" s="15" t="s">
        <v>11</v>
      </c>
      <c r="C93" s="15" t="s">
        <v>12</v>
      </c>
      <c r="D93" s="15" t="s">
        <v>19</v>
      </c>
      <c r="E93" s="15" t="s">
        <v>14</v>
      </c>
      <c r="F93" s="15" t="s">
        <v>15</v>
      </c>
      <c r="G93" s="80">
        <v>94</v>
      </c>
      <c r="H93" s="80"/>
      <c r="I93" s="15"/>
      <c r="J93" s="15" t="s">
        <v>546</v>
      </c>
      <c r="K93" s="80">
        <v>-3783.1399999999981</v>
      </c>
    </row>
    <row r="94" spans="1:11" x14ac:dyDescent="0.25">
      <c r="A94" s="79">
        <v>46098</v>
      </c>
      <c r="B94" s="15" t="s">
        <v>308</v>
      </c>
      <c r="C94" s="15" t="s">
        <v>12</v>
      </c>
      <c r="D94" s="15" t="s">
        <v>19</v>
      </c>
      <c r="E94" s="15" t="s">
        <v>17</v>
      </c>
      <c r="F94" s="15"/>
      <c r="G94" s="80">
        <v>883.32</v>
      </c>
      <c r="H94" s="80"/>
      <c r="I94" s="15"/>
      <c r="J94" s="15" t="s">
        <v>546</v>
      </c>
      <c r="K94" s="80">
        <v>-4666.4599999999982</v>
      </c>
    </row>
    <row r="95" spans="1:11" x14ac:dyDescent="0.25">
      <c r="A95" s="79">
        <v>46098</v>
      </c>
      <c r="B95" s="15" t="s">
        <v>363</v>
      </c>
      <c r="C95" s="15" t="s">
        <v>12</v>
      </c>
      <c r="D95" s="15" t="s">
        <v>19</v>
      </c>
      <c r="E95" s="15" t="s">
        <v>17</v>
      </c>
      <c r="F95" s="15"/>
      <c r="G95" s="80">
        <v>2521.7399999999998</v>
      </c>
      <c r="H95" s="80"/>
      <c r="I95" s="15"/>
      <c r="J95" s="15" t="s">
        <v>546</v>
      </c>
      <c r="K95" s="80">
        <v>-7188.199999999998</v>
      </c>
    </row>
    <row r="96" spans="1:11" x14ac:dyDescent="0.25">
      <c r="A96" s="79">
        <v>46098</v>
      </c>
      <c r="B96" s="15" t="s">
        <v>560</v>
      </c>
      <c r="C96" s="15" t="s">
        <v>12</v>
      </c>
      <c r="D96" s="15" t="s">
        <v>29</v>
      </c>
      <c r="E96" s="15" t="s">
        <v>17</v>
      </c>
      <c r="F96" s="15" t="s">
        <v>25</v>
      </c>
      <c r="G96" s="80">
        <v>50</v>
      </c>
      <c r="H96" s="80"/>
      <c r="I96" s="15"/>
      <c r="J96" s="15" t="s">
        <v>546</v>
      </c>
      <c r="K96" s="80">
        <v>-7238.199999999998</v>
      </c>
    </row>
    <row r="97" spans="1:11" x14ac:dyDescent="0.25">
      <c r="A97" s="79">
        <v>46099</v>
      </c>
      <c r="B97" s="15" t="s">
        <v>397</v>
      </c>
      <c r="C97" s="15" t="s">
        <v>12</v>
      </c>
      <c r="D97" s="15" t="s">
        <v>19</v>
      </c>
      <c r="E97" s="15" t="s">
        <v>17</v>
      </c>
      <c r="F97" s="15"/>
      <c r="G97" s="80">
        <v>650</v>
      </c>
      <c r="H97" s="80"/>
      <c r="I97" s="15"/>
      <c r="J97" s="15" t="s">
        <v>546</v>
      </c>
      <c r="K97" s="80">
        <v>-7888.199999999998</v>
      </c>
    </row>
    <row r="98" spans="1:11" x14ac:dyDescent="0.25">
      <c r="A98" s="79">
        <v>46099</v>
      </c>
      <c r="B98" s="15" t="s">
        <v>561</v>
      </c>
      <c r="C98" s="15" t="s">
        <v>12</v>
      </c>
      <c r="D98" s="15" t="s">
        <v>19</v>
      </c>
      <c r="E98" s="15" t="s">
        <v>17</v>
      </c>
      <c r="F98" s="15"/>
      <c r="G98" s="80">
        <v>278</v>
      </c>
      <c r="H98" s="80"/>
      <c r="I98" s="15"/>
      <c r="J98" s="15" t="s">
        <v>546</v>
      </c>
      <c r="K98" s="80">
        <v>-8166.199999999998</v>
      </c>
    </row>
    <row r="99" spans="1:11" x14ac:dyDescent="0.25">
      <c r="A99" s="79">
        <v>46099</v>
      </c>
      <c r="B99" s="15" t="s">
        <v>393</v>
      </c>
      <c r="C99" s="15" t="s">
        <v>12</v>
      </c>
      <c r="D99" s="15" t="s">
        <v>19</v>
      </c>
      <c r="E99" s="15" t="s">
        <v>14</v>
      </c>
      <c r="F99" s="15" t="s">
        <v>15</v>
      </c>
      <c r="G99" s="80">
        <v>141</v>
      </c>
      <c r="H99" s="80"/>
      <c r="I99" s="15"/>
      <c r="J99" s="15" t="s">
        <v>546</v>
      </c>
      <c r="K99" s="80">
        <v>-8307.1999999999971</v>
      </c>
    </row>
    <row r="100" spans="1:11" x14ac:dyDescent="0.25">
      <c r="A100" s="79">
        <v>46099</v>
      </c>
      <c r="B100" s="15" t="s">
        <v>30</v>
      </c>
      <c r="C100" s="15" t="s">
        <v>20</v>
      </c>
      <c r="D100" s="15" t="s">
        <v>13</v>
      </c>
      <c r="E100" s="15"/>
      <c r="F100" s="15"/>
      <c r="G100" s="80">
        <v>1267</v>
      </c>
      <c r="H100" s="80"/>
      <c r="I100" s="15"/>
      <c r="J100" s="15" t="s">
        <v>546</v>
      </c>
      <c r="K100" s="80">
        <v>-7040.1999999999971</v>
      </c>
    </row>
    <row r="101" spans="1:11" hidden="1" x14ac:dyDescent="0.25">
      <c r="A101" s="79">
        <v>46099</v>
      </c>
      <c r="B101" s="15" t="s">
        <v>562</v>
      </c>
      <c r="C101" s="15" t="s">
        <v>20</v>
      </c>
      <c r="D101" s="15" t="s">
        <v>22</v>
      </c>
      <c r="E101" s="15" t="s">
        <v>17</v>
      </c>
      <c r="F101" s="15"/>
      <c r="G101" s="80">
        <v>380.4</v>
      </c>
      <c r="H101" s="80"/>
      <c r="I101" s="15"/>
      <c r="J101" s="15" t="s">
        <v>546</v>
      </c>
      <c r="K101" s="80">
        <v>-6659.7999999999975</v>
      </c>
    </row>
    <row r="102" spans="1:11" x14ac:dyDescent="0.25">
      <c r="A102" s="79">
        <v>46099</v>
      </c>
      <c r="B102" s="15" t="s">
        <v>45</v>
      </c>
      <c r="C102" s="15" t="s">
        <v>12</v>
      </c>
      <c r="D102" s="15" t="s">
        <v>24</v>
      </c>
      <c r="E102" s="15" t="s">
        <v>17</v>
      </c>
      <c r="F102" s="15" t="s">
        <v>25</v>
      </c>
      <c r="G102" s="80">
        <v>27</v>
      </c>
      <c r="H102" s="80"/>
      <c r="I102" s="15"/>
      <c r="J102" s="15" t="s">
        <v>546</v>
      </c>
      <c r="K102" s="80">
        <v>-6686.7999999999975</v>
      </c>
    </row>
    <row r="103" spans="1:11" x14ac:dyDescent="0.25">
      <c r="A103" s="79">
        <v>46100</v>
      </c>
      <c r="B103" s="15" t="s">
        <v>563</v>
      </c>
      <c r="C103" s="15" t="s">
        <v>12</v>
      </c>
      <c r="D103" s="15" t="s">
        <v>60</v>
      </c>
      <c r="E103" s="15" t="s">
        <v>14</v>
      </c>
      <c r="F103" s="15" t="s">
        <v>15</v>
      </c>
      <c r="G103" s="80">
        <v>270</v>
      </c>
      <c r="H103" s="80"/>
      <c r="I103" s="15"/>
      <c r="J103" s="15" t="s">
        <v>546</v>
      </c>
      <c r="K103" s="80">
        <v>-6956.7999999999975</v>
      </c>
    </row>
    <row r="104" spans="1:11" x14ac:dyDescent="0.25">
      <c r="A104" s="79">
        <v>46100</v>
      </c>
      <c r="B104" s="15" t="s">
        <v>13</v>
      </c>
      <c r="C104" s="15" t="s">
        <v>20</v>
      </c>
      <c r="D104" s="15" t="s">
        <v>13</v>
      </c>
      <c r="E104" s="15" t="s">
        <v>14</v>
      </c>
      <c r="F104" s="15"/>
      <c r="G104" s="80">
        <v>1885.3</v>
      </c>
      <c r="H104" s="80"/>
      <c r="I104" s="15"/>
      <c r="J104" s="15" t="s">
        <v>546</v>
      </c>
      <c r="K104" s="80">
        <v>-5071.4999999999973</v>
      </c>
    </row>
    <row r="105" spans="1:11" hidden="1" x14ac:dyDescent="0.25">
      <c r="A105" s="79">
        <v>46100</v>
      </c>
      <c r="B105" s="15" t="s">
        <v>21</v>
      </c>
      <c r="C105" s="15" t="s">
        <v>20</v>
      </c>
      <c r="D105" s="15" t="s">
        <v>22</v>
      </c>
      <c r="E105" s="15" t="s">
        <v>17</v>
      </c>
      <c r="F105" s="15"/>
      <c r="G105" s="80">
        <v>53.6</v>
      </c>
      <c r="H105" s="80"/>
      <c r="I105" s="15"/>
      <c r="J105" s="15" t="s">
        <v>546</v>
      </c>
      <c r="K105" s="80">
        <v>-5017.8999999999969</v>
      </c>
    </row>
    <row r="106" spans="1:11" x14ac:dyDescent="0.25">
      <c r="A106" s="79">
        <v>46100</v>
      </c>
      <c r="B106" s="15" t="s">
        <v>23</v>
      </c>
      <c r="C106" s="15" t="s">
        <v>12</v>
      </c>
      <c r="D106" s="15" t="s">
        <v>24</v>
      </c>
      <c r="E106" s="15" t="s">
        <v>17</v>
      </c>
      <c r="F106" s="15" t="s">
        <v>25</v>
      </c>
      <c r="G106" s="80">
        <v>18</v>
      </c>
      <c r="H106" s="80"/>
      <c r="I106" s="15"/>
      <c r="J106" s="15" t="s">
        <v>546</v>
      </c>
      <c r="K106" s="80">
        <v>-5035.8999999999969</v>
      </c>
    </row>
    <row r="107" spans="1:11" x14ac:dyDescent="0.25">
      <c r="A107" s="79">
        <v>46100</v>
      </c>
      <c r="B107" s="15" t="s">
        <v>11</v>
      </c>
      <c r="C107" s="15" t="s">
        <v>12</v>
      </c>
      <c r="D107" s="15" t="s">
        <v>19</v>
      </c>
      <c r="E107" s="15" t="s">
        <v>14</v>
      </c>
      <c r="F107" s="15" t="s">
        <v>15</v>
      </c>
      <c r="G107" s="80">
        <v>250</v>
      </c>
      <c r="H107" s="80"/>
      <c r="I107" s="15"/>
      <c r="J107" s="15" t="s">
        <v>546</v>
      </c>
      <c r="K107" s="80">
        <v>-5285.8999999999969</v>
      </c>
    </row>
    <row r="108" spans="1:11" x14ac:dyDescent="0.25">
      <c r="A108" s="79">
        <v>46100</v>
      </c>
      <c r="B108" s="15" t="s">
        <v>564</v>
      </c>
      <c r="C108" s="15" t="s">
        <v>12</v>
      </c>
      <c r="D108" s="15" t="s">
        <v>27</v>
      </c>
      <c r="E108" s="15" t="s">
        <v>17</v>
      </c>
      <c r="F108" s="15" t="s">
        <v>25</v>
      </c>
      <c r="G108" s="80">
        <v>3402.9</v>
      </c>
      <c r="H108" s="80"/>
      <c r="I108" s="15"/>
      <c r="J108" s="15" t="s">
        <v>546</v>
      </c>
      <c r="K108" s="80">
        <v>-8688.7999999999975</v>
      </c>
    </row>
    <row r="109" spans="1:11" x14ac:dyDescent="0.25">
      <c r="A109" s="79">
        <v>46101</v>
      </c>
      <c r="B109" s="15" t="s">
        <v>433</v>
      </c>
      <c r="C109" s="15" t="s">
        <v>12</v>
      </c>
      <c r="D109" s="15" t="s">
        <v>58</v>
      </c>
      <c r="E109" s="15" t="s">
        <v>17</v>
      </c>
      <c r="F109" s="15"/>
      <c r="G109" s="80">
        <v>1769.9</v>
      </c>
      <c r="H109" s="80"/>
      <c r="I109" s="15"/>
      <c r="J109" s="15" t="s">
        <v>546</v>
      </c>
      <c r="K109" s="80">
        <v>-10458.700000000001</v>
      </c>
    </row>
    <row r="110" spans="1:11" x14ac:dyDescent="0.25">
      <c r="A110" s="79">
        <v>46101</v>
      </c>
      <c r="B110" s="15" t="s">
        <v>299</v>
      </c>
      <c r="C110" s="15" t="s">
        <v>12</v>
      </c>
      <c r="D110" s="15" t="s">
        <v>58</v>
      </c>
      <c r="E110" s="15" t="s">
        <v>17</v>
      </c>
      <c r="F110" s="15"/>
      <c r="G110" s="80">
        <v>724.51</v>
      </c>
      <c r="H110" s="80"/>
      <c r="I110" s="15"/>
      <c r="J110" s="15" t="s">
        <v>546</v>
      </c>
      <c r="K110" s="80">
        <v>-11183.21</v>
      </c>
    </row>
    <row r="111" spans="1:11" x14ac:dyDescent="0.25">
      <c r="A111" s="79">
        <v>46101</v>
      </c>
      <c r="B111" s="15" t="s">
        <v>304</v>
      </c>
      <c r="C111" s="15" t="s">
        <v>12</v>
      </c>
      <c r="D111" s="15" t="s">
        <v>58</v>
      </c>
      <c r="E111" s="15" t="s">
        <v>17</v>
      </c>
      <c r="F111" s="15"/>
      <c r="G111" s="80">
        <v>767.67</v>
      </c>
      <c r="H111" s="80"/>
      <c r="I111" s="15"/>
      <c r="J111" s="15" t="s">
        <v>546</v>
      </c>
      <c r="K111" s="80">
        <v>-11950.88</v>
      </c>
    </row>
    <row r="112" spans="1:11" x14ac:dyDescent="0.25">
      <c r="A112" s="79">
        <v>46101</v>
      </c>
      <c r="B112" s="15" t="s">
        <v>305</v>
      </c>
      <c r="C112" s="15" t="s">
        <v>12</v>
      </c>
      <c r="D112" s="15" t="s">
        <v>58</v>
      </c>
      <c r="E112" s="15" t="s">
        <v>17</v>
      </c>
      <c r="F112" s="15"/>
      <c r="G112" s="80">
        <v>7323.66</v>
      </c>
      <c r="H112" s="80"/>
      <c r="I112" s="15"/>
      <c r="J112" s="15" t="s">
        <v>546</v>
      </c>
      <c r="K112" s="80">
        <v>-19274.54</v>
      </c>
    </row>
    <row r="113" spans="1:11" x14ac:dyDescent="0.25">
      <c r="A113" s="79">
        <v>46101</v>
      </c>
      <c r="B113" s="15" t="s">
        <v>30</v>
      </c>
      <c r="C113" s="15" t="s">
        <v>20</v>
      </c>
      <c r="D113" s="15" t="s">
        <v>13</v>
      </c>
      <c r="E113" s="15"/>
      <c r="F113" s="15"/>
      <c r="G113" s="80">
        <v>3970</v>
      </c>
      <c r="H113" s="80"/>
      <c r="I113" s="15"/>
      <c r="J113" s="15" t="s">
        <v>546</v>
      </c>
      <c r="K113" s="80">
        <v>-15304.54</v>
      </c>
    </row>
    <row r="114" spans="1:11" hidden="1" x14ac:dyDescent="0.25">
      <c r="A114" s="79">
        <v>46101</v>
      </c>
      <c r="B114" s="15" t="s">
        <v>44</v>
      </c>
      <c r="C114" s="15" t="s">
        <v>20</v>
      </c>
      <c r="D114" s="15" t="s">
        <v>22</v>
      </c>
      <c r="E114" s="15" t="s">
        <v>17</v>
      </c>
      <c r="F114" s="15"/>
      <c r="G114" s="80">
        <v>319.89999999999998</v>
      </c>
      <c r="H114" s="80"/>
      <c r="I114" s="15"/>
      <c r="J114" s="15" t="s">
        <v>546</v>
      </c>
      <c r="K114" s="80">
        <v>-14984.64</v>
      </c>
    </row>
    <row r="115" spans="1:11" x14ac:dyDescent="0.25">
      <c r="A115" s="79">
        <v>46101</v>
      </c>
      <c r="B115" s="15" t="s">
        <v>45</v>
      </c>
      <c r="C115" s="15" t="s">
        <v>12</v>
      </c>
      <c r="D115" s="15" t="s">
        <v>24</v>
      </c>
      <c r="E115" s="15" t="s">
        <v>17</v>
      </c>
      <c r="F115" s="15" t="s">
        <v>25</v>
      </c>
      <c r="G115" s="80">
        <v>63</v>
      </c>
      <c r="H115" s="80"/>
      <c r="I115" s="15"/>
      <c r="J115" s="15" t="s">
        <v>546</v>
      </c>
      <c r="K115" s="80">
        <v>-15047.64</v>
      </c>
    </row>
    <row r="116" spans="1:11" x14ac:dyDescent="0.25">
      <c r="A116" s="79">
        <v>46101</v>
      </c>
      <c r="B116" s="15" t="s">
        <v>393</v>
      </c>
      <c r="C116" s="15" t="s">
        <v>12</v>
      </c>
      <c r="D116" s="15" t="s">
        <v>19</v>
      </c>
      <c r="E116" s="15" t="s">
        <v>14</v>
      </c>
      <c r="F116" s="15" t="s">
        <v>15</v>
      </c>
      <c r="G116" s="80">
        <v>470</v>
      </c>
      <c r="H116" s="80"/>
      <c r="I116" s="15"/>
      <c r="J116" s="15" t="s">
        <v>546</v>
      </c>
      <c r="K116" s="80">
        <v>-15517.64</v>
      </c>
    </row>
    <row r="117" spans="1:11" x14ac:dyDescent="0.25">
      <c r="A117" s="79">
        <v>46102</v>
      </c>
      <c r="B117" s="15" t="s">
        <v>13</v>
      </c>
      <c r="C117" s="15" t="s">
        <v>20</v>
      </c>
      <c r="D117" s="15" t="s">
        <v>13</v>
      </c>
      <c r="E117" s="15"/>
      <c r="F117" s="15"/>
      <c r="G117" s="80">
        <v>9783</v>
      </c>
      <c r="H117" s="80"/>
      <c r="I117" s="15"/>
      <c r="J117" s="15" t="s">
        <v>546</v>
      </c>
      <c r="K117" s="80">
        <v>-5734.6399999999976</v>
      </c>
    </row>
    <row r="118" spans="1:11" hidden="1" x14ac:dyDescent="0.25">
      <c r="A118" s="79">
        <v>46102</v>
      </c>
      <c r="B118" s="15" t="s">
        <v>21</v>
      </c>
      <c r="C118" s="15" t="s">
        <v>20</v>
      </c>
      <c r="D118" s="15" t="s">
        <v>22</v>
      </c>
      <c r="E118" s="15" t="s">
        <v>17</v>
      </c>
      <c r="F118" s="15"/>
      <c r="G118" s="80">
        <v>294.89999999999998</v>
      </c>
      <c r="H118" s="80"/>
      <c r="I118" s="15"/>
      <c r="J118" s="15" t="s">
        <v>546</v>
      </c>
      <c r="K118" s="80">
        <v>-5439.739999999998</v>
      </c>
    </row>
    <row r="119" spans="1:11" x14ac:dyDescent="0.25">
      <c r="A119" s="79">
        <v>46102</v>
      </c>
      <c r="B119" s="15" t="s">
        <v>23</v>
      </c>
      <c r="C119" s="15" t="s">
        <v>12</v>
      </c>
      <c r="D119" s="15" t="s">
        <v>24</v>
      </c>
      <c r="E119" s="15" t="s">
        <v>17</v>
      </c>
      <c r="F119" s="15" t="s">
        <v>25</v>
      </c>
      <c r="G119" s="80">
        <v>36</v>
      </c>
      <c r="H119" s="80"/>
      <c r="I119" s="15"/>
      <c r="J119" s="15" t="s">
        <v>546</v>
      </c>
      <c r="K119" s="80">
        <v>-5475.739999999998</v>
      </c>
    </row>
    <row r="120" spans="1:11" x14ac:dyDescent="0.25">
      <c r="A120" s="79">
        <v>46103</v>
      </c>
      <c r="B120" s="15" t="s">
        <v>30</v>
      </c>
      <c r="C120" s="15" t="s">
        <v>20</v>
      </c>
      <c r="D120" s="15" t="s">
        <v>13</v>
      </c>
      <c r="E120" s="15"/>
      <c r="F120" s="15"/>
      <c r="G120" s="80">
        <v>7913</v>
      </c>
      <c r="H120" s="80"/>
      <c r="I120" s="15"/>
      <c r="J120" s="15" t="s">
        <v>546</v>
      </c>
      <c r="K120" s="80">
        <v>2437.260000000002</v>
      </c>
    </row>
    <row r="121" spans="1:11" hidden="1" x14ac:dyDescent="0.25">
      <c r="A121" s="79">
        <v>46103</v>
      </c>
      <c r="B121" s="15" t="s">
        <v>44</v>
      </c>
      <c r="C121" s="15" t="s">
        <v>20</v>
      </c>
      <c r="D121" s="15" t="s">
        <v>22</v>
      </c>
      <c r="E121" s="15" t="s">
        <v>17</v>
      </c>
      <c r="F121" s="15"/>
      <c r="G121" s="80">
        <v>243.8</v>
      </c>
      <c r="H121" s="80"/>
      <c r="I121" s="15"/>
      <c r="J121" s="15" t="s">
        <v>546</v>
      </c>
      <c r="K121" s="80">
        <v>2681.0600000000022</v>
      </c>
    </row>
    <row r="122" spans="1:11" x14ac:dyDescent="0.25">
      <c r="A122" s="79">
        <v>46103</v>
      </c>
      <c r="B122" s="15" t="s">
        <v>45</v>
      </c>
      <c r="C122" s="15" t="s">
        <v>12</v>
      </c>
      <c r="D122" s="15" t="s">
        <v>24</v>
      </c>
      <c r="E122" s="15" t="s">
        <v>17</v>
      </c>
      <c r="F122" s="15" t="s">
        <v>25</v>
      </c>
      <c r="G122" s="80">
        <v>54</v>
      </c>
      <c r="H122" s="80"/>
      <c r="I122" s="15"/>
      <c r="J122" s="15" t="s">
        <v>546</v>
      </c>
      <c r="K122" s="80">
        <v>2627.0600000000022</v>
      </c>
    </row>
    <row r="123" spans="1:11" x14ac:dyDescent="0.25">
      <c r="A123" s="79">
        <v>46103</v>
      </c>
      <c r="B123" s="15" t="s">
        <v>393</v>
      </c>
      <c r="C123" s="15" t="s">
        <v>12</v>
      </c>
      <c r="D123" s="15" t="s">
        <v>19</v>
      </c>
      <c r="E123" s="15" t="s">
        <v>14</v>
      </c>
      <c r="F123" s="15" t="s">
        <v>15</v>
      </c>
      <c r="G123" s="80">
        <v>235</v>
      </c>
      <c r="H123" s="80"/>
      <c r="I123" s="15"/>
      <c r="J123" s="15" t="s">
        <v>546</v>
      </c>
      <c r="K123" s="80">
        <v>2392.0600000000022</v>
      </c>
    </row>
    <row r="124" spans="1:11" x14ac:dyDescent="0.25">
      <c r="A124" s="79">
        <v>46104</v>
      </c>
      <c r="B124" s="15" t="s">
        <v>508</v>
      </c>
      <c r="C124" s="15" t="s">
        <v>12</v>
      </c>
      <c r="D124" s="15" t="s">
        <v>19</v>
      </c>
      <c r="E124" s="15" t="s">
        <v>17</v>
      </c>
      <c r="F124" s="15"/>
      <c r="G124" s="80">
        <v>1737.35</v>
      </c>
      <c r="H124" s="80"/>
      <c r="I124" s="15"/>
      <c r="J124" s="15" t="s">
        <v>546</v>
      </c>
      <c r="K124" s="80">
        <v>654.71000000000231</v>
      </c>
    </row>
    <row r="125" spans="1:11" x14ac:dyDescent="0.25">
      <c r="A125" s="79">
        <v>46104</v>
      </c>
      <c r="B125" s="15" t="s">
        <v>410</v>
      </c>
      <c r="C125" s="15" t="s">
        <v>12</v>
      </c>
      <c r="D125" s="15" t="s">
        <v>19</v>
      </c>
      <c r="E125" s="15" t="s">
        <v>17</v>
      </c>
      <c r="F125" s="15"/>
      <c r="G125" s="80">
        <v>323.39</v>
      </c>
      <c r="H125" s="80"/>
      <c r="I125" s="15"/>
      <c r="J125" s="15" t="s">
        <v>546</v>
      </c>
      <c r="K125" s="80">
        <v>331.32000000000232</v>
      </c>
    </row>
    <row r="126" spans="1:11" x14ac:dyDescent="0.25">
      <c r="A126" s="79">
        <v>46104</v>
      </c>
      <c r="B126" s="15" t="s">
        <v>30</v>
      </c>
      <c r="C126" s="15" t="s">
        <v>20</v>
      </c>
      <c r="D126" s="15" t="s">
        <v>13</v>
      </c>
      <c r="E126" s="15"/>
      <c r="F126" s="15"/>
      <c r="G126" s="80">
        <v>1436</v>
      </c>
      <c r="H126" s="80"/>
      <c r="I126" s="15"/>
      <c r="J126" s="15" t="s">
        <v>546</v>
      </c>
      <c r="K126" s="80">
        <v>1767.320000000002</v>
      </c>
    </row>
    <row r="127" spans="1:11" hidden="1" x14ac:dyDescent="0.25">
      <c r="A127" s="79">
        <v>46104</v>
      </c>
      <c r="B127" s="15" t="s">
        <v>44</v>
      </c>
      <c r="C127" s="15" t="s">
        <v>20</v>
      </c>
      <c r="D127" s="15" t="s">
        <v>22</v>
      </c>
      <c r="E127" s="15" t="s">
        <v>17</v>
      </c>
      <c r="F127" s="15"/>
      <c r="G127" s="80">
        <v>39</v>
      </c>
      <c r="H127" s="80"/>
      <c r="I127" s="15"/>
      <c r="J127" s="15" t="s">
        <v>546</v>
      </c>
      <c r="K127" s="80">
        <v>1806.320000000002</v>
      </c>
    </row>
    <row r="128" spans="1:11" x14ac:dyDescent="0.25">
      <c r="A128" s="79">
        <v>46104</v>
      </c>
      <c r="B128" s="15" t="s">
        <v>45</v>
      </c>
      <c r="C128" s="15" t="s">
        <v>12</v>
      </c>
      <c r="D128" s="15" t="s">
        <v>24</v>
      </c>
      <c r="E128" s="15" t="s">
        <v>17</v>
      </c>
      <c r="F128" s="15" t="s">
        <v>25</v>
      </c>
      <c r="G128" s="80">
        <v>9</v>
      </c>
      <c r="H128" s="80"/>
      <c r="I128" s="15"/>
      <c r="J128" s="15" t="s">
        <v>546</v>
      </c>
      <c r="K128" s="80">
        <v>1797.320000000002</v>
      </c>
    </row>
    <row r="129" spans="1:11" x14ac:dyDescent="0.25">
      <c r="A129" s="79">
        <v>46104</v>
      </c>
      <c r="B129" s="15" t="s">
        <v>565</v>
      </c>
      <c r="C129" s="15" t="s">
        <v>12</v>
      </c>
      <c r="D129" s="15" t="s">
        <v>62</v>
      </c>
      <c r="E129" s="15" t="s">
        <v>17</v>
      </c>
      <c r="F129" s="15" t="s">
        <v>25</v>
      </c>
      <c r="G129" s="80">
        <v>577.70000000000005</v>
      </c>
      <c r="H129" s="80"/>
      <c r="I129" s="15"/>
      <c r="J129" s="15" t="s">
        <v>546</v>
      </c>
      <c r="K129" s="80">
        <v>1219.6200000000019</v>
      </c>
    </row>
    <row r="130" spans="1:11" x14ac:dyDescent="0.25">
      <c r="A130" s="79">
        <v>46104</v>
      </c>
      <c r="B130" s="15" t="s">
        <v>457</v>
      </c>
      <c r="C130" s="15" t="s">
        <v>12</v>
      </c>
      <c r="D130" s="15" t="s">
        <v>60</v>
      </c>
      <c r="E130" s="15" t="s">
        <v>17</v>
      </c>
      <c r="F130" s="15" t="s">
        <v>25</v>
      </c>
      <c r="G130" s="80">
        <v>348</v>
      </c>
      <c r="H130" s="80"/>
      <c r="I130" s="15"/>
      <c r="J130" s="15" t="s">
        <v>546</v>
      </c>
      <c r="K130" s="80">
        <v>871.62000000000239</v>
      </c>
    </row>
    <row r="131" spans="1:11" x14ac:dyDescent="0.25">
      <c r="A131" s="79">
        <v>46105</v>
      </c>
      <c r="B131" s="15" t="s">
        <v>13</v>
      </c>
      <c r="C131" s="15" t="s">
        <v>20</v>
      </c>
      <c r="D131" s="15" t="s">
        <v>13</v>
      </c>
      <c r="E131" s="15"/>
      <c r="F131" s="15"/>
      <c r="G131" s="80">
        <v>1219</v>
      </c>
      <c r="H131" s="80"/>
      <c r="I131" s="15"/>
      <c r="J131" s="15" t="s">
        <v>546</v>
      </c>
      <c r="K131" s="80">
        <v>2090.6200000000031</v>
      </c>
    </row>
    <row r="132" spans="1:11" hidden="1" x14ac:dyDescent="0.25">
      <c r="A132" s="79">
        <v>46105</v>
      </c>
      <c r="B132" s="15" t="s">
        <v>460</v>
      </c>
      <c r="C132" s="15" t="s">
        <v>20</v>
      </c>
      <c r="D132" s="15" t="s">
        <v>22</v>
      </c>
      <c r="E132" s="15" t="s">
        <v>17</v>
      </c>
      <c r="F132" s="15"/>
      <c r="G132" s="80">
        <v>235.6</v>
      </c>
      <c r="H132" s="80"/>
      <c r="I132" s="15"/>
      <c r="J132" s="15" t="s">
        <v>546</v>
      </c>
      <c r="K132" s="80">
        <v>2326.220000000003</v>
      </c>
    </row>
    <row r="133" spans="1:11" x14ac:dyDescent="0.25">
      <c r="A133" s="79">
        <v>46105</v>
      </c>
      <c r="B133" s="15" t="s">
        <v>23</v>
      </c>
      <c r="C133" s="15" t="s">
        <v>12</v>
      </c>
      <c r="D133" s="15" t="s">
        <v>24</v>
      </c>
      <c r="E133" s="15" t="s">
        <v>14</v>
      </c>
      <c r="F133" s="15" t="s">
        <v>25</v>
      </c>
      <c r="G133" s="80">
        <v>18</v>
      </c>
      <c r="H133" s="80"/>
      <c r="I133" s="15"/>
      <c r="J133" s="15" t="s">
        <v>546</v>
      </c>
      <c r="K133" s="80">
        <v>2308.220000000003</v>
      </c>
    </row>
    <row r="134" spans="1:11" x14ac:dyDescent="0.25">
      <c r="A134" s="79">
        <v>46105</v>
      </c>
      <c r="B134" s="15" t="s">
        <v>551</v>
      </c>
      <c r="C134" s="15" t="s">
        <v>12</v>
      </c>
      <c r="D134" s="15" t="s">
        <v>62</v>
      </c>
      <c r="E134" s="15" t="s">
        <v>14</v>
      </c>
      <c r="F134" s="15" t="s">
        <v>15</v>
      </c>
      <c r="G134" s="80">
        <v>15</v>
      </c>
      <c r="H134" s="80"/>
      <c r="I134" s="15"/>
      <c r="J134" s="15" t="s">
        <v>546</v>
      </c>
      <c r="K134" s="80">
        <v>2293.220000000003</v>
      </c>
    </row>
    <row r="135" spans="1:11" x14ac:dyDescent="0.25">
      <c r="A135" s="79">
        <v>46105</v>
      </c>
      <c r="B135" s="15" t="s">
        <v>566</v>
      </c>
      <c r="C135" s="15" t="s">
        <v>12</v>
      </c>
      <c r="D135" s="15" t="s">
        <v>29</v>
      </c>
      <c r="E135" s="15" t="s">
        <v>17</v>
      </c>
      <c r="F135" s="15" t="s">
        <v>25</v>
      </c>
      <c r="G135" s="80">
        <v>70</v>
      </c>
      <c r="H135" s="80"/>
      <c r="I135" s="15"/>
      <c r="J135" s="15" t="s">
        <v>546</v>
      </c>
      <c r="K135" s="80">
        <v>2223.220000000003</v>
      </c>
    </row>
    <row r="136" spans="1:11" x14ac:dyDescent="0.25">
      <c r="A136" s="79">
        <v>46105</v>
      </c>
      <c r="B136" s="15" t="s">
        <v>567</v>
      </c>
      <c r="C136" s="15" t="s">
        <v>12</v>
      </c>
      <c r="D136" s="15" t="s">
        <v>19</v>
      </c>
      <c r="E136" s="15" t="s">
        <v>14</v>
      </c>
      <c r="F136" s="15" t="s">
        <v>15</v>
      </c>
      <c r="G136" s="80">
        <v>250</v>
      </c>
      <c r="H136" s="80"/>
      <c r="I136" s="15"/>
      <c r="J136" s="15" t="s">
        <v>546</v>
      </c>
      <c r="K136" s="80">
        <v>1973.220000000003</v>
      </c>
    </row>
    <row r="137" spans="1:11" x14ac:dyDescent="0.25">
      <c r="A137" s="79">
        <v>46105</v>
      </c>
      <c r="B137" s="15" t="s">
        <v>112</v>
      </c>
      <c r="C137" s="15" t="s">
        <v>12</v>
      </c>
      <c r="D137" s="15" t="s">
        <v>62</v>
      </c>
      <c r="E137" s="15" t="s">
        <v>17</v>
      </c>
      <c r="F137" s="15"/>
      <c r="G137" s="80">
        <v>571.9</v>
      </c>
      <c r="H137" s="80"/>
      <c r="I137" s="15"/>
      <c r="J137" s="15" t="s">
        <v>546</v>
      </c>
      <c r="K137" s="80">
        <v>1401.320000000002</v>
      </c>
    </row>
    <row r="138" spans="1:11" x14ac:dyDescent="0.25">
      <c r="A138" s="79">
        <v>46105</v>
      </c>
      <c r="B138" s="15" t="s">
        <v>556</v>
      </c>
      <c r="C138" s="15" t="s">
        <v>12</v>
      </c>
      <c r="D138" s="15" t="s">
        <v>19</v>
      </c>
      <c r="E138" s="15" t="s">
        <v>17</v>
      </c>
      <c r="F138" s="15" t="s">
        <v>25</v>
      </c>
      <c r="G138" s="80">
        <v>203.5</v>
      </c>
      <c r="H138" s="80"/>
      <c r="I138" s="15"/>
      <c r="J138" s="15" t="s">
        <v>546</v>
      </c>
      <c r="K138" s="80">
        <v>1197.820000000002</v>
      </c>
    </row>
    <row r="139" spans="1:11" x14ac:dyDescent="0.25">
      <c r="A139" s="79">
        <v>46106</v>
      </c>
      <c r="B139" s="15" t="s">
        <v>345</v>
      </c>
      <c r="C139" s="15" t="s">
        <v>12</v>
      </c>
      <c r="D139" s="15" t="s">
        <v>19</v>
      </c>
      <c r="E139" s="15" t="s">
        <v>17</v>
      </c>
      <c r="F139" s="15"/>
      <c r="G139" s="80">
        <v>1139.44</v>
      </c>
      <c r="H139" s="80"/>
      <c r="I139" s="15"/>
      <c r="J139" s="15" t="s">
        <v>546</v>
      </c>
      <c r="K139" s="80">
        <v>58.380000000002383</v>
      </c>
    </row>
    <row r="140" spans="1:11" x14ac:dyDescent="0.25">
      <c r="A140" s="79">
        <v>46106</v>
      </c>
      <c r="B140" s="15" t="s">
        <v>512</v>
      </c>
      <c r="C140" s="15" t="s">
        <v>12</v>
      </c>
      <c r="D140" s="15" t="s">
        <v>325</v>
      </c>
      <c r="E140" s="15" t="s">
        <v>17</v>
      </c>
      <c r="F140" s="15"/>
      <c r="G140" s="80">
        <v>2295.73</v>
      </c>
      <c r="H140" s="80"/>
      <c r="I140" s="15"/>
      <c r="J140" s="15" t="s">
        <v>546</v>
      </c>
      <c r="K140" s="80">
        <v>-2237.3499999999981</v>
      </c>
    </row>
    <row r="141" spans="1:11" x14ac:dyDescent="0.25">
      <c r="A141" s="79">
        <v>46106</v>
      </c>
      <c r="B141" s="15" t="s">
        <v>303</v>
      </c>
      <c r="C141" s="15" t="s">
        <v>12</v>
      </c>
      <c r="D141" s="15" t="s">
        <v>68</v>
      </c>
      <c r="E141" s="15" t="s">
        <v>17</v>
      </c>
      <c r="F141" s="15"/>
      <c r="G141" s="80">
        <v>1000</v>
      </c>
      <c r="H141" s="80"/>
      <c r="I141" s="15"/>
      <c r="J141" s="15" t="s">
        <v>546</v>
      </c>
      <c r="K141" s="80">
        <v>-3237.3499999999981</v>
      </c>
    </row>
    <row r="142" spans="1:11" x14ac:dyDescent="0.25">
      <c r="A142" s="79">
        <v>46106</v>
      </c>
      <c r="B142" s="15" t="s">
        <v>30</v>
      </c>
      <c r="C142" s="15" t="s">
        <v>20</v>
      </c>
      <c r="D142" s="15" t="s">
        <v>13</v>
      </c>
      <c r="E142" s="15"/>
      <c r="F142" s="15"/>
      <c r="G142" s="80">
        <v>1612</v>
      </c>
      <c r="H142" s="80"/>
      <c r="I142" s="15"/>
      <c r="J142" s="15" t="s">
        <v>546</v>
      </c>
      <c r="K142" s="80">
        <v>-1625.3499999999981</v>
      </c>
    </row>
    <row r="143" spans="1:11" hidden="1" x14ac:dyDescent="0.25">
      <c r="A143" s="79">
        <v>46106</v>
      </c>
      <c r="B143" s="15" t="s">
        <v>44</v>
      </c>
      <c r="C143" s="15" t="s">
        <v>20</v>
      </c>
      <c r="D143" s="15" t="s">
        <v>22</v>
      </c>
      <c r="E143" s="15" t="s">
        <v>17</v>
      </c>
      <c r="F143" s="15"/>
      <c r="G143" s="80">
        <v>0</v>
      </c>
      <c r="H143" s="80"/>
      <c r="I143" s="15"/>
      <c r="J143" s="15" t="s">
        <v>546</v>
      </c>
      <c r="K143" s="80">
        <v>-1625.3499999999981</v>
      </c>
    </row>
    <row r="144" spans="1:11" x14ac:dyDescent="0.25">
      <c r="A144" s="79">
        <v>46106</v>
      </c>
      <c r="B144" s="15" t="s">
        <v>45</v>
      </c>
      <c r="C144" s="15" t="s">
        <v>12</v>
      </c>
      <c r="D144" s="15" t="s">
        <v>24</v>
      </c>
      <c r="E144" s="15" t="s">
        <v>17</v>
      </c>
      <c r="F144" s="15" t="s">
        <v>25</v>
      </c>
      <c r="G144" s="80">
        <v>9</v>
      </c>
      <c r="H144" s="80"/>
      <c r="I144" s="15"/>
      <c r="J144" s="15" t="s">
        <v>546</v>
      </c>
      <c r="K144" s="80">
        <v>-1634.3499999999981</v>
      </c>
    </row>
    <row r="145" spans="1:11" x14ac:dyDescent="0.25">
      <c r="A145" s="79">
        <v>46106</v>
      </c>
      <c r="B145" s="15" t="s">
        <v>393</v>
      </c>
      <c r="C145" s="15" t="s">
        <v>12</v>
      </c>
      <c r="D145" s="15" t="s">
        <v>19</v>
      </c>
      <c r="E145" s="15" t="s">
        <v>14</v>
      </c>
      <c r="F145" s="15" t="s">
        <v>15</v>
      </c>
      <c r="G145" s="80">
        <v>150</v>
      </c>
      <c r="H145" s="80"/>
      <c r="I145" s="15"/>
      <c r="J145" s="15" t="s">
        <v>546</v>
      </c>
      <c r="K145" s="80">
        <v>-1784.3499999999981</v>
      </c>
    </row>
    <row r="146" spans="1:11" x14ac:dyDescent="0.25">
      <c r="A146" s="79">
        <v>46107</v>
      </c>
      <c r="B146" s="15" t="s">
        <v>13</v>
      </c>
      <c r="C146" s="15" t="s">
        <v>20</v>
      </c>
      <c r="D146" s="15" t="s">
        <v>13</v>
      </c>
      <c r="E146" s="15"/>
      <c r="F146" s="15"/>
      <c r="G146" s="80">
        <v>1525</v>
      </c>
      <c r="H146" s="80"/>
      <c r="I146" s="15"/>
      <c r="J146" s="15" t="s">
        <v>546</v>
      </c>
      <c r="K146" s="80">
        <v>-259.34999999999758</v>
      </c>
    </row>
    <row r="147" spans="1:11" hidden="1" x14ac:dyDescent="0.25">
      <c r="A147" s="79">
        <v>46107</v>
      </c>
      <c r="B147" s="15" t="s">
        <v>21</v>
      </c>
      <c r="C147" s="15" t="s">
        <v>20</v>
      </c>
      <c r="D147" s="15" t="s">
        <v>22</v>
      </c>
      <c r="E147" s="15" t="s">
        <v>17</v>
      </c>
      <c r="F147" s="15"/>
      <c r="G147" s="80">
        <v>0</v>
      </c>
      <c r="H147" s="80"/>
      <c r="I147" s="15"/>
      <c r="J147" s="15" t="s">
        <v>546</v>
      </c>
      <c r="K147" s="80">
        <v>-259.34999999999758</v>
      </c>
    </row>
    <row r="148" spans="1:11" x14ac:dyDescent="0.25">
      <c r="A148" s="79">
        <v>46107</v>
      </c>
      <c r="B148" s="15" t="s">
        <v>23</v>
      </c>
      <c r="C148" s="15" t="s">
        <v>12</v>
      </c>
      <c r="D148" s="15" t="s">
        <v>24</v>
      </c>
      <c r="E148" s="15" t="s">
        <v>17</v>
      </c>
      <c r="F148" s="15" t="s">
        <v>25</v>
      </c>
      <c r="G148" s="80">
        <v>9</v>
      </c>
      <c r="H148" s="80"/>
      <c r="I148" s="15"/>
      <c r="J148" s="15" t="s">
        <v>546</v>
      </c>
      <c r="K148" s="80">
        <v>-268.34999999999758</v>
      </c>
    </row>
    <row r="149" spans="1:11" x14ac:dyDescent="0.25">
      <c r="A149" s="79">
        <v>46107</v>
      </c>
      <c r="B149" s="15" t="s">
        <v>11</v>
      </c>
      <c r="C149" s="15" t="s">
        <v>12</v>
      </c>
      <c r="D149" s="15" t="s">
        <v>19</v>
      </c>
      <c r="E149" s="15" t="s">
        <v>14</v>
      </c>
      <c r="F149" s="15" t="s">
        <v>15</v>
      </c>
      <c r="G149" s="80">
        <v>150</v>
      </c>
      <c r="H149" s="80"/>
      <c r="I149" s="15"/>
      <c r="J149" s="15" t="s">
        <v>546</v>
      </c>
      <c r="K149" s="80">
        <v>-418.34999999999758</v>
      </c>
    </row>
    <row r="150" spans="1:11" x14ac:dyDescent="0.25">
      <c r="A150" s="79">
        <v>46108</v>
      </c>
      <c r="B150" s="15" t="s">
        <v>13</v>
      </c>
      <c r="C150" s="15" t="s">
        <v>20</v>
      </c>
      <c r="D150" s="15" t="s">
        <v>13</v>
      </c>
      <c r="E150" s="15"/>
      <c r="F150" s="15"/>
      <c r="G150" s="80">
        <v>3431</v>
      </c>
      <c r="H150" s="80"/>
      <c r="I150" s="15"/>
      <c r="J150" s="15" t="s">
        <v>546</v>
      </c>
      <c r="K150" s="80">
        <v>3012.6500000000019</v>
      </c>
    </row>
    <row r="151" spans="1:11" hidden="1" x14ac:dyDescent="0.25">
      <c r="A151" s="79">
        <v>46108</v>
      </c>
      <c r="B151" s="15" t="s">
        <v>21</v>
      </c>
      <c r="C151" s="15" t="s">
        <v>20</v>
      </c>
      <c r="D151" s="15" t="s">
        <v>22</v>
      </c>
      <c r="E151" s="15" t="s">
        <v>17</v>
      </c>
      <c r="F151" s="15"/>
      <c r="G151" s="80">
        <v>246.1</v>
      </c>
      <c r="H151" s="80"/>
      <c r="I151" s="15"/>
      <c r="J151" s="15" t="s">
        <v>546</v>
      </c>
      <c r="K151" s="80">
        <v>3258.7500000000018</v>
      </c>
    </row>
    <row r="152" spans="1:11" x14ac:dyDescent="0.25">
      <c r="A152" s="79">
        <v>46108</v>
      </c>
      <c r="B152" s="15" t="s">
        <v>23</v>
      </c>
      <c r="C152" s="15" t="s">
        <v>12</v>
      </c>
      <c r="D152" s="15" t="s">
        <v>24</v>
      </c>
      <c r="E152" s="15" t="s">
        <v>17</v>
      </c>
      <c r="F152" s="15" t="s">
        <v>25</v>
      </c>
      <c r="G152" s="80">
        <v>35</v>
      </c>
      <c r="H152" s="80"/>
      <c r="I152" s="15"/>
      <c r="J152" s="15" t="s">
        <v>546</v>
      </c>
      <c r="K152" s="80">
        <v>3223.7500000000018</v>
      </c>
    </row>
    <row r="153" spans="1:11" x14ac:dyDescent="0.25">
      <c r="A153" s="79">
        <v>46108</v>
      </c>
      <c r="B153" s="15" t="s">
        <v>11</v>
      </c>
      <c r="C153" s="15" t="s">
        <v>12</v>
      </c>
      <c r="D153" s="15" t="s">
        <v>19</v>
      </c>
      <c r="E153" s="15" t="s">
        <v>14</v>
      </c>
      <c r="F153" s="15" t="s">
        <v>15</v>
      </c>
      <c r="G153" s="80">
        <v>329</v>
      </c>
      <c r="H153" s="80"/>
      <c r="I153" s="15"/>
      <c r="J153" s="15" t="s">
        <v>546</v>
      </c>
      <c r="K153" s="80">
        <v>2894.7500000000018</v>
      </c>
    </row>
    <row r="154" spans="1:11" x14ac:dyDescent="0.25">
      <c r="A154" s="79">
        <v>46108</v>
      </c>
      <c r="B154" s="15" t="s">
        <v>540</v>
      </c>
      <c r="C154" s="15" t="s">
        <v>12</v>
      </c>
      <c r="D154" s="15" t="s">
        <v>27</v>
      </c>
      <c r="E154" s="15" t="s">
        <v>17</v>
      </c>
      <c r="F154" s="15" t="s">
        <v>25</v>
      </c>
      <c r="G154" s="80">
        <v>218</v>
      </c>
      <c r="H154" s="80"/>
      <c r="I154" s="15"/>
      <c r="J154" s="15" t="s">
        <v>546</v>
      </c>
      <c r="K154" s="80">
        <v>2676.7500000000018</v>
      </c>
    </row>
    <row r="155" spans="1:11" x14ac:dyDescent="0.25">
      <c r="A155" s="79">
        <v>46108</v>
      </c>
      <c r="B155" s="15" t="s">
        <v>568</v>
      </c>
      <c r="C155" s="15" t="s">
        <v>12</v>
      </c>
      <c r="D155" s="15" t="s">
        <v>19</v>
      </c>
      <c r="E155" s="15" t="s">
        <v>17</v>
      </c>
      <c r="F155" s="15" t="s">
        <v>25</v>
      </c>
      <c r="G155" s="80">
        <v>1582.8</v>
      </c>
      <c r="H155" s="80"/>
      <c r="I155" s="15"/>
      <c r="J155" s="15" t="s">
        <v>546</v>
      </c>
      <c r="K155" s="80">
        <v>1093.9500000000021</v>
      </c>
    </row>
    <row r="156" spans="1:11" x14ac:dyDescent="0.25">
      <c r="A156" s="79">
        <v>46109</v>
      </c>
      <c r="B156" s="15" t="s">
        <v>13</v>
      </c>
      <c r="C156" s="15" t="s">
        <v>20</v>
      </c>
      <c r="D156" s="15" t="s">
        <v>13</v>
      </c>
      <c r="E156" s="15"/>
      <c r="F156" s="15"/>
      <c r="G156" s="80">
        <v>7730</v>
      </c>
      <c r="H156" s="80"/>
      <c r="I156" s="15"/>
      <c r="J156" s="15" t="s">
        <v>546</v>
      </c>
      <c r="K156" s="80">
        <v>8823.9500000000025</v>
      </c>
    </row>
    <row r="157" spans="1:11" hidden="1" x14ac:dyDescent="0.25">
      <c r="A157" s="79">
        <v>46109</v>
      </c>
      <c r="B157" s="15" t="s">
        <v>44</v>
      </c>
      <c r="C157" s="15" t="s">
        <v>20</v>
      </c>
      <c r="D157" s="15" t="s">
        <v>22</v>
      </c>
      <c r="E157" s="15" t="s">
        <v>17</v>
      </c>
      <c r="F157" s="15"/>
      <c r="G157" s="80">
        <v>508.9</v>
      </c>
      <c r="H157" s="80"/>
      <c r="I157" s="15"/>
      <c r="J157" s="15" t="e">
        <v>#REF!</v>
      </c>
      <c r="K157" s="80">
        <v>9332.8500000000022</v>
      </c>
    </row>
    <row r="158" spans="1:11" x14ac:dyDescent="0.25">
      <c r="A158" s="79">
        <v>46109</v>
      </c>
      <c r="B158" s="15" t="s">
        <v>45</v>
      </c>
      <c r="C158" s="15" t="s">
        <v>12</v>
      </c>
      <c r="D158" s="15" t="s">
        <v>24</v>
      </c>
      <c r="E158" s="15" t="s">
        <v>17</v>
      </c>
      <c r="F158" s="15" t="s">
        <v>25</v>
      </c>
      <c r="G158" s="80">
        <v>54</v>
      </c>
      <c r="H158" s="80"/>
      <c r="I158" s="15"/>
      <c r="J158" s="15" t="s">
        <v>546</v>
      </c>
      <c r="K158" s="80">
        <v>9278.8500000000022</v>
      </c>
    </row>
    <row r="159" spans="1:11" x14ac:dyDescent="0.25">
      <c r="A159" s="79">
        <v>46109</v>
      </c>
      <c r="B159" s="15" t="s">
        <v>569</v>
      </c>
      <c r="C159" s="15" t="s">
        <v>12</v>
      </c>
      <c r="D159" s="15" t="s">
        <v>27</v>
      </c>
      <c r="E159" s="15" t="s">
        <v>17</v>
      </c>
      <c r="F159" s="15" t="s">
        <v>25</v>
      </c>
      <c r="G159" s="80">
        <v>120</v>
      </c>
      <c r="H159" s="80"/>
      <c r="I159" s="15"/>
      <c r="J159" s="15" t="s">
        <v>546</v>
      </c>
      <c r="K159" s="80">
        <v>9158.8500000000022</v>
      </c>
    </row>
    <row r="160" spans="1:11" x14ac:dyDescent="0.25">
      <c r="A160" s="79">
        <v>46110</v>
      </c>
      <c r="B160" s="15" t="s">
        <v>30</v>
      </c>
      <c r="C160" s="15" t="s">
        <v>20</v>
      </c>
      <c r="D160" s="15" t="s">
        <v>13</v>
      </c>
      <c r="E160" s="15"/>
      <c r="F160" s="15"/>
      <c r="G160" s="80">
        <v>7825</v>
      </c>
      <c r="H160" s="80"/>
      <c r="I160" s="15"/>
      <c r="J160" s="15" t="s">
        <v>546</v>
      </c>
      <c r="K160" s="80">
        <v>16983.849999999999</v>
      </c>
    </row>
    <row r="161" spans="1:11" hidden="1" x14ac:dyDescent="0.25">
      <c r="A161" s="79">
        <v>46110</v>
      </c>
      <c r="B161" s="15" t="s">
        <v>44</v>
      </c>
      <c r="C161" s="15" t="s">
        <v>20</v>
      </c>
      <c r="D161" s="15" t="s">
        <v>22</v>
      </c>
      <c r="E161" s="15" t="s">
        <v>17</v>
      </c>
      <c r="F161" s="15"/>
      <c r="G161" s="80">
        <v>619</v>
      </c>
      <c r="H161" s="80"/>
      <c r="I161" s="15"/>
      <c r="J161" s="15" t="s">
        <v>546</v>
      </c>
      <c r="K161" s="80">
        <v>17602.849999999999</v>
      </c>
    </row>
    <row r="162" spans="1:11" x14ac:dyDescent="0.25">
      <c r="A162" s="79">
        <v>46110</v>
      </c>
      <c r="B162" s="15" t="s">
        <v>45</v>
      </c>
      <c r="C162" s="15" t="s">
        <v>12</v>
      </c>
      <c r="D162" s="15" t="s">
        <v>24</v>
      </c>
      <c r="E162" s="15" t="s">
        <v>17</v>
      </c>
      <c r="F162" s="15" t="s">
        <v>25</v>
      </c>
      <c r="G162" s="80">
        <v>71</v>
      </c>
      <c r="H162" s="80"/>
      <c r="I162" s="15"/>
      <c r="J162" s="15" t="s">
        <v>546</v>
      </c>
      <c r="K162" s="80">
        <v>17531.849999999999</v>
      </c>
    </row>
    <row r="163" spans="1:11" x14ac:dyDescent="0.25">
      <c r="A163" s="79">
        <v>46110</v>
      </c>
      <c r="B163" s="15" t="s">
        <v>393</v>
      </c>
      <c r="C163" s="15" t="s">
        <v>12</v>
      </c>
      <c r="D163" s="15" t="s">
        <v>19</v>
      </c>
      <c r="E163" s="15" t="s">
        <v>14</v>
      </c>
      <c r="F163" s="15" t="s">
        <v>15</v>
      </c>
      <c r="G163" s="80">
        <v>94</v>
      </c>
      <c r="H163" s="80"/>
      <c r="I163" s="15"/>
      <c r="J163" s="15" t="s">
        <v>546</v>
      </c>
      <c r="K163" s="80">
        <v>17437.849999999999</v>
      </c>
    </row>
    <row r="164" spans="1:11" x14ac:dyDescent="0.25">
      <c r="A164" s="79">
        <v>46111</v>
      </c>
      <c r="B164" s="15" t="s">
        <v>13</v>
      </c>
      <c r="C164" s="15" t="s">
        <v>20</v>
      </c>
      <c r="D164" s="15" t="s">
        <v>13</v>
      </c>
      <c r="E164" s="15"/>
      <c r="F164" s="15"/>
      <c r="G164" s="80">
        <v>980</v>
      </c>
      <c r="H164" s="80"/>
      <c r="I164" s="15"/>
      <c r="J164" s="15" t="s">
        <v>546</v>
      </c>
      <c r="K164" s="80">
        <v>18417.849999999999</v>
      </c>
    </row>
    <row r="165" spans="1:11" hidden="1" x14ac:dyDescent="0.25">
      <c r="A165" s="79">
        <v>46111</v>
      </c>
      <c r="B165" s="15" t="s">
        <v>460</v>
      </c>
      <c r="C165" s="15" t="s">
        <v>20</v>
      </c>
      <c r="D165" s="15" t="s">
        <v>22</v>
      </c>
      <c r="E165" s="15" t="s">
        <v>17</v>
      </c>
      <c r="F165" s="15"/>
      <c r="G165" s="80">
        <v>0</v>
      </c>
      <c r="H165" s="80"/>
      <c r="I165" s="15"/>
      <c r="J165" s="15" t="s">
        <v>546</v>
      </c>
      <c r="K165" s="80">
        <v>18417.849999999999</v>
      </c>
    </row>
    <row r="166" spans="1:11" x14ac:dyDescent="0.25">
      <c r="A166" s="79">
        <v>46111</v>
      </c>
      <c r="B166" s="15" t="s">
        <v>23</v>
      </c>
      <c r="C166" s="15" t="s">
        <v>12</v>
      </c>
      <c r="D166" s="15" t="s">
        <v>24</v>
      </c>
      <c r="E166" s="15" t="s">
        <v>17</v>
      </c>
      <c r="F166" s="15" t="s">
        <v>25</v>
      </c>
      <c r="G166" s="80">
        <v>0</v>
      </c>
      <c r="H166" s="80"/>
      <c r="I166" s="15"/>
      <c r="J166" s="15" t="s">
        <v>546</v>
      </c>
      <c r="K166" s="80">
        <v>18417.849999999999</v>
      </c>
    </row>
    <row r="167" spans="1:11" x14ac:dyDescent="0.25">
      <c r="A167" s="79">
        <v>46111</v>
      </c>
      <c r="B167" s="15" t="s">
        <v>11</v>
      </c>
      <c r="C167" s="15" t="s">
        <v>12</v>
      </c>
      <c r="D167" s="15" t="s">
        <v>19</v>
      </c>
      <c r="E167" s="15" t="s">
        <v>14</v>
      </c>
      <c r="F167" s="15" t="s">
        <v>15</v>
      </c>
      <c r="G167" s="80">
        <v>329</v>
      </c>
      <c r="H167" s="80"/>
      <c r="I167" s="15"/>
      <c r="J167" s="15" t="s">
        <v>546</v>
      </c>
      <c r="K167" s="80">
        <v>18088.849999999999</v>
      </c>
    </row>
    <row r="168" spans="1:11" x14ac:dyDescent="0.25">
      <c r="A168" s="79">
        <v>46111</v>
      </c>
      <c r="B168" s="15" t="s">
        <v>364</v>
      </c>
      <c r="C168" s="15" t="s">
        <v>12</v>
      </c>
      <c r="D168" s="15" t="s">
        <v>19</v>
      </c>
      <c r="E168" s="15" t="s">
        <v>17</v>
      </c>
      <c r="F168" s="15" t="s">
        <v>25</v>
      </c>
      <c r="G168" s="80">
        <v>639</v>
      </c>
      <c r="H168" s="80"/>
      <c r="I168" s="15"/>
      <c r="J168" s="15" t="s">
        <v>546</v>
      </c>
      <c r="K168" s="80">
        <v>17449.849999999999</v>
      </c>
    </row>
    <row r="169" spans="1:11" x14ac:dyDescent="0.25">
      <c r="A169" s="79">
        <v>46111</v>
      </c>
      <c r="B169" s="15" t="s">
        <v>556</v>
      </c>
      <c r="C169" s="15" t="s">
        <v>12</v>
      </c>
      <c r="D169" s="15" t="s">
        <v>19</v>
      </c>
      <c r="E169" s="15" t="s">
        <v>17</v>
      </c>
      <c r="F169" s="15" t="s">
        <v>25</v>
      </c>
      <c r="G169" s="80">
        <v>382.5</v>
      </c>
      <c r="H169" s="80"/>
      <c r="I169" s="15"/>
      <c r="J169" s="15" t="s">
        <v>546</v>
      </c>
      <c r="K169" s="80">
        <v>17067.349999999999</v>
      </c>
    </row>
    <row r="170" spans="1:11" x14ac:dyDescent="0.25">
      <c r="A170" s="79">
        <v>46111</v>
      </c>
      <c r="B170" s="15" t="s">
        <v>570</v>
      </c>
      <c r="C170" s="15" t="s">
        <v>12</v>
      </c>
      <c r="D170" s="15" t="s">
        <v>64</v>
      </c>
      <c r="E170" s="15" t="s">
        <v>17</v>
      </c>
      <c r="F170" s="15" t="s">
        <v>25</v>
      </c>
      <c r="G170" s="80">
        <v>240</v>
      </c>
      <c r="H170" s="80"/>
      <c r="I170" s="15"/>
      <c r="J170" s="15" t="s">
        <v>546</v>
      </c>
      <c r="K170" s="80">
        <v>16827.349999999999</v>
      </c>
    </row>
    <row r="171" spans="1:11" x14ac:dyDescent="0.25">
      <c r="A171" s="79">
        <v>46111</v>
      </c>
      <c r="B171" s="15" t="s">
        <v>282</v>
      </c>
      <c r="C171" s="15" t="s">
        <v>12</v>
      </c>
      <c r="D171" s="15" t="s">
        <v>19</v>
      </c>
      <c r="E171" s="15" t="s">
        <v>17</v>
      </c>
      <c r="F171" s="15"/>
      <c r="G171" s="80">
        <v>211.23</v>
      </c>
      <c r="H171" s="80"/>
      <c r="I171" s="15"/>
      <c r="J171" s="15" t="s">
        <v>546</v>
      </c>
      <c r="K171" s="80">
        <v>16616.12</v>
      </c>
    </row>
    <row r="172" spans="1:11" x14ac:dyDescent="0.25">
      <c r="A172" s="79">
        <v>46111</v>
      </c>
      <c r="B172" s="15" t="s">
        <v>282</v>
      </c>
      <c r="C172" s="15" t="s">
        <v>12</v>
      </c>
      <c r="D172" s="15" t="s">
        <v>19</v>
      </c>
      <c r="E172" s="15" t="s">
        <v>17</v>
      </c>
      <c r="F172" s="15"/>
      <c r="G172" s="80">
        <v>416.99</v>
      </c>
      <c r="H172" s="80"/>
      <c r="I172" s="15"/>
      <c r="J172" s="15" t="s">
        <v>546</v>
      </c>
      <c r="K172" s="80">
        <v>16199.13</v>
      </c>
    </row>
    <row r="173" spans="1:11" x14ac:dyDescent="0.25">
      <c r="A173" s="79">
        <v>46112</v>
      </c>
      <c r="B173" s="15" t="s">
        <v>433</v>
      </c>
      <c r="C173" s="15" t="s">
        <v>12</v>
      </c>
      <c r="D173" s="15" t="s">
        <v>58</v>
      </c>
      <c r="E173" s="15" t="s">
        <v>17</v>
      </c>
      <c r="F173" s="15"/>
      <c r="G173" s="80">
        <v>67.62</v>
      </c>
      <c r="H173" s="80"/>
      <c r="I173" s="15"/>
      <c r="J173" s="15" t="s">
        <v>546</v>
      </c>
      <c r="K173" s="80">
        <v>16131.51</v>
      </c>
    </row>
    <row r="174" spans="1:11" x14ac:dyDescent="0.25">
      <c r="A174" s="79">
        <v>46112</v>
      </c>
      <c r="B174" s="15" t="s">
        <v>302</v>
      </c>
      <c r="C174" s="15" t="s">
        <v>12</v>
      </c>
      <c r="D174" s="15" t="s">
        <v>39</v>
      </c>
      <c r="E174" s="15" t="s">
        <v>17</v>
      </c>
      <c r="F174" s="15"/>
      <c r="G174" s="80">
        <v>374.92</v>
      </c>
      <c r="H174" s="80"/>
      <c r="I174" s="15"/>
      <c r="J174" s="15" t="s">
        <v>546</v>
      </c>
      <c r="K174" s="80">
        <v>15756.59</v>
      </c>
    </row>
    <row r="175" spans="1:11" x14ac:dyDescent="0.25">
      <c r="A175" s="79">
        <v>46112</v>
      </c>
      <c r="B175" s="15" t="s">
        <v>303</v>
      </c>
      <c r="C175" s="15" t="s">
        <v>12</v>
      </c>
      <c r="D175" s="15" t="s">
        <v>68</v>
      </c>
      <c r="E175" s="15" t="s">
        <v>17</v>
      </c>
      <c r="F175" s="15" t="s">
        <v>25</v>
      </c>
      <c r="G175" s="80">
        <v>600</v>
      </c>
      <c r="H175" s="80"/>
      <c r="I175" s="15"/>
      <c r="J175" s="15" t="s">
        <v>546</v>
      </c>
      <c r="K175" s="80">
        <v>15156.59</v>
      </c>
    </row>
    <row r="176" spans="1:11" x14ac:dyDescent="0.25">
      <c r="A176" s="79">
        <v>46112</v>
      </c>
      <c r="B176" s="15" t="s">
        <v>363</v>
      </c>
      <c r="C176" s="15" t="s">
        <v>12</v>
      </c>
      <c r="D176" s="15" t="s">
        <v>19</v>
      </c>
      <c r="E176" s="15" t="s">
        <v>17</v>
      </c>
      <c r="F176" s="15"/>
      <c r="G176" s="80">
        <v>2664</v>
      </c>
      <c r="H176" s="80"/>
      <c r="I176" s="15"/>
      <c r="J176" s="15" t="s">
        <v>546</v>
      </c>
      <c r="K176" s="80">
        <v>12492.59</v>
      </c>
    </row>
    <row r="177" spans="1:11" x14ac:dyDescent="0.25">
      <c r="A177" s="79">
        <v>46112</v>
      </c>
      <c r="B177" s="15" t="s">
        <v>363</v>
      </c>
      <c r="C177" s="15" t="s">
        <v>12</v>
      </c>
      <c r="D177" s="15" t="s">
        <v>19</v>
      </c>
      <c r="E177" s="15" t="s">
        <v>17</v>
      </c>
      <c r="F177" s="15"/>
      <c r="G177" s="80">
        <v>308.14999999999998</v>
      </c>
      <c r="H177" s="80"/>
      <c r="I177" s="15"/>
      <c r="J177" s="15" t="s">
        <v>546</v>
      </c>
      <c r="K177" s="80">
        <v>12184.44</v>
      </c>
    </row>
    <row r="178" spans="1:11" x14ac:dyDescent="0.25">
      <c r="A178" s="79">
        <v>46112</v>
      </c>
      <c r="B178" s="15" t="s">
        <v>549</v>
      </c>
      <c r="C178" s="15" t="s">
        <v>12</v>
      </c>
      <c r="D178" s="15" t="s">
        <v>39</v>
      </c>
      <c r="E178" s="15" t="s">
        <v>14</v>
      </c>
      <c r="F178" s="15" t="s">
        <v>15</v>
      </c>
      <c r="G178" s="80">
        <v>2976.15</v>
      </c>
      <c r="H178" s="80"/>
      <c r="I178" s="15"/>
      <c r="J178" s="15" t="s">
        <v>546</v>
      </c>
      <c r="K178" s="80">
        <v>9208.2900000000027</v>
      </c>
    </row>
    <row r="179" spans="1:11" x14ac:dyDescent="0.25">
      <c r="A179" s="79">
        <v>46112</v>
      </c>
      <c r="B179" s="15" t="s">
        <v>545</v>
      </c>
      <c r="C179" s="15" t="s">
        <v>12</v>
      </c>
      <c r="D179" s="15" t="s">
        <v>27</v>
      </c>
      <c r="E179" s="15" t="s">
        <v>17</v>
      </c>
      <c r="F179" s="15"/>
      <c r="G179" s="80">
        <v>2386.67</v>
      </c>
      <c r="H179" s="80"/>
      <c r="I179" s="15"/>
      <c r="J179" s="15" t="s">
        <v>546</v>
      </c>
      <c r="K179" s="80">
        <v>6821.6200000000026</v>
      </c>
    </row>
    <row r="180" spans="1:11" x14ac:dyDescent="0.25">
      <c r="A180" s="79">
        <v>46112</v>
      </c>
      <c r="B180" s="15" t="s">
        <v>13</v>
      </c>
      <c r="C180" s="15" t="s">
        <v>20</v>
      </c>
      <c r="D180" s="15" t="s">
        <v>13</v>
      </c>
      <c r="E180" s="15"/>
      <c r="F180" s="15"/>
      <c r="G180" s="80">
        <v>601</v>
      </c>
      <c r="H180" s="80"/>
      <c r="I180" s="15"/>
      <c r="J180" s="15" t="s">
        <v>546</v>
      </c>
      <c r="K180" s="80">
        <v>7422.6200000000026</v>
      </c>
    </row>
    <row r="181" spans="1:11" hidden="1" x14ac:dyDescent="0.25">
      <c r="A181" s="79">
        <v>46112</v>
      </c>
      <c r="B181" s="15" t="s">
        <v>21</v>
      </c>
      <c r="C181" s="15" t="s">
        <v>20</v>
      </c>
      <c r="D181" s="15" t="s">
        <v>22</v>
      </c>
      <c r="E181" s="15" t="s">
        <v>17</v>
      </c>
      <c r="F181" s="15"/>
      <c r="G181" s="80">
        <v>0</v>
      </c>
      <c r="H181" s="80"/>
      <c r="I181" s="15"/>
      <c r="J181" s="15" t="s">
        <v>546</v>
      </c>
      <c r="K181" s="80">
        <v>7422.6200000000026</v>
      </c>
    </row>
    <row r="182" spans="1:11" x14ac:dyDescent="0.25">
      <c r="A182" s="79">
        <v>46112</v>
      </c>
      <c r="B182" s="15" t="s">
        <v>23</v>
      </c>
      <c r="C182" s="15" t="s">
        <v>12</v>
      </c>
      <c r="D182" s="15" t="s">
        <v>24</v>
      </c>
      <c r="E182" s="15" t="s">
        <v>17</v>
      </c>
      <c r="F182" s="15" t="s">
        <v>25</v>
      </c>
      <c r="G182" s="80">
        <v>8</v>
      </c>
      <c r="H182" s="80"/>
      <c r="I182" s="15"/>
      <c r="J182" s="15" t="s">
        <v>546</v>
      </c>
      <c r="K182" s="80">
        <v>7414.6200000000026</v>
      </c>
    </row>
    <row r="183" spans="1:11" x14ac:dyDescent="0.25">
      <c r="A183" s="79">
        <v>46112</v>
      </c>
      <c r="B183" s="15" t="s">
        <v>118</v>
      </c>
      <c r="C183" s="15" t="s">
        <v>12</v>
      </c>
      <c r="D183" s="15" t="s">
        <v>19</v>
      </c>
      <c r="E183" s="15" t="s">
        <v>14</v>
      </c>
      <c r="F183" s="15" t="s">
        <v>25</v>
      </c>
      <c r="G183" s="80">
        <v>50</v>
      </c>
      <c r="H183" s="80"/>
      <c r="I183" s="15"/>
      <c r="J183" s="15" t="s">
        <v>546</v>
      </c>
      <c r="K183" s="80">
        <v>7364.6200000000026</v>
      </c>
    </row>
    <row r="184" spans="1:11" x14ac:dyDescent="0.25">
      <c r="A184" s="79">
        <v>46112</v>
      </c>
      <c r="B184" s="15" t="s">
        <v>472</v>
      </c>
      <c r="C184" s="15" t="s">
        <v>12</v>
      </c>
      <c r="D184" s="15" t="s">
        <v>39</v>
      </c>
      <c r="E184" s="15" t="s">
        <v>17</v>
      </c>
      <c r="F184" s="15" t="s">
        <v>25</v>
      </c>
      <c r="G184" s="80">
        <v>150</v>
      </c>
      <c r="H184" s="80"/>
      <c r="I184" s="15"/>
      <c r="J184" s="15" t="s">
        <v>546</v>
      </c>
      <c r="K184" s="80">
        <v>7214.6200000000026</v>
      </c>
    </row>
    <row r="185" spans="1:11" x14ac:dyDescent="0.25">
      <c r="A185" s="79">
        <v>46112</v>
      </c>
      <c r="B185" s="15" t="s">
        <v>571</v>
      </c>
      <c r="C185" s="15" t="s">
        <v>12</v>
      </c>
      <c r="D185" s="15" t="s">
        <v>29</v>
      </c>
      <c r="E185" s="15" t="s">
        <v>17</v>
      </c>
      <c r="F185" s="15" t="s">
        <v>25</v>
      </c>
      <c r="G185" s="80">
        <v>19</v>
      </c>
      <c r="H185" s="80"/>
      <c r="I185" s="15"/>
      <c r="J185" s="15" t="s">
        <v>546</v>
      </c>
      <c r="K185" s="80">
        <v>7195.6200000000026</v>
      </c>
    </row>
    <row r="186" spans="1:11" x14ac:dyDescent="0.25">
      <c r="A186" s="79">
        <v>46112</v>
      </c>
      <c r="B186" s="15" t="s">
        <v>572</v>
      </c>
      <c r="C186" s="15" t="s">
        <v>12</v>
      </c>
      <c r="D186" s="15" t="s">
        <v>29</v>
      </c>
      <c r="E186" s="15" t="s">
        <v>17</v>
      </c>
      <c r="F186" s="15" t="s">
        <v>25</v>
      </c>
      <c r="G186" s="80">
        <v>80</v>
      </c>
      <c r="H186" s="80"/>
      <c r="I186" s="15"/>
      <c r="J186" s="15" t="s">
        <v>546</v>
      </c>
      <c r="K186" s="80">
        <v>7115.6200000000026</v>
      </c>
    </row>
    <row r="187" spans="1:11" x14ac:dyDescent="0.25">
      <c r="A187" s="79">
        <v>46112</v>
      </c>
      <c r="B187" s="15" t="s">
        <v>573</v>
      </c>
      <c r="C187" s="15" t="s">
        <v>12</v>
      </c>
      <c r="D187" s="15" t="s">
        <v>19</v>
      </c>
      <c r="E187" s="15" t="s">
        <v>17</v>
      </c>
      <c r="F187" s="15" t="s">
        <v>25</v>
      </c>
      <c r="G187" s="80">
        <v>399.5</v>
      </c>
      <c r="H187" s="80"/>
      <c r="I187" s="15"/>
      <c r="J187" s="15" t="s">
        <v>546</v>
      </c>
      <c r="K187" s="80">
        <v>6716.1200000000026</v>
      </c>
    </row>
    <row r="188" spans="1:11" x14ac:dyDescent="0.25">
      <c r="A188" s="79">
        <v>46112</v>
      </c>
      <c r="B188" s="15" t="s">
        <v>16</v>
      </c>
      <c r="C188" s="15" t="s">
        <v>12</v>
      </c>
      <c r="D188" s="15" t="s">
        <v>16</v>
      </c>
      <c r="E188" s="15" t="s">
        <v>17</v>
      </c>
      <c r="F188" s="15"/>
      <c r="G188" s="80">
        <v>13185</v>
      </c>
      <c r="H188" s="80"/>
      <c r="I188" s="15"/>
      <c r="J188" s="15" t="s">
        <v>546</v>
      </c>
      <c r="K188" s="80">
        <v>-6468.8799999999974</v>
      </c>
    </row>
  </sheetData>
  <autoFilter ref="A1:K188" xr:uid="{00000000-0009-0000-0000-000009000000}">
    <filterColumn colId="3">
      <filters>
        <filter val="Cartao de Credito"/>
        <filter val="Contabilidade"/>
        <filter val="CustoFixo"/>
        <filter val="Frete"/>
        <filter val="iFood"/>
        <filter val="Impostos"/>
        <filter val="Manutenção"/>
        <filter val="Marketing"/>
        <filter val="Mat Consumo"/>
        <filter val="Matéria Prima"/>
        <filter val="Royalt"/>
        <filter val="Salário"/>
        <filter val="Tortelli"/>
        <filter val="Vendas"/>
      </filters>
    </filterColumn>
  </autoFilter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K182"/>
  <sheetViews>
    <sheetView topLeftCell="A157" workbookViewId="0">
      <selection activeCell="J2" sqref="J2:J182"/>
    </sheetView>
  </sheetViews>
  <sheetFormatPr defaultColWidth="14.42578125" defaultRowHeight="15" customHeight="1" x14ac:dyDescent="0.25"/>
  <sheetData>
    <row r="1" spans="1:11" x14ac:dyDescent="0.25">
      <c r="A1" s="21" t="s">
        <v>1</v>
      </c>
      <c r="B1" s="21" t="s">
        <v>2</v>
      </c>
      <c r="C1" s="21" t="s">
        <v>3</v>
      </c>
      <c r="D1" s="21" t="s">
        <v>4</v>
      </c>
      <c r="E1" s="21" t="s">
        <v>5</v>
      </c>
      <c r="F1" s="21" t="s">
        <v>6</v>
      </c>
      <c r="G1" s="21" t="s">
        <v>7</v>
      </c>
      <c r="H1" s="21"/>
      <c r="I1" s="21" t="s">
        <v>8</v>
      </c>
      <c r="J1" s="21" t="s">
        <v>9</v>
      </c>
      <c r="K1" s="21" t="s">
        <v>10</v>
      </c>
    </row>
    <row r="2" spans="1:11" x14ac:dyDescent="0.25">
      <c r="A2" s="76">
        <v>46113</v>
      </c>
      <c r="B2" s="21" t="s">
        <v>13</v>
      </c>
      <c r="C2" s="21" t="s">
        <v>20</v>
      </c>
      <c r="D2" s="21" t="s">
        <v>13</v>
      </c>
      <c r="E2" s="21"/>
      <c r="F2" s="21"/>
      <c r="G2" s="24">
        <v>3280</v>
      </c>
      <c r="H2" s="24"/>
      <c r="J2" s="21" t="s">
        <v>574</v>
      </c>
      <c r="K2" s="24">
        <v>3280</v>
      </c>
    </row>
    <row r="3" spans="1:11" x14ac:dyDescent="0.25">
      <c r="A3" s="76">
        <v>46113</v>
      </c>
      <c r="B3" s="21" t="s">
        <v>21</v>
      </c>
      <c r="C3" s="21" t="s">
        <v>20</v>
      </c>
      <c r="D3" s="21" t="s">
        <v>22</v>
      </c>
      <c r="E3" s="21" t="s">
        <v>17</v>
      </c>
      <c r="F3" s="21"/>
      <c r="G3" s="24">
        <v>173.6</v>
      </c>
      <c r="H3" s="24"/>
      <c r="J3" s="21" t="s">
        <v>574</v>
      </c>
      <c r="K3" s="24">
        <v>3453.6</v>
      </c>
    </row>
    <row r="4" spans="1:11" x14ac:dyDescent="0.25">
      <c r="A4" s="76">
        <v>46113</v>
      </c>
      <c r="B4" s="21" t="s">
        <v>23</v>
      </c>
      <c r="C4" s="21" t="s">
        <v>12</v>
      </c>
      <c r="D4" s="21" t="s">
        <v>24</v>
      </c>
      <c r="E4" s="21" t="s">
        <v>17</v>
      </c>
      <c r="F4" s="21" t="s">
        <v>25</v>
      </c>
      <c r="G4" s="24">
        <v>35</v>
      </c>
      <c r="H4" s="24"/>
      <c r="J4" s="21" t="s">
        <v>574</v>
      </c>
      <c r="K4" s="24">
        <v>3418.6</v>
      </c>
    </row>
    <row r="5" spans="1:11" x14ac:dyDescent="0.25">
      <c r="A5" s="76">
        <v>46113</v>
      </c>
      <c r="B5" s="21" t="s">
        <v>11</v>
      </c>
      <c r="C5" s="21" t="s">
        <v>12</v>
      </c>
      <c r="D5" s="21" t="s">
        <v>19</v>
      </c>
      <c r="E5" s="21" t="s">
        <v>14</v>
      </c>
      <c r="F5" s="21" t="s">
        <v>15</v>
      </c>
      <c r="G5" s="24">
        <v>188</v>
      </c>
      <c r="H5" s="24"/>
      <c r="J5" s="21" t="s">
        <v>574</v>
      </c>
      <c r="K5" s="24">
        <v>3230.6</v>
      </c>
    </row>
    <row r="6" spans="1:11" x14ac:dyDescent="0.25">
      <c r="A6" s="76">
        <v>46113</v>
      </c>
      <c r="B6" s="21" t="s">
        <v>575</v>
      </c>
      <c r="C6" s="21" t="s">
        <v>12</v>
      </c>
      <c r="D6" s="21" t="s">
        <v>33</v>
      </c>
      <c r="E6" s="21" t="s">
        <v>14</v>
      </c>
      <c r="F6" s="21" t="s">
        <v>15</v>
      </c>
      <c r="G6" s="24">
        <v>15</v>
      </c>
      <c r="H6" s="24"/>
      <c r="J6" s="21" t="s">
        <v>574</v>
      </c>
      <c r="K6" s="24">
        <v>3215.6</v>
      </c>
    </row>
    <row r="7" spans="1:11" x14ac:dyDescent="0.25">
      <c r="A7" s="76">
        <v>46114</v>
      </c>
      <c r="B7" s="21" t="s">
        <v>348</v>
      </c>
      <c r="C7" s="21" t="s">
        <v>12</v>
      </c>
      <c r="D7" s="21" t="s">
        <v>19</v>
      </c>
      <c r="E7" s="21" t="s">
        <v>17</v>
      </c>
      <c r="F7" s="21"/>
      <c r="G7" s="24">
        <v>484.05</v>
      </c>
      <c r="H7" s="24"/>
      <c r="J7" s="21" t="s">
        <v>574</v>
      </c>
      <c r="K7" s="24">
        <v>2731.55</v>
      </c>
    </row>
    <row r="8" spans="1:11" x14ac:dyDescent="0.25">
      <c r="A8" s="76">
        <v>46114</v>
      </c>
      <c r="B8" s="21" t="s">
        <v>13</v>
      </c>
      <c r="C8" s="21" t="s">
        <v>20</v>
      </c>
      <c r="D8" s="21" t="s">
        <v>13</v>
      </c>
      <c r="E8" s="21"/>
      <c r="F8" s="21"/>
      <c r="G8" s="24">
        <v>5110</v>
      </c>
      <c r="H8" s="24"/>
      <c r="J8" s="21" t="s">
        <v>574</v>
      </c>
      <c r="K8" s="24">
        <v>7841.5499999999993</v>
      </c>
    </row>
    <row r="9" spans="1:11" x14ac:dyDescent="0.25">
      <c r="A9" s="76">
        <v>46114</v>
      </c>
      <c r="B9" s="21" t="s">
        <v>21</v>
      </c>
      <c r="C9" s="21" t="s">
        <v>20</v>
      </c>
      <c r="D9" s="21" t="s">
        <v>22</v>
      </c>
      <c r="E9" s="21" t="s">
        <v>17</v>
      </c>
      <c r="F9" s="21"/>
      <c r="G9" s="24">
        <v>97.5</v>
      </c>
      <c r="H9" s="24"/>
      <c r="J9" s="21" t="s">
        <v>574</v>
      </c>
      <c r="K9" s="24">
        <v>7939.0499999999993</v>
      </c>
    </row>
    <row r="10" spans="1:11" x14ac:dyDescent="0.25">
      <c r="A10" s="76">
        <v>46114</v>
      </c>
      <c r="B10" s="21" t="s">
        <v>23</v>
      </c>
      <c r="C10" s="21" t="s">
        <v>12</v>
      </c>
      <c r="D10" s="21" t="s">
        <v>24</v>
      </c>
      <c r="E10" s="21" t="s">
        <v>17</v>
      </c>
      <c r="F10" s="21" t="s">
        <v>25</v>
      </c>
      <c r="G10" s="24">
        <v>27</v>
      </c>
      <c r="H10" s="24"/>
      <c r="J10" s="21" t="s">
        <v>574</v>
      </c>
      <c r="K10" s="24">
        <v>7912.0499999999993</v>
      </c>
    </row>
    <row r="11" spans="1:11" x14ac:dyDescent="0.25">
      <c r="A11" s="76">
        <v>46114</v>
      </c>
      <c r="B11" s="21" t="s">
        <v>11</v>
      </c>
      <c r="C11" s="21" t="s">
        <v>12</v>
      </c>
      <c r="D11" s="21" t="s">
        <v>19</v>
      </c>
      <c r="E11" s="21" t="s">
        <v>14</v>
      </c>
      <c r="F11" s="21" t="s">
        <v>15</v>
      </c>
      <c r="G11" s="24">
        <v>0</v>
      </c>
      <c r="H11" s="24"/>
      <c r="J11" s="21" t="s">
        <v>574</v>
      </c>
      <c r="K11" s="24">
        <v>7912.0499999999993</v>
      </c>
    </row>
    <row r="12" spans="1:11" x14ac:dyDescent="0.25">
      <c r="A12" s="76">
        <v>46115</v>
      </c>
      <c r="B12" s="21" t="s">
        <v>13</v>
      </c>
      <c r="C12" s="21" t="s">
        <v>20</v>
      </c>
      <c r="D12" s="21" t="s">
        <v>13</v>
      </c>
      <c r="E12" s="21"/>
      <c r="F12" s="21"/>
      <c r="G12" s="24">
        <v>7846</v>
      </c>
      <c r="H12" s="24"/>
      <c r="J12" s="21" t="s">
        <v>574</v>
      </c>
      <c r="K12" s="24">
        <v>15758.05</v>
      </c>
    </row>
    <row r="13" spans="1:11" x14ac:dyDescent="0.25">
      <c r="A13" s="76">
        <v>46115</v>
      </c>
      <c r="B13" s="21" t="s">
        <v>21</v>
      </c>
      <c r="C13" s="21" t="s">
        <v>20</v>
      </c>
      <c r="D13" s="21" t="s">
        <v>22</v>
      </c>
      <c r="E13" s="21" t="s">
        <v>17</v>
      </c>
      <c r="F13" s="21"/>
      <c r="G13" s="24">
        <v>219.1</v>
      </c>
      <c r="H13" s="24"/>
      <c r="J13" s="21" t="s">
        <v>574</v>
      </c>
      <c r="K13" s="24">
        <v>15977.15</v>
      </c>
    </row>
    <row r="14" spans="1:11" x14ac:dyDescent="0.25">
      <c r="A14" s="76">
        <v>46115</v>
      </c>
      <c r="B14" s="21" t="s">
        <v>23</v>
      </c>
      <c r="C14" s="21" t="s">
        <v>12</v>
      </c>
      <c r="D14" s="21" t="s">
        <v>24</v>
      </c>
      <c r="E14" s="21" t="s">
        <v>17</v>
      </c>
      <c r="F14" s="21" t="s">
        <v>25</v>
      </c>
      <c r="G14" s="24">
        <v>36</v>
      </c>
      <c r="H14" s="24"/>
      <c r="J14" s="21" t="s">
        <v>574</v>
      </c>
      <c r="K14" s="24">
        <v>15941.15</v>
      </c>
    </row>
    <row r="15" spans="1:11" x14ac:dyDescent="0.25">
      <c r="A15" s="76">
        <v>46115</v>
      </c>
      <c r="B15" s="21" t="s">
        <v>11</v>
      </c>
      <c r="C15" s="21" t="s">
        <v>12</v>
      </c>
      <c r="D15" s="21" t="s">
        <v>19</v>
      </c>
      <c r="E15" s="21" t="s">
        <v>14</v>
      </c>
      <c r="F15" s="21" t="s">
        <v>15</v>
      </c>
      <c r="G15" s="24">
        <v>376</v>
      </c>
      <c r="H15" s="24"/>
      <c r="J15" s="21" t="s">
        <v>574</v>
      </c>
      <c r="K15" s="24">
        <v>15565.15</v>
      </c>
    </row>
    <row r="16" spans="1:11" x14ac:dyDescent="0.25">
      <c r="A16" s="76">
        <v>46116</v>
      </c>
      <c r="B16" s="21" t="s">
        <v>13</v>
      </c>
      <c r="C16" s="21" t="s">
        <v>20</v>
      </c>
      <c r="D16" s="21" t="s">
        <v>13</v>
      </c>
      <c r="E16" s="21"/>
      <c r="F16" s="21"/>
      <c r="G16" s="24">
        <v>9776</v>
      </c>
      <c r="H16" s="24"/>
      <c r="J16" s="21" t="s">
        <v>574</v>
      </c>
      <c r="K16" s="24">
        <v>25341.15</v>
      </c>
    </row>
    <row r="17" spans="1:11" x14ac:dyDescent="0.25">
      <c r="A17" s="76">
        <v>46117</v>
      </c>
      <c r="B17" s="21" t="s">
        <v>21</v>
      </c>
      <c r="C17" s="21" t="s">
        <v>20</v>
      </c>
      <c r="D17" s="21" t="s">
        <v>22</v>
      </c>
      <c r="E17" s="21" t="s">
        <v>17</v>
      </c>
      <c r="F17" s="21"/>
      <c r="G17" s="24">
        <v>58.5</v>
      </c>
      <c r="H17" s="24"/>
      <c r="J17" s="21" t="s">
        <v>574</v>
      </c>
      <c r="K17" s="24">
        <v>25399.65</v>
      </c>
    </row>
    <row r="18" spans="1:11" x14ac:dyDescent="0.25">
      <c r="A18" s="76">
        <v>46118</v>
      </c>
      <c r="B18" s="21" t="s">
        <v>23</v>
      </c>
      <c r="C18" s="21" t="s">
        <v>12</v>
      </c>
      <c r="D18" s="21" t="s">
        <v>24</v>
      </c>
      <c r="E18" s="21" t="s">
        <v>17</v>
      </c>
      <c r="F18" s="21" t="s">
        <v>25</v>
      </c>
      <c r="G18" s="24">
        <v>9</v>
      </c>
      <c r="H18" s="24"/>
      <c r="J18" s="21" t="s">
        <v>574</v>
      </c>
      <c r="K18" s="24">
        <v>25390.65</v>
      </c>
    </row>
    <row r="19" spans="1:11" x14ac:dyDescent="0.25">
      <c r="A19" s="76">
        <v>46119</v>
      </c>
      <c r="B19" s="21" t="s">
        <v>576</v>
      </c>
      <c r="C19" s="21" t="s">
        <v>12</v>
      </c>
      <c r="D19" s="21" t="s">
        <v>62</v>
      </c>
      <c r="E19" s="21" t="s">
        <v>14</v>
      </c>
      <c r="F19" s="21" t="s">
        <v>15</v>
      </c>
      <c r="G19" s="24">
        <v>132</v>
      </c>
      <c r="H19" s="24"/>
      <c r="J19" s="21" t="s">
        <v>574</v>
      </c>
      <c r="K19" s="24">
        <v>25258.65</v>
      </c>
    </row>
    <row r="20" spans="1:11" x14ac:dyDescent="0.25">
      <c r="A20" s="76">
        <v>46117</v>
      </c>
      <c r="B20" s="21" t="s">
        <v>13</v>
      </c>
      <c r="C20" s="21" t="s">
        <v>20</v>
      </c>
      <c r="D20" s="21" t="s">
        <v>13</v>
      </c>
      <c r="E20" s="21"/>
      <c r="F20" s="21"/>
      <c r="G20" s="24">
        <v>5201</v>
      </c>
      <c r="H20" s="24"/>
      <c r="J20" s="21" t="s">
        <v>574</v>
      </c>
      <c r="K20" s="24">
        <v>30459.65</v>
      </c>
    </row>
    <row r="21" spans="1:11" x14ac:dyDescent="0.25">
      <c r="A21" s="76">
        <v>46117</v>
      </c>
      <c r="B21" s="21" t="s">
        <v>21</v>
      </c>
      <c r="C21" s="21" t="s">
        <v>20</v>
      </c>
      <c r="D21" s="21" t="s">
        <v>22</v>
      </c>
      <c r="E21" s="21" t="s">
        <v>17</v>
      </c>
      <c r="F21" s="21"/>
      <c r="G21" s="24">
        <v>123.3</v>
      </c>
      <c r="H21" s="24"/>
      <c r="J21" s="21" t="s">
        <v>574</v>
      </c>
      <c r="K21" s="24">
        <v>30582.95</v>
      </c>
    </row>
    <row r="22" spans="1:11" x14ac:dyDescent="0.25">
      <c r="A22" s="76">
        <v>46117</v>
      </c>
      <c r="B22" s="21" t="s">
        <v>23</v>
      </c>
      <c r="C22" s="21" t="s">
        <v>12</v>
      </c>
      <c r="D22" s="21" t="s">
        <v>24</v>
      </c>
      <c r="E22" s="21" t="s">
        <v>17</v>
      </c>
      <c r="F22" s="21" t="s">
        <v>25</v>
      </c>
      <c r="G22" s="24">
        <v>27</v>
      </c>
      <c r="H22" s="24"/>
      <c r="J22" s="21" t="s">
        <v>574</v>
      </c>
      <c r="K22" s="24">
        <v>30555.95</v>
      </c>
    </row>
    <row r="23" spans="1:11" x14ac:dyDescent="0.25">
      <c r="A23" s="76">
        <v>46117</v>
      </c>
      <c r="B23" s="21" t="s">
        <v>11</v>
      </c>
      <c r="C23" s="21" t="s">
        <v>12</v>
      </c>
      <c r="D23" s="21" t="s">
        <v>19</v>
      </c>
      <c r="E23" s="21" t="s">
        <v>14</v>
      </c>
      <c r="F23" s="21" t="s">
        <v>15</v>
      </c>
      <c r="G23" s="24">
        <v>94</v>
      </c>
      <c r="H23" s="24"/>
      <c r="J23" s="21" t="s">
        <v>574</v>
      </c>
      <c r="K23" s="24">
        <v>30461.95</v>
      </c>
    </row>
    <row r="24" spans="1:11" x14ac:dyDescent="0.25">
      <c r="A24" s="76">
        <v>46118</v>
      </c>
      <c r="B24" s="21" t="s">
        <v>13</v>
      </c>
      <c r="C24" s="21" t="s">
        <v>20</v>
      </c>
      <c r="D24" s="21" t="s">
        <v>13</v>
      </c>
      <c r="E24" s="21"/>
      <c r="F24" s="21"/>
      <c r="G24" s="24">
        <v>1472</v>
      </c>
      <c r="H24" s="24"/>
      <c r="J24" s="21" t="s">
        <v>574</v>
      </c>
      <c r="K24" s="24">
        <v>31933.95</v>
      </c>
    </row>
    <row r="25" spans="1:11" x14ac:dyDescent="0.25">
      <c r="A25" s="76">
        <v>46118</v>
      </c>
      <c r="B25" s="21" t="s">
        <v>21</v>
      </c>
      <c r="C25" s="21" t="s">
        <v>20</v>
      </c>
      <c r="D25" s="21" t="s">
        <v>22</v>
      </c>
      <c r="E25" s="21" t="s">
        <v>17</v>
      </c>
      <c r="F25" s="21"/>
      <c r="G25" s="24">
        <v>0</v>
      </c>
      <c r="H25" s="24"/>
      <c r="J25" s="21" t="s">
        <v>574</v>
      </c>
      <c r="K25" s="24">
        <v>31933.95</v>
      </c>
    </row>
    <row r="26" spans="1:11" x14ac:dyDescent="0.25">
      <c r="A26" s="76">
        <v>46118</v>
      </c>
      <c r="B26" s="21" t="s">
        <v>23</v>
      </c>
      <c r="C26" s="21" t="s">
        <v>12</v>
      </c>
      <c r="D26" s="21" t="s">
        <v>24</v>
      </c>
      <c r="E26" s="21" t="s">
        <v>17</v>
      </c>
      <c r="F26" s="21" t="s">
        <v>25</v>
      </c>
      <c r="G26" s="24">
        <v>0</v>
      </c>
      <c r="H26" s="24"/>
      <c r="J26" s="21" t="s">
        <v>574</v>
      </c>
      <c r="K26" s="24">
        <v>31933.95</v>
      </c>
    </row>
    <row r="27" spans="1:11" x14ac:dyDescent="0.25">
      <c r="A27" s="76">
        <v>46118</v>
      </c>
      <c r="B27" s="21" t="s">
        <v>11</v>
      </c>
      <c r="C27" s="21" t="s">
        <v>12</v>
      </c>
      <c r="D27" s="21" t="s">
        <v>19</v>
      </c>
      <c r="E27" s="21" t="s">
        <v>14</v>
      </c>
      <c r="F27" s="21" t="s">
        <v>15</v>
      </c>
      <c r="G27" s="24">
        <v>0</v>
      </c>
      <c r="H27" s="24"/>
      <c r="J27" s="21" t="s">
        <v>574</v>
      </c>
      <c r="K27" s="24">
        <v>31933.95</v>
      </c>
    </row>
    <row r="28" spans="1:11" x14ac:dyDescent="0.25">
      <c r="A28" s="76">
        <v>46118</v>
      </c>
      <c r="B28" s="21" t="s">
        <v>319</v>
      </c>
      <c r="C28" s="21" t="s">
        <v>12</v>
      </c>
      <c r="D28" s="21" t="s">
        <v>39</v>
      </c>
      <c r="E28" s="21" t="s">
        <v>17</v>
      </c>
      <c r="F28" s="21"/>
      <c r="G28" s="24">
        <v>8918.64</v>
      </c>
      <c r="H28" s="24"/>
      <c r="J28" s="21" t="s">
        <v>574</v>
      </c>
      <c r="K28" s="24">
        <v>23015.31</v>
      </c>
    </row>
    <row r="29" spans="1:11" x14ac:dyDescent="0.25">
      <c r="A29" s="76">
        <v>46118</v>
      </c>
      <c r="B29" s="21" t="s">
        <v>320</v>
      </c>
      <c r="C29" s="21" t="s">
        <v>12</v>
      </c>
      <c r="D29" s="21" t="s">
        <v>39</v>
      </c>
      <c r="E29" s="21" t="s">
        <v>17</v>
      </c>
      <c r="F29" s="21" t="s">
        <v>25</v>
      </c>
      <c r="G29" s="24">
        <v>94.6</v>
      </c>
      <c r="H29" s="24"/>
      <c r="J29" s="21" t="s">
        <v>574</v>
      </c>
      <c r="K29" s="24">
        <v>22920.71</v>
      </c>
    </row>
    <row r="30" spans="1:11" x14ac:dyDescent="0.25">
      <c r="A30" s="76">
        <v>46118</v>
      </c>
      <c r="B30" s="21" t="s">
        <v>41</v>
      </c>
      <c r="C30" s="21" t="s">
        <v>12</v>
      </c>
      <c r="D30" s="21" t="s">
        <v>39</v>
      </c>
      <c r="E30" s="21" t="s">
        <v>17</v>
      </c>
      <c r="F30" s="21"/>
      <c r="G30" s="24">
        <v>100</v>
      </c>
      <c r="H30" s="24"/>
      <c r="J30" s="21" t="s">
        <v>574</v>
      </c>
      <c r="K30" s="24">
        <v>22820.71</v>
      </c>
    </row>
    <row r="31" spans="1:11" x14ac:dyDescent="0.25">
      <c r="A31" s="76">
        <v>46118</v>
      </c>
      <c r="B31" s="21" t="s">
        <v>577</v>
      </c>
      <c r="C31" s="21" t="s">
        <v>12</v>
      </c>
      <c r="D31" s="21" t="s">
        <v>27</v>
      </c>
      <c r="E31" s="21" t="s">
        <v>17</v>
      </c>
      <c r="F31" s="21" t="s">
        <v>25</v>
      </c>
      <c r="G31" s="24">
        <v>4000</v>
      </c>
      <c r="H31" s="24"/>
      <c r="J31" s="21" t="s">
        <v>574</v>
      </c>
      <c r="K31" s="24">
        <v>18820.71</v>
      </c>
    </row>
    <row r="32" spans="1:11" x14ac:dyDescent="0.25">
      <c r="A32" s="76">
        <v>46118</v>
      </c>
      <c r="B32" s="21" t="s">
        <v>363</v>
      </c>
      <c r="C32" s="21" t="s">
        <v>12</v>
      </c>
      <c r="D32" s="21" t="s">
        <v>19</v>
      </c>
      <c r="E32" s="21" t="s">
        <v>17</v>
      </c>
      <c r="F32" s="21"/>
      <c r="G32" s="24">
        <v>1074</v>
      </c>
      <c r="H32" s="24"/>
      <c r="J32" s="21" t="s">
        <v>574</v>
      </c>
      <c r="K32" s="24">
        <v>17746.71</v>
      </c>
    </row>
    <row r="33" spans="1:11" x14ac:dyDescent="0.25">
      <c r="A33" s="76">
        <v>46118</v>
      </c>
      <c r="B33" s="21" t="s">
        <v>363</v>
      </c>
      <c r="C33" s="21" t="s">
        <v>12</v>
      </c>
      <c r="D33" s="21" t="s">
        <v>19</v>
      </c>
      <c r="E33" s="21" t="s">
        <v>17</v>
      </c>
      <c r="F33" s="21"/>
      <c r="G33" s="24">
        <v>1708.78</v>
      </c>
      <c r="H33" s="24"/>
      <c r="J33" s="21" t="s">
        <v>574</v>
      </c>
      <c r="K33" s="24">
        <v>16037.93</v>
      </c>
    </row>
    <row r="34" spans="1:11" x14ac:dyDescent="0.25">
      <c r="A34" s="76">
        <v>46118</v>
      </c>
      <c r="B34" s="21" t="s">
        <v>348</v>
      </c>
      <c r="C34" s="21" t="s">
        <v>12</v>
      </c>
      <c r="D34" s="21" t="s">
        <v>19</v>
      </c>
      <c r="E34" s="21" t="s">
        <v>17</v>
      </c>
      <c r="F34" s="21"/>
      <c r="G34" s="24">
        <v>399.72</v>
      </c>
      <c r="H34" s="24"/>
      <c r="J34" s="21" t="s">
        <v>574</v>
      </c>
      <c r="K34" s="24">
        <v>15638.21</v>
      </c>
    </row>
    <row r="35" spans="1:11" x14ac:dyDescent="0.25">
      <c r="A35" s="76">
        <v>46118</v>
      </c>
      <c r="B35" s="21" t="s">
        <v>578</v>
      </c>
      <c r="C35" s="21" t="s">
        <v>12</v>
      </c>
      <c r="D35" s="21" t="s">
        <v>62</v>
      </c>
      <c r="E35" s="21" t="s">
        <v>17</v>
      </c>
      <c r="F35" s="21"/>
      <c r="G35" s="24">
        <v>537</v>
      </c>
      <c r="H35" s="24"/>
      <c r="J35" s="21" t="s">
        <v>574</v>
      </c>
      <c r="K35" s="24">
        <v>15101.21</v>
      </c>
    </row>
    <row r="36" spans="1:11" x14ac:dyDescent="0.25">
      <c r="A36" s="76">
        <v>46118</v>
      </c>
      <c r="B36" s="21" t="s">
        <v>579</v>
      </c>
      <c r="C36" s="21" t="s">
        <v>12</v>
      </c>
      <c r="D36" s="21" t="s">
        <v>27</v>
      </c>
      <c r="E36" s="21" t="s">
        <v>17</v>
      </c>
      <c r="F36" s="21" t="s">
        <v>25</v>
      </c>
      <c r="G36" s="24">
        <v>7577.16</v>
      </c>
      <c r="H36" s="24"/>
      <c r="J36" s="21" t="s">
        <v>574</v>
      </c>
      <c r="K36" s="24">
        <v>7524.0500000000029</v>
      </c>
    </row>
    <row r="37" spans="1:11" x14ac:dyDescent="0.25">
      <c r="A37" s="76">
        <v>46119</v>
      </c>
      <c r="B37" s="21" t="s">
        <v>13</v>
      </c>
      <c r="C37" s="21" t="s">
        <v>20</v>
      </c>
      <c r="D37" s="21" t="s">
        <v>13</v>
      </c>
      <c r="E37" s="21"/>
      <c r="F37" s="21"/>
      <c r="G37" s="24">
        <v>1634</v>
      </c>
      <c r="H37" s="24"/>
      <c r="J37" s="21" t="s">
        <v>574</v>
      </c>
      <c r="K37" s="24">
        <v>9158.0500000000029</v>
      </c>
    </row>
    <row r="38" spans="1:11" x14ac:dyDescent="0.25">
      <c r="A38" s="76">
        <v>46119</v>
      </c>
      <c r="B38" s="21" t="s">
        <v>460</v>
      </c>
      <c r="C38" s="21" t="s">
        <v>20</v>
      </c>
      <c r="D38" s="21" t="s">
        <v>22</v>
      </c>
      <c r="E38" s="21" t="s">
        <v>17</v>
      </c>
      <c r="F38" s="21"/>
      <c r="G38" s="24">
        <v>0</v>
      </c>
      <c r="H38" s="24"/>
      <c r="J38" s="21" t="s">
        <v>574</v>
      </c>
      <c r="K38" s="24">
        <v>9158.0500000000029</v>
      </c>
    </row>
    <row r="39" spans="1:11" x14ac:dyDescent="0.25">
      <c r="A39" s="76">
        <v>46119</v>
      </c>
      <c r="B39" s="21" t="s">
        <v>23</v>
      </c>
      <c r="C39" s="21" t="s">
        <v>12</v>
      </c>
      <c r="D39" s="21" t="s">
        <v>24</v>
      </c>
      <c r="E39" s="21" t="s">
        <v>17</v>
      </c>
      <c r="F39" s="21" t="s">
        <v>25</v>
      </c>
      <c r="G39" s="24">
        <v>0</v>
      </c>
      <c r="H39" s="24"/>
      <c r="J39" s="21" t="s">
        <v>574</v>
      </c>
      <c r="K39" s="24">
        <v>9158.0500000000029</v>
      </c>
    </row>
    <row r="40" spans="1:11" x14ac:dyDescent="0.25">
      <c r="A40" s="76">
        <v>46120</v>
      </c>
      <c r="B40" s="21" t="s">
        <v>580</v>
      </c>
      <c r="C40" s="21" t="s">
        <v>12</v>
      </c>
      <c r="D40" s="21" t="s">
        <v>19</v>
      </c>
      <c r="E40" s="21" t="s">
        <v>17</v>
      </c>
      <c r="F40" s="21" t="s">
        <v>25</v>
      </c>
      <c r="G40" s="24">
        <v>689.25</v>
      </c>
      <c r="H40" s="24"/>
      <c r="J40" s="21" t="s">
        <v>574</v>
      </c>
      <c r="K40" s="24">
        <v>8468.8000000000029</v>
      </c>
    </row>
    <row r="41" spans="1:11" x14ac:dyDescent="0.25">
      <c r="A41" s="76">
        <v>46120</v>
      </c>
      <c r="B41" s="21" t="s">
        <v>397</v>
      </c>
      <c r="C41" s="21" t="s">
        <v>12</v>
      </c>
      <c r="D41" s="21" t="s">
        <v>19</v>
      </c>
      <c r="E41" s="21" t="s">
        <v>17</v>
      </c>
      <c r="F41" s="21"/>
      <c r="G41" s="24">
        <v>755</v>
      </c>
      <c r="H41" s="24"/>
      <c r="J41" s="21" t="s">
        <v>574</v>
      </c>
      <c r="K41" s="24">
        <v>7713.8000000000029</v>
      </c>
    </row>
    <row r="42" spans="1:11" x14ac:dyDescent="0.25">
      <c r="A42" s="76">
        <v>46120</v>
      </c>
      <c r="B42" s="21" t="s">
        <v>13</v>
      </c>
      <c r="C42" s="21" t="s">
        <v>20</v>
      </c>
      <c r="D42" s="21" t="s">
        <v>13</v>
      </c>
      <c r="E42" s="21"/>
      <c r="F42" s="21"/>
      <c r="G42" s="24">
        <v>901</v>
      </c>
      <c r="H42" s="24"/>
      <c r="J42" s="21" t="s">
        <v>574</v>
      </c>
      <c r="K42" s="24">
        <v>8614.8000000000029</v>
      </c>
    </row>
    <row r="43" spans="1:11" x14ac:dyDescent="0.25">
      <c r="A43" s="76">
        <v>46120</v>
      </c>
      <c r="B43" s="21" t="s">
        <v>460</v>
      </c>
      <c r="C43" s="21" t="s">
        <v>20</v>
      </c>
      <c r="D43" s="21" t="s">
        <v>22</v>
      </c>
      <c r="E43" s="21" t="s">
        <v>17</v>
      </c>
      <c r="F43" s="21"/>
      <c r="G43" s="24">
        <v>66.599999999999994</v>
      </c>
      <c r="H43" s="24"/>
      <c r="J43" s="21" t="s">
        <v>574</v>
      </c>
      <c r="K43" s="24">
        <v>8681.4000000000033</v>
      </c>
    </row>
    <row r="44" spans="1:11" x14ac:dyDescent="0.25">
      <c r="A44" s="76">
        <v>46120</v>
      </c>
      <c r="B44" s="21" t="s">
        <v>23</v>
      </c>
      <c r="C44" s="21" t="s">
        <v>12</v>
      </c>
      <c r="D44" s="21" t="s">
        <v>24</v>
      </c>
      <c r="E44" s="21" t="s">
        <v>17</v>
      </c>
      <c r="F44" s="21" t="s">
        <v>25</v>
      </c>
      <c r="G44" s="24">
        <v>9</v>
      </c>
      <c r="H44" s="24"/>
      <c r="J44" s="21" t="s">
        <v>574</v>
      </c>
      <c r="K44" s="24">
        <v>8672.4000000000033</v>
      </c>
    </row>
    <row r="45" spans="1:11" x14ac:dyDescent="0.25">
      <c r="A45" s="76">
        <v>46120</v>
      </c>
      <c r="B45" s="21" t="s">
        <v>11</v>
      </c>
      <c r="C45" s="21" t="s">
        <v>12</v>
      </c>
      <c r="D45" s="21" t="s">
        <v>19</v>
      </c>
      <c r="E45" s="21" t="s">
        <v>14</v>
      </c>
      <c r="F45" s="21" t="s">
        <v>15</v>
      </c>
      <c r="G45" s="24">
        <v>0</v>
      </c>
      <c r="H45" s="24"/>
      <c r="J45" s="21" t="s">
        <v>574</v>
      </c>
      <c r="K45" s="24">
        <v>8672.4000000000033</v>
      </c>
    </row>
    <row r="46" spans="1:11" x14ac:dyDescent="0.25">
      <c r="A46" s="76">
        <v>46121</v>
      </c>
      <c r="B46" s="21" t="s">
        <v>581</v>
      </c>
      <c r="C46" s="21" t="s">
        <v>12</v>
      </c>
      <c r="D46" s="21" t="s">
        <v>65</v>
      </c>
      <c r="E46" s="21" t="s">
        <v>17</v>
      </c>
      <c r="F46" s="21" t="s">
        <v>25</v>
      </c>
      <c r="G46" s="24">
        <v>45</v>
      </c>
      <c r="H46" s="24"/>
      <c r="J46" s="21" t="s">
        <v>574</v>
      </c>
      <c r="K46" s="24">
        <v>8627.4000000000033</v>
      </c>
    </row>
    <row r="47" spans="1:11" x14ac:dyDescent="0.25">
      <c r="A47" s="76">
        <v>46121</v>
      </c>
      <c r="B47" s="21" t="s">
        <v>13</v>
      </c>
      <c r="C47" s="21" t="s">
        <v>20</v>
      </c>
      <c r="D47" s="21" t="s">
        <v>13</v>
      </c>
      <c r="E47" s="21"/>
      <c r="F47" s="21"/>
      <c r="G47" s="24">
        <v>1609</v>
      </c>
      <c r="H47" s="24"/>
      <c r="J47" s="21" t="s">
        <v>574</v>
      </c>
      <c r="K47" s="24">
        <v>10236.4</v>
      </c>
    </row>
    <row r="48" spans="1:11" x14ac:dyDescent="0.25">
      <c r="A48" s="76">
        <v>46121</v>
      </c>
      <c r="B48" s="21" t="s">
        <v>460</v>
      </c>
      <c r="C48" s="21" t="s">
        <v>20</v>
      </c>
      <c r="D48" s="21" t="s">
        <v>22</v>
      </c>
      <c r="E48" s="21" t="s">
        <v>17</v>
      </c>
      <c r="F48" s="21"/>
      <c r="G48" s="24">
        <v>56.6</v>
      </c>
      <c r="H48" s="24"/>
      <c r="J48" s="21" t="s">
        <v>574</v>
      </c>
      <c r="K48" s="24">
        <v>10293</v>
      </c>
    </row>
    <row r="49" spans="1:11" x14ac:dyDescent="0.25">
      <c r="A49" s="76">
        <v>46121</v>
      </c>
      <c r="B49" s="21" t="s">
        <v>23</v>
      </c>
      <c r="C49" s="21" t="s">
        <v>12</v>
      </c>
      <c r="D49" s="21" t="s">
        <v>24</v>
      </c>
      <c r="E49" s="21" t="s">
        <v>17</v>
      </c>
      <c r="F49" s="21" t="s">
        <v>25</v>
      </c>
      <c r="G49" s="24">
        <v>17</v>
      </c>
      <c r="H49" s="24"/>
      <c r="J49" s="21" t="s">
        <v>574</v>
      </c>
      <c r="K49" s="24">
        <v>10276</v>
      </c>
    </row>
    <row r="50" spans="1:11" x14ac:dyDescent="0.25">
      <c r="A50" s="76">
        <v>46121</v>
      </c>
      <c r="B50" s="21" t="s">
        <v>11</v>
      </c>
      <c r="C50" s="21" t="s">
        <v>12</v>
      </c>
      <c r="D50" s="21" t="s">
        <v>19</v>
      </c>
      <c r="E50" s="21" t="s">
        <v>14</v>
      </c>
      <c r="F50" s="21" t="s">
        <v>15</v>
      </c>
      <c r="G50" s="24">
        <v>188</v>
      </c>
      <c r="H50" s="24"/>
      <c r="J50" s="21" t="s">
        <v>574</v>
      </c>
      <c r="K50" s="24">
        <v>10088</v>
      </c>
    </row>
    <row r="51" spans="1:11" x14ac:dyDescent="0.25">
      <c r="A51" s="76">
        <v>46121</v>
      </c>
      <c r="B51" s="21" t="s">
        <v>582</v>
      </c>
      <c r="C51" s="21" t="s">
        <v>12</v>
      </c>
      <c r="D51" s="21" t="s">
        <v>19</v>
      </c>
      <c r="E51" s="21" t="s">
        <v>17</v>
      </c>
      <c r="F51" s="21" t="s">
        <v>25</v>
      </c>
      <c r="G51" s="24">
        <v>76.5</v>
      </c>
      <c r="H51" s="24"/>
      <c r="J51" s="21" t="s">
        <v>574</v>
      </c>
      <c r="K51" s="24">
        <v>10011.5</v>
      </c>
    </row>
    <row r="52" spans="1:11" x14ac:dyDescent="0.25">
      <c r="A52" s="76">
        <v>46122</v>
      </c>
      <c r="B52" s="21" t="s">
        <v>66</v>
      </c>
      <c r="C52" s="21" t="s">
        <v>12</v>
      </c>
      <c r="D52" s="21" t="s">
        <v>66</v>
      </c>
      <c r="E52" s="21" t="s">
        <v>17</v>
      </c>
      <c r="F52" s="21" t="s">
        <v>25</v>
      </c>
      <c r="G52" s="24">
        <v>6853.92</v>
      </c>
      <c r="H52" s="24"/>
      <c r="J52" s="21" t="s">
        <v>574</v>
      </c>
      <c r="K52" s="24">
        <v>3157.580000000004</v>
      </c>
    </row>
    <row r="53" spans="1:11" x14ac:dyDescent="0.25">
      <c r="A53" s="76">
        <v>46122</v>
      </c>
      <c r="B53" s="21" t="s">
        <v>68</v>
      </c>
      <c r="C53" s="21" t="s">
        <v>12</v>
      </c>
      <c r="D53" s="21" t="s">
        <v>68</v>
      </c>
      <c r="E53" s="21" t="s">
        <v>17</v>
      </c>
      <c r="F53" s="21" t="s">
        <v>25</v>
      </c>
      <c r="G53" s="24">
        <v>450</v>
      </c>
      <c r="H53" s="24"/>
      <c r="J53" s="21" t="s">
        <v>574</v>
      </c>
      <c r="K53" s="24">
        <v>2707.580000000004</v>
      </c>
    </row>
    <row r="54" spans="1:11" x14ac:dyDescent="0.25">
      <c r="A54" s="76">
        <v>46122</v>
      </c>
      <c r="B54" s="21" t="s">
        <v>13</v>
      </c>
      <c r="C54" s="21" t="s">
        <v>20</v>
      </c>
      <c r="D54" s="21" t="s">
        <v>13</v>
      </c>
      <c r="E54" s="21"/>
      <c r="F54" s="21"/>
      <c r="G54" s="24">
        <v>2047</v>
      </c>
      <c r="H54" s="24"/>
      <c r="J54" s="21" t="s">
        <v>574</v>
      </c>
      <c r="K54" s="24">
        <v>4754.5800000000036</v>
      </c>
    </row>
    <row r="55" spans="1:11" x14ac:dyDescent="0.25">
      <c r="A55" s="76">
        <v>46122</v>
      </c>
      <c r="B55" s="21" t="s">
        <v>460</v>
      </c>
      <c r="C55" s="21" t="s">
        <v>20</v>
      </c>
      <c r="D55" s="21" t="s">
        <v>22</v>
      </c>
      <c r="E55" s="21" t="s">
        <v>17</v>
      </c>
      <c r="F55" s="21"/>
      <c r="G55" s="24">
        <v>0</v>
      </c>
      <c r="H55" s="24"/>
      <c r="J55" s="21" t="s">
        <v>574</v>
      </c>
      <c r="K55" s="24">
        <v>4754.5800000000036</v>
      </c>
    </row>
    <row r="56" spans="1:11" x14ac:dyDescent="0.25">
      <c r="A56" s="76">
        <v>46122</v>
      </c>
      <c r="B56" s="21" t="s">
        <v>23</v>
      </c>
      <c r="C56" s="21" t="s">
        <v>12</v>
      </c>
      <c r="D56" s="21" t="s">
        <v>24</v>
      </c>
      <c r="E56" s="21" t="s">
        <v>17</v>
      </c>
      <c r="F56" s="21" t="s">
        <v>25</v>
      </c>
      <c r="G56" s="24">
        <v>0</v>
      </c>
      <c r="H56" s="24"/>
      <c r="J56" s="21" t="s">
        <v>574</v>
      </c>
      <c r="K56" s="24">
        <v>4754.5800000000036</v>
      </c>
    </row>
    <row r="57" spans="1:11" x14ac:dyDescent="0.25">
      <c r="A57" s="76">
        <v>46122</v>
      </c>
      <c r="B57" s="21" t="s">
        <v>11</v>
      </c>
      <c r="C57" s="21" t="s">
        <v>12</v>
      </c>
      <c r="D57" s="21" t="s">
        <v>19</v>
      </c>
      <c r="E57" s="21" t="s">
        <v>17</v>
      </c>
      <c r="F57" s="21" t="s">
        <v>15</v>
      </c>
      <c r="G57" s="24">
        <v>376</v>
      </c>
      <c r="H57" s="24"/>
      <c r="J57" s="21" t="s">
        <v>574</v>
      </c>
      <c r="K57" s="24">
        <v>4378.5800000000036</v>
      </c>
    </row>
    <row r="58" spans="1:11" x14ac:dyDescent="0.25">
      <c r="A58" s="76">
        <v>46121</v>
      </c>
      <c r="B58" s="21" t="s">
        <v>583</v>
      </c>
      <c r="C58" s="21" t="s">
        <v>12</v>
      </c>
      <c r="D58" s="21" t="s">
        <v>19</v>
      </c>
      <c r="E58" s="21" t="s">
        <v>17</v>
      </c>
      <c r="F58" s="21" t="s">
        <v>25</v>
      </c>
      <c r="G58" s="24">
        <v>700</v>
      </c>
      <c r="H58" s="24"/>
      <c r="J58" s="21" t="s">
        <v>574</v>
      </c>
      <c r="K58" s="24">
        <v>3678.580000000004</v>
      </c>
    </row>
    <row r="59" spans="1:11" x14ac:dyDescent="0.25">
      <c r="A59" s="76">
        <v>46122</v>
      </c>
      <c r="B59" s="21" t="s">
        <v>584</v>
      </c>
      <c r="C59" s="21" t="s">
        <v>12</v>
      </c>
      <c r="D59" s="21" t="s">
        <v>27</v>
      </c>
      <c r="E59" s="21" t="s">
        <v>17</v>
      </c>
      <c r="F59" s="21"/>
      <c r="G59" s="24">
        <v>72</v>
      </c>
      <c r="H59" s="24"/>
      <c r="J59" s="21" t="s">
        <v>574</v>
      </c>
      <c r="K59" s="24">
        <v>3606.580000000004</v>
      </c>
    </row>
    <row r="60" spans="1:11" x14ac:dyDescent="0.25">
      <c r="A60" s="76">
        <v>46123</v>
      </c>
      <c r="B60" s="21" t="s">
        <v>30</v>
      </c>
      <c r="C60" s="21" t="s">
        <v>20</v>
      </c>
      <c r="D60" s="21" t="s">
        <v>13</v>
      </c>
      <c r="E60" s="21"/>
      <c r="F60" s="21"/>
      <c r="G60" s="24">
        <v>7406</v>
      </c>
      <c r="H60" s="24"/>
      <c r="J60" s="21" t="s">
        <v>574</v>
      </c>
      <c r="K60" s="24">
        <v>11012.58</v>
      </c>
    </row>
    <row r="61" spans="1:11" x14ac:dyDescent="0.25">
      <c r="A61" s="76">
        <v>46123</v>
      </c>
      <c r="B61" s="21" t="s">
        <v>44</v>
      </c>
      <c r="C61" s="21" t="s">
        <v>20</v>
      </c>
      <c r="D61" s="21" t="s">
        <v>22</v>
      </c>
      <c r="E61" s="21" t="s">
        <v>17</v>
      </c>
      <c r="F61" s="21"/>
      <c r="G61" s="24">
        <v>230.6</v>
      </c>
      <c r="H61" s="24"/>
      <c r="J61" s="21" t="s">
        <v>574</v>
      </c>
      <c r="K61" s="24">
        <v>11243.18</v>
      </c>
    </row>
    <row r="62" spans="1:11" x14ac:dyDescent="0.25">
      <c r="A62" s="76">
        <v>46123</v>
      </c>
      <c r="B62" s="21" t="s">
        <v>45</v>
      </c>
      <c r="C62" s="21" t="s">
        <v>12</v>
      </c>
      <c r="D62" s="21" t="s">
        <v>24</v>
      </c>
      <c r="E62" s="21" t="s">
        <v>17</v>
      </c>
      <c r="F62" s="21" t="s">
        <v>25</v>
      </c>
      <c r="G62" s="24">
        <v>0</v>
      </c>
      <c r="H62" s="24"/>
      <c r="J62" s="21" t="s">
        <v>574</v>
      </c>
      <c r="K62" s="24">
        <v>11243.18</v>
      </c>
    </row>
    <row r="63" spans="1:11" x14ac:dyDescent="0.25">
      <c r="A63" s="76">
        <v>46124</v>
      </c>
      <c r="B63" s="21" t="s">
        <v>30</v>
      </c>
      <c r="C63" s="21" t="s">
        <v>20</v>
      </c>
      <c r="D63" s="21" t="s">
        <v>13</v>
      </c>
      <c r="E63" s="21"/>
      <c r="F63" s="21"/>
      <c r="G63" s="24">
        <v>6658</v>
      </c>
      <c r="H63" s="24"/>
      <c r="J63" s="21" t="s">
        <v>574</v>
      </c>
      <c r="K63" s="24">
        <v>17901.18</v>
      </c>
    </row>
    <row r="64" spans="1:11" x14ac:dyDescent="0.25">
      <c r="A64" s="76">
        <v>46124</v>
      </c>
      <c r="B64" s="21" t="s">
        <v>44</v>
      </c>
      <c r="C64" s="21" t="s">
        <v>20</v>
      </c>
      <c r="D64" s="21" t="s">
        <v>22</v>
      </c>
      <c r="E64" s="21" t="s">
        <v>17</v>
      </c>
      <c r="F64" s="21"/>
      <c r="G64" s="24">
        <v>143.4</v>
      </c>
      <c r="H64" s="24"/>
      <c r="J64" s="21" t="s">
        <v>574</v>
      </c>
      <c r="K64" s="24">
        <v>18044.580000000009</v>
      </c>
    </row>
    <row r="65" spans="1:11" x14ac:dyDescent="0.25">
      <c r="A65" s="76">
        <v>46124</v>
      </c>
      <c r="B65" s="21" t="s">
        <v>45</v>
      </c>
      <c r="C65" s="21" t="s">
        <v>12</v>
      </c>
      <c r="D65" s="21" t="s">
        <v>24</v>
      </c>
      <c r="E65" s="21" t="s">
        <v>17</v>
      </c>
      <c r="F65" s="21" t="s">
        <v>25</v>
      </c>
      <c r="G65" s="24">
        <v>18</v>
      </c>
      <c r="H65" s="24"/>
      <c r="J65" s="21" t="s">
        <v>574</v>
      </c>
      <c r="K65" s="24">
        <v>18026.580000000009</v>
      </c>
    </row>
    <row r="66" spans="1:11" x14ac:dyDescent="0.25">
      <c r="A66" s="76">
        <v>46125</v>
      </c>
      <c r="B66" s="21" t="s">
        <v>13</v>
      </c>
      <c r="C66" s="21" t="s">
        <v>20</v>
      </c>
      <c r="D66" s="21" t="s">
        <v>13</v>
      </c>
      <c r="E66" s="21"/>
      <c r="F66" s="21"/>
      <c r="G66" s="24">
        <v>1315</v>
      </c>
      <c r="H66" s="24"/>
      <c r="J66" s="21" t="s">
        <v>574</v>
      </c>
      <c r="K66" s="24">
        <v>19341.580000000009</v>
      </c>
    </row>
    <row r="67" spans="1:11" x14ac:dyDescent="0.25">
      <c r="A67" s="76">
        <v>46125</v>
      </c>
      <c r="B67" s="21" t="s">
        <v>44</v>
      </c>
      <c r="C67" s="21" t="s">
        <v>20</v>
      </c>
      <c r="D67" s="21" t="s">
        <v>22</v>
      </c>
      <c r="E67" s="21" t="s">
        <v>17</v>
      </c>
      <c r="F67" s="21"/>
      <c r="G67" s="24">
        <v>19.5</v>
      </c>
      <c r="H67" s="24"/>
      <c r="J67" s="21" t="s">
        <v>574</v>
      </c>
      <c r="K67" s="24">
        <v>19361.080000000009</v>
      </c>
    </row>
    <row r="68" spans="1:11" x14ac:dyDescent="0.25">
      <c r="A68" s="76">
        <v>46125</v>
      </c>
      <c r="B68" s="21" t="s">
        <v>45</v>
      </c>
      <c r="C68" s="21" t="s">
        <v>12</v>
      </c>
      <c r="D68" s="21" t="s">
        <v>24</v>
      </c>
      <c r="E68" s="21" t="s">
        <v>17</v>
      </c>
      <c r="F68" s="21" t="s">
        <v>25</v>
      </c>
      <c r="G68" s="24">
        <v>0</v>
      </c>
      <c r="H68" s="24"/>
      <c r="J68" s="21" t="s">
        <v>574</v>
      </c>
      <c r="K68" s="24">
        <v>19361.080000000009</v>
      </c>
    </row>
    <row r="69" spans="1:11" x14ac:dyDescent="0.25">
      <c r="A69" s="76">
        <v>46125</v>
      </c>
      <c r="B69" s="21" t="s">
        <v>343</v>
      </c>
      <c r="C69" s="21" t="s">
        <v>12</v>
      </c>
      <c r="D69" s="21" t="s">
        <v>19</v>
      </c>
      <c r="E69" s="21" t="s">
        <v>17</v>
      </c>
      <c r="F69" s="21"/>
      <c r="G69" s="24">
        <v>1022.5</v>
      </c>
      <c r="H69" s="24"/>
      <c r="J69" s="21" t="s">
        <v>574</v>
      </c>
      <c r="K69" s="24">
        <v>18338.580000000009</v>
      </c>
    </row>
    <row r="70" spans="1:11" x14ac:dyDescent="0.25">
      <c r="A70" s="76">
        <v>46125</v>
      </c>
      <c r="B70" s="21" t="s">
        <v>308</v>
      </c>
      <c r="C70" s="21" t="s">
        <v>12</v>
      </c>
      <c r="D70" s="21" t="s">
        <v>19</v>
      </c>
      <c r="E70" s="21" t="s">
        <v>17</v>
      </c>
      <c r="F70" s="21"/>
      <c r="G70" s="24">
        <v>5052.07</v>
      </c>
      <c r="H70" s="24"/>
      <c r="J70" s="21" t="s">
        <v>574</v>
      </c>
      <c r="K70" s="24">
        <v>13286.510000000009</v>
      </c>
    </row>
    <row r="71" spans="1:11" x14ac:dyDescent="0.25">
      <c r="A71" s="76">
        <v>46125</v>
      </c>
      <c r="B71" s="21" t="s">
        <v>585</v>
      </c>
      <c r="C71" s="21" t="s">
        <v>12</v>
      </c>
      <c r="D71" s="21" t="s">
        <v>19</v>
      </c>
      <c r="E71" s="21" t="s">
        <v>17</v>
      </c>
      <c r="F71" s="21" t="s">
        <v>25</v>
      </c>
      <c r="G71" s="24">
        <v>213.84</v>
      </c>
      <c r="H71" s="24"/>
      <c r="J71" s="21" t="s">
        <v>574</v>
      </c>
      <c r="K71" s="24">
        <v>13072.670000000009</v>
      </c>
    </row>
    <row r="72" spans="1:11" x14ac:dyDescent="0.25">
      <c r="A72" s="76">
        <v>46125</v>
      </c>
      <c r="B72" s="21" t="s">
        <v>586</v>
      </c>
      <c r="C72" s="21" t="s">
        <v>12</v>
      </c>
      <c r="D72" s="21" t="s">
        <v>19</v>
      </c>
      <c r="E72" s="21" t="s">
        <v>17</v>
      </c>
      <c r="F72" s="21"/>
      <c r="G72" s="24">
        <v>850.5</v>
      </c>
      <c r="H72" s="24"/>
      <c r="J72" s="21" t="s">
        <v>574</v>
      </c>
      <c r="K72" s="24">
        <v>12222.170000000009</v>
      </c>
    </row>
    <row r="73" spans="1:11" x14ac:dyDescent="0.25">
      <c r="A73" s="76">
        <v>46125</v>
      </c>
      <c r="B73" s="21" t="s">
        <v>252</v>
      </c>
      <c r="C73" s="21" t="s">
        <v>12</v>
      </c>
      <c r="D73" s="21" t="s">
        <v>62</v>
      </c>
      <c r="E73" s="21" t="s">
        <v>17</v>
      </c>
      <c r="F73" s="21" t="s">
        <v>25</v>
      </c>
      <c r="G73" s="24">
        <v>183.87</v>
      </c>
      <c r="H73" s="24"/>
      <c r="J73" s="21" t="s">
        <v>574</v>
      </c>
      <c r="K73" s="24">
        <v>12038.3</v>
      </c>
    </row>
    <row r="74" spans="1:11" x14ac:dyDescent="0.25">
      <c r="A74" s="76">
        <v>46126</v>
      </c>
      <c r="B74" s="21" t="s">
        <v>359</v>
      </c>
      <c r="C74" s="21" t="s">
        <v>12</v>
      </c>
      <c r="D74" s="21" t="s">
        <v>62</v>
      </c>
      <c r="E74" s="21" t="s">
        <v>17</v>
      </c>
      <c r="F74" s="21" t="s">
        <v>25</v>
      </c>
      <c r="G74" s="24">
        <v>1800</v>
      </c>
      <c r="H74" s="24"/>
      <c r="J74" s="21" t="s">
        <v>574</v>
      </c>
      <c r="K74" s="24">
        <v>10238.299999999999</v>
      </c>
    </row>
    <row r="75" spans="1:11" x14ac:dyDescent="0.25">
      <c r="A75" s="76">
        <v>46126</v>
      </c>
      <c r="B75" s="21" t="s">
        <v>363</v>
      </c>
      <c r="C75" s="21" t="s">
        <v>12</v>
      </c>
      <c r="D75" s="21" t="s">
        <v>19</v>
      </c>
      <c r="E75" s="21" t="s">
        <v>17</v>
      </c>
      <c r="F75" s="21"/>
      <c r="G75" s="24">
        <v>1708.19</v>
      </c>
      <c r="H75" s="24"/>
      <c r="J75" s="21" t="s">
        <v>574</v>
      </c>
      <c r="K75" s="24">
        <v>8530.1100000000042</v>
      </c>
    </row>
    <row r="76" spans="1:11" x14ac:dyDescent="0.25">
      <c r="A76" s="76">
        <v>46126</v>
      </c>
      <c r="B76" s="21" t="s">
        <v>13</v>
      </c>
      <c r="C76" s="21" t="s">
        <v>20</v>
      </c>
      <c r="D76" s="21" t="s">
        <v>13</v>
      </c>
      <c r="E76" s="21"/>
      <c r="F76" s="21"/>
      <c r="G76" s="24">
        <v>1926</v>
      </c>
      <c r="H76" s="24"/>
      <c r="J76" s="21" t="s">
        <v>574</v>
      </c>
      <c r="K76" s="24">
        <v>10456.11</v>
      </c>
    </row>
    <row r="77" spans="1:11" x14ac:dyDescent="0.25">
      <c r="A77" s="76">
        <v>46126</v>
      </c>
      <c r="B77" s="21" t="s">
        <v>44</v>
      </c>
      <c r="C77" s="21" t="s">
        <v>20</v>
      </c>
      <c r="D77" s="21" t="s">
        <v>22</v>
      </c>
      <c r="E77" s="21" t="s">
        <v>17</v>
      </c>
      <c r="F77" s="21"/>
      <c r="G77" s="24">
        <v>39</v>
      </c>
      <c r="H77" s="24"/>
      <c r="J77" s="21" t="s">
        <v>574</v>
      </c>
      <c r="K77" s="24">
        <v>10495.11</v>
      </c>
    </row>
    <row r="78" spans="1:11" x14ac:dyDescent="0.25">
      <c r="A78" s="76">
        <v>46126</v>
      </c>
      <c r="B78" s="21" t="s">
        <v>45</v>
      </c>
      <c r="C78" s="21" t="s">
        <v>12</v>
      </c>
      <c r="D78" s="21" t="s">
        <v>24</v>
      </c>
      <c r="E78" s="21" t="s">
        <v>17</v>
      </c>
      <c r="F78" s="21" t="s">
        <v>25</v>
      </c>
      <c r="G78" s="24">
        <v>8</v>
      </c>
      <c r="H78" s="24"/>
      <c r="J78" s="21" t="s">
        <v>574</v>
      </c>
      <c r="K78" s="24">
        <v>10487.11</v>
      </c>
    </row>
    <row r="79" spans="1:11" x14ac:dyDescent="0.25">
      <c r="A79" s="76">
        <v>46126</v>
      </c>
      <c r="B79" s="21" t="s">
        <v>11</v>
      </c>
      <c r="C79" s="21" t="s">
        <v>20</v>
      </c>
      <c r="D79" s="21" t="s">
        <v>19</v>
      </c>
      <c r="E79" s="21" t="s">
        <v>14</v>
      </c>
      <c r="F79" s="21" t="s">
        <v>15</v>
      </c>
      <c r="G79" s="24">
        <v>0</v>
      </c>
      <c r="H79" s="24"/>
      <c r="J79" s="21" t="s">
        <v>574</v>
      </c>
      <c r="K79" s="24">
        <v>10487.11</v>
      </c>
    </row>
    <row r="80" spans="1:11" x14ac:dyDescent="0.25">
      <c r="A80" s="76">
        <v>46127</v>
      </c>
      <c r="B80" s="21" t="s">
        <v>587</v>
      </c>
      <c r="C80" s="21" t="s">
        <v>12</v>
      </c>
      <c r="D80" s="21" t="s">
        <v>27</v>
      </c>
      <c r="E80" s="21" t="s">
        <v>17</v>
      </c>
      <c r="F80" s="21"/>
      <c r="G80" s="24">
        <v>216</v>
      </c>
      <c r="H80" s="24"/>
      <c r="J80" s="21" t="s">
        <v>574</v>
      </c>
      <c r="K80" s="24">
        <v>10271.11</v>
      </c>
    </row>
    <row r="81" spans="1:11" x14ac:dyDescent="0.25">
      <c r="A81" s="76">
        <v>46127</v>
      </c>
      <c r="B81" s="21" t="s">
        <v>422</v>
      </c>
      <c r="C81" s="21" t="s">
        <v>12</v>
      </c>
      <c r="D81" s="21" t="s">
        <v>64</v>
      </c>
      <c r="E81" s="21" t="s">
        <v>17</v>
      </c>
      <c r="F81" s="21"/>
      <c r="G81" s="24">
        <v>800</v>
      </c>
      <c r="H81" s="24"/>
      <c r="J81" s="21" t="s">
        <v>574</v>
      </c>
      <c r="K81" s="24">
        <v>9471.1100000000042</v>
      </c>
    </row>
    <row r="82" spans="1:11" x14ac:dyDescent="0.25">
      <c r="A82" s="76">
        <v>46127</v>
      </c>
      <c r="B82" s="21" t="s">
        <v>348</v>
      </c>
      <c r="C82" s="21" t="s">
        <v>12</v>
      </c>
      <c r="D82" s="21" t="s">
        <v>19</v>
      </c>
      <c r="E82" s="21" t="s">
        <v>17</v>
      </c>
      <c r="F82" s="21"/>
      <c r="G82" s="24">
        <v>255.67</v>
      </c>
      <c r="H82" s="24"/>
      <c r="J82" s="21" t="s">
        <v>574</v>
      </c>
      <c r="K82" s="24">
        <v>9215.4400000000041</v>
      </c>
    </row>
    <row r="83" spans="1:11" x14ac:dyDescent="0.25">
      <c r="A83" s="76">
        <v>46127</v>
      </c>
      <c r="B83" s="21" t="s">
        <v>13</v>
      </c>
      <c r="C83" s="21" t="s">
        <v>20</v>
      </c>
      <c r="D83" s="21" t="s">
        <v>13</v>
      </c>
      <c r="E83" s="21"/>
      <c r="F83" s="21"/>
      <c r="G83" s="24">
        <v>1863</v>
      </c>
      <c r="H83" s="24"/>
      <c r="J83" s="21" t="s">
        <v>574</v>
      </c>
      <c r="K83" s="24">
        <v>11078.44</v>
      </c>
    </row>
    <row r="84" spans="1:11" x14ac:dyDescent="0.25">
      <c r="A84" s="76">
        <v>46127</v>
      </c>
      <c r="B84" s="21" t="s">
        <v>44</v>
      </c>
      <c r="C84" s="21" t="s">
        <v>20</v>
      </c>
      <c r="D84" s="21" t="s">
        <v>22</v>
      </c>
      <c r="E84" s="21" t="s">
        <v>17</v>
      </c>
      <c r="F84" s="21"/>
      <c r="G84" s="24">
        <v>0</v>
      </c>
      <c r="H84" s="24"/>
      <c r="J84" s="21" t="s">
        <v>574</v>
      </c>
      <c r="K84" s="24">
        <v>11078.44</v>
      </c>
    </row>
    <row r="85" spans="1:11" x14ac:dyDescent="0.25">
      <c r="A85" s="76">
        <v>46127</v>
      </c>
      <c r="B85" s="21" t="s">
        <v>45</v>
      </c>
      <c r="C85" s="21" t="s">
        <v>12</v>
      </c>
      <c r="D85" s="21" t="s">
        <v>24</v>
      </c>
      <c r="E85" s="21" t="s">
        <v>17</v>
      </c>
      <c r="F85" s="21" t="s">
        <v>25</v>
      </c>
      <c r="G85" s="24">
        <v>0</v>
      </c>
      <c r="H85" s="24"/>
      <c r="J85" s="21" t="s">
        <v>574</v>
      </c>
      <c r="K85" s="24">
        <v>11078.44</v>
      </c>
    </row>
    <row r="86" spans="1:11" x14ac:dyDescent="0.25">
      <c r="A86" s="76">
        <v>46127</v>
      </c>
      <c r="B86" s="21" t="s">
        <v>11</v>
      </c>
      <c r="C86" s="21" t="s">
        <v>12</v>
      </c>
      <c r="D86" s="21" t="s">
        <v>19</v>
      </c>
      <c r="E86" s="21" t="s">
        <v>14</v>
      </c>
      <c r="F86" s="21" t="s">
        <v>15</v>
      </c>
      <c r="G86" s="24">
        <v>188</v>
      </c>
      <c r="H86" s="24"/>
      <c r="J86" s="21" t="s">
        <v>574</v>
      </c>
      <c r="K86" s="24">
        <v>10890.44</v>
      </c>
    </row>
    <row r="87" spans="1:11" x14ac:dyDescent="0.25">
      <c r="A87" s="76">
        <v>46127</v>
      </c>
      <c r="B87" s="21" t="s">
        <v>588</v>
      </c>
      <c r="C87" s="21" t="s">
        <v>12</v>
      </c>
      <c r="D87" s="21" t="s">
        <v>19</v>
      </c>
      <c r="E87" s="21" t="s">
        <v>17</v>
      </c>
      <c r="F87" s="21" t="s">
        <v>25</v>
      </c>
      <c r="G87" s="24">
        <v>64.8</v>
      </c>
      <c r="H87" s="24"/>
      <c r="J87" s="21" t="s">
        <v>574</v>
      </c>
      <c r="K87" s="24">
        <v>10825.64</v>
      </c>
    </row>
    <row r="88" spans="1:11" x14ac:dyDescent="0.25">
      <c r="A88" s="76">
        <v>46128</v>
      </c>
      <c r="B88" s="21" t="s">
        <v>13</v>
      </c>
      <c r="C88" s="21" t="s">
        <v>20</v>
      </c>
      <c r="D88" s="21" t="s">
        <v>13</v>
      </c>
      <c r="E88" s="21"/>
      <c r="F88" s="21"/>
      <c r="G88" s="24">
        <v>1863</v>
      </c>
      <c r="H88" s="24"/>
      <c r="J88" s="21" t="s">
        <v>574</v>
      </c>
      <c r="K88" s="24">
        <v>12688.64</v>
      </c>
    </row>
    <row r="89" spans="1:11" x14ac:dyDescent="0.25">
      <c r="A89" s="76">
        <v>46128</v>
      </c>
      <c r="B89" s="21" t="s">
        <v>44</v>
      </c>
      <c r="C89" s="21" t="s">
        <v>20</v>
      </c>
      <c r="D89" s="21" t="s">
        <v>22</v>
      </c>
      <c r="E89" s="21" t="s">
        <v>17</v>
      </c>
      <c r="F89" s="21"/>
      <c r="G89" s="24">
        <v>0</v>
      </c>
      <c r="H89" s="24"/>
      <c r="J89" s="21" t="s">
        <v>574</v>
      </c>
      <c r="K89" s="24">
        <v>12688.64</v>
      </c>
    </row>
    <row r="90" spans="1:11" x14ac:dyDescent="0.25">
      <c r="A90" s="76">
        <v>46128</v>
      </c>
      <c r="B90" s="21" t="s">
        <v>45</v>
      </c>
      <c r="C90" s="21" t="s">
        <v>12</v>
      </c>
      <c r="D90" s="21" t="s">
        <v>24</v>
      </c>
      <c r="E90" s="21" t="s">
        <v>17</v>
      </c>
      <c r="F90" s="21" t="s">
        <v>25</v>
      </c>
      <c r="G90" s="24">
        <v>0</v>
      </c>
      <c r="H90" s="24"/>
      <c r="J90" s="21" t="s">
        <v>574</v>
      </c>
      <c r="K90" s="24">
        <v>12688.64</v>
      </c>
    </row>
    <row r="91" spans="1:11" x14ac:dyDescent="0.25">
      <c r="A91" s="76">
        <v>46128</v>
      </c>
      <c r="B91" s="21" t="s">
        <v>11</v>
      </c>
      <c r="C91" s="21" t="s">
        <v>12</v>
      </c>
      <c r="D91" s="21" t="s">
        <v>19</v>
      </c>
      <c r="E91" s="21" t="s">
        <v>14</v>
      </c>
      <c r="F91" s="21" t="s">
        <v>15</v>
      </c>
      <c r="G91" s="24">
        <v>235</v>
      </c>
      <c r="H91" s="24"/>
      <c r="J91" s="21" t="s">
        <v>574</v>
      </c>
      <c r="K91" s="24">
        <v>12453.64</v>
      </c>
    </row>
    <row r="92" spans="1:11" x14ac:dyDescent="0.25">
      <c r="A92" s="76">
        <v>46128</v>
      </c>
      <c r="B92" s="21" t="s">
        <v>423</v>
      </c>
      <c r="C92" s="21" t="s">
        <v>12</v>
      </c>
      <c r="D92" s="21" t="s">
        <v>39</v>
      </c>
      <c r="E92" s="21" t="s">
        <v>17</v>
      </c>
      <c r="F92" s="21" t="s">
        <v>25</v>
      </c>
      <c r="G92" s="24">
        <v>99.9</v>
      </c>
      <c r="H92" s="24"/>
      <c r="J92" s="21" t="s">
        <v>574</v>
      </c>
      <c r="K92" s="24">
        <v>12353.740000000011</v>
      </c>
    </row>
    <row r="93" spans="1:11" x14ac:dyDescent="0.25">
      <c r="A93" s="76">
        <v>46128</v>
      </c>
      <c r="B93" s="21" t="s">
        <v>589</v>
      </c>
      <c r="C93" s="21" t="s">
        <v>12</v>
      </c>
      <c r="D93" s="21" t="s">
        <v>65</v>
      </c>
      <c r="E93" s="21" t="s">
        <v>17</v>
      </c>
      <c r="F93" s="21" t="s">
        <v>25</v>
      </c>
      <c r="G93" s="24">
        <v>1140.28</v>
      </c>
      <c r="H93" s="24"/>
      <c r="J93" s="21" t="s">
        <v>574</v>
      </c>
      <c r="K93" s="24">
        <v>11213.46</v>
      </c>
    </row>
    <row r="94" spans="1:11" x14ac:dyDescent="0.25">
      <c r="A94" s="76">
        <v>46128</v>
      </c>
      <c r="B94" s="21" t="s">
        <v>360</v>
      </c>
      <c r="C94" s="21" t="s">
        <v>12</v>
      </c>
      <c r="D94" s="21" t="s">
        <v>19</v>
      </c>
      <c r="E94" s="21" t="s">
        <v>17</v>
      </c>
      <c r="F94" s="21" t="s">
        <v>25</v>
      </c>
      <c r="G94" s="24">
        <v>382.5</v>
      </c>
      <c r="H94" s="24"/>
      <c r="J94" s="21" t="s">
        <v>574</v>
      </c>
      <c r="K94" s="24">
        <v>10830.96</v>
      </c>
    </row>
    <row r="95" spans="1:11" x14ac:dyDescent="0.25">
      <c r="A95" s="76">
        <v>46128</v>
      </c>
      <c r="B95" s="21" t="s">
        <v>381</v>
      </c>
      <c r="C95" s="21" t="s">
        <v>12</v>
      </c>
      <c r="D95" s="21" t="s">
        <v>60</v>
      </c>
      <c r="E95" s="21" t="s">
        <v>17</v>
      </c>
      <c r="F95" s="21" t="s">
        <v>25</v>
      </c>
      <c r="G95" s="24">
        <v>218.41</v>
      </c>
      <c r="H95" s="24"/>
      <c r="J95" s="21" t="s">
        <v>574</v>
      </c>
      <c r="K95" s="24">
        <v>10612.55</v>
      </c>
    </row>
    <row r="96" spans="1:11" x14ac:dyDescent="0.25">
      <c r="A96" s="76">
        <v>46128</v>
      </c>
      <c r="B96" s="21" t="s">
        <v>590</v>
      </c>
      <c r="C96" s="21" t="s">
        <v>12</v>
      </c>
      <c r="D96" s="21" t="s">
        <v>33</v>
      </c>
      <c r="E96" s="21" t="s">
        <v>17</v>
      </c>
      <c r="F96" s="21" t="s">
        <v>25</v>
      </c>
      <c r="G96" s="24">
        <v>150</v>
      </c>
      <c r="H96" s="24"/>
      <c r="J96" s="21" t="s">
        <v>574</v>
      </c>
      <c r="K96" s="24">
        <v>10462.549999999999</v>
      </c>
    </row>
    <row r="97" spans="1:11" x14ac:dyDescent="0.25">
      <c r="A97" s="76">
        <v>46129</v>
      </c>
      <c r="B97" s="21" t="s">
        <v>13</v>
      </c>
      <c r="C97" s="21" t="s">
        <v>20</v>
      </c>
      <c r="D97" s="21" t="s">
        <v>13</v>
      </c>
      <c r="E97" s="21"/>
      <c r="F97" s="21"/>
      <c r="G97" s="24">
        <v>3477</v>
      </c>
      <c r="H97" s="24"/>
      <c r="J97" s="21" t="s">
        <v>574</v>
      </c>
      <c r="K97" s="24">
        <v>13939.55</v>
      </c>
    </row>
    <row r="98" spans="1:11" x14ac:dyDescent="0.25">
      <c r="A98" s="76">
        <v>46129</v>
      </c>
      <c r="B98" s="21" t="s">
        <v>44</v>
      </c>
      <c r="C98" s="21" t="s">
        <v>20</v>
      </c>
      <c r="D98" s="21" t="s">
        <v>22</v>
      </c>
      <c r="E98" s="21" t="s">
        <v>17</v>
      </c>
      <c r="F98" s="21"/>
      <c r="G98" s="24">
        <v>48.6</v>
      </c>
      <c r="H98" s="24"/>
      <c r="J98" s="21" t="s">
        <v>574</v>
      </c>
      <c r="K98" s="24">
        <v>13988.150000000011</v>
      </c>
    </row>
    <row r="99" spans="1:11" x14ac:dyDescent="0.25">
      <c r="A99" s="76">
        <v>46129</v>
      </c>
      <c r="B99" s="21" t="s">
        <v>45</v>
      </c>
      <c r="C99" s="21" t="s">
        <v>12</v>
      </c>
      <c r="D99" s="21" t="s">
        <v>24</v>
      </c>
      <c r="E99" s="21" t="s">
        <v>17</v>
      </c>
      <c r="F99" s="21" t="s">
        <v>25</v>
      </c>
      <c r="G99" s="24">
        <v>0</v>
      </c>
      <c r="H99" s="24"/>
      <c r="J99" s="21" t="s">
        <v>574</v>
      </c>
      <c r="K99" s="24">
        <v>13988.150000000011</v>
      </c>
    </row>
    <row r="100" spans="1:11" x14ac:dyDescent="0.25">
      <c r="A100" s="76">
        <v>46129</v>
      </c>
      <c r="B100" s="21" t="s">
        <v>11</v>
      </c>
      <c r="C100" s="21" t="s">
        <v>12</v>
      </c>
      <c r="D100" s="21" t="s">
        <v>19</v>
      </c>
      <c r="E100" s="21" t="s">
        <v>14</v>
      </c>
      <c r="F100" s="21" t="s">
        <v>15</v>
      </c>
      <c r="G100" s="24">
        <v>376</v>
      </c>
      <c r="H100" s="24"/>
      <c r="J100" s="21" t="s">
        <v>574</v>
      </c>
      <c r="K100" s="24">
        <v>13612.150000000011</v>
      </c>
    </row>
    <row r="101" spans="1:11" x14ac:dyDescent="0.25">
      <c r="A101" s="76">
        <v>46129</v>
      </c>
      <c r="B101" s="21" t="s">
        <v>564</v>
      </c>
      <c r="C101" s="21" t="s">
        <v>12</v>
      </c>
      <c r="D101" s="21" t="s">
        <v>27</v>
      </c>
      <c r="E101" s="21" t="s">
        <v>17</v>
      </c>
      <c r="F101" s="21" t="s">
        <v>25</v>
      </c>
      <c r="G101" s="24">
        <v>5104.3500000000004</v>
      </c>
      <c r="H101" s="24"/>
      <c r="J101" s="21" t="s">
        <v>574</v>
      </c>
      <c r="K101" s="24">
        <v>8507.8000000000047</v>
      </c>
    </row>
    <row r="102" spans="1:11" x14ac:dyDescent="0.25">
      <c r="A102" s="76">
        <v>46129</v>
      </c>
      <c r="B102" s="21" t="s">
        <v>31</v>
      </c>
      <c r="C102" s="21" t="s">
        <v>12</v>
      </c>
      <c r="D102" s="21" t="s">
        <v>19</v>
      </c>
      <c r="E102" s="21" t="s">
        <v>17</v>
      </c>
      <c r="F102" s="21" t="s">
        <v>25</v>
      </c>
      <c r="G102" s="24">
        <v>140</v>
      </c>
      <c r="H102" s="24"/>
      <c r="J102" s="21" t="s">
        <v>574</v>
      </c>
      <c r="K102" s="24">
        <v>8367.8000000000047</v>
      </c>
    </row>
    <row r="103" spans="1:11" x14ac:dyDescent="0.25">
      <c r="A103" s="76">
        <v>46130</v>
      </c>
      <c r="B103" s="21" t="s">
        <v>13</v>
      </c>
      <c r="C103" s="21" t="s">
        <v>20</v>
      </c>
      <c r="D103" s="21" t="s">
        <v>13</v>
      </c>
      <c r="E103" s="21"/>
      <c r="F103" s="21"/>
      <c r="G103" s="24">
        <v>9204</v>
      </c>
      <c r="H103" s="24"/>
      <c r="J103" s="21" t="s">
        <v>574</v>
      </c>
      <c r="K103" s="24">
        <v>17571.8</v>
      </c>
    </row>
    <row r="104" spans="1:11" x14ac:dyDescent="0.25">
      <c r="A104" s="76">
        <v>46130</v>
      </c>
      <c r="B104" s="21" t="s">
        <v>44</v>
      </c>
      <c r="C104" s="21" t="s">
        <v>20</v>
      </c>
      <c r="D104" s="21" t="s">
        <v>22</v>
      </c>
      <c r="E104" s="21" t="s">
        <v>17</v>
      </c>
      <c r="F104" s="21"/>
      <c r="G104" s="24">
        <v>149.6</v>
      </c>
      <c r="H104" s="24"/>
      <c r="J104" s="21" t="s">
        <v>574</v>
      </c>
      <c r="K104" s="24">
        <v>17721.400000000001</v>
      </c>
    </row>
    <row r="105" spans="1:11" x14ac:dyDescent="0.25">
      <c r="A105" s="76">
        <v>46130</v>
      </c>
      <c r="B105" s="21" t="s">
        <v>45</v>
      </c>
      <c r="C105" s="21" t="s">
        <v>12</v>
      </c>
      <c r="D105" s="21" t="s">
        <v>24</v>
      </c>
      <c r="E105" s="21" t="s">
        <v>17</v>
      </c>
      <c r="F105" s="21" t="s">
        <v>25</v>
      </c>
      <c r="G105" s="24">
        <v>17</v>
      </c>
      <c r="H105" s="24"/>
      <c r="J105" s="21" t="s">
        <v>574</v>
      </c>
      <c r="K105" s="24">
        <v>17704.400000000001</v>
      </c>
    </row>
    <row r="106" spans="1:11" x14ac:dyDescent="0.25">
      <c r="A106" s="76">
        <v>46131</v>
      </c>
      <c r="B106" s="21" t="s">
        <v>13</v>
      </c>
      <c r="C106" s="21" t="s">
        <v>20</v>
      </c>
      <c r="D106" s="21" t="s">
        <v>13</v>
      </c>
      <c r="E106" s="21"/>
      <c r="F106" s="21"/>
      <c r="G106" s="24">
        <v>12484</v>
      </c>
      <c r="H106" s="24"/>
      <c r="J106" s="21" t="s">
        <v>574</v>
      </c>
      <c r="K106" s="24">
        <v>30188.400000000001</v>
      </c>
    </row>
    <row r="107" spans="1:11" x14ac:dyDescent="0.25">
      <c r="A107" s="76">
        <v>46131</v>
      </c>
      <c r="B107" s="21" t="s">
        <v>44</v>
      </c>
      <c r="C107" s="21" t="s">
        <v>20</v>
      </c>
      <c r="D107" s="21" t="s">
        <v>22</v>
      </c>
      <c r="E107" s="21" t="s">
        <v>17</v>
      </c>
      <c r="F107" s="21"/>
      <c r="G107" s="24">
        <v>262.5</v>
      </c>
      <c r="H107" s="24"/>
      <c r="J107" s="21" t="s">
        <v>574</v>
      </c>
      <c r="K107" s="24">
        <v>30450.9</v>
      </c>
    </row>
    <row r="108" spans="1:11" x14ac:dyDescent="0.25">
      <c r="A108" s="76">
        <v>46131</v>
      </c>
      <c r="B108" s="21" t="s">
        <v>45</v>
      </c>
      <c r="C108" s="21" t="s">
        <v>12</v>
      </c>
      <c r="D108" s="21" t="s">
        <v>24</v>
      </c>
      <c r="E108" s="21" t="s">
        <v>17</v>
      </c>
      <c r="F108" s="21" t="s">
        <v>25</v>
      </c>
      <c r="G108" s="24">
        <v>45</v>
      </c>
      <c r="H108" s="24"/>
      <c r="J108" s="21" t="s">
        <v>574</v>
      </c>
      <c r="K108" s="24">
        <v>30405.9</v>
      </c>
    </row>
    <row r="109" spans="1:11" x14ac:dyDescent="0.25">
      <c r="A109" s="76">
        <v>46131</v>
      </c>
      <c r="B109" s="21" t="s">
        <v>11</v>
      </c>
      <c r="C109" s="21" t="s">
        <v>12</v>
      </c>
      <c r="D109" s="21" t="s">
        <v>19</v>
      </c>
      <c r="E109" s="21" t="s">
        <v>14</v>
      </c>
      <c r="F109" s="21" t="s">
        <v>15</v>
      </c>
      <c r="G109" s="24">
        <v>282</v>
      </c>
      <c r="H109" s="24"/>
      <c r="J109" s="21" t="s">
        <v>574</v>
      </c>
      <c r="K109" s="24">
        <v>30123.9</v>
      </c>
    </row>
    <row r="110" spans="1:11" x14ac:dyDescent="0.25">
      <c r="A110" s="76">
        <v>46131</v>
      </c>
      <c r="B110" s="21" t="s">
        <v>33</v>
      </c>
      <c r="C110" s="21" t="s">
        <v>12</v>
      </c>
      <c r="D110" s="21" t="s">
        <v>33</v>
      </c>
      <c r="E110" s="21" t="s">
        <v>14</v>
      </c>
      <c r="F110" s="21" t="s">
        <v>15</v>
      </c>
      <c r="G110" s="24">
        <v>150</v>
      </c>
      <c r="H110" s="24"/>
      <c r="J110" s="21" t="s">
        <v>574</v>
      </c>
      <c r="K110" s="24">
        <v>29973.9</v>
      </c>
    </row>
    <row r="111" spans="1:11" x14ac:dyDescent="0.25">
      <c r="A111" s="76">
        <v>46132</v>
      </c>
      <c r="B111" s="21" t="s">
        <v>13</v>
      </c>
      <c r="C111" s="21" t="s">
        <v>20</v>
      </c>
      <c r="D111" s="21" t="s">
        <v>13</v>
      </c>
      <c r="E111" s="21"/>
      <c r="F111" s="21"/>
      <c r="G111" s="24">
        <v>7516</v>
      </c>
      <c r="H111" s="24"/>
      <c r="J111" s="21" t="s">
        <v>574</v>
      </c>
      <c r="K111" s="24">
        <v>37489.9</v>
      </c>
    </row>
    <row r="112" spans="1:11" x14ac:dyDescent="0.25">
      <c r="A112" s="76">
        <v>46132</v>
      </c>
      <c r="B112" s="21" t="s">
        <v>44</v>
      </c>
      <c r="C112" s="21" t="s">
        <v>20</v>
      </c>
      <c r="D112" s="21" t="s">
        <v>22</v>
      </c>
      <c r="E112" s="21" t="s">
        <v>17</v>
      </c>
      <c r="F112" s="21"/>
      <c r="G112" s="24">
        <v>139.80000000000001</v>
      </c>
      <c r="H112" s="24"/>
      <c r="J112" s="21" t="s">
        <v>574</v>
      </c>
      <c r="K112" s="24">
        <v>37629.699999999997</v>
      </c>
    </row>
    <row r="113" spans="1:11" x14ac:dyDescent="0.25">
      <c r="A113" s="76">
        <v>46132</v>
      </c>
      <c r="B113" s="21" t="s">
        <v>45</v>
      </c>
      <c r="C113" s="21" t="s">
        <v>12</v>
      </c>
      <c r="D113" s="21" t="s">
        <v>24</v>
      </c>
      <c r="E113" s="21" t="s">
        <v>17</v>
      </c>
      <c r="F113" s="21" t="s">
        <v>25</v>
      </c>
      <c r="G113" s="24">
        <v>9</v>
      </c>
      <c r="H113" s="24"/>
      <c r="J113" s="21" t="s">
        <v>574</v>
      </c>
      <c r="K113" s="24">
        <v>37620.699999999997</v>
      </c>
    </row>
    <row r="114" spans="1:11" x14ac:dyDescent="0.25">
      <c r="A114" s="76">
        <v>46132</v>
      </c>
      <c r="B114" s="21" t="s">
        <v>382</v>
      </c>
      <c r="C114" s="21" t="s">
        <v>12</v>
      </c>
      <c r="D114" s="21" t="s">
        <v>19</v>
      </c>
      <c r="E114" s="21" t="s">
        <v>17</v>
      </c>
      <c r="F114" s="21"/>
      <c r="G114" s="24">
        <v>329.39</v>
      </c>
      <c r="H114" s="24"/>
      <c r="J114" s="21" t="s">
        <v>574</v>
      </c>
      <c r="K114" s="24">
        <v>37291.31</v>
      </c>
    </row>
    <row r="115" spans="1:11" x14ac:dyDescent="0.25">
      <c r="A115" s="76">
        <v>46132</v>
      </c>
      <c r="B115" s="21" t="s">
        <v>591</v>
      </c>
      <c r="C115" s="21" t="s">
        <v>12</v>
      </c>
      <c r="D115" s="21" t="s">
        <v>58</v>
      </c>
      <c r="E115" s="21" t="s">
        <v>17</v>
      </c>
      <c r="F115" s="21"/>
      <c r="G115" s="24">
        <v>6532.57</v>
      </c>
      <c r="H115" s="24"/>
      <c r="J115" s="21" t="s">
        <v>574</v>
      </c>
      <c r="K115" s="24">
        <v>30758.740000000009</v>
      </c>
    </row>
    <row r="116" spans="1:11" x14ac:dyDescent="0.25">
      <c r="A116" s="76">
        <v>46132</v>
      </c>
      <c r="B116" s="21" t="s">
        <v>363</v>
      </c>
      <c r="C116" s="21" t="s">
        <v>12</v>
      </c>
      <c r="D116" s="21" t="s">
        <v>19</v>
      </c>
      <c r="E116" s="21" t="s">
        <v>17</v>
      </c>
      <c r="F116" s="21"/>
      <c r="G116" s="24">
        <v>278.93</v>
      </c>
      <c r="H116" s="24"/>
      <c r="J116" s="21" t="s">
        <v>574</v>
      </c>
      <c r="K116" s="24">
        <v>30479.81</v>
      </c>
    </row>
    <row r="117" spans="1:11" x14ac:dyDescent="0.25">
      <c r="A117" s="76">
        <v>46132</v>
      </c>
      <c r="B117" s="21" t="s">
        <v>528</v>
      </c>
      <c r="C117" s="21" t="s">
        <v>12</v>
      </c>
      <c r="D117" s="21" t="s">
        <v>58</v>
      </c>
      <c r="E117" s="21" t="s">
        <v>17</v>
      </c>
      <c r="F117" s="21"/>
      <c r="G117" s="24">
        <v>772.51</v>
      </c>
      <c r="H117" s="24"/>
      <c r="J117" s="21" t="s">
        <v>574</v>
      </c>
      <c r="K117" s="24">
        <v>29707.30000000001</v>
      </c>
    </row>
    <row r="118" spans="1:11" x14ac:dyDescent="0.25">
      <c r="A118" s="76">
        <v>46132</v>
      </c>
      <c r="B118" s="21" t="s">
        <v>350</v>
      </c>
      <c r="C118" s="21" t="s">
        <v>12</v>
      </c>
      <c r="D118" s="21" t="s">
        <v>58</v>
      </c>
      <c r="E118" s="21" t="s">
        <v>17</v>
      </c>
      <c r="F118" s="21"/>
      <c r="G118" s="24">
        <v>815.94</v>
      </c>
      <c r="H118" s="24"/>
      <c r="J118" s="21" t="s">
        <v>574</v>
      </c>
      <c r="K118" s="24">
        <v>28891.360000000011</v>
      </c>
    </row>
    <row r="119" spans="1:11" x14ac:dyDescent="0.25">
      <c r="A119" s="76">
        <v>46132</v>
      </c>
      <c r="B119" s="21" t="s">
        <v>363</v>
      </c>
      <c r="C119" s="21" t="s">
        <v>12</v>
      </c>
      <c r="D119" s="21" t="s">
        <v>19</v>
      </c>
      <c r="E119" s="21" t="s">
        <v>17</v>
      </c>
      <c r="F119" s="21"/>
      <c r="G119" s="24">
        <v>1708.19</v>
      </c>
      <c r="H119" s="24"/>
      <c r="J119" s="21" t="s">
        <v>574</v>
      </c>
      <c r="K119" s="24">
        <v>27183.170000000009</v>
      </c>
    </row>
    <row r="120" spans="1:11" x14ac:dyDescent="0.25">
      <c r="A120" s="76">
        <v>46132</v>
      </c>
      <c r="B120" s="21" t="s">
        <v>364</v>
      </c>
      <c r="C120" s="21" t="s">
        <v>12</v>
      </c>
      <c r="D120" s="21" t="s">
        <v>19</v>
      </c>
      <c r="E120" s="21" t="s">
        <v>17</v>
      </c>
      <c r="F120" s="21" t="s">
        <v>25</v>
      </c>
      <c r="G120" s="24">
        <v>697.75</v>
      </c>
      <c r="H120" s="24"/>
      <c r="J120" s="21" t="s">
        <v>574</v>
      </c>
      <c r="K120" s="24">
        <v>26485.420000000009</v>
      </c>
    </row>
    <row r="121" spans="1:11" x14ac:dyDescent="0.25">
      <c r="A121" s="76">
        <v>46133</v>
      </c>
      <c r="B121" s="21" t="s">
        <v>13</v>
      </c>
      <c r="C121" s="21" t="s">
        <v>20</v>
      </c>
      <c r="D121" s="21" t="s">
        <v>13</v>
      </c>
      <c r="E121" s="21"/>
      <c r="F121" s="21"/>
      <c r="G121" s="24">
        <v>8331</v>
      </c>
      <c r="H121" s="24"/>
      <c r="J121" s="21" t="s">
        <v>574</v>
      </c>
      <c r="K121" s="24">
        <v>34816.420000000013</v>
      </c>
    </row>
    <row r="122" spans="1:11" x14ac:dyDescent="0.25">
      <c r="A122" s="76">
        <v>46133</v>
      </c>
      <c r="B122" s="21" t="s">
        <v>44</v>
      </c>
      <c r="C122" s="21" t="s">
        <v>20</v>
      </c>
      <c r="D122" s="21" t="s">
        <v>22</v>
      </c>
      <c r="E122" s="21" t="s">
        <v>17</v>
      </c>
      <c r="F122" s="21"/>
      <c r="G122" s="24">
        <v>135.30000000000001</v>
      </c>
      <c r="H122" s="24"/>
      <c r="J122" s="21" t="s">
        <v>574</v>
      </c>
      <c r="K122" s="24">
        <v>34951.720000000023</v>
      </c>
    </row>
    <row r="123" spans="1:11" x14ac:dyDescent="0.25">
      <c r="A123" s="76">
        <v>46133</v>
      </c>
      <c r="B123" s="21" t="s">
        <v>45</v>
      </c>
      <c r="C123" s="21" t="s">
        <v>12</v>
      </c>
      <c r="D123" s="21" t="s">
        <v>24</v>
      </c>
      <c r="E123" s="21" t="s">
        <v>17</v>
      </c>
      <c r="F123" s="21" t="s">
        <v>25</v>
      </c>
      <c r="G123" s="24">
        <v>18</v>
      </c>
      <c r="H123" s="24"/>
      <c r="J123" s="21" t="s">
        <v>574</v>
      </c>
      <c r="K123" s="24">
        <v>34933.720000000023</v>
      </c>
    </row>
    <row r="124" spans="1:11" x14ac:dyDescent="0.25">
      <c r="A124" s="76">
        <v>46133</v>
      </c>
      <c r="B124" s="21" t="s">
        <v>11</v>
      </c>
      <c r="C124" s="21" t="s">
        <v>12</v>
      </c>
      <c r="D124" s="21" t="s">
        <v>19</v>
      </c>
      <c r="E124" s="21" t="s">
        <v>14</v>
      </c>
      <c r="F124" s="21" t="s">
        <v>15</v>
      </c>
      <c r="G124" s="24">
        <v>188</v>
      </c>
      <c r="H124" s="24"/>
      <c r="J124" s="21" t="s">
        <v>574</v>
      </c>
      <c r="K124" s="24">
        <v>34745.720000000023</v>
      </c>
    </row>
    <row r="125" spans="1:11" x14ac:dyDescent="0.25">
      <c r="A125" s="76">
        <v>46132</v>
      </c>
      <c r="B125" s="21" t="s">
        <v>33</v>
      </c>
      <c r="C125" s="21" t="s">
        <v>12</v>
      </c>
      <c r="D125" s="21" t="s">
        <v>33</v>
      </c>
      <c r="E125" s="21" t="s">
        <v>14</v>
      </c>
      <c r="F125" s="21" t="s">
        <v>15</v>
      </c>
      <c r="G125" s="24">
        <v>100</v>
      </c>
      <c r="H125" s="24"/>
      <c r="J125" s="21" t="s">
        <v>574</v>
      </c>
      <c r="K125" s="24">
        <v>34645.720000000023</v>
      </c>
    </row>
    <row r="126" spans="1:11" x14ac:dyDescent="0.25">
      <c r="A126" s="76">
        <v>46133</v>
      </c>
      <c r="B126" s="21" t="s">
        <v>33</v>
      </c>
      <c r="C126" s="21" t="s">
        <v>12</v>
      </c>
      <c r="D126" s="21" t="s">
        <v>33</v>
      </c>
      <c r="E126" s="21" t="s">
        <v>14</v>
      </c>
      <c r="F126" s="21" t="s">
        <v>15</v>
      </c>
      <c r="G126" s="24">
        <v>100</v>
      </c>
      <c r="H126" s="24"/>
      <c r="J126" s="21" t="s">
        <v>574</v>
      </c>
      <c r="K126" s="24">
        <v>34545.720000000023</v>
      </c>
    </row>
    <row r="127" spans="1:11" x14ac:dyDescent="0.25">
      <c r="A127" s="76">
        <v>46134</v>
      </c>
      <c r="B127" s="21" t="s">
        <v>13</v>
      </c>
      <c r="C127" s="21" t="s">
        <v>20</v>
      </c>
      <c r="D127" s="21" t="s">
        <v>13</v>
      </c>
      <c r="E127" s="21"/>
      <c r="F127" s="21"/>
      <c r="G127" s="24">
        <v>1441</v>
      </c>
      <c r="H127" s="24"/>
      <c r="J127" s="21" t="s">
        <v>574</v>
      </c>
      <c r="K127" s="24">
        <v>35986.720000000023</v>
      </c>
    </row>
    <row r="128" spans="1:11" x14ac:dyDescent="0.25">
      <c r="A128" s="76">
        <v>46134</v>
      </c>
      <c r="B128" s="21" t="s">
        <v>44</v>
      </c>
      <c r="C128" s="21" t="s">
        <v>20</v>
      </c>
      <c r="D128" s="21" t="s">
        <v>22</v>
      </c>
      <c r="E128" s="21" t="s">
        <v>17</v>
      </c>
      <c r="F128" s="21"/>
      <c r="G128" s="24">
        <v>0</v>
      </c>
      <c r="H128" s="24"/>
      <c r="J128" s="21" t="s">
        <v>574</v>
      </c>
      <c r="K128" s="24">
        <v>35986.720000000023</v>
      </c>
    </row>
    <row r="129" spans="1:11" x14ac:dyDescent="0.25">
      <c r="A129" s="76">
        <v>46134</v>
      </c>
      <c r="B129" s="21" t="s">
        <v>45</v>
      </c>
      <c r="C129" s="21" t="s">
        <v>12</v>
      </c>
      <c r="D129" s="21" t="s">
        <v>24</v>
      </c>
      <c r="E129" s="21" t="s">
        <v>17</v>
      </c>
      <c r="F129" s="21" t="s">
        <v>25</v>
      </c>
      <c r="G129" s="24">
        <v>0</v>
      </c>
      <c r="H129" s="24"/>
      <c r="J129" s="21" t="s">
        <v>574</v>
      </c>
      <c r="K129" s="24">
        <v>35986.720000000023</v>
      </c>
    </row>
    <row r="130" spans="1:11" x14ac:dyDescent="0.25">
      <c r="A130" s="76">
        <v>46134</v>
      </c>
      <c r="B130" s="21" t="s">
        <v>11</v>
      </c>
      <c r="C130" s="21" t="s">
        <v>12</v>
      </c>
      <c r="D130" s="21" t="s">
        <v>19</v>
      </c>
      <c r="E130" s="21" t="s">
        <v>14</v>
      </c>
      <c r="F130" s="21" t="s">
        <v>15</v>
      </c>
      <c r="G130" s="24">
        <v>0</v>
      </c>
      <c r="H130" s="24"/>
      <c r="J130" s="21" t="s">
        <v>574</v>
      </c>
      <c r="K130" s="24">
        <v>35986.720000000023</v>
      </c>
    </row>
    <row r="131" spans="1:11" x14ac:dyDescent="0.25">
      <c r="A131" s="76">
        <v>46135</v>
      </c>
      <c r="B131" s="21" t="s">
        <v>13</v>
      </c>
      <c r="C131" s="21" t="s">
        <v>20</v>
      </c>
      <c r="D131" s="21" t="s">
        <v>13</v>
      </c>
      <c r="E131" s="21"/>
      <c r="F131" s="21"/>
      <c r="G131" s="24">
        <v>2442</v>
      </c>
      <c r="H131" s="24"/>
      <c r="J131" s="21" t="s">
        <v>574</v>
      </c>
      <c r="K131" s="24">
        <v>38428.720000000023</v>
      </c>
    </row>
    <row r="132" spans="1:11" x14ac:dyDescent="0.25">
      <c r="A132" s="76">
        <v>46135</v>
      </c>
      <c r="B132" s="21" t="s">
        <v>44</v>
      </c>
      <c r="C132" s="21" t="s">
        <v>20</v>
      </c>
      <c r="D132" s="21" t="s">
        <v>22</v>
      </c>
      <c r="E132" s="21" t="s">
        <v>17</v>
      </c>
      <c r="F132" s="21"/>
      <c r="G132" s="24">
        <v>139.30000000000001</v>
      </c>
      <c r="H132" s="24"/>
      <c r="J132" s="21" t="s">
        <v>574</v>
      </c>
      <c r="K132" s="24">
        <v>38568.020000000019</v>
      </c>
    </row>
    <row r="133" spans="1:11" x14ac:dyDescent="0.25">
      <c r="A133" s="76">
        <v>46135</v>
      </c>
      <c r="B133" s="21" t="s">
        <v>45</v>
      </c>
      <c r="C133" s="21" t="s">
        <v>12</v>
      </c>
      <c r="D133" s="21" t="s">
        <v>24</v>
      </c>
      <c r="E133" s="21" t="s">
        <v>17</v>
      </c>
      <c r="F133" s="21" t="s">
        <v>25</v>
      </c>
      <c r="G133" s="24">
        <v>60</v>
      </c>
      <c r="H133" s="24"/>
      <c r="J133" s="21" t="s">
        <v>574</v>
      </c>
      <c r="K133" s="24">
        <v>38508.020000000019</v>
      </c>
    </row>
    <row r="134" spans="1:11" x14ac:dyDescent="0.25">
      <c r="A134" s="76">
        <v>46135</v>
      </c>
      <c r="B134" s="21" t="s">
        <v>11</v>
      </c>
      <c r="C134" s="21" t="s">
        <v>12</v>
      </c>
      <c r="D134" s="21" t="s">
        <v>19</v>
      </c>
      <c r="E134" s="21" t="s">
        <v>14</v>
      </c>
      <c r="F134" s="21" t="s">
        <v>15</v>
      </c>
      <c r="G134" s="24">
        <v>0</v>
      </c>
      <c r="H134" s="24"/>
      <c r="J134" s="21" t="s">
        <v>574</v>
      </c>
      <c r="K134" s="24">
        <v>38508.020000000019</v>
      </c>
    </row>
    <row r="135" spans="1:11" x14ac:dyDescent="0.25">
      <c r="A135" s="76">
        <v>46136</v>
      </c>
      <c r="B135" s="21" t="s">
        <v>13</v>
      </c>
      <c r="C135" s="21" t="s">
        <v>20</v>
      </c>
      <c r="D135" s="21" t="s">
        <v>13</v>
      </c>
      <c r="E135" s="21"/>
      <c r="F135" s="21"/>
      <c r="G135" s="24">
        <v>3810</v>
      </c>
      <c r="H135" s="24"/>
      <c r="J135" s="21" t="s">
        <v>574</v>
      </c>
      <c r="K135" s="24">
        <v>42318.020000000019</v>
      </c>
    </row>
    <row r="136" spans="1:11" x14ac:dyDescent="0.25">
      <c r="A136" s="76">
        <v>46136</v>
      </c>
      <c r="B136" s="21" t="s">
        <v>44</v>
      </c>
      <c r="C136" s="21" t="s">
        <v>20</v>
      </c>
      <c r="D136" s="21" t="s">
        <v>22</v>
      </c>
      <c r="E136" s="21" t="s">
        <v>17</v>
      </c>
      <c r="F136" s="21"/>
      <c r="G136" s="24">
        <v>39</v>
      </c>
      <c r="H136" s="24"/>
      <c r="J136" s="21" t="s">
        <v>574</v>
      </c>
      <c r="K136" s="24">
        <v>42357.020000000019</v>
      </c>
    </row>
    <row r="137" spans="1:11" x14ac:dyDescent="0.25">
      <c r="A137" s="76">
        <v>46136</v>
      </c>
      <c r="B137" s="21" t="s">
        <v>45</v>
      </c>
      <c r="C137" s="21" t="s">
        <v>12</v>
      </c>
      <c r="D137" s="21" t="s">
        <v>24</v>
      </c>
      <c r="E137" s="21" t="s">
        <v>17</v>
      </c>
      <c r="F137" s="21"/>
      <c r="G137" s="24">
        <v>18</v>
      </c>
      <c r="H137" s="24"/>
      <c r="J137" s="21" t="s">
        <v>574</v>
      </c>
      <c r="K137" s="24">
        <v>42339.020000000019</v>
      </c>
    </row>
    <row r="138" spans="1:11" x14ac:dyDescent="0.25">
      <c r="A138" s="76">
        <v>46136</v>
      </c>
      <c r="B138" s="21" t="s">
        <v>11</v>
      </c>
      <c r="C138" s="21" t="s">
        <v>12</v>
      </c>
      <c r="D138" s="21" t="s">
        <v>19</v>
      </c>
      <c r="E138" s="21" t="s">
        <v>14</v>
      </c>
      <c r="F138" s="21" t="s">
        <v>15</v>
      </c>
      <c r="G138" s="24">
        <v>470</v>
      </c>
      <c r="H138" s="24"/>
      <c r="J138" s="21" t="s">
        <v>574</v>
      </c>
      <c r="K138" s="24">
        <v>41869.020000000019</v>
      </c>
    </row>
    <row r="139" spans="1:11" x14ac:dyDescent="0.25">
      <c r="A139" s="76">
        <v>46136</v>
      </c>
      <c r="B139" s="21" t="s">
        <v>592</v>
      </c>
      <c r="C139" s="21" t="s">
        <v>12</v>
      </c>
      <c r="D139" s="21" t="s">
        <v>19</v>
      </c>
      <c r="E139" s="21" t="s">
        <v>17</v>
      </c>
      <c r="F139" s="21" t="s">
        <v>25</v>
      </c>
      <c r="G139" s="24">
        <v>140</v>
      </c>
      <c r="H139" s="24"/>
      <c r="J139" s="21" t="s">
        <v>574</v>
      </c>
      <c r="K139" s="24">
        <v>41729.020000000019</v>
      </c>
    </row>
    <row r="140" spans="1:11" x14ac:dyDescent="0.25">
      <c r="A140" s="76">
        <v>46137</v>
      </c>
      <c r="B140" s="21" t="s">
        <v>593</v>
      </c>
      <c r="C140" s="21" t="s">
        <v>12</v>
      </c>
      <c r="D140" s="21" t="s">
        <v>33</v>
      </c>
      <c r="E140" s="21" t="s">
        <v>17</v>
      </c>
      <c r="F140" s="21" t="s">
        <v>25</v>
      </c>
      <c r="G140" s="24">
        <v>150</v>
      </c>
      <c r="H140" s="24"/>
      <c r="J140" s="21" t="s">
        <v>574</v>
      </c>
      <c r="K140" s="24">
        <v>41579.020000000019</v>
      </c>
    </row>
    <row r="141" spans="1:11" x14ac:dyDescent="0.25">
      <c r="A141" s="76">
        <v>46137</v>
      </c>
      <c r="B141" s="21" t="s">
        <v>13</v>
      </c>
      <c r="C141" s="21" t="s">
        <v>20</v>
      </c>
      <c r="D141" s="21" t="s">
        <v>13</v>
      </c>
      <c r="E141" s="21"/>
      <c r="F141" s="21"/>
      <c r="G141" s="24">
        <v>5980</v>
      </c>
      <c r="H141" s="24"/>
      <c r="J141" s="21" t="s">
        <v>574</v>
      </c>
      <c r="K141" s="24">
        <v>47559.020000000019</v>
      </c>
    </row>
    <row r="142" spans="1:11" x14ac:dyDescent="0.25">
      <c r="A142" s="76">
        <v>46137</v>
      </c>
      <c r="B142" s="21" t="s">
        <v>44</v>
      </c>
      <c r="C142" s="21" t="s">
        <v>20</v>
      </c>
      <c r="D142" s="21" t="s">
        <v>22</v>
      </c>
      <c r="E142" s="21" t="s">
        <v>17</v>
      </c>
      <c r="F142" s="21"/>
      <c r="G142" s="24">
        <v>112.1</v>
      </c>
      <c r="H142" s="24"/>
      <c r="J142" s="21" t="s">
        <v>574</v>
      </c>
      <c r="K142" s="24">
        <v>47671.120000000017</v>
      </c>
    </row>
    <row r="143" spans="1:11" x14ac:dyDescent="0.25">
      <c r="A143" s="76">
        <v>46137</v>
      </c>
      <c r="B143" s="21" t="s">
        <v>33</v>
      </c>
      <c r="C143" s="21" t="s">
        <v>12</v>
      </c>
      <c r="D143" s="21" t="s">
        <v>33</v>
      </c>
      <c r="E143" s="21" t="s">
        <v>14</v>
      </c>
      <c r="F143" s="21" t="s">
        <v>15</v>
      </c>
      <c r="G143" s="24">
        <v>150</v>
      </c>
      <c r="H143" s="24"/>
      <c r="J143" s="21" t="s">
        <v>574</v>
      </c>
      <c r="K143" s="24">
        <v>47521.120000000017</v>
      </c>
    </row>
    <row r="144" spans="1:11" x14ac:dyDescent="0.25">
      <c r="A144" s="76">
        <v>46137</v>
      </c>
      <c r="B144" s="21" t="s">
        <v>23</v>
      </c>
      <c r="C144" s="21" t="s">
        <v>12</v>
      </c>
      <c r="D144" s="21" t="s">
        <v>24</v>
      </c>
      <c r="E144" s="21" t="s">
        <v>17</v>
      </c>
      <c r="F144" s="21" t="s">
        <v>25</v>
      </c>
      <c r="G144" s="24">
        <v>27</v>
      </c>
      <c r="H144" s="24"/>
      <c r="J144" s="21" t="s">
        <v>574</v>
      </c>
      <c r="K144" s="24">
        <v>47494.120000000017</v>
      </c>
    </row>
    <row r="145" spans="1:11" x14ac:dyDescent="0.25">
      <c r="A145" s="76">
        <v>46138</v>
      </c>
      <c r="B145" s="21" t="s">
        <v>13</v>
      </c>
      <c r="C145" s="21" t="s">
        <v>20</v>
      </c>
      <c r="D145" s="21" t="s">
        <v>13</v>
      </c>
      <c r="E145" s="21"/>
      <c r="F145" s="21"/>
      <c r="G145" s="24">
        <v>7243</v>
      </c>
      <c r="H145" s="24"/>
      <c r="J145" s="21" t="s">
        <v>574</v>
      </c>
      <c r="K145" s="24">
        <v>54737.120000000017</v>
      </c>
    </row>
    <row r="146" spans="1:11" x14ac:dyDescent="0.25">
      <c r="A146" s="76">
        <v>46138</v>
      </c>
      <c r="B146" s="21" t="s">
        <v>44</v>
      </c>
      <c r="C146" s="21" t="s">
        <v>20</v>
      </c>
      <c r="D146" s="21" t="s">
        <v>22</v>
      </c>
      <c r="E146" s="21" t="s">
        <v>17</v>
      </c>
      <c r="F146" s="21"/>
      <c r="G146" s="24">
        <v>395.9</v>
      </c>
      <c r="H146" s="24"/>
      <c r="J146" s="21" t="s">
        <v>574</v>
      </c>
      <c r="K146" s="24">
        <v>55133.020000000019</v>
      </c>
    </row>
    <row r="147" spans="1:11" x14ac:dyDescent="0.25">
      <c r="A147" s="76">
        <v>46138</v>
      </c>
      <c r="B147" s="21" t="s">
        <v>45</v>
      </c>
      <c r="C147" s="21" t="s">
        <v>12</v>
      </c>
      <c r="D147" s="21" t="s">
        <v>24</v>
      </c>
      <c r="E147" s="21" t="s">
        <v>17</v>
      </c>
      <c r="F147" s="21" t="s">
        <v>25</v>
      </c>
      <c r="G147" s="24">
        <v>63</v>
      </c>
      <c r="H147" s="24"/>
      <c r="J147" s="21" t="s">
        <v>574</v>
      </c>
      <c r="K147" s="24">
        <v>55070.020000000019</v>
      </c>
    </row>
    <row r="148" spans="1:11" x14ac:dyDescent="0.25">
      <c r="A148" s="76">
        <v>46138</v>
      </c>
      <c r="B148" s="21" t="s">
        <v>33</v>
      </c>
      <c r="C148" s="21" t="s">
        <v>12</v>
      </c>
      <c r="D148" s="21" t="s">
        <v>33</v>
      </c>
      <c r="E148" s="21" t="s">
        <v>14</v>
      </c>
      <c r="F148" s="21" t="s">
        <v>15</v>
      </c>
      <c r="G148" s="24">
        <v>150</v>
      </c>
      <c r="H148" s="24"/>
      <c r="J148" s="21" t="s">
        <v>574</v>
      </c>
      <c r="K148" s="24">
        <v>54920.020000000019</v>
      </c>
    </row>
    <row r="149" spans="1:11" x14ac:dyDescent="0.25">
      <c r="A149" s="76">
        <v>46139</v>
      </c>
      <c r="B149" s="21" t="s">
        <v>13</v>
      </c>
      <c r="C149" s="21" t="s">
        <v>20</v>
      </c>
      <c r="D149" s="21" t="s">
        <v>13</v>
      </c>
      <c r="E149" s="21"/>
      <c r="F149" s="21"/>
      <c r="G149" s="24">
        <v>1233</v>
      </c>
      <c r="H149" s="24"/>
      <c r="J149" s="21" t="s">
        <v>574</v>
      </c>
      <c r="K149" s="24">
        <v>56153.020000000019</v>
      </c>
    </row>
    <row r="150" spans="1:11" x14ac:dyDescent="0.25">
      <c r="A150" s="76">
        <v>46139</v>
      </c>
      <c r="B150" s="21" t="s">
        <v>44</v>
      </c>
      <c r="C150" s="21" t="s">
        <v>20</v>
      </c>
      <c r="D150" s="21" t="s">
        <v>22</v>
      </c>
      <c r="E150" s="21" t="s">
        <v>17</v>
      </c>
      <c r="F150" s="21"/>
      <c r="G150" s="24">
        <v>0</v>
      </c>
      <c r="H150" s="24"/>
      <c r="J150" s="21" t="s">
        <v>574</v>
      </c>
      <c r="K150" s="24">
        <v>56153.020000000019</v>
      </c>
    </row>
    <row r="151" spans="1:11" x14ac:dyDescent="0.25">
      <c r="A151" s="76">
        <v>46139</v>
      </c>
      <c r="B151" s="21" t="s">
        <v>45</v>
      </c>
      <c r="C151" s="21" t="s">
        <v>12</v>
      </c>
      <c r="D151" s="21" t="s">
        <v>24</v>
      </c>
      <c r="E151" s="21" t="s">
        <v>17</v>
      </c>
      <c r="F151" s="21" t="s">
        <v>25</v>
      </c>
      <c r="G151" s="24">
        <v>9</v>
      </c>
      <c r="H151" s="24"/>
      <c r="J151" s="21" t="s">
        <v>574</v>
      </c>
      <c r="K151" s="24">
        <v>56144.020000000019</v>
      </c>
    </row>
    <row r="152" spans="1:11" x14ac:dyDescent="0.25">
      <c r="A152" s="76">
        <v>46139</v>
      </c>
      <c r="B152" s="21" t="s">
        <v>11</v>
      </c>
      <c r="C152" s="21" t="s">
        <v>12</v>
      </c>
      <c r="D152" s="21" t="s">
        <v>19</v>
      </c>
      <c r="E152" s="21" t="s">
        <v>14</v>
      </c>
      <c r="F152" s="21" t="s">
        <v>15</v>
      </c>
      <c r="G152" s="24">
        <v>0</v>
      </c>
      <c r="H152" s="24"/>
      <c r="J152" s="21" t="s">
        <v>574</v>
      </c>
      <c r="K152" s="24">
        <v>56144.020000000019</v>
      </c>
    </row>
    <row r="153" spans="1:11" x14ac:dyDescent="0.25">
      <c r="A153" s="76">
        <v>46139</v>
      </c>
      <c r="B153" s="21" t="s">
        <v>383</v>
      </c>
      <c r="C153" s="21" t="s">
        <v>12</v>
      </c>
      <c r="D153" s="21" t="s">
        <v>19</v>
      </c>
      <c r="E153" s="21" t="s">
        <v>17</v>
      </c>
      <c r="F153" s="21"/>
      <c r="G153" s="24">
        <v>422.46</v>
      </c>
      <c r="H153" s="24"/>
      <c r="J153" s="21" t="s">
        <v>574</v>
      </c>
      <c r="K153" s="24">
        <v>55721.560000000019</v>
      </c>
    </row>
    <row r="154" spans="1:11" x14ac:dyDescent="0.25">
      <c r="A154" s="76">
        <v>46139</v>
      </c>
      <c r="B154" s="21" t="s">
        <v>340</v>
      </c>
      <c r="C154" s="21" t="s">
        <v>12</v>
      </c>
      <c r="D154" s="21" t="s">
        <v>19</v>
      </c>
      <c r="E154" s="21" t="s">
        <v>17</v>
      </c>
      <c r="F154" s="21"/>
      <c r="G154" s="24">
        <v>1545.5</v>
      </c>
      <c r="H154" s="24"/>
      <c r="J154" s="21" t="s">
        <v>574</v>
      </c>
      <c r="K154" s="24">
        <v>54176.060000000019</v>
      </c>
    </row>
    <row r="155" spans="1:11" x14ac:dyDescent="0.25">
      <c r="A155" s="76">
        <v>46139</v>
      </c>
      <c r="B155" s="21" t="s">
        <v>512</v>
      </c>
      <c r="C155" s="21" t="s">
        <v>12</v>
      </c>
      <c r="D155" s="21" t="s">
        <v>325</v>
      </c>
      <c r="E155" s="21" t="s">
        <v>17</v>
      </c>
      <c r="F155" s="21"/>
      <c r="G155" s="24">
        <v>3016.13</v>
      </c>
      <c r="H155" s="24"/>
      <c r="J155" s="21" t="s">
        <v>574</v>
      </c>
      <c r="K155" s="24">
        <v>51159.930000000022</v>
      </c>
    </row>
    <row r="156" spans="1:11" x14ac:dyDescent="0.25">
      <c r="A156" s="76">
        <v>46140</v>
      </c>
      <c r="B156" s="21" t="s">
        <v>303</v>
      </c>
      <c r="C156" s="21" t="s">
        <v>12</v>
      </c>
      <c r="D156" s="21" t="s">
        <v>68</v>
      </c>
      <c r="E156" s="21" t="s">
        <v>17</v>
      </c>
      <c r="F156" s="21"/>
      <c r="G156" s="24">
        <v>1000</v>
      </c>
      <c r="H156" s="24"/>
      <c r="J156" s="21" t="s">
        <v>574</v>
      </c>
      <c r="K156" s="24">
        <v>50159.930000000022</v>
      </c>
    </row>
    <row r="157" spans="1:11" x14ac:dyDescent="0.25">
      <c r="A157" s="76">
        <v>46141</v>
      </c>
      <c r="B157" s="21" t="s">
        <v>363</v>
      </c>
      <c r="C157" s="21" t="s">
        <v>12</v>
      </c>
      <c r="D157" s="21" t="s">
        <v>19</v>
      </c>
      <c r="E157" s="21" t="s">
        <v>17</v>
      </c>
      <c r="F157" s="21"/>
      <c r="G157" s="24">
        <v>278.93</v>
      </c>
      <c r="H157" s="24"/>
      <c r="J157" s="21" t="s">
        <v>574</v>
      </c>
      <c r="K157" s="24">
        <v>49881.000000000022</v>
      </c>
    </row>
    <row r="158" spans="1:11" x14ac:dyDescent="0.25">
      <c r="A158" s="76">
        <v>46139</v>
      </c>
      <c r="B158" s="21" t="s">
        <v>345</v>
      </c>
      <c r="C158" s="21" t="s">
        <v>12</v>
      </c>
      <c r="D158" s="21" t="s">
        <v>19</v>
      </c>
      <c r="E158" s="21" t="s">
        <v>17</v>
      </c>
      <c r="F158" s="21"/>
      <c r="G158" s="24">
        <v>1734.28</v>
      </c>
      <c r="H158" s="24"/>
      <c r="J158" s="21" t="s">
        <v>574</v>
      </c>
      <c r="K158" s="24">
        <v>48146.720000000023</v>
      </c>
    </row>
    <row r="159" spans="1:11" x14ac:dyDescent="0.25">
      <c r="A159" s="76">
        <v>46139</v>
      </c>
      <c r="B159" s="21" t="s">
        <v>594</v>
      </c>
      <c r="C159" s="21" t="s">
        <v>12</v>
      </c>
      <c r="D159" s="21" t="s">
        <v>27</v>
      </c>
      <c r="E159" s="21" t="s">
        <v>17</v>
      </c>
      <c r="F159" s="21" t="s">
        <v>25</v>
      </c>
      <c r="G159" s="24">
        <v>218</v>
      </c>
      <c r="H159" s="24"/>
      <c r="J159" s="21" t="s">
        <v>574</v>
      </c>
      <c r="K159" s="24">
        <v>47928.720000000023</v>
      </c>
    </row>
    <row r="160" spans="1:11" x14ac:dyDescent="0.25">
      <c r="A160" s="76">
        <v>46140</v>
      </c>
      <c r="B160" s="21" t="s">
        <v>346</v>
      </c>
      <c r="C160" s="21" t="s">
        <v>12</v>
      </c>
      <c r="D160" s="21" t="s">
        <v>19</v>
      </c>
      <c r="E160" s="21" t="s">
        <v>17</v>
      </c>
      <c r="F160" s="21"/>
      <c r="G160" s="24">
        <v>1029.4000000000001</v>
      </c>
      <c r="H160" s="24"/>
      <c r="J160" s="21" t="s">
        <v>574</v>
      </c>
      <c r="K160" s="24">
        <v>46899.320000000022</v>
      </c>
    </row>
    <row r="161" spans="1:11" x14ac:dyDescent="0.25">
      <c r="A161" s="76">
        <v>46140</v>
      </c>
      <c r="B161" s="21" t="s">
        <v>348</v>
      </c>
      <c r="C161" s="21" t="s">
        <v>12</v>
      </c>
      <c r="D161" s="21" t="s">
        <v>19</v>
      </c>
      <c r="E161" s="21" t="s">
        <v>17</v>
      </c>
      <c r="F161" s="21"/>
      <c r="G161" s="24">
        <v>362.1</v>
      </c>
      <c r="H161" s="24"/>
      <c r="J161" s="21" t="s">
        <v>574</v>
      </c>
      <c r="K161" s="24">
        <v>46537.220000000023</v>
      </c>
    </row>
    <row r="162" spans="1:11" x14ac:dyDescent="0.25">
      <c r="A162" s="76">
        <v>46140</v>
      </c>
      <c r="B162" s="21" t="s">
        <v>30</v>
      </c>
      <c r="C162" s="21" t="s">
        <v>20</v>
      </c>
      <c r="D162" s="21" t="s">
        <v>13</v>
      </c>
      <c r="E162" s="21"/>
      <c r="F162" s="21"/>
      <c r="G162" s="24">
        <v>1339</v>
      </c>
      <c r="H162" s="24"/>
      <c r="J162" s="21" t="s">
        <v>574</v>
      </c>
      <c r="K162" s="24">
        <v>47876.220000000023</v>
      </c>
    </row>
    <row r="163" spans="1:11" x14ac:dyDescent="0.25">
      <c r="A163" s="76">
        <v>46140</v>
      </c>
      <c r="B163" s="21" t="s">
        <v>44</v>
      </c>
      <c r="C163" s="21" t="s">
        <v>20</v>
      </c>
      <c r="D163" s="21" t="s">
        <v>22</v>
      </c>
      <c r="E163" s="21" t="s">
        <v>17</v>
      </c>
      <c r="F163" s="21"/>
      <c r="G163" s="24">
        <v>92.3</v>
      </c>
      <c r="H163" s="24"/>
      <c r="J163" s="21" t="s">
        <v>574</v>
      </c>
      <c r="K163" s="24">
        <v>47968.520000000033</v>
      </c>
    </row>
    <row r="164" spans="1:11" x14ac:dyDescent="0.25">
      <c r="A164" s="76">
        <v>46140</v>
      </c>
      <c r="B164" s="21" t="s">
        <v>23</v>
      </c>
      <c r="C164" s="21" t="s">
        <v>12</v>
      </c>
      <c r="D164" s="21" t="s">
        <v>24</v>
      </c>
      <c r="E164" s="21" t="s">
        <v>17</v>
      </c>
      <c r="F164" s="21" t="s">
        <v>25</v>
      </c>
      <c r="G164" s="24">
        <v>9</v>
      </c>
      <c r="H164" s="24"/>
      <c r="J164" s="21" t="s">
        <v>574</v>
      </c>
      <c r="K164" s="24">
        <v>47959.520000000033</v>
      </c>
    </row>
    <row r="165" spans="1:11" x14ac:dyDescent="0.25">
      <c r="A165" s="76">
        <v>46140</v>
      </c>
      <c r="B165" s="21" t="s">
        <v>393</v>
      </c>
      <c r="C165" s="21" t="s">
        <v>12</v>
      </c>
      <c r="D165" s="21" t="s">
        <v>19</v>
      </c>
      <c r="E165" s="21" t="s">
        <v>14</v>
      </c>
      <c r="F165" s="21" t="s">
        <v>15</v>
      </c>
      <c r="G165" s="24">
        <v>0</v>
      </c>
      <c r="H165" s="24"/>
      <c r="J165" s="21" t="s">
        <v>574</v>
      </c>
      <c r="K165" s="24">
        <v>47959.520000000033</v>
      </c>
    </row>
    <row r="166" spans="1:11" x14ac:dyDescent="0.25">
      <c r="A166" s="76">
        <v>46140</v>
      </c>
      <c r="B166" s="21" t="s">
        <v>18</v>
      </c>
      <c r="C166" s="21" t="s">
        <v>12</v>
      </c>
      <c r="D166" s="21" t="s">
        <v>19</v>
      </c>
      <c r="E166" s="21" t="s">
        <v>17</v>
      </c>
      <c r="F166" s="21"/>
      <c r="G166" s="24">
        <v>1370</v>
      </c>
      <c r="H166" s="24"/>
      <c r="J166" s="21" t="s">
        <v>574</v>
      </c>
      <c r="K166" s="24">
        <v>46589.520000000033</v>
      </c>
    </row>
    <row r="167" spans="1:11" x14ac:dyDescent="0.25">
      <c r="A167" s="76">
        <v>46140</v>
      </c>
      <c r="B167" s="21" t="s">
        <v>314</v>
      </c>
      <c r="C167" s="21" t="s">
        <v>12</v>
      </c>
      <c r="D167" s="21" t="s">
        <v>27</v>
      </c>
      <c r="E167" s="21" t="s">
        <v>17</v>
      </c>
      <c r="F167" s="21"/>
      <c r="G167" s="24">
        <v>2000</v>
      </c>
      <c r="H167" s="24"/>
      <c r="J167" s="21" t="s">
        <v>574</v>
      </c>
      <c r="K167" s="24">
        <v>44589.520000000033</v>
      </c>
    </row>
    <row r="168" spans="1:11" x14ac:dyDescent="0.25">
      <c r="A168" s="76">
        <v>46140</v>
      </c>
      <c r="B168" s="21" t="s">
        <v>595</v>
      </c>
      <c r="C168" s="21" t="s">
        <v>12</v>
      </c>
      <c r="D168" s="21" t="s">
        <v>19</v>
      </c>
      <c r="E168" s="21" t="s">
        <v>14</v>
      </c>
      <c r="F168" s="21" t="s">
        <v>15</v>
      </c>
      <c r="G168" s="24">
        <v>16</v>
      </c>
      <c r="H168" s="24"/>
      <c r="J168" s="21" t="s">
        <v>574</v>
      </c>
      <c r="K168" s="24">
        <v>44573.520000000033</v>
      </c>
    </row>
    <row r="169" spans="1:11" x14ac:dyDescent="0.25">
      <c r="A169" s="76">
        <v>46141</v>
      </c>
      <c r="B169" s="21" t="s">
        <v>360</v>
      </c>
      <c r="C169" s="21" t="s">
        <v>12</v>
      </c>
      <c r="D169" s="21" t="s">
        <v>19</v>
      </c>
      <c r="E169" s="21" t="s">
        <v>17</v>
      </c>
      <c r="F169" s="21" t="s">
        <v>25</v>
      </c>
      <c r="G169" s="24">
        <v>382.5</v>
      </c>
      <c r="H169" s="24"/>
      <c r="J169" s="21" t="s">
        <v>574</v>
      </c>
      <c r="K169" s="24">
        <v>44191.020000000033</v>
      </c>
    </row>
    <row r="170" spans="1:11" x14ac:dyDescent="0.25">
      <c r="A170" s="76">
        <v>46141</v>
      </c>
      <c r="B170" s="21" t="s">
        <v>13</v>
      </c>
      <c r="C170" s="21" t="s">
        <v>20</v>
      </c>
      <c r="D170" s="21" t="s">
        <v>13</v>
      </c>
      <c r="E170" s="21"/>
      <c r="F170" s="21"/>
      <c r="G170" s="24">
        <v>1565</v>
      </c>
      <c r="H170" s="24"/>
      <c r="J170" s="21" t="s">
        <v>574</v>
      </c>
      <c r="K170" s="24">
        <v>45756.020000000033</v>
      </c>
    </row>
    <row r="171" spans="1:11" x14ac:dyDescent="0.25">
      <c r="A171" s="76">
        <v>46141</v>
      </c>
      <c r="B171" s="21" t="s">
        <v>21</v>
      </c>
      <c r="C171" s="21" t="s">
        <v>20</v>
      </c>
      <c r="D171" s="21" t="s">
        <v>22</v>
      </c>
      <c r="E171" s="21" t="s">
        <v>17</v>
      </c>
      <c r="F171" s="21"/>
      <c r="G171" s="24">
        <v>181.5</v>
      </c>
      <c r="H171" s="24"/>
      <c r="J171" s="21" t="s">
        <v>574</v>
      </c>
      <c r="K171" s="24">
        <v>45937.520000000033</v>
      </c>
    </row>
    <row r="172" spans="1:11" x14ac:dyDescent="0.25">
      <c r="A172" s="76">
        <v>46141</v>
      </c>
      <c r="B172" s="21" t="s">
        <v>23</v>
      </c>
      <c r="C172" s="21" t="s">
        <v>12</v>
      </c>
      <c r="D172" s="21" t="s">
        <v>24</v>
      </c>
      <c r="E172" s="21" t="s">
        <v>17</v>
      </c>
      <c r="F172" s="21" t="s">
        <v>25</v>
      </c>
      <c r="G172" s="24">
        <v>25</v>
      </c>
      <c r="H172" s="24"/>
      <c r="J172" s="21" t="s">
        <v>574</v>
      </c>
      <c r="K172" s="24">
        <v>45912.520000000033</v>
      </c>
    </row>
    <row r="173" spans="1:11" x14ac:dyDescent="0.25">
      <c r="A173" s="76">
        <v>46141</v>
      </c>
      <c r="B173" s="21" t="s">
        <v>11</v>
      </c>
      <c r="C173" s="21" t="s">
        <v>20</v>
      </c>
      <c r="D173" s="21" t="s">
        <v>19</v>
      </c>
      <c r="E173" s="21" t="s">
        <v>14</v>
      </c>
      <c r="F173" s="21" t="s">
        <v>15</v>
      </c>
      <c r="G173" s="24">
        <v>770</v>
      </c>
      <c r="H173" s="24">
        <v>300</v>
      </c>
      <c r="J173" s="21" t="s">
        <v>574</v>
      </c>
      <c r="K173" s="24">
        <v>46682.520000000033</v>
      </c>
    </row>
    <row r="174" spans="1:11" x14ac:dyDescent="0.25">
      <c r="A174" s="76">
        <v>46142</v>
      </c>
      <c r="B174" s="21" t="s">
        <v>13</v>
      </c>
      <c r="C174" s="21" t="s">
        <v>20</v>
      </c>
      <c r="D174" s="21" t="s">
        <v>13</v>
      </c>
      <c r="E174" s="21"/>
      <c r="F174" s="21"/>
      <c r="G174" s="24">
        <v>1858</v>
      </c>
      <c r="H174" s="24"/>
      <c r="J174" s="21" t="s">
        <v>574</v>
      </c>
      <c r="K174" s="24">
        <v>48540.520000000033</v>
      </c>
    </row>
    <row r="175" spans="1:11" x14ac:dyDescent="0.25">
      <c r="A175" s="76">
        <v>46142</v>
      </c>
      <c r="B175" s="21" t="s">
        <v>21</v>
      </c>
      <c r="C175" s="21" t="s">
        <v>20</v>
      </c>
      <c r="D175" s="21" t="s">
        <v>22</v>
      </c>
      <c r="E175" s="21" t="s">
        <v>17</v>
      </c>
      <c r="F175" s="21"/>
      <c r="G175" s="24">
        <v>82</v>
      </c>
      <c r="H175" s="24"/>
      <c r="J175" s="21" t="s">
        <v>574</v>
      </c>
      <c r="K175" s="24">
        <v>48622.520000000033</v>
      </c>
    </row>
    <row r="176" spans="1:11" x14ac:dyDescent="0.25">
      <c r="A176" s="76">
        <v>46142</v>
      </c>
      <c r="B176" s="21" t="s">
        <v>23</v>
      </c>
      <c r="C176" s="21" t="s">
        <v>12</v>
      </c>
      <c r="D176" s="21" t="s">
        <v>24</v>
      </c>
      <c r="E176" s="21" t="s">
        <v>17</v>
      </c>
      <c r="F176" s="21" t="s">
        <v>25</v>
      </c>
      <c r="G176" s="24">
        <v>18</v>
      </c>
      <c r="H176" s="24"/>
      <c r="J176" s="21" t="s">
        <v>574</v>
      </c>
      <c r="K176" s="24">
        <v>48604.520000000033</v>
      </c>
    </row>
    <row r="177" spans="1:11" x14ac:dyDescent="0.25">
      <c r="A177" s="76">
        <v>46142</v>
      </c>
      <c r="B177" s="21" t="s">
        <v>295</v>
      </c>
      <c r="C177" s="21" t="s">
        <v>12</v>
      </c>
      <c r="D177" s="21" t="s">
        <v>58</v>
      </c>
      <c r="E177" s="21" t="s">
        <v>17</v>
      </c>
      <c r="F177" s="21"/>
      <c r="G177" s="24">
        <v>389.48</v>
      </c>
      <c r="H177" s="24"/>
      <c r="J177" s="21" t="s">
        <v>574</v>
      </c>
      <c r="K177" s="24">
        <v>48215.040000000023</v>
      </c>
    </row>
    <row r="178" spans="1:11" x14ac:dyDescent="0.25">
      <c r="A178" s="76">
        <v>46142</v>
      </c>
      <c r="B178" s="21" t="s">
        <v>302</v>
      </c>
      <c r="C178" s="21" t="s">
        <v>12</v>
      </c>
      <c r="D178" s="21" t="s">
        <v>39</v>
      </c>
      <c r="E178" s="21" t="s">
        <v>17</v>
      </c>
      <c r="F178" s="21"/>
      <c r="G178" s="24">
        <v>370</v>
      </c>
      <c r="H178" s="24"/>
      <c r="J178" s="21" t="s">
        <v>574</v>
      </c>
      <c r="K178" s="24">
        <v>47845.040000000023</v>
      </c>
    </row>
    <row r="179" spans="1:11" x14ac:dyDescent="0.25">
      <c r="A179" s="76">
        <v>46142</v>
      </c>
      <c r="B179" s="21" t="s">
        <v>596</v>
      </c>
      <c r="C179" s="21" t="s">
        <v>12</v>
      </c>
      <c r="D179" s="21" t="s">
        <v>16</v>
      </c>
      <c r="E179" s="21" t="s">
        <v>17</v>
      </c>
      <c r="F179" s="21"/>
      <c r="G179" s="24">
        <v>13185</v>
      </c>
      <c r="H179" s="24"/>
      <c r="J179" s="21" t="s">
        <v>574</v>
      </c>
      <c r="K179" s="24">
        <v>34660.040000000023</v>
      </c>
    </row>
    <row r="180" spans="1:11" x14ac:dyDescent="0.25">
      <c r="A180" s="76">
        <v>46142</v>
      </c>
      <c r="B180" s="21" t="s">
        <v>292</v>
      </c>
      <c r="C180" s="21" t="s">
        <v>12</v>
      </c>
      <c r="D180" s="21" t="s">
        <v>19</v>
      </c>
      <c r="E180" s="21" t="s">
        <v>17</v>
      </c>
      <c r="F180" s="21"/>
      <c r="G180" s="24">
        <v>4817.04</v>
      </c>
      <c r="H180" s="24"/>
      <c r="J180" s="21" t="s">
        <v>574</v>
      </c>
      <c r="K180" s="24">
        <v>29843.000000000018</v>
      </c>
    </row>
    <row r="181" spans="1:11" x14ac:dyDescent="0.25">
      <c r="A181" s="76">
        <v>46142</v>
      </c>
      <c r="B181" s="21" t="s">
        <v>303</v>
      </c>
      <c r="C181" s="21" t="s">
        <v>12</v>
      </c>
      <c r="D181" s="21" t="s">
        <v>68</v>
      </c>
      <c r="E181" s="21" t="s">
        <v>17</v>
      </c>
      <c r="F181" s="21" t="s">
        <v>25</v>
      </c>
      <c r="G181" s="24">
        <v>600</v>
      </c>
      <c r="H181" s="24"/>
      <c r="J181" s="21" t="s">
        <v>574</v>
      </c>
      <c r="K181" s="24">
        <v>29243.000000000018</v>
      </c>
    </row>
    <row r="182" spans="1:11" x14ac:dyDescent="0.25">
      <c r="A182" s="76">
        <v>46142</v>
      </c>
      <c r="B182" s="21" t="s">
        <v>597</v>
      </c>
      <c r="C182" s="21" t="s">
        <v>12</v>
      </c>
      <c r="D182" s="21" t="s">
        <v>19</v>
      </c>
      <c r="E182" s="21" t="s">
        <v>14</v>
      </c>
      <c r="F182" s="21" t="s">
        <v>15</v>
      </c>
      <c r="G182" s="24">
        <v>145</v>
      </c>
      <c r="H182" s="24"/>
      <c r="J182" s="21" t="s">
        <v>574</v>
      </c>
      <c r="K182" s="24">
        <v>29098.000000000018</v>
      </c>
    </row>
  </sheetData>
  <autoFilter ref="A1:K182" xr:uid="{00000000-0001-0000-0A00-000000000000}"/>
  <phoneticPr fontId="15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2:K187"/>
  <sheetViews>
    <sheetView topLeftCell="A141" workbookViewId="0">
      <selection activeCell="J142" sqref="J142"/>
    </sheetView>
  </sheetViews>
  <sheetFormatPr defaultColWidth="14.42578125" defaultRowHeight="15" customHeight="1" x14ac:dyDescent="0.25"/>
  <sheetData>
    <row r="2" spans="1:11" x14ac:dyDescent="0.25">
      <c r="A2" s="76">
        <v>46143</v>
      </c>
      <c r="B2" s="21" t="s">
        <v>11</v>
      </c>
      <c r="C2" s="21" t="s">
        <v>12</v>
      </c>
      <c r="D2" s="21" t="s">
        <v>19</v>
      </c>
      <c r="E2" s="21" t="s">
        <v>14</v>
      </c>
      <c r="F2" s="21" t="s">
        <v>15</v>
      </c>
      <c r="G2" s="24">
        <v>476</v>
      </c>
      <c r="H2" s="24"/>
      <c r="J2" s="21" t="s">
        <v>628</v>
      </c>
      <c r="K2" s="24">
        <v>476</v>
      </c>
    </row>
    <row r="3" spans="1:11" x14ac:dyDescent="0.25">
      <c r="A3" s="76">
        <v>46143</v>
      </c>
      <c r="B3" s="21" t="s">
        <v>13</v>
      </c>
      <c r="C3" s="21" t="s">
        <v>20</v>
      </c>
      <c r="D3" s="21" t="s">
        <v>13</v>
      </c>
      <c r="E3" s="21"/>
      <c r="F3" s="21"/>
      <c r="G3" s="24">
        <v>9578</v>
      </c>
      <c r="H3" s="24"/>
      <c r="J3" s="21" t="s">
        <v>628</v>
      </c>
      <c r="K3" s="24">
        <v>10054</v>
      </c>
    </row>
    <row r="4" spans="1:11" x14ac:dyDescent="0.25">
      <c r="A4" s="76">
        <v>46143</v>
      </c>
      <c r="B4" s="21" t="s">
        <v>21</v>
      </c>
      <c r="C4" s="21" t="s">
        <v>20</v>
      </c>
      <c r="D4" s="21" t="s">
        <v>22</v>
      </c>
      <c r="E4" s="21" t="s">
        <v>17</v>
      </c>
      <c r="F4" s="21"/>
      <c r="G4" s="24">
        <v>574</v>
      </c>
      <c r="H4" s="24"/>
      <c r="J4" s="21" t="s">
        <v>628</v>
      </c>
      <c r="K4" s="24">
        <v>10628</v>
      </c>
    </row>
    <row r="5" spans="1:11" x14ac:dyDescent="0.25">
      <c r="A5" s="76">
        <v>46143</v>
      </c>
      <c r="B5" s="21" t="s">
        <v>23</v>
      </c>
      <c r="C5" s="21" t="s">
        <v>12</v>
      </c>
      <c r="D5" s="21" t="s">
        <v>24</v>
      </c>
      <c r="E5" s="21" t="s">
        <v>17</v>
      </c>
      <c r="F5" s="21" t="s">
        <v>25</v>
      </c>
      <c r="G5" s="24">
        <v>53</v>
      </c>
      <c r="H5" s="24"/>
      <c r="J5" s="21" t="s">
        <v>628</v>
      </c>
      <c r="K5" s="24">
        <v>10575</v>
      </c>
    </row>
    <row r="6" spans="1:11" x14ac:dyDescent="0.25">
      <c r="A6" s="76">
        <v>46144</v>
      </c>
      <c r="B6" s="21" t="s">
        <v>33</v>
      </c>
      <c r="C6" s="21" t="s">
        <v>12</v>
      </c>
      <c r="D6" s="21" t="s">
        <v>33</v>
      </c>
      <c r="E6" s="21" t="s">
        <v>14</v>
      </c>
      <c r="F6" s="21" t="s">
        <v>15</v>
      </c>
      <c r="G6" s="24">
        <v>150</v>
      </c>
      <c r="H6" s="24"/>
      <c r="J6" s="21" t="s">
        <v>628</v>
      </c>
      <c r="K6" s="24">
        <v>10425</v>
      </c>
    </row>
    <row r="7" spans="1:11" x14ac:dyDescent="0.25">
      <c r="A7" s="76">
        <v>46144</v>
      </c>
      <c r="B7" s="21" t="s">
        <v>618</v>
      </c>
      <c r="C7" s="21" t="s">
        <v>20</v>
      </c>
      <c r="D7" s="21" t="s">
        <v>13</v>
      </c>
      <c r="E7" s="21"/>
      <c r="F7" s="21"/>
      <c r="G7" s="24">
        <v>10116</v>
      </c>
      <c r="H7" s="24"/>
      <c r="J7" s="21" t="s">
        <v>628</v>
      </c>
      <c r="K7" s="24">
        <v>20541</v>
      </c>
    </row>
    <row r="8" spans="1:11" x14ac:dyDescent="0.25">
      <c r="A8" s="76">
        <v>46144</v>
      </c>
      <c r="B8" s="21" t="s">
        <v>21</v>
      </c>
      <c r="C8" s="21" t="s">
        <v>20</v>
      </c>
      <c r="D8" s="21" t="s">
        <v>22</v>
      </c>
      <c r="E8" s="21" t="s">
        <v>17</v>
      </c>
      <c r="F8" s="21"/>
      <c r="G8" s="24">
        <v>55</v>
      </c>
      <c r="H8" s="24"/>
      <c r="J8" s="21" t="s">
        <v>628</v>
      </c>
      <c r="K8" s="24">
        <v>20596</v>
      </c>
    </row>
    <row r="9" spans="1:11" x14ac:dyDescent="0.25">
      <c r="A9" s="76">
        <v>46144</v>
      </c>
      <c r="B9" s="21" t="s">
        <v>23</v>
      </c>
      <c r="C9" s="21" t="s">
        <v>12</v>
      </c>
      <c r="D9" s="21" t="s">
        <v>24</v>
      </c>
      <c r="E9" s="21" t="s">
        <v>17</v>
      </c>
      <c r="F9" s="21" t="s">
        <v>25</v>
      </c>
      <c r="G9" s="24">
        <v>9</v>
      </c>
      <c r="H9" s="24"/>
      <c r="J9" s="21" t="s">
        <v>628</v>
      </c>
      <c r="K9" s="24">
        <v>20587</v>
      </c>
    </row>
    <row r="10" spans="1:11" x14ac:dyDescent="0.25">
      <c r="A10" s="76">
        <v>46145</v>
      </c>
      <c r="B10" s="21" t="s">
        <v>33</v>
      </c>
      <c r="C10" s="21" t="s">
        <v>12</v>
      </c>
      <c r="D10" s="21" t="s">
        <v>33</v>
      </c>
      <c r="E10" s="21" t="s">
        <v>14</v>
      </c>
      <c r="F10" s="21" t="s">
        <v>15</v>
      </c>
      <c r="G10" s="24">
        <v>150</v>
      </c>
      <c r="H10" s="24"/>
      <c r="J10" s="21" t="s">
        <v>628</v>
      </c>
      <c r="K10" s="24">
        <v>20437</v>
      </c>
    </row>
    <row r="11" spans="1:11" x14ac:dyDescent="0.25">
      <c r="A11" s="76">
        <v>46145</v>
      </c>
      <c r="B11" s="21" t="s">
        <v>13</v>
      </c>
      <c r="C11" s="21" t="s">
        <v>20</v>
      </c>
      <c r="D11" s="21" t="s">
        <v>13</v>
      </c>
      <c r="E11" s="21"/>
      <c r="F11" s="21"/>
      <c r="G11" s="24">
        <v>6795</v>
      </c>
      <c r="H11" s="24"/>
      <c r="J11" s="21" t="s">
        <v>628</v>
      </c>
      <c r="K11" s="24">
        <v>27232</v>
      </c>
    </row>
    <row r="12" spans="1:11" x14ac:dyDescent="0.25">
      <c r="A12" s="76">
        <v>46145</v>
      </c>
      <c r="B12" s="21" t="s">
        <v>21</v>
      </c>
      <c r="C12" s="21" t="s">
        <v>20</v>
      </c>
      <c r="D12" s="21" t="s">
        <v>22</v>
      </c>
      <c r="E12" s="21" t="s">
        <v>17</v>
      </c>
      <c r="F12" s="21"/>
      <c r="G12" s="24">
        <v>354</v>
      </c>
      <c r="H12" s="24"/>
      <c r="J12" s="21" t="s">
        <v>628</v>
      </c>
      <c r="K12" s="24">
        <v>27586</v>
      </c>
    </row>
    <row r="13" spans="1:11" x14ac:dyDescent="0.25">
      <c r="A13" s="76">
        <v>46145</v>
      </c>
      <c r="B13" s="21" t="s">
        <v>23</v>
      </c>
      <c r="C13" s="21" t="s">
        <v>12</v>
      </c>
      <c r="D13" s="21" t="s">
        <v>24</v>
      </c>
      <c r="E13" s="21" t="s">
        <v>17</v>
      </c>
      <c r="F13" s="21" t="s">
        <v>25</v>
      </c>
      <c r="G13" s="24">
        <v>41</v>
      </c>
      <c r="H13" s="24"/>
      <c r="J13" s="21" t="s">
        <v>628</v>
      </c>
      <c r="K13" s="24">
        <v>27545</v>
      </c>
    </row>
    <row r="14" spans="1:11" x14ac:dyDescent="0.25">
      <c r="A14" s="76">
        <v>46144</v>
      </c>
      <c r="B14" s="21" t="s">
        <v>629</v>
      </c>
      <c r="C14" s="21" t="s">
        <v>12</v>
      </c>
      <c r="D14" s="21" t="s">
        <v>29</v>
      </c>
      <c r="E14" s="21" t="s">
        <v>14</v>
      </c>
      <c r="F14" s="21" t="s">
        <v>15</v>
      </c>
      <c r="G14" s="24">
        <v>102</v>
      </c>
      <c r="H14" s="24"/>
      <c r="J14" s="21" t="s">
        <v>628</v>
      </c>
      <c r="K14" s="24">
        <v>27443</v>
      </c>
    </row>
    <row r="15" spans="1:11" x14ac:dyDescent="0.25">
      <c r="A15" s="76">
        <v>46146</v>
      </c>
      <c r="B15" s="21" t="s">
        <v>364</v>
      </c>
      <c r="C15" s="21" t="s">
        <v>12</v>
      </c>
      <c r="D15" s="21" t="s">
        <v>19</v>
      </c>
      <c r="E15" s="21" t="s">
        <v>17</v>
      </c>
      <c r="F15" s="21" t="s">
        <v>25</v>
      </c>
      <c r="G15" s="24">
        <v>709.75</v>
      </c>
      <c r="H15" s="24"/>
      <c r="J15" s="21" t="s">
        <v>628</v>
      </c>
      <c r="K15" s="24">
        <v>26733.25</v>
      </c>
    </row>
    <row r="16" spans="1:11" x14ac:dyDescent="0.25">
      <c r="A16" s="76">
        <v>46146</v>
      </c>
      <c r="B16" s="21" t="s">
        <v>43</v>
      </c>
      <c r="C16" s="21" t="s">
        <v>12</v>
      </c>
      <c r="D16" s="21" t="s">
        <v>19</v>
      </c>
      <c r="E16" s="21" t="s">
        <v>17</v>
      </c>
      <c r="F16" s="21"/>
      <c r="G16" s="24">
        <v>1029.4000000000001</v>
      </c>
      <c r="H16" s="24"/>
      <c r="J16" s="21" t="s">
        <v>628</v>
      </c>
      <c r="K16" s="24">
        <v>25703.85</v>
      </c>
    </row>
    <row r="17" spans="1:11" x14ac:dyDescent="0.25">
      <c r="A17" s="76">
        <v>46146</v>
      </c>
      <c r="B17" s="21" t="s">
        <v>43</v>
      </c>
      <c r="C17" s="21" t="s">
        <v>12</v>
      </c>
      <c r="D17" s="21" t="s">
        <v>19</v>
      </c>
      <c r="E17" s="21" t="s">
        <v>17</v>
      </c>
      <c r="F17" s="21"/>
      <c r="G17" s="24">
        <v>156.69999999999999</v>
      </c>
      <c r="H17" s="24"/>
      <c r="J17" s="21" t="s">
        <v>628</v>
      </c>
      <c r="K17" s="24">
        <v>25547.15</v>
      </c>
    </row>
    <row r="18" spans="1:11" x14ac:dyDescent="0.25">
      <c r="A18" s="76">
        <v>46146</v>
      </c>
      <c r="B18" s="21" t="s">
        <v>43</v>
      </c>
      <c r="C18" s="21" t="s">
        <v>12</v>
      </c>
      <c r="D18" s="21" t="s">
        <v>19</v>
      </c>
      <c r="E18" s="21" t="s">
        <v>17</v>
      </c>
      <c r="F18" s="21"/>
      <c r="G18" s="24">
        <v>564.36</v>
      </c>
      <c r="H18" s="24"/>
      <c r="J18" s="21" t="s">
        <v>628</v>
      </c>
      <c r="K18" s="24">
        <v>24982.79</v>
      </c>
    </row>
    <row r="19" spans="1:11" x14ac:dyDescent="0.25">
      <c r="A19" s="76">
        <v>46146</v>
      </c>
      <c r="B19" s="21" t="s">
        <v>38</v>
      </c>
      <c r="C19" s="21" t="s">
        <v>12</v>
      </c>
      <c r="D19" s="21" t="s">
        <v>39</v>
      </c>
      <c r="E19" s="21" t="s">
        <v>17</v>
      </c>
      <c r="F19" s="21"/>
      <c r="G19" s="24">
        <v>8918.64</v>
      </c>
      <c r="H19" s="24"/>
      <c r="J19" s="21" t="s">
        <v>628</v>
      </c>
      <c r="K19" s="24">
        <v>16064.15</v>
      </c>
    </row>
    <row r="20" spans="1:11" x14ac:dyDescent="0.25">
      <c r="A20" s="76">
        <v>46146</v>
      </c>
      <c r="B20" s="21" t="s">
        <v>320</v>
      </c>
      <c r="C20" s="21" t="s">
        <v>12</v>
      </c>
      <c r="D20" s="21" t="s">
        <v>39</v>
      </c>
      <c r="E20" s="21" t="s">
        <v>17</v>
      </c>
      <c r="F20" s="21" t="s">
        <v>25</v>
      </c>
      <c r="G20" s="24">
        <v>94.9</v>
      </c>
      <c r="H20" s="24"/>
      <c r="J20" s="21" t="s">
        <v>628</v>
      </c>
      <c r="K20" s="24">
        <v>15969.25</v>
      </c>
    </row>
    <row r="21" spans="1:11" x14ac:dyDescent="0.25">
      <c r="A21" s="76">
        <v>46146</v>
      </c>
      <c r="B21" s="21" t="s">
        <v>41</v>
      </c>
      <c r="C21" s="21" t="s">
        <v>12</v>
      </c>
      <c r="D21" s="21" t="s">
        <v>39</v>
      </c>
      <c r="E21" s="21" t="s">
        <v>17</v>
      </c>
      <c r="F21" s="21"/>
      <c r="G21" s="24">
        <v>100</v>
      </c>
      <c r="H21" s="24"/>
      <c r="J21" s="21" t="s">
        <v>628</v>
      </c>
      <c r="K21" s="24">
        <v>15869.25</v>
      </c>
    </row>
    <row r="22" spans="1:11" x14ac:dyDescent="0.25">
      <c r="A22" s="76">
        <v>46146</v>
      </c>
      <c r="B22" s="21" t="s">
        <v>630</v>
      </c>
      <c r="C22" s="21" t="s">
        <v>12</v>
      </c>
      <c r="D22" s="21" t="s">
        <v>39</v>
      </c>
      <c r="E22" s="21" t="s">
        <v>14</v>
      </c>
      <c r="F22" s="21" t="s">
        <v>15</v>
      </c>
      <c r="G22" s="24">
        <v>2836.54</v>
      </c>
      <c r="H22" s="24"/>
      <c r="J22" s="21" t="s">
        <v>628</v>
      </c>
      <c r="K22" s="24">
        <v>13032.71</v>
      </c>
    </row>
    <row r="23" spans="1:11" x14ac:dyDescent="0.25">
      <c r="A23" s="76">
        <v>46146</v>
      </c>
      <c r="B23" s="21" t="s">
        <v>631</v>
      </c>
      <c r="C23" s="21" t="s">
        <v>12</v>
      </c>
      <c r="D23" s="21" t="s">
        <v>19</v>
      </c>
      <c r="E23" s="21" t="s">
        <v>17</v>
      </c>
      <c r="F23" s="21"/>
      <c r="G23" s="24">
        <v>278</v>
      </c>
      <c r="H23" s="24"/>
      <c r="J23" s="21" t="s">
        <v>628</v>
      </c>
      <c r="K23" s="24">
        <v>12754.71</v>
      </c>
    </row>
    <row r="24" spans="1:11" x14ac:dyDescent="0.25">
      <c r="A24" s="76">
        <v>46146</v>
      </c>
      <c r="B24" s="21" t="s">
        <v>30</v>
      </c>
      <c r="C24" s="21" t="s">
        <v>20</v>
      </c>
      <c r="D24" s="21" t="s">
        <v>13</v>
      </c>
      <c r="E24" s="21"/>
      <c r="F24" s="21"/>
      <c r="G24" s="24">
        <v>1145</v>
      </c>
      <c r="H24" s="24"/>
      <c r="J24" s="21" t="s">
        <v>628</v>
      </c>
      <c r="K24" s="24">
        <v>13899.71</v>
      </c>
    </row>
    <row r="25" spans="1:11" x14ac:dyDescent="0.25">
      <c r="A25" s="76">
        <v>46146</v>
      </c>
      <c r="B25" s="21" t="s">
        <v>44</v>
      </c>
      <c r="C25" s="21" t="s">
        <v>20</v>
      </c>
      <c r="D25" s="21" t="s">
        <v>22</v>
      </c>
      <c r="E25" s="21" t="s">
        <v>17</v>
      </c>
      <c r="F25" s="21"/>
      <c r="G25" s="24">
        <v>0</v>
      </c>
      <c r="H25" s="24"/>
      <c r="J25" s="21" t="s">
        <v>628</v>
      </c>
      <c r="K25" s="24">
        <v>13899.71</v>
      </c>
    </row>
    <row r="26" spans="1:11" x14ac:dyDescent="0.25">
      <c r="A26" s="76">
        <v>46146</v>
      </c>
      <c r="B26" s="21" t="s">
        <v>45</v>
      </c>
      <c r="C26" s="21" t="s">
        <v>12</v>
      </c>
      <c r="D26" s="21" t="s">
        <v>24</v>
      </c>
      <c r="E26" s="21" t="s">
        <v>17</v>
      </c>
      <c r="F26" s="21" t="s">
        <v>25</v>
      </c>
      <c r="G26" s="24">
        <v>0</v>
      </c>
      <c r="H26" s="24"/>
      <c r="J26" s="21" t="s">
        <v>628</v>
      </c>
      <c r="K26" s="24">
        <v>13899.71</v>
      </c>
    </row>
    <row r="27" spans="1:11" x14ac:dyDescent="0.25">
      <c r="A27" s="76">
        <v>46146</v>
      </c>
      <c r="B27" s="21" t="s">
        <v>393</v>
      </c>
      <c r="C27" s="21" t="s">
        <v>12</v>
      </c>
      <c r="D27" s="21" t="s">
        <v>19</v>
      </c>
      <c r="E27" s="21" t="s">
        <v>14</v>
      </c>
      <c r="F27" s="21" t="s">
        <v>15</v>
      </c>
      <c r="G27" s="24">
        <v>0</v>
      </c>
      <c r="H27" s="24"/>
      <c r="J27" s="21" t="s">
        <v>628</v>
      </c>
      <c r="K27" s="24">
        <v>13899.71</v>
      </c>
    </row>
    <row r="28" spans="1:11" x14ac:dyDescent="0.25">
      <c r="A28" s="76">
        <v>46147</v>
      </c>
      <c r="B28" s="21" t="s">
        <v>472</v>
      </c>
      <c r="C28" s="21" t="s">
        <v>12</v>
      </c>
      <c r="D28" s="21" t="s">
        <v>39</v>
      </c>
      <c r="E28" s="21" t="s">
        <v>17</v>
      </c>
      <c r="F28" s="21" t="s">
        <v>25</v>
      </c>
      <c r="G28" s="24">
        <v>150</v>
      </c>
      <c r="H28" s="24"/>
      <c r="J28" s="21" t="s">
        <v>628</v>
      </c>
      <c r="K28" s="24">
        <v>13749.71</v>
      </c>
    </row>
    <row r="29" spans="1:11" x14ac:dyDescent="0.25">
      <c r="A29" s="76">
        <v>46147</v>
      </c>
      <c r="B29" s="21" t="s">
        <v>632</v>
      </c>
      <c r="C29" s="21" t="s">
        <v>12</v>
      </c>
      <c r="D29" s="21" t="s">
        <v>62</v>
      </c>
      <c r="E29" s="21" t="s">
        <v>17</v>
      </c>
      <c r="F29" s="21" t="s">
        <v>25</v>
      </c>
      <c r="G29" s="24">
        <v>210</v>
      </c>
      <c r="H29" s="24"/>
      <c r="J29" s="21" t="s">
        <v>628</v>
      </c>
      <c r="K29" s="24">
        <v>13539.71</v>
      </c>
    </row>
    <row r="30" spans="1:11" x14ac:dyDescent="0.25">
      <c r="A30" s="76">
        <v>46147</v>
      </c>
      <c r="B30" s="21" t="s">
        <v>13</v>
      </c>
      <c r="C30" s="21" t="s">
        <v>20</v>
      </c>
      <c r="D30" s="21" t="s">
        <v>13</v>
      </c>
      <c r="E30" s="21"/>
      <c r="F30" s="21"/>
      <c r="G30" s="24">
        <v>1471</v>
      </c>
      <c r="H30" s="24"/>
      <c r="J30" s="21" t="s">
        <v>628</v>
      </c>
      <c r="K30" s="24">
        <v>15010.71</v>
      </c>
    </row>
    <row r="31" spans="1:11" x14ac:dyDescent="0.25">
      <c r="A31" s="76">
        <v>46147</v>
      </c>
      <c r="B31" s="21" t="s">
        <v>21</v>
      </c>
      <c r="C31" s="21" t="s">
        <v>20</v>
      </c>
      <c r="D31" s="21" t="s">
        <v>22</v>
      </c>
      <c r="E31" s="21" t="s">
        <v>17</v>
      </c>
      <c r="F31" s="21"/>
      <c r="G31" s="24">
        <v>84</v>
      </c>
      <c r="H31" s="24"/>
      <c r="J31" s="21" t="s">
        <v>628</v>
      </c>
      <c r="K31" s="24">
        <v>15094.71</v>
      </c>
    </row>
    <row r="32" spans="1:11" x14ac:dyDescent="0.25">
      <c r="A32" s="76">
        <v>46147</v>
      </c>
      <c r="B32" s="21" t="s">
        <v>23</v>
      </c>
      <c r="C32" s="21" t="s">
        <v>20</v>
      </c>
      <c r="D32" s="21" t="s">
        <v>24</v>
      </c>
      <c r="E32" s="21" t="s">
        <v>17</v>
      </c>
      <c r="F32" s="21" t="s">
        <v>25</v>
      </c>
      <c r="G32" s="24">
        <v>27</v>
      </c>
      <c r="H32" s="24"/>
      <c r="J32" s="21" t="s">
        <v>628</v>
      </c>
      <c r="K32" s="24">
        <v>15121.71</v>
      </c>
    </row>
    <row r="33" spans="1:11" x14ac:dyDescent="0.25">
      <c r="A33" s="76">
        <v>46147</v>
      </c>
      <c r="B33" s="21" t="s">
        <v>568</v>
      </c>
      <c r="C33" s="21" t="s">
        <v>12</v>
      </c>
      <c r="D33" s="21" t="s">
        <v>19</v>
      </c>
      <c r="E33" s="21" t="s">
        <v>17</v>
      </c>
      <c r="F33" s="21" t="s">
        <v>25</v>
      </c>
      <c r="G33" s="24">
        <v>3357.6</v>
      </c>
      <c r="H33" s="24"/>
      <c r="J33" s="21" t="s">
        <v>628</v>
      </c>
      <c r="K33" s="24">
        <v>11764.11</v>
      </c>
    </row>
    <row r="34" spans="1:11" x14ac:dyDescent="0.25">
      <c r="A34" s="76">
        <v>46148</v>
      </c>
      <c r="B34" s="21" t="s">
        <v>333</v>
      </c>
      <c r="C34" s="21" t="s">
        <v>12</v>
      </c>
      <c r="D34" s="21" t="s">
        <v>27</v>
      </c>
      <c r="E34" s="21" t="s">
        <v>17</v>
      </c>
      <c r="F34" s="21" t="s">
        <v>25</v>
      </c>
      <c r="G34" s="24">
        <v>9846.01</v>
      </c>
      <c r="H34" s="24"/>
      <c r="J34" s="21" t="s">
        <v>628</v>
      </c>
      <c r="K34" s="24">
        <v>1918.099999999999</v>
      </c>
    </row>
    <row r="35" spans="1:11" x14ac:dyDescent="0.25">
      <c r="A35" s="76">
        <v>46148</v>
      </c>
      <c r="B35" s="21" t="s">
        <v>633</v>
      </c>
      <c r="C35" s="21" t="s">
        <v>12</v>
      </c>
      <c r="D35" s="21" t="s">
        <v>27</v>
      </c>
      <c r="E35" s="21" t="s">
        <v>17</v>
      </c>
      <c r="F35" s="21" t="s">
        <v>25</v>
      </c>
      <c r="G35" s="24">
        <v>1666.67</v>
      </c>
      <c r="H35" s="24"/>
      <c r="J35" s="21" t="s">
        <v>628</v>
      </c>
      <c r="K35" s="24">
        <v>251.4299999999985</v>
      </c>
    </row>
    <row r="36" spans="1:11" x14ac:dyDescent="0.25">
      <c r="A36" s="76">
        <v>46148</v>
      </c>
      <c r="B36" s="21" t="s">
        <v>30</v>
      </c>
      <c r="C36" s="21" t="s">
        <v>20</v>
      </c>
      <c r="D36" s="21" t="s">
        <v>13</v>
      </c>
      <c r="E36" s="21"/>
      <c r="F36" s="21"/>
      <c r="G36" s="24">
        <v>1514</v>
      </c>
      <c r="H36" s="24"/>
      <c r="J36" s="21" t="s">
        <v>628</v>
      </c>
      <c r="K36" s="24">
        <v>1765.429999999998</v>
      </c>
    </row>
    <row r="37" spans="1:11" x14ac:dyDescent="0.25">
      <c r="A37" s="76">
        <v>46148</v>
      </c>
      <c r="B37" s="21" t="s">
        <v>44</v>
      </c>
      <c r="C37" s="21" t="s">
        <v>20</v>
      </c>
      <c r="D37" s="21" t="s">
        <v>22</v>
      </c>
      <c r="E37" s="21" t="s">
        <v>17</v>
      </c>
      <c r="F37" s="21"/>
      <c r="G37" s="24">
        <v>0</v>
      </c>
      <c r="H37" s="24"/>
      <c r="J37" s="21" t="s">
        <v>628</v>
      </c>
      <c r="K37" s="24">
        <v>1765.429999999998</v>
      </c>
    </row>
    <row r="38" spans="1:11" x14ac:dyDescent="0.25">
      <c r="A38" s="76">
        <v>46148</v>
      </c>
      <c r="B38" s="21" t="s">
        <v>45</v>
      </c>
      <c r="C38" s="21" t="s">
        <v>12</v>
      </c>
      <c r="D38" s="21" t="s">
        <v>24</v>
      </c>
      <c r="E38" s="21" t="s">
        <v>17</v>
      </c>
      <c r="F38" s="21" t="s">
        <v>25</v>
      </c>
      <c r="G38" s="24">
        <v>0</v>
      </c>
      <c r="H38" s="24"/>
      <c r="J38" s="21" t="s">
        <v>628</v>
      </c>
      <c r="K38" s="24">
        <v>1765.429999999998</v>
      </c>
    </row>
    <row r="39" spans="1:11" x14ac:dyDescent="0.25">
      <c r="A39" s="76">
        <v>46148</v>
      </c>
      <c r="B39" s="21" t="s">
        <v>393</v>
      </c>
      <c r="C39" s="21" t="s">
        <v>12</v>
      </c>
      <c r="D39" s="21" t="s">
        <v>19</v>
      </c>
      <c r="E39" s="21" t="s">
        <v>14</v>
      </c>
      <c r="F39" s="21" t="s">
        <v>15</v>
      </c>
      <c r="G39" s="24">
        <v>235</v>
      </c>
      <c r="H39" s="24"/>
      <c r="J39" s="21" t="s">
        <v>628</v>
      </c>
      <c r="K39" s="24">
        <v>1530.429999999998</v>
      </c>
    </row>
    <row r="40" spans="1:11" x14ac:dyDescent="0.25">
      <c r="A40" s="76">
        <v>46148</v>
      </c>
      <c r="B40" s="21" t="s">
        <v>412</v>
      </c>
      <c r="C40" s="21" t="s">
        <v>12</v>
      </c>
      <c r="D40" s="21" t="s">
        <v>27</v>
      </c>
      <c r="E40" s="21" t="s">
        <v>17</v>
      </c>
      <c r="F40" s="21" t="s">
        <v>25</v>
      </c>
      <c r="G40" s="24">
        <v>2000</v>
      </c>
      <c r="H40" s="24"/>
      <c r="J40" s="21" t="s">
        <v>628</v>
      </c>
      <c r="K40" s="24">
        <v>-469.57000000000153</v>
      </c>
    </row>
    <row r="41" spans="1:11" x14ac:dyDescent="0.25">
      <c r="A41" s="76">
        <v>46148</v>
      </c>
      <c r="B41" s="21" t="s">
        <v>634</v>
      </c>
      <c r="C41" s="21" t="s">
        <v>12</v>
      </c>
      <c r="D41" s="21" t="s">
        <v>27</v>
      </c>
      <c r="E41" s="21" t="s">
        <v>17</v>
      </c>
      <c r="F41" s="21" t="s">
        <v>25</v>
      </c>
      <c r="G41" s="24">
        <v>279</v>
      </c>
      <c r="H41" s="24"/>
      <c r="J41" s="21" t="s">
        <v>628</v>
      </c>
      <c r="K41" s="24">
        <v>-748.57000000000153</v>
      </c>
    </row>
    <row r="42" spans="1:11" x14ac:dyDescent="0.25">
      <c r="A42" s="76">
        <v>46149</v>
      </c>
      <c r="B42" s="21" t="s">
        <v>13</v>
      </c>
      <c r="C42" s="21" t="s">
        <v>20</v>
      </c>
      <c r="D42" s="21" t="s">
        <v>13</v>
      </c>
      <c r="E42" s="21"/>
      <c r="F42" s="21"/>
      <c r="G42" s="24">
        <v>1466</v>
      </c>
      <c r="H42" s="24"/>
      <c r="J42" s="21" t="s">
        <v>628</v>
      </c>
      <c r="K42" s="24">
        <v>717.42999999999847</v>
      </c>
    </row>
    <row r="43" spans="1:11" x14ac:dyDescent="0.25">
      <c r="A43" s="76">
        <v>46149</v>
      </c>
      <c r="B43" s="21" t="s">
        <v>635</v>
      </c>
      <c r="C43" s="21" t="s">
        <v>20</v>
      </c>
      <c r="D43" s="21" t="s">
        <v>22</v>
      </c>
      <c r="E43" s="21" t="s">
        <v>17</v>
      </c>
      <c r="F43" s="21"/>
      <c r="G43" s="24">
        <v>0</v>
      </c>
      <c r="H43" s="24"/>
      <c r="J43" s="21" t="s">
        <v>628</v>
      </c>
      <c r="K43" s="24">
        <v>717.42999999999847</v>
      </c>
    </row>
    <row r="44" spans="1:11" x14ac:dyDescent="0.25">
      <c r="A44" s="76">
        <v>46149</v>
      </c>
      <c r="B44" s="21" t="s">
        <v>23</v>
      </c>
      <c r="C44" s="21" t="s">
        <v>12</v>
      </c>
      <c r="D44" s="21" t="s">
        <v>24</v>
      </c>
      <c r="E44" s="21" t="s">
        <v>17</v>
      </c>
      <c r="F44" s="21" t="s">
        <v>25</v>
      </c>
      <c r="G44" s="24">
        <v>0</v>
      </c>
      <c r="H44" s="24"/>
      <c r="J44" s="21" t="s">
        <v>628</v>
      </c>
      <c r="K44" s="24">
        <v>717.42999999999847</v>
      </c>
    </row>
    <row r="45" spans="1:11" x14ac:dyDescent="0.25">
      <c r="A45" s="76">
        <v>46149</v>
      </c>
      <c r="B45" s="21" t="s">
        <v>11</v>
      </c>
      <c r="C45" s="21" t="s">
        <v>12</v>
      </c>
      <c r="D45" s="21" t="s">
        <v>19</v>
      </c>
      <c r="E45" s="21" t="s">
        <v>14</v>
      </c>
      <c r="F45" s="21" t="s">
        <v>15</v>
      </c>
      <c r="G45" s="24">
        <v>235</v>
      </c>
      <c r="H45" s="24"/>
      <c r="J45" s="21" t="s">
        <v>628</v>
      </c>
      <c r="K45" s="24">
        <v>482.42999999999847</v>
      </c>
    </row>
    <row r="46" spans="1:11" x14ac:dyDescent="0.25">
      <c r="A46" s="76">
        <v>46149</v>
      </c>
      <c r="B46" s="21" t="s">
        <v>348</v>
      </c>
      <c r="C46" s="21" t="s">
        <v>12</v>
      </c>
      <c r="D46" s="21" t="s">
        <v>19</v>
      </c>
      <c r="E46" s="21" t="s">
        <v>17</v>
      </c>
      <c r="F46" s="21"/>
      <c r="G46" s="24">
        <v>600.69000000000005</v>
      </c>
      <c r="H46" s="24"/>
      <c r="J46" s="21" t="s">
        <v>628</v>
      </c>
      <c r="K46" s="24">
        <v>-118.2600000000016</v>
      </c>
    </row>
    <row r="47" spans="1:11" x14ac:dyDescent="0.25">
      <c r="A47" s="76">
        <v>46149</v>
      </c>
      <c r="B47" s="21" t="s">
        <v>636</v>
      </c>
      <c r="C47" s="24" t="s">
        <v>12</v>
      </c>
      <c r="D47" s="21" t="s">
        <v>27</v>
      </c>
      <c r="E47" s="21" t="s">
        <v>17</v>
      </c>
      <c r="F47" s="21" t="s">
        <v>25</v>
      </c>
      <c r="G47" s="24">
        <v>176.94</v>
      </c>
      <c r="H47" s="24"/>
      <c r="J47" s="21" t="s">
        <v>628</v>
      </c>
      <c r="K47" s="24">
        <v>-295.20000000000158</v>
      </c>
    </row>
    <row r="48" spans="1:11" x14ac:dyDescent="0.25">
      <c r="A48" s="76">
        <v>46150</v>
      </c>
      <c r="B48" s="21" t="s">
        <v>13</v>
      </c>
      <c r="C48" s="21" t="s">
        <v>20</v>
      </c>
      <c r="D48" s="21" t="s">
        <v>13</v>
      </c>
      <c r="E48" s="21"/>
      <c r="F48" s="21"/>
      <c r="G48" s="24">
        <v>3340</v>
      </c>
      <c r="H48" s="24"/>
      <c r="J48" s="21" t="s">
        <v>628</v>
      </c>
      <c r="K48" s="24">
        <v>3044.7999999999979</v>
      </c>
    </row>
    <row r="49" spans="1:11" x14ac:dyDescent="0.25">
      <c r="A49" s="76">
        <v>46150</v>
      </c>
      <c r="B49" s="21" t="s">
        <v>635</v>
      </c>
      <c r="C49" s="21" t="s">
        <v>20</v>
      </c>
      <c r="D49" s="21" t="s">
        <v>22</v>
      </c>
      <c r="E49" s="21" t="s">
        <v>17</v>
      </c>
      <c r="F49" s="21"/>
      <c r="G49" s="24">
        <v>345</v>
      </c>
      <c r="H49" s="24"/>
      <c r="J49" s="21" t="s">
        <v>628</v>
      </c>
      <c r="K49" s="24">
        <v>3389.7999999999979</v>
      </c>
    </row>
    <row r="50" spans="1:11" x14ac:dyDescent="0.25">
      <c r="A50" s="76">
        <v>46150</v>
      </c>
      <c r="B50" s="21" t="s">
        <v>23</v>
      </c>
      <c r="C50" s="21" t="s">
        <v>12</v>
      </c>
      <c r="D50" s="21" t="s">
        <v>24</v>
      </c>
      <c r="E50" s="21" t="s">
        <v>17</v>
      </c>
      <c r="F50" s="21" t="s">
        <v>25</v>
      </c>
      <c r="G50" s="24">
        <v>45</v>
      </c>
      <c r="H50" s="24"/>
      <c r="J50" s="21" t="s">
        <v>628</v>
      </c>
      <c r="K50" s="24">
        <v>3344.7999999999979</v>
      </c>
    </row>
    <row r="51" spans="1:11" x14ac:dyDescent="0.25">
      <c r="A51" s="76">
        <v>46150</v>
      </c>
      <c r="B51" s="21" t="s">
        <v>11</v>
      </c>
      <c r="C51" s="21" t="s">
        <v>12</v>
      </c>
      <c r="D51" s="21" t="s">
        <v>19</v>
      </c>
      <c r="E51" s="21" t="s">
        <v>14</v>
      </c>
      <c r="F51" s="21" t="s">
        <v>15</v>
      </c>
      <c r="G51" s="24">
        <v>376</v>
      </c>
      <c r="H51" s="24"/>
      <c r="J51" s="21" t="s">
        <v>628</v>
      </c>
      <c r="K51" s="24">
        <v>2968.7999999999979</v>
      </c>
    </row>
    <row r="52" spans="1:11" x14ac:dyDescent="0.25">
      <c r="A52" s="76">
        <v>46151</v>
      </c>
      <c r="B52" s="21" t="s">
        <v>30</v>
      </c>
      <c r="C52" s="21" t="s">
        <v>20</v>
      </c>
      <c r="D52" s="21" t="s">
        <v>13</v>
      </c>
      <c r="E52" s="21"/>
      <c r="F52" s="21"/>
      <c r="G52" s="24">
        <v>8628</v>
      </c>
      <c r="H52" s="24"/>
      <c r="J52" s="21" t="s">
        <v>628</v>
      </c>
      <c r="K52" s="24">
        <v>11596.8</v>
      </c>
    </row>
    <row r="53" spans="1:11" x14ac:dyDescent="0.25">
      <c r="A53" s="76">
        <v>46151</v>
      </c>
      <c r="B53" s="21" t="s">
        <v>44</v>
      </c>
      <c r="C53" s="21" t="s">
        <v>20</v>
      </c>
      <c r="D53" s="21" t="s">
        <v>22</v>
      </c>
      <c r="E53" s="21" t="s">
        <v>17</v>
      </c>
      <c r="F53" s="21"/>
      <c r="G53" s="24">
        <v>382</v>
      </c>
      <c r="H53" s="24"/>
      <c r="J53" s="21" t="s">
        <v>628</v>
      </c>
      <c r="K53" s="24">
        <v>11978.8</v>
      </c>
    </row>
    <row r="54" spans="1:11" x14ac:dyDescent="0.25">
      <c r="A54" s="76">
        <v>46151</v>
      </c>
      <c r="B54" s="21" t="s">
        <v>45</v>
      </c>
      <c r="C54" s="21" t="s">
        <v>12</v>
      </c>
      <c r="D54" s="21" t="s">
        <v>24</v>
      </c>
      <c r="E54" s="21" t="s">
        <v>17</v>
      </c>
      <c r="F54" s="21" t="s">
        <v>25</v>
      </c>
      <c r="G54" s="24">
        <v>46</v>
      </c>
      <c r="H54" s="24"/>
      <c r="J54" s="21" t="s">
        <v>628</v>
      </c>
      <c r="K54" s="24">
        <v>11932.8</v>
      </c>
    </row>
    <row r="55" spans="1:11" x14ac:dyDescent="0.25">
      <c r="A55" s="76">
        <v>46152</v>
      </c>
      <c r="B55" s="21" t="s">
        <v>30</v>
      </c>
      <c r="C55" s="21" t="s">
        <v>20</v>
      </c>
      <c r="D55" s="21" t="s">
        <v>13</v>
      </c>
      <c r="E55" s="21"/>
      <c r="F55" s="21"/>
      <c r="G55" s="24">
        <v>11713</v>
      </c>
      <c r="H55" s="24"/>
      <c r="J55" s="21" t="s">
        <v>628</v>
      </c>
      <c r="K55" s="24">
        <v>23645.8</v>
      </c>
    </row>
    <row r="56" spans="1:11" x14ac:dyDescent="0.25">
      <c r="A56" s="76">
        <v>46152</v>
      </c>
      <c r="B56" s="21" t="s">
        <v>44</v>
      </c>
      <c r="C56" s="21" t="s">
        <v>20</v>
      </c>
      <c r="D56" s="21" t="s">
        <v>22</v>
      </c>
      <c r="E56" s="21" t="s">
        <v>17</v>
      </c>
      <c r="F56" s="21"/>
      <c r="G56" s="24">
        <v>301</v>
      </c>
      <c r="H56" s="24"/>
      <c r="J56" s="21" t="s">
        <v>628</v>
      </c>
      <c r="K56" s="24">
        <v>23946.799999999999</v>
      </c>
    </row>
    <row r="57" spans="1:11" x14ac:dyDescent="0.25">
      <c r="A57" s="76">
        <v>46152</v>
      </c>
      <c r="B57" s="21" t="s">
        <v>45</v>
      </c>
      <c r="C57" s="21" t="s">
        <v>12</v>
      </c>
      <c r="D57" s="21" t="s">
        <v>24</v>
      </c>
      <c r="E57" s="21" t="s">
        <v>17</v>
      </c>
      <c r="F57" s="21" t="s">
        <v>25</v>
      </c>
      <c r="G57" s="24">
        <v>45</v>
      </c>
      <c r="H57" s="24"/>
      <c r="J57" s="21" t="s">
        <v>628</v>
      </c>
      <c r="K57" s="24">
        <v>23901.8</v>
      </c>
    </row>
    <row r="58" spans="1:11" x14ac:dyDescent="0.25">
      <c r="A58" s="76">
        <v>46152</v>
      </c>
      <c r="B58" s="21" t="s">
        <v>393</v>
      </c>
      <c r="C58" s="21" t="s">
        <v>12</v>
      </c>
      <c r="D58" s="21" t="s">
        <v>19</v>
      </c>
      <c r="E58" s="21" t="s">
        <v>14</v>
      </c>
      <c r="F58" s="21" t="s">
        <v>15</v>
      </c>
      <c r="G58" s="24">
        <v>188</v>
      </c>
      <c r="H58" s="24"/>
      <c r="J58" s="21" t="s">
        <v>628</v>
      </c>
      <c r="K58" s="24">
        <v>23713.8</v>
      </c>
    </row>
    <row r="59" spans="1:11" x14ac:dyDescent="0.25">
      <c r="A59" s="76">
        <v>46153</v>
      </c>
      <c r="B59" s="21" t="s">
        <v>30</v>
      </c>
      <c r="C59" s="21" t="s">
        <v>20</v>
      </c>
      <c r="D59" s="21" t="s">
        <v>13</v>
      </c>
      <c r="E59" s="21"/>
      <c r="F59" s="21"/>
      <c r="G59" s="24">
        <v>1024</v>
      </c>
      <c r="H59" s="24"/>
      <c r="J59" s="21" t="s">
        <v>628</v>
      </c>
      <c r="K59" s="24">
        <v>24737.8</v>
      </c>
    </row>
    <row r="60" spans="1:11" x14ac:dyDescent="0.25">
      <c r="A60" s="76">
        <v>46153</v>
      </c>
      <c r="B60" s="21" t="s">
        <v>44</v>
      </c>
      <c r="C60" s="21" t="s">
        <v>20</v>
      </c>
      <c r="D60" s="21" t="s">
        <v>22</v>
      </c>
      <c r="E60" s="21" t="s">
        <v>17</v>
      </c>
      <c r="F60" s="21"/>
      <c r="G60" s="24">
        <v>42</v>
      </c>
      <c r="H60" s="24"/>
      <c r="J60" s="21" t="s">
        <v>628</v>
      </c>
      <c r="K60" s="24">
        <v>24779.8</v>
      </c>
    </row>
    <row r="61" spans="1:11" x14ac:dyDescent="0.25">
      <c r="A61" s="76">
        <v>46153</v>
      </c>
      <c r="B61" s="21" t="s">
        <v>45</v>
      </c>
      <c r="C61" s="21" t="s">
        <v>12</v>
      </c>
      <c r="D61" s="21" t="s">
        <v>24</v>
      </c>
      <c r="E61" s="21" t="s">
        <v>17</v>
      </c>
      <c r="F61" s="21" t="s">
        <v>25</v>
      </c>
      <c r="G61" s="24">
        <v>17</v>
      </c>
      <c r="H61" s="24"/>
      <c r="J61" s="21" t="s">
        <v>628</v>
      </c>
      <c r="K61" s="24">
        <v>24762.799999999999</v>
      </c>
    </row>
    <row r="62" spans="1:11" x14ac:dyDescent="0.25">
      <c r="A62" s="76">
        <v>46153</v>
      </c>
      <c r="B62" s="21" t="s">
        <v>393</v>
      </c>
      <c r="C62" s="21" t="s">
        <v>12</v>
      </c>
      <c r="D62" s="21" t="s">
        <v>19</v>
      </c>
      <c r="E62" s="21" t="s">
        <v>14</v>
      </c>
      <c r="F62" s="21" t="s">
        <v>15</v>
      </c>
      <c r="G62" s="24">
        <v>0</v>
      </c>
      <c r="H62" s="24"/>
      <c r="J62" s="21" t="s">
        <v>628</v>
      </c>
      <c r="K62" s="24">
        <v>24762.799999999999</v>
      </c>
    </row>
    <row r="63" spans="1:11" x14ac:dyDescent="0.25">
      <c r="A63" s="76">
        <v>46153</v>
      </c>
      <c r="B63" s="21" t="s">
        <v>637</v>
      </c>
      <c r="C63" s="21" t="s">
        <v>12</v>
      </c>
      <c r="D63" s="21" t="s">
        <v>66</v>
      </c>
      <c r="E63" s="21" t="s">
        <v>17</v>
      </c>
      <c r="F63" s="21" t="s">
        <v>25</v>
      </c>
      <c r="G63" s="24">
        <v>7834.23</v>
      </c>
      <c r="H63" s="24"/>
      <c r="J63" s="21" t="s">
        <v>628</v>
      </c>
      <c r="K63" s="24">
        <v>16928.57</v>
      </c>
    </row>
    <row r="64" spans="1:11" x14ac:dyDescent="0.25">
      <c r="A64" s="76">
        <v>46153</v>
      </c>
      <c r="B64" s="21" t="s">
        <v>415</v>
      </c>
      <c r="C64" s="21" t="s">
        <v>12</v>
      </c>
      <c r="D64" s="21" t="s">
        <v>68</v>
      </c>
      <c r="E64" s="21" t="s">
        <v>17</v>
      </c>
      <c r="F64" s="21" t="s">
        <v>25</v>
      </c>
      <c r="G64" s="24">
        <v>450</v>
      </c>
      <c r="H64" s="24"/>
      <c r="J64" s="21" t="s">
        <v>628</v>
      </c>
      <c r="K64" s="24">
        <v>16478.57</v>
      </c>
    </row>
    <row r="65" spans="1:11" x14ac:dyDescent="0.25">
      <c r="A65" s="76">
        <v>46153</v>
      </c>
      <c r="B65" s="21" t="s">
        <v>638</v>
      </c>
      <c r="C65" s="21" t="s">
        <v>12</v>
      </c>
      <c r="D65" s="21" t="s">
        <v>27</v>
      </c>
      <c r="E65" s="21" t="s">
        <v>17</v>
      </c>
      <c r="F65" s="21"/>
      <c r="G65" s="24">
        <v>72</v>
      </c>
      <c r="H65" s="24"/>
      <c r="J65" s="21" t="s">
        <v>628</v>
      </c>
      <c r="K65" s="24">
        <v>16406.57</v>
      </c>
    </row>
    <row r="66" spans="1:11" x14ac:dyDescent="0.25">
      <c r="A66" s="76">
        <v>46153</v>
      </c>
      <c r="B66" s="21" t="s">
        <v>343</v>
      </c>
      <c r="C66" s="21" t="s">
        <v>12</v>
      </c>
      <c r="D66" s="21" t="s">
        <v>19</v>
      </c>
      <c r="E66" s="21" t="s">
        <v>17</v>
      </c>
      <c r="F66" s="21"/>
      <c r="G66" s="24">
        <v>1022.53</v>
      </c>
      <c r="H66" s="24"/>
      <c r="J66" s="21" t="s">
        <v>628</v>
      </c>
      <c r="K66" s="24">
        <v>15384.04</v>
      </c>
    </row>
    <row r="67" spans="1:11" x14ac:dyDescent="0.25">
      <c r="A67" s="76">
        <v>46153</v>
      </c>
      <c r="B67" s="21" t="s">
        <v>533</v>
      </c>
      <c r="C67" s="21" t="s">
        <v>12</v>
      </c>
      <c r="D67" s="21" t="s">
        <v>19</v>
      </c>
      <c r="E67" s="21" t="s">
        <v>17</v>
      </c>
      <c r="F67" s="21"/>
      <c r="G67" s="24">
        <v>1734.28</v>
      </c>
      <c r="H67" s="24"/>
      <c r="J67" s="21" t="s">
        <v>628</v>
      </c>
      <c r="K67" s="24">
        <v>13649.76</v>
      </c>
    </row>
    <row r="68" spans="1:11" x14ac:dyDescent="0.25">
      <c r="A68" s="76">
        <v>46153</v>
      </c>
      <c r="B68" s="21" t="s">
        <v>639</v>
      </c>
      <c r="C68" s="21" t="s">
        <v>12</v>
      </c>
      <c r="D68" s="21" t="s">
        <v>19</v>
      </c>
      <c r="E68" s="21" t="s">
        <v>17</v>
      </c>
      <c r="F68" s="21"/>
      <c r="G68" s="24">
        <v>211.23</v>
      </c>
      <c r="H68" s="24"/>
      <c r="J68" s="21" t="s">
        <v>628</v>
      </c>
      <c r="K68" s="24">
        <v>13438.53</v>
      </c>
    </row>
    <row r="69" spans="1:11" x14ac:dyDescent="0.25">
      <c r="A69" s="76">
        <v>46153</v>
      </c>
      <c r="B69" s="21" t="s">
        <v>639</v>
      </c>
      <c r="C69" s="21" t="s">
        <v>12</v>
      </c>
      <c r="D69" s="21" t="s">
        <v>19</v>
      </c>
      <c r="E69" s="21" t="s">
        <v>17</v>
      </c>
      <c r="F69" s="21"/>
      <c r="G69" s="24">
        <v>66.73</v>
      </c>
      <c r="H69" s="24"/>
      <c r="J69" s="21" t="s">
        <v>628</v>
      </c>
      <c r="K69" s="24">
        <v>13371.8</v>
      </c>
    </row>
    <row r="70" spans="1:11" x14ac:dyDescent="0.25">
      <c r="A70" s="76">
        <v>46153</v>
      </c>
      <c r="B70" s="21" t="s">
        <v>640</v>
      </c>
      <c r="C70" s="21" t="s">
        <v>12</v>
      </c>
      <c r="D70" s="21" t="s">
        <v>65</v>
      </c>
      <c r="E70" s="21" t="s">
        <v>17</v>
      </c>
      <c r="F70" s="21" t="s">
        <v>25</v>
      </c>
      <c r="G70" s="24">
        <v>467.25</v>
      </c>
      <c r="H70" s="24"/>
      <c r="J70" s="21" t="s">
        <v>628</v>
      </c>
      <c r="K70" s="24">
        <v>12904.55</v>
      </c>
    </row>
    <row r="71" spans="1:11" x14ac:dyDescent="0.25">
      <c r="A71" s="76">
        <v>46154</v>
      </c>
      <c r="B71" s="21" t="s">
        <v>13</v>
      </c>
      <c r="C71" s="21" t="s">
        <v>20</v>
      </c>
      <c r="D71" s="21" t="s">
        <v>13</v>
      </c>
      <c r="E71" s="21"/>
      <c r="F71" s="21"/>
      <c r="G71" s="24">
        <v>1036</v>
      </c>
      <c r="H71" s="24"/>
      <c r="J71" s="21" t="s">
        <v>628</v>
      </c>
      <c r="K71" s="24">
        <v>13940.55</v>
      </c>
    </row>
    <row r="72" spans="1:11" x14ac:dyDescent="0.25">
      <c r="A72" s="76">
        <v>46154</v>
      </c>
      <c r="B72" s="21" t="s">
        <v>21</v>
      </c>
      <c r="C72" s="21" t="s">
        <v>20</v>
      </c>
      <c r="D72" s="21" t="s">
        <v>22</v>
      </c>
      <c r="E72" s="21" t="s">
        <v>17</v>
      </c>
      <c r="F72" s="21"/>
      <c r="G72" s="24">
        <v>40</v>
      </c>
      <c r="H72" s="24"/>
      <c r="J72" s="21" t="s">
        <v>628</v>
      </c>
      <c r="K72" s="24">
        <v>13980.55</v>
      </c>
    </row>
    <row r="73" spans="1:11" x14ac:dyDescent="0.25">
      <c r="A73" s="76">
        <v>46154</v>
      </c>
      <c r="B73" s="21" t="s">
        <v>23</v>
      </c>
      <c r="C73" s="21" t="s">
        <v>12</v>
      </c>
      <c r="D73" s="21" t="s">
        <v>24</v>
      </c>
      <c r="E73" s="21" t="s">
        <v>17</v>
      </c>
      <c r="F73" s="21" t="s">
        <v>25</v>
      </c>
      <c r="G73" s="24">
        <v>9</v>
      </c>
      <c r="H73" s="24"/>
      <c r="J73" s="21" t="s">
        <v>628</v>
      </c>
      <c r="K73" s="24">
        <v>13971.55</v>
      </c>
    </row>
    <row r="74" spans="1:11" x14ac:dyDescent="0.25">
      <c r="A74" s="76">
        <v>46154</v>
      </c>
      <c r="B74" s="21" t="s">
        <v>11</v>
      </c>
      <c r="C74" s="21" t="s">
        <v>12</v>
      </c>
      <c r="D74" s="21" t="s">
        <v>19</v>
      </c>
      <c r="E74" s="21" t="s">
        <v>14</v>
      </c>
      <c r="F74" s="21" t="s">
        <v>15</v>
      </c>
      <c r="G74" s="24">
        <v>141</v>
      </c>
      <c r="H74" s="24"/>
      <c r="J74" s="21" t="s">
        <v>628</v>
      </c>
      <c r="K74" s="24">
        <v>13830.55</v>
      </c>
    </row>
    <row r="75" spans="1:11" x14ac:dyDescent="0.25">
      <c r="A75" s="76">
        <v>46154</v>
      </c>
      <c r="B75" s="21" t="s">
        <v>346</v>
      </c>
      <c r="C75" s="21" t="s">
        <v>12</v>
      </c>
      <c r="D75" s="21" t="s">
        <v>19</v>
      </c>
      <c r="E75" s="21" t="s">
        <v>17</v>
      </c>
      <c r="F75" s="21"/>
      <c r="G75" s="24">
        <v>564.37</v>
      </c>
      <c r="H75" s="24"/>
      <c r="J75" s="21" t="s">
        <v>628</v>
      </c>
      <c r="K75" s="24">
        <v>13266.18</v>
      </c>
    </row>
    <row r="76" spans="1:11" x14ac:dyDescent="0.25">
      <c r="A76" s="76">
        <v>46154</v>
      </c>
      <c r="B76" s="21" t="s">
        <v>346</v>
      </c>
      <c r="C76" s="21" t="s">
        <v>12</v>
      </c>
      <c r="D76" s="21" t="s">
        <v>19</v>
      </c>
      <c r="E76" s="21" t="s">
        <v>17</v>
      </c>
      <c r="F76" s="21"/>
      <c r="G76" s="24">
        <v>156.69999999999999</v>
      </c>
      <c r="H76" s="24"/>
      <c r="J76" s="21" t="s">
        <v>628</v>
      </c>
      <c r="K76" s="24">
        <v>13109.48</v>
      </c>
    </row>
    <row r="77" spans="1:11" x14ac:dyDescent="0.25">
      <c r="A77" s="76">
        <v>46154</v>
      </c>
      <c r="B77" s="21" t="s">
        <v>348</v>
      </c>
      <c r="C77" s="21" t="s">
        <v>12</v>
      </c>
      <c r="D77" s="21" t="s">
        <v>19</v>
      </c>
      <c r="E77" s="21" t="s">
        <v>17</v>
      </c>
      <c r="F77" s="21"/>
      <c r="G77" s="24">
        <v>1977.87</v>
      </c>
      <c r="H77" s="24"/>
      <c r="J77" s="21" t="s">
        <v>628</v>
      </c>
      <c r="K77" s="24">
        <v>11131.61</v>
      </c>
    </row>
    <row r="78" spans="1:11" x14ac:dyDescent="0.25">
      <c r="A78" s="76">
        <v>46154</v>
      </c>
      <c r="B78" s="21" t="s">
        <v>641</v>
      </c>
      <c r="C78" s="21" t="s">
        <v>12</v>
      </c>
      <c r="D78" s="21" t="s">
        <v>62</v>
      </c>
      <c r="E78" s="21" t="s">
        <v>17</v>
      </c>
      <c r="F78" s="21" t="s">
        <v>25</v>
      </c>
      <c r="G78" s="24">
        <v>15</v>
      </c>
      <c r="H78" s="24"/>
      <c r="J78" s="21" t="s">
        <v>628</v>
      </c>
      <c r="K78" s="24">
        <v>11116.61</v>
      </c>
    </row>
    <row r="79" spans="1:11" x14ac:dyDescent="0.25">
      <c r="A79" s="76">
        <v>46154</v>
      </c>
      <c r="B79" s="21" t="s">
        <v>642</v>
      </c>
      <c r="C79" s="21" t="s">
        <v>12</v>
      </c>
      <c r="D79" s="21" t="s">
        <v>60</v>
      </c>
      <c r="E79" s="21" t="s">
        <v>17</v>
      </c>
      <c r="F79" s="21" t="s">
        <v>25</v>
      </c>
      <c r="G79" s="24">
        <v>438.4</v>
      </c>
      <c r="H79" s="24"/>
      <c r="J79" s="21" t="s">
        <v>628</v>
      </c>
      <c r="K79" s="24">
        <v>10678.21</v>
      </c>
    </row>
    <row r="80" spans="1:11" x14ac:dyDescent="0.25">
      <c r="A80" s="76">
        <v>46155</v>
      </c>
      <c r="B80" s="21" t="s">
        <v>13</v>
      </c>
      <c r="C80" s="21" t="s">
        <v>20</v>
      </c>
      <c r="D80" s="21" t="s">
        <v>13</v>
      </c>
      <c r="E80" s="21"/>
      <c r="F80" s="21"/>
      <c r="G80" s="24">
        <v>1271</v>
      </c>
      <c r="H80" s="24"/>
      <c r="J80" s="21" t="s">
        <v>628</v>
      </c>
      <c r="K80" s="24">
        <v>11949.21</v>
      </c>
    </row>
    <row r="81" spans="1:11" x14ac:dyDescent="0.25">
      <c r="A81" s="76">
        <v>46155</v>
      </c>
      <c r="B81" s="21" t="s">
        <v>21</v>
      </c>
      <c r="C81" s="21" t="s">
        <v>20</v>
      </c>
      <c r="D81" s="21" t="s">
        <v>22</v>
      </c>
      <c r="E81" s="21" t="s">
        <v>17</v>
      </c>
      <c r="F81" s="21"/>
      <c r="G81" s="24">
        <v>0</v>
      </c>
      <c r="H81" s="24"/>
      <c r="J81" s="21" t="s">
        <v>628</v>
      </c>
      <c r="K81" s="24">
        <v>11949.21</v>
      </c>
    </row>
    <row r="82" spans="1:11" x14ac:dyDescent="0.25">
      <c r="A82" s="76">
        <v>46155</v>
      </c>
      <c r="B82" s="21" t="s">
        <v>23</v>
      </c>
      <c r="C82" s="21" t="s">
        <v>12</v>
      </c>
      <c r="D82" s="21" t="s">
        <v>24</v>
      </c>
      <c r="E82" s="21" t="s">
        <v>17</v>
      </c>
      <c r="F82" s="21" t="s">
        <v>25</v>
      </c>
      <c r="G82" s="24">
        <v>0</v>
      </c>
      <c r="H82" s="24"/>
      <c r="J82" s="21" t="s">
        <v>628</v>
      </c>
      <c r="K82" s="24">
        <v>11949.21</v>
      </c>
    </row>
    <row r="83" spans="1:11" x14ac:dyDescent="0.25">
      <c r="A83" s="76">
        <v>46155</v>
      </c>
      <c r="B83" s="21" t="s">
        <v>11</v>
      </c>
      <c r="C83" s="21" t="s">
        <v>12</v>
      </c>
      <c r="D83" s="21" t="s">
        <v>19</v>
      </c>
      <c r="E83" s="21" t="s">
        <v>14</v>
      </c>
      <c r="F83" s="21" t="s">
        <v>15</v>
      </c>
      <c r="G83" s="24">
        <v>188</v>
      </c>
      <c r="H83" s="24"/>
      <c r="J83" s="21" t="s">
        <v>628</v>
      </c>
      <c r="K83" s="24">
        <v>11761.21</v>
      </c>
    </row>
    <row r="84" spans="1:11" x14ac:dyDescent="0.25">
      <c r="A84" s="76">
        <v>46155</v>
      </c>
      <c r="B84" s="21" t="s">
        <v>197</v>
      </c>
      <c r="C84" s="21" t="s">
        <v>12</v>
      </c>
      <c r="D84" s="21" t="s">
        <v>62</v>
      </c>
      <c r="E84" s="21" t="s">
        <v>17</v>
      </c>
      <c r="F84" s="21" t="s">
        <v>25</v>
      </c>
      <c r="G84" s="24">
        <v>71.959999999999994</v>
      </c>
      <c r="H84" s="24"/>
      <c r="J84" s="21" t="s">
        <v>628</v>
      </c>
      <c r="K84" s="24">
        <v>11689.25</v>
      </c>
    </row>
    <row r="85" spans="1:11" x14ac:dyDescent="0.25">
      <c r="A85" s="76">
        <v>46156</v>
      </c>
      <c r="B85" s="21" t="s">
        <v>13</v>
      </c>
      <c r="C85" s="21" t="s">
        <v>20</v>
      </c>
      <c r="D85" s="21" t="s">
        <v>13</v>
      </c>
      <c r="E85" s="21"/>
      <c r="F85" s="21"/>
      <c r="G85" s="24">
        <v>1558</v>
      </c>
      <c r="H85" s="24"/>
      <c r="J85" s="21" t="s">
        <v>628</v>
      </c>
      <c r="K85" s="24">
        <v>13247.25</v>
      </c>
    </row>
    <row r="86" spans="1:11" x14ac:dyDescent="0.25">
      <c r="A86" s="76">
        <v>46156</v>
      </c>
      <c r="B86" s="21" t="s">
        <v>403</v>
      </c>
      <c r="C86" s="21" t="s">
        <v>20</v>
      </c>
      <c r="D86" s="21" t="s">
        <v>22</v>
      </c>
      <c r="E86" s="21" t="s">
        <v>17</v>
      </c>
      <c r="F86" s="21"/>
      <c r="G86" s="24">
        <v>0</v>
      </c>
      <c r="H86" s="24"/>
      <c r="J86" s="21" t="s">
        <v>628</v>
      </c>
      <c r="K86" s="24">
        <v>13247.25</v>
      </c>
    </row>
    <row r="87" spans="1:11" x14ac:dyDescent="0.25">
      <c r="A87" s="76">
        <v>46156</v>
      </c>
      <c r="B87" s="21" t="s">
        <v>23</v>
      </c>
      <c r="C87" s="21" t="s">
        <v>12</v>
      </c>
      <c r="D87" s="21" t="s">
        <v>24</v>
      </c>
      <c r="E87" s="21" t="s">
        <v>17</v>
      </c>
      <c r="F87" s="21" t="s">
        <v>25</v>
      </c>
      <c r="G87" s="24">
        <v>0</v>
      </c>
      <c r="H87" s="24"/>
      <c r="J87" s="21" t="s">
        <v>628</v>
      </c>
      <c r="K87" s="24">
        <v>13247.25</v>
      </c>
    </row>
    <row r="88" spans="1:11" x14ac:dyDescent="0.25">
      <c r="A88" s="76">
        <v>46156</v>
      </c>
      <c r="B88" s="21" t="s">
        <v>11</v>
      </c>
      <c r="C88" s="21" t="s">
        <v>12</v>
      </c>
      <c r="D88" s="21" t="s">
        <v>19</v>
      </c>
      <c r="E88" s="21" t="s">
        <v>14</v>
      </c>
      <c r="F88" s="21" t="s">
        <v>15</v>
      </c>
      <c r="G88" s="24">
        <v>235</v>
      </c>
      <c r="H88" s="24"/>
      <c r="J88" s="21" t="s">
        <v>628</v>
      </c>
      <c r="K88" s="24">
        <v>13012.25</v>
      </c>
    </row>
    <row r="89" spans="1:11" x14ac:dyDescent="0.25">
      <c r="A89" s="76">
        <v>46156</v>
      </c>
      <c r="B89" s="21" t="s">
        <v>347</v>
      </c>
      <c r="C89" s="21" t="s">
        <v>12</v>
      </c>
      <c r="D89" s="21" t="s">
        <v>19</v>
      </c>
      <c r="E89" s="21" t="s">
        <v>17</v>
      </c>
      <c r="F89" s="21"/>
      <c r="G89" s="24">
        <v>1132.95</v>
      </c>
      <c r="H89" s="24"/>
      <c r="J89" s="21" t="s">
        <v>628</v>
      </c>
      <c r="K89" s="24">
        <v>11879.3</v>
      </c>
    </row>
    <row r="90" spans="1:11" x14ac:dyDescent="0.25">
      <c r="A90" s="76">
        <v>46156</v>
      </c>
      <c r="B90" s="21" t="s">
        <v>643</v>
      </c>
      <c r="C90" s="21" t="s">
        <v>12</v>
      </c>
      <c r="D90" s="21" t="s">
        <v>19</v>
      </c>
      <c r="E90" s="21" t="s">
        <v>17</v>
      </c>
      <c r="F90" s="21"/>
      <c r="G90" s="24">
        <v>254.8</v>
      </c>
      <c r="H90" s="24"/>
      <c r="J90" s="21" t="s">
        <v>628</v>
      </c>
      <c r="K90" s="24">
        <v>11624.5</v>
      </c>
    </row>
    <row r="91" spans="1:11" x14ac:dyDescent="0.25">
      <c r="A91" s="76">
        <v>46156</v>
      </c>
      <c r="B91" s="21" t="s">
        <v>598</v>
      </c>
      <c r="C91" s="21" t="s">
        <v>12</v>
      </c>
      <c r="D91" s="21" t="s">
        <v>19</v>
      </c>
      <c r="E91" s="21" t="s">
        <v>17</v>
      </c>
      <c r="F91" s="21"/>
      <c r="G91" s="24">
        <v>697.1</v>
      </c>
      <c r="H91" s="24"/>
      <c r="J91" s="21" t="s">
        <v>628</v>
      </c>
      <c r="K91" s="24">
        <v>10927.4</v>
      </c>
    </row>
    <row r="92" spans="1:11" x14ac:dyDescent="0.25">
      <c r="A92" s="76">
        <v>46156</v>
      </c>
      <c r="B92" s="21" t="s">
        <v>361</v>
      </c>
      <c r="C92" s="21" t="s">
        <v>12</v>
      </c>
      <c r="D92" s="21" t="s">
        <v>39</v>
      </c>
      <c r="E92" s="21" t="s">
        <v>17</v>
      </c>
      <c r="F92" s="21" t="s">
        <v>25</v>
      </c>
      <c r="G92" s="24">
        <v>99.9</v>
      </c>
      <c r="H92" s="24"/>
      <c r="J92" s="21" t="s">
        <v>628</v>
      </c>
      <c r="K92" s="24">
        <v>10827.5</v>
      </c>
    </row>
    <row r="93" spans="1:11" x14ac:dyDescent="0.25">
      <c r="A93" s="76">
        <v>46156</v>
      </c>
      <c r="B93" s="21" t="s">
        <v>433</v>
      </c>
      <c r="C93" s="21" t="s">
        <v>12</v>
      </c>
      <c r="D93" s="21" t="s">
        <v>58</v>
      </c>
      <c r="E93" s="21" t="s">
        <v>17</v>
      </c>
      <c r="F93" s="21"/>
      <c r="G93" s="24">
        <v>1046.2</v>
      </c>
      <c r="H93" s="24"/>
      <c r="J93" s="21" t="s">
        <v>628</v>
      </c>
      <c r="K93" s="24">
        <v>9781.2999999999975</v>
      </c>
    </row>
    <row r="94" spans="1:11" x14ac:dyDescent="0.25">
      <c r="A94" s="76">
        <v>46156</v>
      </c>
      <c r="B94" s="21" t="s">
        <v>644</v>
      </c>
      <c r="C94" s="21" t="s">
        <v>12</v>
      </c>
      <c r="D94" s="21" t="s">
        <v>27</v>
      </c>
      <c r="E94" s="21" t="s">
        <v>17</v>
      </c>
      <c r="F94" s="21"/>
      <c r="G94" s="24">
        <v>216</v>
      </c>
      <c r="H94" s="24"/>
      <c r="J94" s="21" t="s">
        <v>628</v>
      </c>
      <c r="K94" s="24">
        <v>9565.2999999999975</v>
      </c>
    </row>
    <row r="95" spans="1:11" x14ac:dyDescent="0.25">
      <c r="A95" s="76">
        <v>46156</v>
      </c>
      <c r="B95" s="21" t="s">
        <v>422</v>
      </c>
      <c r="C95" s="21" t="s">
        <v>12</v>
      </c>
      <c r="D95" s="21" t="s">
        <v>64</v>
      </c>
      <c r="E95" s="21" t="s">
        <v>17</v>
      </c>
      <c r="F95" s="21"/>
      <c r="G95" s="24">
        <v>800</v>
      </c>
      <c r="H95" s="24"/>
      <c r="J95" s="21" t="s">
        <v>628</v>
      </c>
      <c r="K95" s="24">
        <v>8765.2999999999975</v>
      </c>
    </row>
    <row r="96" spans="1:11" x14ac:dyDescent="0.25">
      <c r="A96" s="76">
        <v>46157</v>
      </c>
      <c r="B96" s="21" t="s">
        <v>13</v>
      </c>
      <c r="C96" s="21" t="s">
        <v>20</v>
      </c>
      <c r="D96" s="21" t="s">
        <v>13</v>
      </c>
      <c r="E96" s="21"/>
      <c r="F96" s="21"/>
      <c r="G96" s="24">
        <v>3419</v>
      </c>
      <c r="H96" s="24"/>
      <c r="J96" s="21" t="s">
        <v>628</v>
      </c>
      <c r="K96" s="24">
        <v>12184.3</v>
      </c>
    </row>
    <row r="97" spans="1:11" x14ac:dyDescent="0.25">
      <c r="A97" s="76">
        <v>46157</v>
      </c>
      <c r="B97" s="21" t="s">
        <v>21</v>
      </c>
      <c r="C97" s="21" t="s">
        <v>20</v>
      </c>
      <c r="D97" s="21" t="s">
        <v>22</v>
      </c>
      <c r="E97" s="21" t="s">
        <v>17</v>
      </c>
      <c r="F97" s="21"/>
      <c r="G97" s="24">
        <v>42</v>
      </c>
      <c r="H97" s="24"/>
      <c r="J97" s="21" t="s">
        <v>628</v>
      </c>
      <c r="K97" s="24">
        <v>12226.3</v>
      </c>
    </row>
    <row r="98" spans="1:11" x14ac:dyDescent="0.25">
      <c r="A98" s="76">
        <v>46157</v>
      </c>
      <c r="B98" s="21" t="s">
        <v>45</v>
      </c>
      <c r="C98" s="21" t="s">
        <v>12</v>
      </c>
      <c r="D98" s="21" t="s">
        <v>24</v>
      </c>
      <c r="E98" s="21" t="s">
        <v>17</v>
      </c>
      <c r="F98" s="21" t="s">
        <v>25</v>
      </c>
      <c r="G98" s="24">
        <v>9</v>
      </c>
      <c r="H98" s="24"/>
      <c r="J98" s="21" t="s">
        <v>628</v>
      </c>
      <c r="K98" s="24">
        <v>12217.3</v>
      </c>
    </row>
    <row r="99" spans="1:11" x14ac:dyDescent="0.25">
      <c r="A99" s="76">
        <v>46157</v>
      </c>
      <c r="B99" s="21" t="s">
        <v>645</v>
      </c>
      <c r="C99" s="21" t="s">
        <v>12</v>
      </c>
      <c r="D99" s="21" t="s">
        <v>19</v>
      </c>
      <c r="E99" s="21" t="s">
        <v>17</v>
      </c>
      <c r="F99" s="21" t="s">
        <v>25</v>
      </c>
      <c r="G99" s="24">
        <v>166</v>
      </c>
      <c r="H99" s="24"/>
      <c r="J99" s="21" t="s">
        <v>628</v>
      </c>
      <c r="K99" s="24">
        <v>12051.3</v>
      </c>
    </row>
    <row r="100" spans="1:11" x14ac:dyDescent="0.25">
      <c r="A100" s="76">
        <v>46157</v>
      </c>
      <c r="B100" s="21" t="s">
        <v>11</v>
      </c>
      <c r="C100" s="21" t="s">
        <v>12</v>
      </c>
      <c r="D100" s="21" t="s">
        <v>19</v>
      </c>
      <c r="E100" s="21" t="s">
        <v>14</v>
      </c>
      <c r="F100" s="21" t="s">
        <v>15</v>
      </c>
      <c r="G100" s="24">
        <v>329</v>
      </c>
      <c r="H100" s="24"/>
      <c r="J100" s="21" t="s">
        <v>628</v>
      </c>
      <c r="K100" s="24">
        <v>11722.3</v>
      </c>
    </row>
    <row r="101" spans="1:11" x14ac:dyDescent="0.25">
      <c r="A101" s="76">
        <v>46158</v>
      </c>
      <c r="B101" s="21" t="s">
        <v>13</v>
      </c>
      <c r="C101" s="21" t="s">
        <v>20</v>
      </c>
      <c r="D101" s="21" t="s">
        <v>13</v>
      </c>
      <c r="E101" s="21"/>
      <c r="F101" s="21"/>
      <c r="G101" s="24">
        <v>9113</v>
      </c>
      <c r="H101" s="24"/>
      <c r="J101" s="21" t="s">
        <v>628</v>
      </c>
      <c r="K101" s="24">
        <v>20835.3</v>
      </c>
    </row>
    <row r="102" spans="1:11" x14ac:dyDescent="0.25">
      <c r="A102" s="76">
        <v>46158</v>
      </c>
      <c r="B102" s="21" t="s">
        <v>21</v>
      </c>
      <c r="C102" s="21" t="s">
        <v>20</v>
      </c>
      <c r="D102" s="21" t="s">
        <v>22</v>
      </c>
      <c r="E102" s="21" t="s">
        <v>17</v>
      </c>
      <c r="F102" s="21"/>
      <c r="G102" s="24">
        <v>369</v>
      </c>
      <c r="H102" s="24"/>
      <c r="J102" s="21" t="s">
        <v>628</v>
      </c>
      <c r="K102" s="24">
        <v>21204.3</v>
      </c>
    </row>
    <row r="103" spans="1:11" x14ac:dyDescent="0.25">
      <c r="A103" s="76">
        <v>46158</v>
      </c>
      <c r="B103" s="21" t="s">
        <v>23</v>
      </c>
      <c r="C103" s="21" t="s">
        <v>12</v>
      </c>
      <c r="D103" s="21" t="s">
        <v>24</v>
      </c>
      <c r="E103" s="21" t="s">
        <v>17</v>
      </c>
      <c r="F103" s="21" t="s">
        <v>25</v>
      </c>
      <c r="G103" s="24">
        <v>36</v>
      </c>
      <c r="H103" s="24"/>
      <c r="J103" s="21" t="s">
        <v>628</v>
      </c>
      <c r="K103" s="24">
        <v>21168.3</v>
      </c>
    </row>
    <row r="104" spans="1:11" x14ac:dyDescent="0.25">
      <c r="A104" s="76">
        <v>46158</v>
      </c>
      <c r="B104" s="21" t="s">
        <v>33</v>
      </c>
      <c r="C104" s="21" t="s">
        <v>12</v>
      </c>
      <c r="D104" s="21" t="s">
        <v>33</v>
      </c>
      <c r="E104" s="21" t="s">
        <v>14</v>
      </c>
      <c r="F104" s="21" t="s">
        <v>15</v>
      </c>
      <c r="G104" s="24">
        <v>150</v>
      </c>
      <c r="H104" s="24"/>
      <c r="J104" s="21" t="s">
        <v>628</v>
      </c>
      <c r="K104" s="24">
        <v>21018.3</v>
      </c>
    </row>
    <row r="105" spans="1:11" x14ac:dyDescent="0.25">
      <c r="A105" s="76">
        <v>46159</v>
      </c>
      <c r="B105" s="21" t="s">
        <v>13</v>
      </c>
      <c r="C105" s="21" t="s">
        <v>20</v>
      </c>
      <c r="D105" s="21" t="s">
        <v>13</v>
      </c>
      <c r="E105" s="21"/>
      <c r="F105" s="21"/>
      <c r="G105" s="24">
        <v>7326</v>
      </c>
      <c r="H105" s="24"/>
      <c r="J105" s="21" t="s">
        <v>628</v>
      </c>
      <c r="K105" s="24">
        <v>28344.3</v>
      </c>
    </row>
    <row r="106" spans="1:11" x14ac:dyDescent="0.25">
      <c r="A106" s="76">
        <v>46159</v>
      </c>
      <c r="B106" s="21" t="s">
        <v>21</v>
      </c>
      <c r="C106" s="21" t="s">
        <v>20</v>
      </c>
      <c r="D106" s="21" t="s">
        <v>22</v>
      </c>
      <c r="E106" s="21" t="s">
        <v>17</v>
      </c>
      <c r="F106" s="21"/>
      <c r="G106" s="24">
        <v>328</v>
      </c>
      <c r="H106" s="24"/>
      <c r="J106" s="21" t="s">
        <v>628</v>
      </c>
      <c r="K106" s="24">
        <v>28672.3</v>
      </c>
    </row>
    <row r="107" spans="1:11" x14ac:dyDescent="0.25">
      <c r="A107" s="76">
        <v>46159</v>
      </c>
      <c r="B107" s="21" t="s">
        <v>23</v>
      </c>
      <c r="C107" s="21" t="s">
        <v>12</v>
      </c>
      <c r="D107" s="21" t="s">
        <v>24</v>
      </c>
      <c r="E107" s="21" t="s">
        <v>17</v>
      </c>
      <c r="F107" s="21" t="s">
        <v>25</v>
      </c>
      <c r="G107" s="24">
        <v>35</v>
      </c>
      <c r="H107" s="24"/>
      <c r="J107" s="21" t="s">
        <v>628</v>
      </c>
      <c r="K107" s="24">
        <v>28637.3</v>
      </c>
    </row>
    <row r="108" spans="1:11" x14ac:dyDescent="0.25">
      <c r="A108" s="76">
        <v>46159</v>
      </c>
      <c r="B108" s="21" t="s">
        <v>33</v>
      </c>
      <c r="C108" s="21" t="s">
        <v>12</v>
      </c>
      <c r="D108" s="21" t="s">
        <v>33</v>
      </c>
      <c r="E108" s="21" t="s">
        <v>14</v>
      </c>
      <c r="F108" s="21" t="s">
        <v>15</v>
      </c>
      <c r="G108" s="24">
        <v>150</v>
      </c>
      <c r="H108" s="24"/>
      <c r="J108" s="21" t="s">
        <v>628</v>
      </c>
      <c r="K108" s="24">
        <v>28487.3</v>
      </c>
    </row>
    <row r="109" spans="1:11" x14ac:dyDescent="0.25">
      <c r="A109" s="76">
        <v>46160</v>
      </c>
      <c r="B109" s="21" t="s">
        <v>387</v>
      </c>
      <c r="C109" s="21" t="s">
        <v>12</v>
      </c>
      <c r="D109" s="21" t="s">
        <v>19</v>
      </c>
      <c r="E109" s="21" t="s">
        <v>17</v>
      </c>
      <c r="F109" s="21"/>
      <c r="G109" s="24">
        <v>1812.07</v>
      </c>
      <c r="H109" s="24"/>
      <c r="J109" s="21" t="s">
        <v>628</v>
      </c>
      <c r="K109" s="24">
        <v>26675.23</v>
      </c>
    </row>
    <row r="110" spans="1:11" x14ac:dyDescent="0.25">
      <c r="A110" s="76">
        <v>46160</v>
      </c>
      <c r="B110" s="21" t="s">
        <v>30</v>
      </c>
      <c r="C110" s="21" t="s">
        <v>20</v>
      </c>
      <c r="D110" s="21" t="s">
        <v>13</v>
      </c>
      <c r="E110" s="21"/>
      <c r="F110" s="21"/>
      <c r="G110" s="24">
        <v>1158</v>
      </c>
      <c r="H110" s="24"/>
      <c r="J110" s="21" t="s">
        <v>628</v>
      </c>
      <c r="K110" s="24">
        <v>27833.23</v>
      </c>
    </row>
    <row r="111" spans="1:11" x14ac:dyDescent="0.25">
      <c r="A111" s="76">
        <v>46160</v>
      </c>
      <c r="B111" s="21" t="s">
        <v>44</v>
      </c>
      <c r="C111" s="21" t="s">
        <v>20</v>
      </c>
      <c r="D111" s="21" t="s">
        <v>22</v>
      </c>
      <c r="E111" s="21" t="s">
        <v>17</v>
      </c>
      <c r="F111" s="21"/>
      <c r="G111" s="24">
        <v>84</v>
      </c>
      <c r="H111" s="24"/>
      <c r="J111" s="21" t="s">
        <v>628</v>
      </c>
      <c r="K111" s="24">
        <v>27917.23</v>
      </c>
    </row>
    <row r="112" spans="1:11" x14ac:dyDescent="0.25">
      <c r="A112" s="76">
        <v>46160</v>
      </c>
      <c r="B112" s="21" t="s">
        <v>45</v>
      </c>
      <c r="C112" s="21" t="s">
        <v>12</v>
      </c>
      <c r="D112" s="21" t="s">
        <v>24</v>
      </c>
      <c r="E112" s="21" t="s">
        <v>17</v>
      </c>
      <c r="F112" s="21" t="s">
        <v>25</v>
      </c>
      <c r="G112" s="24">
        <v>18</v>
      </c>
      <c r="H112" s="24"/>
      <c r="J112" s="21" t="s">
        <v>628</v>
      </c>
      <c r="K112" s="24">
        <v>27899.23</v>
      </c>
    </row>
    <row r="113" spans="1:11" x14ac:dyDescent="0.25">
      <c r="A113" s="76">
        <v>46160</v>
      </c>
      <c r="B113" s="21" t="s">
        <v>393</v>
      </c>
      <c r="C113" s="21" t="s">
        <v>12</v>
      </c>
      <c r="D113" s="21" t="s">
        <v>19</v>
      </c>
      <c r="E113" s="21" t="s">
        <v>14</v>
      </c>
      <c r="F113" s="21" t="s">
        <v>15</v>
      </c>
      <c r="G113" s="24">
        <v>0</v>
      </c>
      <c r="H113" s="24"/>
      <c r="J113" s="21" t="s">
        <v>628</v>
      </c>
      <c r="K113" s="24">
        <v>27899.23</v>
      </c>
    </row>
    <row r="114" spans="1:11" x14ac:dyDescent="0.25">
      <c r="A114" s="76">
        <v>46161</v>
      </c>
      <c r="B114" s="21" t="s">
        <v>13</v>
      </c>
      <c r="C114" s="21" t="s">
        <v>20</v>
      </c>
      <c r="D114" s="21" t="s">
        <v>13</v>
      </c>
      <c r="E114" s="21"/>
      <c r="F114" s="21"/>
      <c r="G114" s="24">
        <v>1215</v>
      </c>
      <c r="H114" s="24"/>
      <c r="J114" s="21" t="s">
        <v>628</v>
      </c>
      <c r="K114" s="24">
        <v>29114.23</v>
      </c>
    </row>
    <row r="115" spans="1:11" x14ac:dyDescent="0.25">
      <c r="A115" s="76">
        <v>46161</v>
      </c>
      <c r="B115" s="21" t="s">
        <v>21</v>
      </c>
      <c r="C115" s="21" t="s">
        <v>20</v>
      </c>
      <c r="D115" s="21" t="s">
        <v>22</v>
      </c>
      <c r="E115" s="21" t="s">
        <v>17</v>
      </c>
      <c r="F115" s="21"/>
      <c r="G115" s="24">
        <v>0</v>
      </c>
      <c r="H115" s="24"/>
      <c r="J115" s="21" t="s">
        <v>628</v>
      </c>
      <c r="K115" s="24">
        <v>29114.23</v>
      </c>
    </row>
    <row r="116" spans="1:11" x14ac:dyDescent="0.25">
      <c r="A116" s="76">
        <v>46161</v>
      </c>
      <c r="B116" s="21" t="s">
        <v>23</v>
      </c>
      <c r="C116" s="21" t="s">
        <v>12</v>
      </c>
      <c r="D116" s="21" t="s">
        <v>24</v>
      </c>
      <c r="E116" s="21" t="s">
        <v>17</v>
      </c>
      <c r="F116" s="21" t="s">
        <v>25</v>
      </c>
      <c r="G116" s="24">
        <v>0</v>
      </c>
      <c r="H116" s="24"/>
      <c r="J116" s="21" t="s">
        <v>628</v>
      </c>
      <c r="K116" s="24">
        <v>29114.23</v>
      </c>
    </row>
    <row r="117" spans="1:11" x14ac:dyDescent="0.25">
      <c r="A117" s="76">
        <v>46161</v>
      </c>
      <c r="B117" s="21" t="s">
        <v>11</v>
      </c>
      <c r="C117" s="21" t="s">
        <v>12</v>
      </c>
      <c r="D117" s="21" t="s">
        <v>19</v>
      </c>
      <c r="E117" s="21" t="s">
        <v>14</v>
      </c>
      <c r="F117" s="21" t="s">
        <v>15</v>
      </c>
      <c r="G117" s="24">
        <v>235</v>
      </c>
      <c r="H117" s="24"/>
      <c r="J117" s="21" t="s">
        <v>628</v>
      </c>
      <c r="K117" s="24">
        <v>28879.23</v>
      </c>
    </row>
    <row r="118" spans="1:11" x14ac:dyDescent="0.25">
      <c r="A118" s="76">
        <v>46161</v>
      </c>
      <c r="B118" s="21" t="s">
        <v>564</v>
      </c>
      <c r="C118" s="21" t="s">
        <v>12</v>
      </c>
      <c r="D118" s="21" t="s">
        <v>27</v>
      </c>
      <c r="E118" s="21" t="s">
        <v>17</v>
      </c>
      <c r="F118" s="21" t="s">
        <v>25</v>
      </c>
      <c r="G118" s="24">
        <v>1910.16</v>
      </c>
      <c r="H118" s="24"/>
      <c r="J118" s="21" t="s">
        <v>628</v>
      </c>
      <c r="K118" s="24">
        <v>26969.07</v>
      </c>
    </row>
    <row r="119" spans="1:11" x14ac:dyDescent="0.25">
      <c r="A119" s="76">
        <v>46161</v>
      </c>
      <c r="B119" s="21" t="s">
        <v>507</v>
      </c>
      <c r="C119" s="21" t="s">
        <v>12</v>
      </c>
      <c r="D119" s="21" t="s">
        <v>19</v>
      </c>
      <c r="E119" s="21" t="s">
        <v>17</v>
      </c>
      <c r="F119" s="21" t="s">
        <v>25</v>
      </c>
      <c r="G119" s="24">
        <v>203.5</v>
      </c>
      <c r="H119" s="24"/>
      <c r="J119" s="21" t="s">
        <v>628</v>
      </c>
      <c r="K119" s="24">
        <v>26765.57</v>
      </c>
    </row>
    <row r="120" spans="1:11" x14ac:dyDescent="0.25">
      <c r="A120" s="76">
        <v>46162</v>
      </c>
      <c r="B120" s="21" t="s">
        <v>646</v>
      </c>
      <c r="C120" s="21" t="s">
        <v>12</v>
      </c>
      <c r="D120" s="21" t="s">
        <v>19</v>
      </c>
      <c r="E120" s="21" t="s">
        <v>17</v>
      </c>
      <c r="F120" s="21"/>
      <c r="G120" s="24">
        <v>115.8</v>
      </c>
      <c r="H120" s="24"/>
      <c r="J120" s="21" t="s">
        <v>628</v>
      </c>
      <c r="K120" s="24">
        <v>26649.77</v>
      </c>
    </row>
    <row r="121" spans="1:11" x14ac:dyDescent="0.25">
      <c r="A121" s="76">
        <v>46162</v>
      </c>
      <c r="B121" s="21" t="s">
        <v>350</v>
      </c>
      <c r="C121" s="21" t="s">
        <v>12</v>
      </c>
      <c r="D121" s="21" t="s">
        <v>58</v>
      </c>
      <c r="E121" s="21" t="s">
        <v>17</v>
      </c>
      <c r="F121" s="21"/>
      <c r="G121" s="24">
        <v>1107.18</v>
      </c>
      <c r="H121" s="24"/>
      <c r="J121" s="21" t="s">
        <v>628</v>
      </c>
      <c r="K121" s="24">
        <v>25542.59</v>
      </c>
    </row>
    <row r="122" spans="1:11" x14ac:dyDescent="0.25">
      <c r="A122" s="76">
        <v>46162</v>
      </c>
      <c r="B122" s="21" t="s">
        <v>647</v>
      </c>
      <c r="C122" s="21" t="s">
        <v>12</v>
      </c>
      <c r="D122" s="21" t="s">
        <v>58</v>
      </c>
      <c r="E122" s="21" t="s">
        <v>17</v>
      </c>
      <c r="F122" s="21"/>
      <c r="G122" s="24">
        <v>7736.21</v>
      </c>
      <c r="H122" s="24"/>
      <c r="J122" s="21" t="s">
        <v>628</v>
      </c>
      <c r="K122" s="24">
        <v>17806.38</v>
      </c>
    </row>
    <row r="123" spans="1:11" x14ac:dyDescent="0.25">
      <c r="A123" s="76">
        <v>46162</v>
      </c>
      <c r="B123" s="21" t="s">
        <v>528</v>
      </c>
      <c r="C123" s="21" t="s">
        <v>12</v>
      </c>
      <c r="D123" s="21" t="s">
        <v>58</v>
      </c>
      <c r="E123" s="21" t="s">
        <v>17</v>
      </c>
      <c r="F123" s="21"/>
      <c r="G123" s="24">
        <v>1111.3599999999999</v>
      </c>
      <c r="H123" s="24"/>
      <c r="J123" s="21" t="s">
        <v>628</v>
      </c>
      <c r="K123" s="24">
        <v>16695.02</v>
      </c>
    </row>
    <row r="124" spans="1:11" x14ac:dyDescent="0.25">
      <c r="A124" s="76">
        <v>46162</v>
      </c>
      <c r="B124" s="21" t="s">
        <v>618</v>
      </c>
      <c r="C124" s="21" t="s">
        <v>20</v>
      </c>
      <c r="D124" s="21" t="s">
        <v>13</v>
      </c>
      <c r="E124" s="21"/>
      <c r="F124" s="21"/>
      <c r="G124" s="24">
        <v>892</v>
      </c>
      <c r="H124" s="24"/>
      <c r="J124" s="21" t="s">
        <v>628</v>
      </c>
      <c r="K124" s="24">
        <v>17587.02</v>
      </c>
    </row>
    <row r="125" spans="1:11" x14ac:dyDescent="0.25">
      <c r="A125" s="76">
        <v>46162</v>
      </c>
      <c r="B125" s="21" t="s">
        <v>21</v>
      </c>
      <c r="C125" s="21" t="s">
        <v>20</v>
      </c>
      <c r="D125" s="21" t="s">
        <v>22</v>
      </c>
      <c r="E125" s="21" t="s">
        <v>17</v>
      </c>
      <c r="F125" s="21"/>
      <c r="G125" s="24">
        <v>0</v>
      </c>
      <c r="H125" s="24"/>
      <c r="J125" s="21" t="s">
        <v>628</v>
      </c>
      <c r="K125" s="24">
        <v>17587.02</v>
      </c>
    </row>
    <row r="126" spans="1:11" x14ac:dyDescent="0.25">
      <c r="A126" s="76">
        <v>46162</v>
      </c>
      <c r="B126" s="21" t="s">
        <v>23</v>
      </c>
      <c r="C126" s="21" t="s">
        <v>12</v>
      </c>
      <c r="D126" s="21" t="s">
        <v>24</v>
      </c>
      <c r="E126" s="21" t="s">
        <v>17</v>
      </c>
      <c r="F126" s="21" t="s">
        <v>25</v>
      </c>
      <c r="G126" s="24">
        <v>0</v>
      </c>
      <c r="H126" s="24"/>
      <c r="J126" s="21" t="s">
        <v>628</v>
      </c>
      <c r="K126" s="24">
        <v>17587.02</v>
      </c>
    </row>
    <row r="127" spans="1:11" x14ac:dyDescent="0.25">
      <c r="A127" s="76">
        <v>46162</v>
      </c>
      <c r="B127" s="21" t="s">
        <v>11</v>
      </c>
      <c r="C127" s="21" t="s">
        <v>12</v>
      </c>
      <c r="D127" s="21" t="s">
        <v>19</v>
      </c>
      <c r="E127" s="21" t="s">
        <v>14</v>
      </c>
      <c r="F127" s="21" t="s">
        <v>15</v>
      </c>
      <c r="G127" s="24"/>
      <c r="H127" s="24"/>
      <c r="J127" s="21" t="s">
        <v>628</v>
      </c>
      <c r="K127" s="24">
        <v>17587.02</v>
      </c>
    </row>
    <row r="128" spans="1:11" x14ac:dyDescent="0.25">
      <c r="A128" s="76">
        <v>46162</v>
      </c>
      <c r="B128" s="21" t="s">
        <v>648</v>
      </c>
      <c r="C128" s="21" t="s">
        <v>12</v>
      </c>
      <c r="D128" s="21" t="s">
        <v>68</v>
      </c>
      <c r="E128" s="21" t="s">
        <v>17</v>
      </c>
      <c r="F128" s="21"/>
      <c r="G128" s="24">
        <v>112.68</v>
      </c>
      <c r="H128" s="24"/>
      <c r="J128" s="21" t="s">
        <v>628</v>
      </c>
      <c r="K128" s="24">
        <v>17474.34</v>
      </c>
    </row>
    <row r="129" spans="1:11" x14ac:dyDescent="0.25">
      <c r="A129" s="76">
        <v>46163</v>
      </c>
      <c r="B129" s="21" t="s">
        <v>649</v>
      </c>
      <c r="C129" s="21" t="s">
        <v>12</v>
      </c>
      <c r="D129" s="21" t="s">
        <v>19</v>
      </c>
      <c r="E129" s="21" t="s">
        <v>17</v>
      </c>
      <c r="F129" s="21"/>
      <c r="G129" s="24">
        <v>697.1</v>
      </c>
      <c r="H129" s="24"/>
      <c r="J129" s="21" t="s">
        <v>628</v>
      </c>
      <c r="K129" s="24">
        <v>16777.240000000002</v>
      </c>
    </row>
    <row r="130" spans="1:11" x14ac:dyDescent="0.25">
      <c r="A130" s="76">
        <v>46163</v>
      </c>
      <c r="B130" s="21" t="s">
        <v>551</v>
      </c>
      <c r="C130" s="21" t="s">
        <v>12</v>
      </c>
      <c r="D130" s="21" t="s">
        <v>62</v>
      </c>
      <c r="E130" s="21" t="s">
        <v>17</v>
      </c>
      <c r="F130" s="21" t="s">
        <v>25</v>
      </c>
      <c r="G130" s="24">
        <v>85</v>
      </c>
      <c r="H130" s="24"/>
      <c r="J130" s="21" t="s">
        <v>628</v>
      </c>
      <c r="K130" s="24">
        <v>16692.240000000002</v>
      </c>
    </row>
    <row r="131" spans="1:11" x14ac:dyDescent="0.25">
      <c r="A131" s="76">
        <v>46163</v>
      </c>
      <c r="B131" s="21" t="s">
        <v>30</v>
      </c>
      <c r="C131" s="21" t="s">
        <v>20</v>
      </c>
      <c r="D131" s="21" t="s">
        <v>13</v>
      </c>
      <c r="E131" s="21"/>
      <c r="F131" s="21"/>
      <c r="G131" s="24">
        <v>1539</v>
      </c>
      <c r="H131" s="24"/>
      <c r="J131" s="21" t="s">
        <v>628</v>
      </c>
      <c r="K131" s="24">
        <v>18231.240000000002</v>
      </c>
    </row>
    <row r="132" spans="1:11" x14ac:dyDescent="0.25">
      <c r="A132" s="76">
        <v>46163</v>
      </c>
      <c r="B132" s="21" t="s">
        <v>44</v>
      </c>
      <c r="C132" s="21" t="s">
        <v>20</v>
      </c>
      <c r="D132" s="21" t="s">
        <v>22</v>
      </c>
      <c r="E132" s="21" t="s">
        <v>17</v>
      </c>
      <c r="F132" s="21"/>
      <c r="G132" s="24">
        <v>27</v>
      </c>
      <c r="H132" s="24"/>
      <c r="J132" s="21" t="s">
        <v>628</v>
      </c>
      <c r="K132" s="24">
        <v>18258.240000000002</v>
      </c>
    </row>
    <row r="133" spans="1:11" x14ac:dyDescent="0.25">
      <c r="A133" s="76">
        <v>46163</v>
      </c>
      <c r="B133" s="21" t="s">
        <v>45</v>
      </c>
      <c r="C133" s="21" t="s">
        <v>12</v>
      </c>
      <c r="D133" s="21" t="s">
        <v>24</v>
      </c>
      <c r="E133" s="21" t="s">
        <v>17</v>
      </c>
      <c r="F133" s="21" t="s">
        <v>25</v>
      </c>
      <c r="G133" s="24"/>
      <c r="H133" s="24"/>
      <c r="J133" s="21" t="s">
        <v>628</v>
      </c>
      <c r="K133" s="24">
        <v>18258.240000000002</v>
      </c>
    </row>
    <row r="134" spans="1:11" x14ac:dyDescent="0.25">
      <c r="A134" s="76">
        <v>46163</v>
      </c>
      <c r="B134" s="21" t="s">
        <v>393</v>
      </c>
      <c r="C134" s="21" t="s">
        <v>12</v>
      </c>
      <c r="D134" s="21" t="s">
        <v>19</v>
      </c>
      <c r="E134" s="21" t="s">
        <v>14</v>
      </c>
      <c r="F134" s="21" t="s">
        <v>15</v>
      </c>
      <c r="G134" s="24">
        <v>235</v>
      </c>
      <c r="H134" s="24"/>
      <c r="J134" s="21" t="s">
        <v>628</v>
      </c>
      <c r="K134" s="24">
        <v>18023.240000000002</v>
      </c>
    </row>
    <row r="135" spans="1:11" x14ac:dyDescent="0.25">
      <c r="A135" s="76">
        <v>46164</v>
      </c>
      <c r="B135" s="21" t="s">
        <v>13</v>
      </c>
      <c r="C135" s="21" t="s">
        <v>20</v>
      </c>
      <c r="D135" s="21" t="s">
        <v>13</v>
      </c>
      <c r="E135" s="21"/>
      <c r="F135" s="21"/>
      <c r="G135" s="24">
        <v>3079</v>
      </c>
      <c r="H135" s="24"/>
      <c r="J135" s="21" t="s">
        <v>628</v>
      </c>
      <c r="K135" s="24">
        <v>21102.240000000002</v>
      </c>
    </row>
    <row r="136" spans="1:11" x14ac:dyDescent="0.25">
      <c r="A136" s="76">
        <v>46164</v>
      </c>
      <c r="B136" s="21" t="s">
        <v>44</v>
      </c>
      <c r="C136" s="21" t="s">
        <v>20</v>
      </c>
      <c r="D136" s="21" t="s">
        <v>22</v>
      </c>
      <c r="E136" s="21" t="s">
        <v>17</v>
      </c>
      <c r="F136" s="21"/>
      <c r="G136" s="24">
        <v>441</v>
      </c>
      <c r="H136" s="24"/>
      <c r="J136" s="21" t="s">
        <v>628</v>
      </c>
      <c r="K136" s="24">
        <v>21543.24</v>
      </c>
    </row>
    <row r="137" spans="1:11" x14ac:dyDescent="0.25">
      <c r="A137" s="76">
        <v>46164</v>
      </c>
      <c r="B137" s="21" t="s">
        <v>45</v>
      </c>
      <c r="C137" s="21" t="s">
        <v>12</v>
      </c>
      <c r="D137" s="21" t="s">
        <v>24</v>
      </c>
      <c r="E137" s="21" t="s">
        <v>17</v>
      </c>
      <c r="F137" s="21" t="s">
        <v>25</v>
      </c>
      <c r="G137" s="24">
        <v>27</v>
      </c>
      <c r="H137" s="24"/>
      <c r="J137" s="21" t="s">
        <v>628</v>
      </c>
      <c r="K137" s="24">
        <v>21516.240000000002</v>
      </c>
    </row>
    <row r="138" spans="1:11" x14ac:dyDescent="0.25">
      <c r="A138" s="76">
        <v>46164</v>
      </c>
      <c r="B138" s="21" t="s">
        <v>393</v>
      </c>
      <c r="C138" s="21" t="s">
        <v>12</v>
      </c>
      <c r="D138" s="21" t="s">
        <v>19</v>
      </c>
      <c r="E138" s="21" t="s">
        <v>14</v>
      </c>
      <c r="F138" s="21" t="s">
        <v>15</v>
      </c>
      <c r="G138" s="24">
        <v>423</v>
      </c>
      <c r="H138" s="24"/>
      <c r="J138" s="21" t="s">
        <v>628</v>
      </c>
      <c r="K138" s="24">
        <v>21093.24</v>
      </c>
    </row>
    <row r="139" spans="1:11" x14ac:dyDescent="0.25">
      <c r="A139" s="76">
        <v>46163</v>
      </c>
      <c r="B139" s="21" t="s">
        <v>223</v>
      </c>
      <c r="C139" s="21" t="s">
        <v>12</v>
      </c>
      <c r="D139" s="21" t="s">
        <v>62</v>
      </c>
      <c r="E139" s="21" t="s">
        <v>17</v>
      </c>
      <c r="F139" s="21" t="s">
        <v>25</v>
      </c>
      <c r="G139" s="24">
        <v>45.4</v>
      </c>
      <c r="H139" s="24"/>
      <c r="J139" s="21" t="s">
        <v>628</v>
      </c>
      <c r="K139" s="24">
        <v>21047.84</v>
      </c>
    </row>
    <row r="140" spans="1:11" x14ac:dyDescent="0.25">
      <c r="A140" s="76">
        <v>46165</v>
      </c>
      <c r="B140" s="21" t="s">
        <v>13</v>
      </c>
      <c r="C140" s="21" t="s">
        <v>20</v>
      </c>
      <c r="D140" s="21" t="s">
        <v>13</v>
      </c>
      <c r="E140" s="21"/>
      <c r="F140" s="21"/>
      <c r="G140" s="24">
        <v>4430</v>
      </c>
      <c r="H140" s="24"/>
      <c r="J140" s="21" t="s">
        <v>628</v>
      </c>
      <c r="K140" s="24">
        <v>25477.84</v>
      </c>
    </row>
    <row r="141" spans="1:11" x14ac:dyDescent="0.25">
      <c r="A141" s="76">
        <v>46165</v>
      </c>
      <c r="B141" s="21" t="s">
        <v>21</v>
      </c>
      <c r="C141" s="21" t="s">
        <v>20</v>
      </c>
      <c r="D141" s="21" t="s">
        <v>22</v>
      </c>
      <c r="E141" s="21" t="s">
        <v>17</v>
      </c>
      <c r="F141" s="21"/>
      <c r="G141" s="24">
        <v>0</v>
      </c>
      <c r="H141" s="24"/>
      <c r="J141" s="21" t="s">
        <v>628</v>
      </c>
      <c r="K141" s="24">
        <v>25477.84</v>
      </c>
    </row>
    <row r="142" spans="1:11" x14ac:dyDescent="0.25">
      <c r="A142" s="76">
        <v>46165</v>
      </c>
      <c r="B142" s="21" t="s">
        <v>23</v>
      </c>
      <c r="C142" s="21" t="s">
        <v>20</v>
      </c>
      <c r="D142" s="21" t="s">
        <v>24</v>
      </c>
      <c r="E142" s="21" t="s">
        <v>17</v>
      </c>
      <c r="F142" s="21" t="s">
        <v>25</v>
      </c>
      <c r="G142" s="24">
        <v>0</v>
      </c>
      <c r="H142" s="24"/>
      <c r="J142" s="21" t="s">
        <v>628</v>
      </c>
      <c r="K142" s="24">
        <v>25477.84</v>
      </c>
    </row>
    <row r="143" spans="1:11" x14ac:dyDescent="0.25">
      <c r="A143" s="76">
        <v>46166</v>
      </c>
      <c r="B143" s="21" t="s">
        <v>13</v>
      </c>
      <c r="C143" s="21" t="s">
        <v>20</v>
      </c>
      <c r="D143" s="21"/>
      <c r="E143" s="21"/>
      <c r="F143" s="21"/>
      <c r="G143" s="24">
        <v>6435</v>
      </c>
      <c r="H143" s="24"/>
      <c r="J143" s="21" t="s">
        <v>628</v>
      </c>
      <c r="K143" s="24">
        <v>31912.84</v>
      </c>
    </row>
    <row r="144" spans="1:11" x14ac:dyDescent="0.25">
      <c r="A144" s="76">
        <v>46166</v>
      </c>
      <c r="B144" s="21" t="s">
        <v>21</v>
      </c>
      <c r="C144" s="21" t="s">
        <v>20</v>
      </c>
      <c r="D144" s="21" t="s">
        <v>22</v>
      </c>
      <c r="E144" s="21"/>
      <c r="F144" s="21"/>
      <c r="G144" s="24">
        <v>230</v>
      </c>
      <c r="H144" s="24"/>
      <c r="J144" s="21" t="s">
        <v>628</v>
      </c>
      <c r="K144" s="24">
        <v>32142.84</v>
      </c>
    </row>
    <row r="145" spans="1:11" x14ac:dyDescent="0.25">
      <c r="A145" s="76">
        <v>46166</v>
      </c>
      <c r="B145" s="21" t="s">
        <v>23</v>
      </c>
      <c r="C145" s="21" t="s">
        <v>12</v>
      </c>
      <c r="D145" s="21" t="s">
        <v>24</v>
      </c>
      <c r="E145" s="21" t="s">
        <v>17</v>
      </c>
      <c r="F145" s="21" t="s">
        <v>25</v>
      </c>
      <c r="G145" s="24">
        <v>27</v>
      </c>
      <c r="H145" s="24"/>
      <c r="J145" s="21" t="s">
        <v>628</v>
      </c>
      <c r="K145" s="24">
        <v>32115.84</v>
      </c>
    </row>
    <row r="146" spans="1:11" x14ac:dyDescent="0.25">
      <c r="A146" s="76">
        <v>46166</v>
      </c>
      <c r="B146" s="21" t="s">
        <v>33</v>
      </c>
      <c r="C146" s="21" t="s">
        <v>12</v>
      </c>
      <c r="D146" s="21" t="s">
        <v>33</v>
      </c>
      <c r="E146" s="21" t="s">
        <v>14</v>
      </c>
      <c r="F146" s="21" t="s">
        <v>15</v>
      </c>
      <c r="G146" s="24">
        <v>150</v>
      </c>
      <c r="H146" s="24"/>
      <c r="J146" s="21" t="s">
        <v>628</v>
      </c>
      <c r="K146" s="24">
        <v>31965.84</v>
      </c>
    </row>
    <row r="147" spans="1:11" x14ac:dyDescent="0.25">
      <c r="A147" s="76">
        <v>46167</v>
      </c>
      <c r="B147" s="21" t="s">
        <v>13</v>
      </c>
      <c r="C147" s="21" t="s">
        <v>20</v>
      </c>
      <c r="D147" s="21" t="s">
        <v>13</v>
      </c>
      <c r="E147" s="21"/>
      <c r="F147" s="21"/>
      <c r="G147" s="24">
        <v>1004</v>
      </c>
      <c r="H147" s="24"/>
      <c r="J147" s="21" t="s">
        <v>628</v>
      </c>
      <c r="K147" s="24">
        <v>32969.839999999997</v>
      </c>
    </row>
    <row r="148" spans="1:11" x14ac:dyDescent="0.25">
      <c r="A148" s="76">
        <v>46167</v>
      </c>
      <c r="B148" s="21" t="s">
        <v>21</v>
      </c>
      <c r="C148" s="21" t="s">
        <v>20</v>
      </c>
      <c r="D148" s="21" t="s">
        <v>22</v>
      </c>
      <c r="E148" s="21" t="s">
        <v>17</v>
      </c>
      <c r="F148" s="21"/>
      <c r="G148" s="24">
        <v>40</v>
      </c>
      <c r="H148" s="24"/>
      <c r="J148" s="21" t="s">
        <v>628</v>
      </c>
      <c r="K148" s="24">
        <v>33009.839999999997</v>
      </c>
    </row>
    <row r="149" spans="1:11" x14ac:dyDescent="0.25">
      <c r="A149" s="76">
        <v>46167</v>
      </c>
      <c r="B149" s="21" t="s">
        <v>23</v>
      </c>
      <c r="C149" s="21" t="s">
        <v>12</v>
      </c>
      <c r="D149" s="21" t="s">
        <v>24</v>
      </c>
      <c r="E149" s="21" t="s">
        <v>17</v>
      </c>
      <c r="F149" s="21" t="s">
        <v>25</v>
      </c>
      <c r="G149" s="24">
        <v>9</v>
      </c>
      <c r="H149" s="24"/>
      <c r="J149" s="21" t="s">
        <v>628</v>
      </c>
      <c r="K149" s="24">
        <v>33000.839999999997</v>
      </c>
    </row>
    <row r="150" spans="1:11" x14ac:dyDescent="0.25">
      <c r="A150" s="76">
        <v>46167</v>
      </c>
      <c r="B150" s="21" t="s">
        <v>346</v>
      </c>
      <c r="C150" s="21" t="s">
        <v>12</v>
      </c>
      <c r="D150" s="21" t="s">
        <v>19</v>
      </c>
      <c r="E150" s="21" t="s">
        <v>17</v>
      </c>
      <c r="F150" s="21"/>
      <c r="G150" s="24">
        <v>1812.08</v>
      </c>
      <c r="H150" s="24"/>
      <c r="J150" s="21" t="s">
        <v>628</v>
      </c>
      <c r="K150" s="24">
        <v>31188.759999999991</v>
      </c>
    </row>
    <row r="151" spans="1:11" x14ac:dyDescent="0.25">
      <c r="A151" s="76">
        <v>46167</v>
      </c>
      <c r="B151" s="21" t="s">
        <v>533</v>
      </c>
      <c r="C151" s="21" t="s">
        <v>12</v>
      </c>
      <c r="D151" s="21" t="s">
        <v>19</v>
      </c>
      <c r="E151" s="21" t="s">
        <v>17</v>
      </c>
      <c r="F151" s="21"/>
      <c r="G151" s="24">
        <v>1734.8</v>
      </c>
      <c r="H151" s="24"/>
      <c r="J151" s="21" t="s">
        <v>628</v>
      </c>
      <c r="K151" s="24">
        <v>29453.96</v>
      </c>
    </row>
    <row r="152" spans="1:11" x14ac:dyDescent="0.25">
      <c r="A152" s="76">
        <v>46167</v>
      </c>
      <c r="B152" s="21" t="s">
        <v>533</v>
      </c>
      <c r="C152" s="21" t="s">
        <v>12</v>
      </c>
      <c r="D152" s="21" t="s">
        <v>19</v>
      </c>
      <c r="E152" s="21" t="s">
        <v>17</v>
      </c>
      <c r="F152" s="21"/>
      <c r="G152" s="24">
        <v>1486.49</v>
      </c>
      <c r="H152" s="24"/>
      <c r="J152" s="21" t="s">
        <v>628</v>
      </c>
      <c r="K152" s="24">
        <v>27967.46999999999</v>
      </c>
    </row>
    <row r="153" spans="1:11" x14ac:dyDescent="0.25">
      <c r="A153" s="76">
        <v>46167</v>
      </c>
      <c r="B153" s="21" t="s">
        <v>383</v>
      </c>
      <c r="C153" s="21" t="s">
        <v>12</v>
      </c>
      <c r="D153" s="21" t="s">
        <v>19</v>
      </c>
      <c r="E153" s="21" t="s">
        <v>17</v>
      </c>
      <c r="F153" s="21"/>
      <c r="G153" s="24">
        <v>134.99</v>
      </c>
      <c r="H153" s="24"/>
      <c r="J153" s="21" t="s">
        <v>628</v>
      </c>
      <c r="K153" s="24">
        <v>27832.479999999989</v>
      </c>
    </row>
    <row r="154" spans="1:11" x14ac:dyDescent="0.25">
      <c r="A154" s="76">
        <v>46167</v>
      </c>
      <c r="B154" s="21" t="s">
        <v>383</v>
      </c>
      <c r="C154" s="21" t="s">
        <v>12</v>
      </c>
      <c r="D154" s="21" t="s">
        <v>19</v>
      </c>
      <c r="E154" s="21" t="s">
        <v>17</v>
      </c>
      <c r="F154" s="21"/>
      <c r="G154" s="24">
        <v>222.34</v>
      </c>
      <c r="H154" s="24"/>
      <c r="J154" s="21" t="s">
        <v>628</v>
      </c>
      <c r="K154" s="24">
        <v>27610.139999999989</v>
      </c>
    </row>
    <row r="155" spans="1:11" x14ac:dyDescent="0.25">
      <c r="A155" s="76">
        <v>46167</v>
      </c>
      <c r="B155" s="21" t="s">
        <v>512</v>
      </c>
      <c r="C155" s="21" t="s">
        <v>12</v>
      </c>
      <c r="D155" s="21" t="s">
        <v>325</v>
      </c>
      <c r="E155" s="21" t="s">
        <v>17</v>
      </c>
      <c r="F155" s="21"/>
      <c r="G155" s="24"/>
      <c r="H155" s="24"/>
      <c r="J155" s="21" t="s">
        <v>628</v>
      </c>
      <c r="K155" s="24">
        <v>27610.139999999989</v>
      </c>
    </row>
    <row r="156" spans="1:11" x14ac:dyDescent="0.25">
      <c r="A156" s="76">
        <v>46167</v>
      </c>
      <c r="B156" s="21" t="s">
        <v>303</v>
      </c>
      <c r="C156" s="21" t="s">
        <v>12</v>
      </c>
      <c r="D156" s="21" t="s">
        <v>68</v>
      </c>
      <c r="E156" s="21" t="s">
        <v>17</v>
      </c>
      <c r="F156" s="21"/>
      <c r="G156" s="24"/>
      <c r="H156" s="24"/>
      <c r="J156" s="21" t="s">
        <v>628</v>
      </c>
      <c r="K156" s="24">
        <v>27610.139999999989</v>
      </c>
    </row>
    <row r="157" spans="1:11" x14ac:dyDescent="0.25">
      <c r="A157" s="76">
        <v>46167</v>
      </c>
      <c r="B157" s="21" t="s">
        <v>364</v>
      </c>
      <c r="C157" s="21" t="s">
        <v>12</v>
      </c>
      <c r="D157" s="21" t="s">
        <v>19</v>
      </c>
      <c r="E157" s="21" t="s">
        <v>17</v>
      </c>
      <c r="F157" s="21" t="s">
        <v>25</v>
      </c>
      <c r="G157" s="24">
        <v>680.63</v>
      </c>
      <c r="H157" s="24"/>
      <c r="J157" s="21" t="s">
        <v>628</v>
      </c>
      <c r="K157" s="24">
        <v>26929.509999999991</v>
      </c>
    </row>
    <row r="158" spans="1:11" x14ac:dyDescent="0.25">
      <c r="A158" s="76">
        <v>46168</v>
      </c>
      <c r="B158" s="21" t="s">
        <v>387</v>
      </c>
      <c r="C158" s="21" t="s">
        <v>12</v>
      </c>
      <c r="D158" s="21" t="s">
        <v>19</v>
      </c>
      <c r="E158" s="21" t="s">
        <v>17</v>
      </c>
      <c r="F158" s="21"/>
      <c r="G158" s="24">
        <v>477.68</v>
      </c>
      <c r="H158" s="24"/>
      <c r="J158" s="21" t="s">
        <v>628</v>
      </c>
      <c r="K158" s="24">
        <v>26451.829999999991</v>
      </c>
    </row>
    <row r="159" spans="1:11" x14ac:dyDescent="0.25">
      <c r="A159" s="76">
        <v>46168</v>
      </c>
      <c r="B159" s="21" t="s">
        <v>348</v>
      </c>
      <c r="C159" s="21" t="s">
        <v>12</v>
      </c>
      <c r="D159" s="21" t="s">
        <v>19</v>
      </c>
      <c r="E159" s="21" t="s">
        <v>17</v>
      </c>
      <c r="F159" s="21"/>
      <c r="G159" s="24">
        <v>182.54</v>
      </c>
      <c r="H159" s="24"/>
      <c r="J159" s="21" t="s">
        <v>628</v>
      </c>
      <c r="K159" s="24">
        <v>26269.28999999999</v>
      </c>
    </row>
    <row r="160" spans="1:11" x14ac:dyDescent="0.25">
      <c r="A160" s="76">
        <v>46168</v>
      </c>
      <c r="B160" s="21" t="s">
        <v>30</v>
      </c>
      <c r="C160" s="21" t="s">
        <v>20</v>
      </c>
      <c r="D160" s="21" t="s">
        <v>13</v>
      </c>
      <c r="E160" s="21"/>
      <c r="F160" s="21"/>
      <c r="G160" s="24">
        <v>1434</v>
      </c>
      <c r="H160" s="24"/>
      <c r="J160" s="21" t="s">
        <v>628</v>
      </c>
      <c r="K160" s="24">
        <v>27703.28999999999</v>
      </c>
    </row>
    <row r="161" spans="1:11" x14ac:dyDescent="0.25">
      <c r="A161" s="76">
        <v>46168</v>
      </c>
      <c r="B161" s="21" t="s">
        <v>44</v>
      </c>
      <c r="C161" s="21" t="s">
        <v>20</v>
      </c>
      <c r="D161" s="21" t="s">
        <v>22</v>
      </c>
      <c r="E161" s="21" t="s">
        <v>17</v>
      </c>
      <c r="F161" s="21"/>
      <c r="G161" s="24">
        <v>0</v>
      </c>
      <c r="H161" s="24"/>
      <c r="J161" s="21" t="s">
        <v>628</v>
      </c>
      <c r="K161" s="24">
        <v>27703.28999999999</v>
      </c>
    </row>
    <row r="162" spans="1:11" x14ac:dyDescent="0.25">
      <c r="A162" s="76">
        <v>46168</v>
      </c>
      <c r="B162" s="21" t="s">
        <v>45</v>
      </c>
      <c r="C162" s="21" t="s">
        <v>12</v>
      </c>
      <c r="D162" s="21" t="s">
        <v>24</v>
      </c>
      <c r="E162" s="21" t="s">
        <v>17</v>
      </c>
      <c r="F162" s="21" t="s">
        <v>25</v>
      </c>
      <c r="G162" s="24">
        <v>0</v>
      </c>
      <c r="H162" s="24"/>
      <c r="J162" s="21" t="s">
        <v>628</v>
      </c>
      <c r="K162" s="24">
        <v>27703.28999999999</v>
      </c>
    </row>
    <row r="163" spans="1:11" x14ac:dyDescent="0.25">
      <c r="A163" s="76">
        <v>46168</v>
      </c>
      <c r="B163" s="21" t="s">
        <v>191</v>
      </c>
      <c r="C163" s="21" t="s">
        <v>12</v>
      </c>
      <c r="D163" s="21" t="s">
        <v>19</v>
      </c>
      <c r="E163" s="21" t="s">
        <v>17</v>
      </c>
      <c r="F163" s="21" t="s">
        <v>25</v>
      </c>
      <c r="G163" s="24">
        <v>184.41</v>
      </c>
      <c r="H163" s="24"/>
      <c r="J163" s="21" t="s">
        <v>628</v>
      </c>
      <c r="K163" s="24">
        <v>27518.87999999999</v>
      </c>
    </row>
    <row r="164" spans="1:11" x14ac:dyDescent="0.25">
      <c r="A164" s="76">
        <v>46169</v>
      </c>
      <c r="B164" s="21" t="s">
        <v>344</v>
      </c>
      <c r="C164" s="21" t="s">
        <v>12</v>
      </c>
      <c r="D164" s="21" t="s">
        <v>19</v>
      </c>
      <c r="E164" s="21" t="s">
        <v>17</v>
      </c>
      <c r="F164" s="21"/>
      <c r="G164" s="24">
        <v>1400</v>
      </c>
      <c r="H164" s="24"/>
      <c r="J164" s="21" t="s">
        <v>628</v>
      </c>
      <c r="K164" s="24">
        <v>26118.87999999999</v>
      </c>
    </row>
    <row r="165" spans="1:11" x14ac:dyDescent="0.25">
      <c r="A165" s="76">
        <v>46169</v>
      </c>
      <c r="B165" s="21" t="s">
        <v>30</v>
      </c>
      <c r="C165" s="21" t="s">
        <v>20</v>
      </c>
      <c r="D165" s="21" t="s">
        <v>13</v>
      </c>
      <c r="E165" s="21"/>
      <c r="F165" s="21"/>
      <c r="G165" s="24">
        <v>1170</v>
      </c>
      <c r="H165" s="24"/>
      <c r="J165" s="21" t="s">
        <v>628</v>
      </c>
      <c r="K165" s="24">
        <v>27288.87999999999</v>
      </c>
    </row>
    <row r="166" spans="1:11" x14ac:dyDescent="0.25">
      <c r="A166" s="76">
        <v>46169</v>
      </c>
      <c r="B166" s="21" t="s">
        <v>44</v>
      </c>
      <c r="C166" s="21" t="s">
        <v>20</v>
      </c>
      <c r="D166" s="21" t="s">
        <v>22</v>
      </c>
      <c r="E166" s="21" t="s">
        <v>17</v>
      </c>
      <c r="F166" s="21"/>
      <c r="G166" s="24">
        <v>84</v>
      </c>
      <c r="H166" s="24"/>
      <c r="J166" s="21" t="s">
        <v>628</v>
      </c>
      <c r="K166" s="24">
        <v>27372.87999999999</v>
      </c>
    </row>
    <row r="167" spans="1:11" x14ac:dyDescent="0.25">
      <c r="A167" s="76">
        <v>46169</v>
      </c>
      <c r="B167" s="21" t="s">
        <v>45</v>
      </c>
      <c r="C167" s="21" t="s">
        <v>12</v>
      </c>
      <c r="D167" s="21" t="s">
        <v>24</v>
      </c>
      <c r="E167" s="21" t="s">
        <v>17</v>
      </c>
      <c r="F167" s="21" t="s">
        <v>25</v>
      </c>
      <c r="G167" s="24">
        <v>18</v>
      </c>
      <c r="H167" s="24"/>
      <c r="J167" s="21" t="s">
        <v>628</v>
      </c>
      <c r="K167" s="24">
        <v>27354.87999999999</v>
      </c>
    </row>
    <row r="168" spans="1:11" x14ac:dyDescent="0.25">
      <c r="A168" s="76">
        <v>46169</v>
      </c>
      <c r="B168" s="21" t="s">
        <v>650</v>
      </c>
      <c r="C168" s="21" t="s">
        <v>12</v>
      </c>
      <c r="D168" s="21" t="s">
        <v>62</v>
      </c>
      <c r="E168" s="21" t="s">
        <v>17</v>
      </c>
      <c r="F168" s="21" t="s">
        <v>25</v>
      </c>
      <c r="G168" s="24">
        <v>20</v>
      </c>
      <c r="H168" s="24"/>
      <c r="J168" s="21" t="s">
        <v>628</v>
      </c>
      <c r="K168" s="24">
        <v>27334.87999999999</v>
      </c>
    </row>
    <row r="169" spans="1:11" x14ac:dyDescent="0.25">
      <c r="A169" s="76">
        <v>46170</v>
      </c>
      <c r="B169" s="21" t="s">
        <v>651</v>
      </c>
      <c r="C169" s="21" t="s">
        <v>12</v>
      </c>
      <c r="D169" s="21" t="s">
        <v>19</v>
      </c>
      <c r="E169" s="21" t="s">
        <v>17</v>
      </c>
      <c r="F169" s="21"/>
      <c r="G169" s="24">
        <v>697.1</v>
      </c>
      <c r="H169" s="24"/>
      <c r="I169" s="21">
        <v>195.59</v>
      </c>
      <c r="J169" s="21" t="s">
        <v>628</v>
      </c>
      <c r="K169" s="24">
        <v>26637.779999999992</v>
      </c>
    </row>
    <row r="170" spans="1:11" x14ac:dyDescent="0.25">
      <c r="A170" s="76">
        <v>46170</v>
      </c>
      <c r="B170" s="21" t="s">
        <v>30</v>
      </c>
      <c r="C170" s="21" t="s">
        <v>20</v>
      </c>
      <c r="D170" s="21" t="s">
        <v>13</v>
      </c>
      <c r="E170" s="21"/>
      <c r="F170" s="21"/>
      <c r="G170" s="24">
        <v>1519</v>
      </c>
      <c r="H170" s="24"/>
      <c r="J170" s="21" t="s">
        <v>628</v>
      </c>
      <c r="K170" s="24">
        <v>28156.779999999992</v>
      </c>
    </row>
    <row r="171" spans="1:11" x14ac:dyDescent="0.25">
      <c r="A171" s="76">
        <v>46170</v>
      </c>
      <c r="B171" s="21" t="s">
        <v>44</v>
      </c>
      <c r="C171" s="21" t="s">
        <v>20</v>
      </c>
      <c r="D171" s="21" t="s">
        <v>22</v>
      </c>
      <c r="E171" s="21" t="s">
        <v>17</v>
      </c>
      <c r="F171" s="21"/>
      <c r="G171" s="24">
        <v>0</v>
      </c>
      <c r="H171" s="24"/>
      <c r="J171" s="21" t="s">
        <v>628</v>
      </c>
      <c r="K171" s="24">
        <v>28156.779999999992</v>
      </c>
    </row>
    <row r="172" spans="1:11" x14ac:dyDescent="0.25">
      <c r="A172" s="76">
        <v>46170</v>
      </c>
      <c r="B172" s="21" t="s">
        <v>45</v>
      </c>
      <c r="C172" s="21" t="s">
        <v>12</v>
      </c>
      <c r="D172" s="21" t="s">
        <v>24</v>
      </c>
      <c r="E172" s="21" t="s">
        <v>17</v>
      </c>
      <c r="F172" s="21" t="s">
        <v>25</v>
      </c>
      <c r="G172" s="24">
        <v>0</v>
      </c>
      <c r="H172" s="24"/>
      <c r="J172" s="21" t="s">
        <v>628</v>
      </c>
      <c r="K172" s="24">
        <v>28156.779999999992</v>
      </c>
    </row>
    <row r="173" spans="1:11" x14ac:dyDescent="0.25">
      <c r="A173" s="76">
        <v>46170</v>
      </c>
      <c r="B173" s="21" t="s">
        <v>652</v>
      </c>
      <c r="C173" s="21" t="s">
        <v>12</v>
      </c>
      <c r="D173" s="21" t="s">
        <v>67</v>
      </c>
      <c r="E173" s="21" t="s">
        <v>17</v>
      </c>
      <c r="F173" s="21" t="s">
        <v>25</v>
      </c>
      <c r="G173" s="24">
        <v>28</v>
      </c>
      <c r="H173" s="24"/>
      <c r="J173" s="21" t="s">
        <v>628</v>
      </c>
      <c r="K173" s="24">
        <v>28128.779999999992</v>
      </c>
    </row>
    <row r="174" spans="1:11" x14ac:dyDescent="0.25">
      <c r="A174" s="76">
        <v>46170</v>
      </c>
      <c r="B174" s="21" t="s">
        <v>342</v>
      </c>
      <c r="C174" s="21" t="s">
        <v>12</v>
      </c>
      <c r="D174" s="21" t="s">
        <v>19</v>
      </c>
      <c r="E174" s="21" t="s">
        <v>14</v>
      </c>
      <c r="F174" s="21"/>
      <c r="G174" s="24">
        <v>141</v>
      </c>
      <c r="H174" s="24"/>
      <c r="J174" s="21" t="s">
        <v>628</v>
      </c>
      <c r="K174" s="24">
        <v>27987.779999999992</v>
      </c>
    </row>
    <row r="175" spans="1:11" x14ac:dyDescent="0.25">
      <c r="A175" s="76">
        <v>46171</v>
      </c>
      <c r="B175" s="21" t="s">
        <v>13</v>
      </c>
      <c r="C175" s="21" t="s">
        <v>20</v>
      </c>
      <c r="D175" s="21" t="s">
        <v>13</v>
      </c>
      <c r="E175" s="21"/>
      <c r="F175" s="21"/>
      <c r="G175" s="24">
        <v>2133</v>
      </c>
      <c r="H175" s="24"/>
      <c r="J175" s="21" t="s">
        <v>628</v>
      </c>
      <c r="K175" s="24">
        <v>30120.779999999992</v>
      </c>
    </row>
    <row r="176" spans="1:11" x14ac:dyDescent="0.25">
      <c r="A176" s="76">
        <v>46171</v>
      </c>
      <c r="B176" s="21" t="s">
        <v>21</v>
      </c>
      <c r="C176" s="21" t="s">
        <v>20</v>
      </c>
      <c r="D176" s="21" t="s">
        <v>22</v>
      </c>
      <c r="E176" s="21" t="s">
        <v>17</v>
      </c>
      <c r="F176" s="21"/>
      <c r="G176" s="24">
        <v>171</v>
      </c>
      <c r="H176" s="24"/>
      <c r="J176" s="21" t="s">
        <v>628</v>
      </c>
      <c r="K176" s="24">
        <v>30291.779999999992</v>
      </c>
    </row>
    <row r="177" spans="1:11" x14ac:dyDescent="0.25">
      <c r="A177" s="76">
        <v>46171</v>
      </c>
      <c r="B177" s="21" t="s">
        <v>23</v>
      </c>
      <c r="C177" s="21" t="s">
        <v>12</v>
      </c>
      <c r="D177" s="21" t="s">
        <v>24</v>
      </c>
      <c r="E177" s="21" t="s">
        <v>17</v>
      </c>
      <c r="F177" s="21" t="s">
        <v>25</v>
      </c>
      <c r="G177" s="24">
        <v>26</v>
      </c>
      <c r="H177" s="24"/>
      <c r="J177" s="21" t="s">
        <v>628</v>
      </c>
      <c r="K177" s="24">
        <v>30265.779999999992</v>
      </c>
    </row>
    <row r="178" spans="1:11" x14ac:dyDescent="0.25">
      <c r="A178" s="76">
        <v>46171</v>
      </c>
      <c r="B178" s="21" t="s">
        <v>11</v>
      </c>
      <c r="C178" s="21" t="s">
        <v>12</v>
      </c>
      <c r="D178" s="21" t="s">
        <v>19</v>
      </c>
      <c r="E178" s="21" t="s">
        <v>14</v>
      </c>
      <c r="F178" s="21" t="s">
        <v>15</v>
      </c>
      <c r="G178" s="24">
        <v>282</v>
      </c>
      <c r="H178" s="24"/>
      <c r="J178" s="21" t="s">
        <v>628</v>
      </c>
      <c r="K178" s="24">
        <v>29983.779999999992</v>
      </c>
    </row>
    <row r="179" spans="1:11" x14ac:dyDescent="0.25">
      <c r="A179" s="76">
        <v>46170</v>
      </c>
      <c r="B179" s="21" t="s">
        <v>540</v>
      </c>
      <c r="C179" s="21" t="s">
        <v>12</v>
      </c>
      <c r="D179" s="21" t="s">
        <v>27</v>
      </c>
      <c r="E179" s="21" t="s">
        <v>17</v>
      </c>
      <c r="F179" s="21" t="s">
        <v>25</v>
      </c>
      <c r="G179" s="24">
        <v>125.35</v>
      </c>
      <c r="H179" s="24"/>
      <c r="J179" s="21" t="s">
        <v>628</v>
      </c>
      <c r="K179" s="24">
        <v>29858.429999999989</v>
      </c>
    </row>
    <row r="180" spans="1:11" x14ac:dyDescent="0.25">
      <c r="A180" s="76">
        <v>46171</v>
      </c>
      <c r="B180" s="21" t="s">
        <v>314</v>
      </c>
      <c r="C180" s="21" t="s">
        <v>12</v>
      </c>
      <c r="D180" s="21" t="s">
        <v>27</v>
      </c>
      <c r="E180" s="21" t="s">
        <v>17</v>
      </c>
      <c r="F180" s="21"/>
      <c r="G180" s="24">
        <v>1400</v>
      </c>
      <c r="H180" s="24"/>
      <c r="J180" s="21" t="s">
        <v>628</v>
      </c>
      <c r="K180" s="24">
        <v>28458.429999999989</v>
      </c>
    </row>
    <row r="181" spans="1:11" x14ac:dyDescent="0.25">
      <c r="A181" s="76">
        <v>46172</v>
      </c>
      <c r="B181" s="21" t="s">
        <v>30</v>
      </c>
      <c r="C181" s="21" t="s">
        <v>20</v>
      </c>
      <c r="D181" s="21" t="s">
        <v>13</v>
      </c>
      <c r="E181" s="21"/>
      <c r="F181" s="21"/>
      <c r="G181" s="24">
        <v>5414</v>
      </c>
      <c r="H181" s="24"/>
      <c r="J181" s="21" t="s">
        <v>628</v>
      </c>
      <c r="K181" s="24">
        <v>33872.429999999993</v>
      </c>
    </row>
    <row r="182" spans="1:11" x14ac:dyDescent="0.25">
      <c r="A182" s="76">
        <v>46172</v>
      </c>
      <c r="B182" s="21" t="s">
        <v>21</v>
      </c>
      <c r="C182" s="21" t="s">
        <v>20</v>
      </c>
      <c r="D182" s="21" t="s">
        <v>22</v>
      </c>
      <c r="E182" s="21" t="s">
        <v>17</v>
      </c>
      <c r="F182" s="21"/>
      <c r="G182" s="24">
        <v>0</v>
      </c>
      <c r="H182" s="24"/>
      <c r="J182" s="21" t="s">
        <v>628</v>
      </c>
      <c r="K182" s="24">
        <v>33872.429999999993</v>
      </c>
    </row>
    <row r="183" spans="1:11" x14ac:dyDescent="0.25">
      <c r="A183" s="76">
        <v>46172</v>
      </c>
      <c r="B183" s="21" t="s">
        <v>23</v>
      </c>
      <c r="C183" s="21" t="s">
        <v>12</v>
      </c>
      <c r="D183" s="21" t="s">
        <v>24</v>
      </c>
      <c r="E183" s="21" t="s">
        <v>17</v>
      </c>
      <c r="F183" s="21" t="s">
        <v>25</v>
      </c>
      <c r="G183" s="24">
        <v>9</v>
      </c>
      <c r="H183" s="24"/>
      <c r="J183" s="21" t="s">
        <v>628</v>
      </c>
      <c r="K183" s="24">
        <v>33863.429999999993</v>
      </c>
    </row>
    <row r="184" spans="1:11" x14ac:dyDescent="0.25">
      <c r="A184" s="76">
        <v>46173</v>
      </c>
      <c r="B184" s="21" t="s">
        <v>13</v>
      </c>
      <c r="C184" s="21" t="s">
        <v>20</v>
      </c>
      <c r="D184" s="21" t="s">
        <v>13</v>
      </c>
      <c r="E184" s="21"/>
      <c r="F184" s="21"/>
      <c r="G184" s="24">
        <v>4552</v>
      </c>
      <c r="H184" s="24"/>
      <c r="J184" s="21" t="s">
        <v>628</v>
      </c>
      <c r="K184" s="24">
        <v>38415.429999999993</v>
      </c>
    </row>
    <row r="185" spans="1:11" x14ac:dyDescent="0.25">
      <c r="A185" s="76">
        <v>46173</v>
      </c>
      <c r="B185" s="21" t="s">
        <v>21</v>
      </c>
      <c r="C185" s="21" t="s">
        <v>20</v>
      </c>
      <c r="D185" s="21" t="s">
        <v>22</v>
      </c>
      <c r="E185" s="21" t="s">
        <v>17</v>
      </c>
      <c r="F185" s="21"/>
      <c r="G185" s="24">
        <v>230</v>
      </c>
      <c r="H185" s="24"/>
      <c r="J185" s="21" t="s">
        <v>628</v>
      </c>
      <c r="K185" s="24">
        <v>38645.429999999993</v>
      </c>
    </row>
    <row r="186" spans="1:11" x14ac:dyDescent="0.25">
      <c r="A186" s="76">
        <v>46173</v>
      </c>
      <c r="B186" s="21" t="s">
        <v>45</v>
      </c>
      <c r="C186" s="21" t="s">
        <v>12</v>
      </c>
      <c r="D186" s="21" t="s">
        <v>24</v>
      </c>
      <c r="E186" s="21" t="s">
        <v>17</v>
      </c>
      <c r="F186" s="21" t="s">
        <v>25</v>
      </c>
      <c r="G186" s="24">
        <v>36</v>
      </c>
      <c r="H186" s="24"/>
      <c r="J186" s="21" t="s">
        <v>628</v>
      </c>
      <c r="K186" s="24">
        <v>38609.429999999993</v>
      </c>
    </row>
    <row r="187" spans="1:11" x14ac:dyDescent="0.25">
      <c r="A187" s="76">
        <v>46173</v>
      </c>
      <c r="B187" s="21" t="s">
        <v>33</v>
      </c>
      <c r="C187" s="21" t="s">
        <v>12</v>
      </c>
      <c r="D187" s="21" t="s">
        <v>33</v>
      </c>
      <c r="E187" s="21" t="s">
        <v>14</v>
      </c>
      <c r="F187" s="21" t="s">
        <v>15</v>
      </c>
      <c r="G187" s="24">
        <v>150</v>
      </c>
      <c r="H187" s="24"/>
      <c r="J187" s="21" t="s">
        <v>628</v>
      </c>
      <c r="K187" s="24">
        <v>38459.429999999993</v>
      </c>
    </row>
  </sheetData>
  <autoFilter ref="A1:K187" xr:uid="{00000000-0001-0000-0C00-000000000000}"/>
  <phoneticPr fontId="15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K176"/>
  <sheetViews>
    <sheetView topLeftCell="A151" workbookViewId="0">
      <selection activeCell="J2" sqref="J2:J176"/>
    </sheetView>
  </sheetViews>
  <sheetFormatPr defaultColWidth="14.42578125" defaultRowHeight="15" customHeight="1" x14ac:dyDescent="0.25"/>
  <sheetData>
    <row r="1" spans="1:1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/>
      <c r="I1" s="2" t="s">
        <v>8</v>
      </c>
      <c r="J1" s="2" t="s">
        <v>9</v>
      </c>
      <c r="K1" s="2" t="s">
        <v>10</v>
      </c>
    </row>
    <row r="2" spans="1:11" x14ac:dyDescent="0.25">
      <c r="A2" s="3">
        <v>46174</v>
      </c>
      <c r="B2" s="4" t="s">
        <v>11</v>
      </c>
      <c r="C2" s="5" t="s">
        <v>12</v>
      </c>
      <c r="D2" s="6" t="s">
        <v>19</v>
      </c>
      <c r="E2" s="6" t="s">
        <v>14</v>
      </c>
      <c r="F2" s="6" t="s">
        <v>15</v>
      </c>
      <c r="G2" s="7">
        <v>235</v>
      </c>
      <c r="H2" s="7"/>
      <c r="I2" s="5"/>
      <c r="J2" s="21" t="s">
        <v>1229</v>
      </c>
      <c r="K2" s="7">
        <f>G2</f>
        <v>235</v>
      </c>
    </row>
    <row r="3" spans="1:11" x14ac:dyDescent="0.25">
      <c r="A3" s="3">
        <v>46174</v>
      </c>
      <c r="B3" s="4" t="s">
        <v>16</v>
      </c>
      <c r="C3" s="5" t="s">
        <v>12</v>
      </c>
      <c r="D3" s="6" t="s">
        <v>16</v>
      </c>
      <c r="E3" s="6" t="s">
        <v>17</v>
      </c>
      <c r="F3" s="6"/>
      <c r="G3" s="7">
        <v>13185</v>
      </c>
      <c r="H3" s="7"/>
      <c r="I3" s="5"/>
      <c r="J3" s="21" t="s">
        <v>1229</v>
      </c>
      <c r="K3" s="7">
        <f t="shared" ref="K3:K34" si="0">K2 + IF(C3="Entrada", G3, -G3)</f>
        <v>-12950</v>
      </c>
    </row>
    <row r="4" spans="1:11" x14ac:dyDescent="0.25">
      <c r="A4" s="3">
        <v>46174</v>
      </c>
      <c r="B4" s="4" t="s">
        <v>289</v>
      </c>
      <c r="C4" s="5" t="s">
        <v>12</v>
      </c>
      <c r="D4" s="6" t="s">
        <v>19</v>
      </c>
      <c r="E4" s="6" t="s">
        <v>17</v>
      </c>
      <c r="F4" s="6"/>
      <c r="G4" s="7">
        <v>4817.04</v>
      </c>
      <c r="H4" s="7"/>
      <c r="I4" s="5"/>
      <c r="J4" s="21" t="s">
        <v>1229</v>
      </c>
      <c r="K4" s="7">
        <f t="shared" si="0"/>
        <v>-17767.04</v>
      </c>
    </row>
    <row r="5" spans="1:11" x14ac:dyDescent="0.25">
      <c r="A5" s="3">
        <v>46174</v>
      </c>
      <c r="B5" s="4" t="s">
        <v>500</v>
      </c>
      <c r="C5" s="5" t="s">
        <v>12</v>
      </c>
      <c r="D5" s="6" t="s">
        <v>39</v>
      </c>
      <c r="E5" s="6" t="s">
        <v>17</v>
      </c>
      <c r="F5" s="6"/>
      <c r="G5" s="7">
        <v>370</v>
      </c>
      <c r="H5" s="7"/>
      <c r="I5" s="5"/>
      <c r="J5" s="21" t="s">
        <v>1229</v>
      </c>
      <c r="K5" s="7">
        <f t="shared" si="0"/>
        <v>-18137.04</v>
      </c>
    </row>
    <row r="6" spans="1:11" x14ac:dyDescent="0.25">
      <c r="A6" s="3">
        <v>46174</v>
      </c>
      <c r="B6" s="4" t="s">
        <v>303</v>
      </c>
      <c r="C6" s="5" t="s">
        <v>12</v>
      </c>
      <c r="D6" s="6" t="s">
        <v>68</v>
      </c>
      <c r="E6" s="6" t="s">
        <v>17</v>
      </c>
      <c r="F6" s="6" t="s">
        <v>25</v>
      </c>
      <c r="G6" s="7">
        <v>600</v>
      </c>
      <c r="H6" s="7"/>
      <c r="I6" s="5"/>
      <c r="J6" s="21" t="s">
        <v>1229</v>
      </c>
      <c r="K6" s="7">
        <f t="shared" si="0"/>
        <v>-18737.04</v>
      </c>
    </row>
    <row r="7" spans="1:11" x14ac:dyDescent="0.25">
      <c r="A7" s="3">
        <v>46174</v>
      </c>
      <c r="B7" s="4" t="s">
        <v>30</v>
      </c>
      <c r="C7" s="5" t="s">
        <v>20</v>
      </c>
      <c r="D7" s="6" t="s">
        <v>13</v>
      </c>
      <c r="E7" s="6"/>
      <c r="F7" s="6"/>
      <c r="G7" s="7">
        <v>454</v>
      </c>
      <c r="H7" s="7"/>
      <c r="I7" s="5"/>
      <c r="J7" s="21" t="s">
        <v>1229</v>
      </c>
      <c r="K7" s="7">
        <f t="shared" si="0"/>
        <v>-18283.04</v>
      </c>
    </row>
    <row r="8" spans="1:11" x14ac:dyDescent="0.25">
      <c r="A8" s="3">
        <v>46174</v>
      </c>
      <c r="B8" s="4" t="s">
        <v>44</v>
      </c>
      <c r="C8" s="5" t="s">
        <v>20</v>
      </c>
      <c r="D8" s="6" t="s">
        <v>22</v>
      </c>
      <c r="E8" s="6" t="s">
        <v>17</v>
      </c>
      <c r="F8" s="6"/>
      <c r="G8" s="7">
        <v>32</v>
      </c>
      <c r="H8" s="7"/>
      <c r="I8" s="5"/>
      <c r="J8" s="21" t="s">
        <v>1229</v>
      </c>
      <c r="K8" s="7">
        <f t="shared" si="0"/>
        <v>-18251.04</v>
      </c>
    </row>
    <row r="9" spans="1:11" x14ac:dyDescent="0.25">
      <c r="A9" s="3">
        <v>46174</v>
      </c>
      <c r="B9" s="4" t="s">
        <v>45</v>
      </c>
      <c r="C9" s="5" t="s">
        <v>12</v>
      </c>
      <c r="D9" s="6" t="s">
        <v>24</v>
      </c>
      <c r="E9" s="6" t="s">
        <v>17</v>
      </c>
      <c r="F9" s="6" t="s">
        <v>25</v>
      </c>
      <c r="G9" s="7">
        <v>13</v>
      </c>
      <c r="H9" s="7"/>
      <c r="I9" s="5"/>
      <c r="J9" s="21" t="s">
        <v>1229</v>
      </c>
      <c r="K9" s="7">
        <f t="shared" si="0"/>
        <v>-18264.04</v>
      </c>
    </row>
    <row r="10" spans="1:11" x14ac:dyDescent="0.25">
      <c r="A10" s="3">
        <v>46175</v>
      </c>
      <c r="B10" s="4" t="s">
        <v>13</v>
      </c>
      <c r="C10" s="5" t="s">
        <v>20</v>
      </c>
      <c r="D10" s="6" t="s">
        <v>13</v>
      </c>
      <c r="E10" s="6"/>
      <c r="F10" s="6"/>
      <c r="G10" s="7">
        <v>1001</v>
      </c>
      <c r="H10" s="7"/>
      <c r="I10" s="5"/>
      <c r="J10" s="21" t="s">
        <v>1229</v>
      </c>
      <c r="K10" s="7">
        <f t="shared" si="0"/>
        <v>-17263.04</v>
      </c>
    </row>
    <row r="11" spans="1:11" x14ac:dyDescent="0.25">
      <c r="A11" s="3">
        <v>46175</v>
      </c>
      <c r="B11" s="4" t="s">
        <v>21</v>
      </c>
      <c r="C11" s="5" t="s">
        <v>20</v>
      </c>
      <c r="D11" s="6" t="s">
        <v>22</v>
      </c>
      <c r="E11" s="6" t="s">
        <v>17</v>
      </c>
      <c r="F11" s="6"/>
      <c r="G11" s="7">
        <v>0</v>
      </c>
      <c r="H11" s="7"/>
      <c r="I11" s="5"/>
      <c r="J11" s="21" t="s">
        <v>1229</v>
      </c>
      <c r="K11" s="7">
        <f t="shared" si="0"/>
        <v>-17263.04</v>
      </c>
    </row>
    <row r="12" spans="1:11" x14ac:dyDescent="0.25">
      <c r="A12" s="3">
        <v>46175</v>
      </c>
      <c r="B12" s="4" t="s">
        <v>23</v>
      </c>
      <c r="C12" s="5" t="s">
        <v>12</v>
      </c>
      <c r="D12" s="6" t="s">
        <v>24</v>
      </c>
      <c r="E12" s="6" t="s">
        <v>17</v>
      </c>
      <c r="F12" s="6" t="s">
        <v>25</v>
      </c>
      <c r="G12" s="7">
        <v>0</v>
      </c>
      <c r="H12" s="7"/>
      <c r="I12" s="5"/>
      <c r="J12" s="21" t="s">
        <v>1229</v>
      </c>
      <c r="K12" s="7">
        <f t="shared" si="0"/>
        <v>-17263.04</v>
      </c>
    </row>
    <row r="13" spans="1:11" x14ac:dyDescent="0.25">
      <c r="A13" s="3">
        <v>46175</v>
      </c>
      <c r="B13" s="4" t="s">
        <v>598</v>
      </c>
      <c r="C13" s="5" t="s">
        <v>12</v>
      </c>
      <c r="D13" s="6" t="s">
        <v>19</v>
      </c>
      <c r="E13" s="6" t="s">
        <v>17</v>
      </c>
      <c r="F13" s="6"/>
      <c r="G13" s="7">
        <v>182.54</v>
      </c>
      <c r="H13" s="7"/>
      <c r="I13" s="5"/>
      <c r="J13" s="21" t="s">
        <v>1229</v>
      </c>
      <c r="K13" s="7">
        <f t="shared" si="0"/>
        <v>-17445.580000000002</v>
      </c>
    </row>
    <row r="14" spans="1:11" x14ac:dyDescent="0.25">
      <c r="A14" s="3">
        <v>46175</v>
      </c>
      <c r="B14" s="4" t="s">
        <v>346</v>
      </c>
      <c r="C14" s="5" t="s">
        <v>12</v>
      </c>
      <c r="D14" s="6" t="s">
        <v>19</v>
      </c>
      <c r="E14" s="6" t="s">
        <v>17</v>
      </c>
      <c r="F14" s="6"/>
      <c r="G14" s="7">
        <v>477.68</v>
      </c>
      <c r="H14" s="7"/>
      <c r="I14" s="5"/>
      <c r="J14" s="21" t="s">
        <v>1229</v>
      </c>
      <c r="K14" s="7">
        <f t="shared" si="0"/>
        <v>-17923.260000000002</v>
      </c>
    </row>
    <row r="15" spans="1:11" x14ac:dyDescent="0.25">
      <c r="A15" s="3">
        <v>46175</v>
      </c>
      <c r="B15" s="4" t="s">
        <v>599</v>
      </c>
      <c r="C15" s="5" t="s">
        <v>12</v>
      </c>
      <c r="D15" s="6" t="s">
        <v>19</v>
      </c>
      <c r="E15" s="6" t="s">
        <v>17</v>
      </c>
      <c r="F15" s="6" t="s">
        <v>25</v>
      </c>
      <c r="G15" s="7">
        <v>130</v>
      </c>
      <c r="H15" s="7"/>
      <c r="I15" s="5"/>
      <c r="J15" s="21" t="s">
        <v>1229</v>
      </c>
      <c r="K15" s="7">
        <f t="shared" si="0"/>
        <v>-18053.260000000002</v>
      </c>
    </row>
    <row r="16" spans="1:11" x14ac:dyDescent="0.25">
      <c r="A16" s="3">
        <v>46175</v>
      </c>
      <c r="B16" s="4" t="s">
        <v>600</v>
      </c>
      <c r="C16" s="5" t="s">
        <v>12</v>
      </c>
      <c r="D16" s="6" t="s">
        <v>29</v>
      </c>
      <c r="E16" s="6" t="s">
        <v>17</v>
      </c>
      <c r="F16" s="6" t="s">
        <v>25</v>
      </c>
      <c r="G16" s="7">
        <v>50.7</v>
      </c>
      <c r="H16" s="7"/>
      <c r="I16" s="5"/>
      <c r="J16" s="21" t="s">
        <v>1229</v>
      </c>
      <c r="K16" s="7">
        <f t="shared" si="0"/>
        <v>-18103.960000000003</v>
      </c>
    </row>
    <row r="17" spans="1:11" x14ac:dyDescent="0.25">
      <c r="A17" s="3">
        <v>46175</v>
      </c>
      <c r="B17" s="4" t="s">
        <v>601</v>
      </c>
      <c r="C17" s="5" t="s">
        <v>12</v>
      </c>
      <c r="D17" s="6" t="s">
        <v>33</v>
      </c>
      <c r="E17" s="6" t="s">
        <v>17</v>
      </c>
      <c r="F17" s="6" t="s">
        <v>25</v>
      </c>
      <c r="G17" s="7">
        <v>150</v>
      </c>
      <c r="H17" s="7"/>
      <c r="I17" s="5"/>
      <c r="J17" s="21" t="s">
        <v>1229</v>
      </c>
      <c r="K17" s="7">
        <f t="shared" si="0"/>
        <v>-18253.960000000003</v>
      </c>
    </row>
    <row r="18" spans="1:11" x14ac:dyDescent="0.25">
      <c r="A18" s="3">
        <v>46176</v>
      </c>
      <c r="B18" s="4" t="s">
        <v>412</v>
      </c>
      <c r="C18" s="5" t="s">
        <v>12</v>
      </c>
      <c r="D18" s="6" t="s">
        <v>27</v>
      </c>
      <c r="E18" s="6" t="s">
        <v>17</v>
      </c>
      <c r="F18" s="6" t="s">
        <v>25</v>
      </c>
      <c r="G18" s="7">
        <v>5000</v>
      </c>
      <c r="H18" s="7"/>
      <c r="I18" s="5"/>
      <c r="J18" s="21" t="s">
        <v>1229</v>
      </c>
      <c r="K18" s="7">
        <f t="shared" si="0"/>
        <v>-23253.960000000003</v>
      </c>
    </row>
    <row r="19" spans="1:11" x14ac:dyDescent="0.25">
      <c r="A19" s="3">
        <v>46176</v>
      </c>
      <c r="B19" s="4" t="s">
        <v>344</v>
      </c>
      <c r="C19" s="5" t="s">
        <v>12</v>
      </c>
      <c r="D19" s="6" t="s">
        <v>19</v>
      </c>
      <c r="E19" s="6" t="s">
        <v>17</v>
      </c>
      <c r="F19" s="6"/>
      <c r="G19" s="7">
        <v>115.8</v>
      </c>
      <c r="H19" s="7"/>
      <c r="I19" s="5"/>
      <c r="J19" s="21" t="s">
        <v>1229</v>
      </c>
      <c r="K19" s="7">
        <f t="shared" si="0"/>
        <v>-23369.760000000002</v>
      </c>
    </row>
    <row r="20" spans="1:11" x14ac:dyDescent="0.25">
      <c r="A20" s="3">
        <v>46176</v>
      </c>
      <c r="B20" s="4" t="s">
        <v>30</v>
      </c>
      <c r="C20" s="5" t="s">
        <v>20</v>
      </c>
      <c r="D20" s="6" t="s">
        <v>13</v>
      </c>
      <c r="E20" s="6"/>
      <c r="F20" s="6"/>
      <c r="G20" s="7">
        <v>1413</v>
      </c>
      <c r="H20" s="7"/>
      <c r="I20" s="5"/>
      <c r="J20" s="21" t="s">
        <v>1229</v>
      </c>
      <c r="K20" s="7">
        <f t="shared" si="0"/>
        <v>-21956.760000000002</v>
      </c>
    </row>
    <row r="21" spans="1:11" x14ac:dyDescent="0.25">
      <c r="A21" s="3">
        <v>46176</v>
      </c>
      <c r="B21" s="4" t="s">
        <v>44</v>
      </c>
      <c r="C21" s="5" t="s">
        <v>20</v>
      </c>
      <c r="D21" s="6" t="s">
        <v>22</v>
      </c>
      <c r="E21" s="6" t="s">
        <v>17</v>
      </c>
      <c r="F21" s="6"/>
      <c r="G21" s="7">
        <v>0</v>
      </c>
      <c r="H21" s="7"/>
      <c r="I21" s="5"/>
      <c r="J21" s="21" t="s">
        <v>1229</v>
      </c>
      <c r="K21" s="7">
        <f t="shared" si="0"/>
        <v>-21956.760000000002</v>
      </c>
    </row>
    <row r="22" spans="1:11" x14ac:dyDescent="0.25">
      <c r="A22" s="3">
        <v>46176</v>
      </c>
      <c r="B22" s="4" t="s">
        <v>45</v>
      </c>
      <c r="C22" s="5" t="s">
        <v>12</v>
      </c>
      <c r="D22" s="6" t="s">
        <v>24</v>
      </c>
      <c r="E22" s="6" t="s">
        <v>17</v>
      </c>
      <c r="F22" s="6" t="s">
        <v>25</v>
      </c>
      <c r="G22" s="7">
        <v>0</v>
      </c>
      <c r="H22" s="7"/>
      <c r="I22" s="5"/>
      <c r="J22" s="21" t="s">
        <v>1229</v>
      </c>
      <c r="K22" s="7">
        <f t="shared" si="0"/>
        <v>-21956.760000000002</v>
      </c>
    </row>
    <row r="23" spans="1:11" x14ac:dyDescent="0.25">
      <c r="A23" s="3">
        <v>46177</v>
      </c>
      <c r="B23" s="4" t="s">
        <v>13</v>
      </c>
      <c r="C23" s="5" t="s">
        <v>20</v>
      </c>
      <c r="D23" s="6" t="s">
        <v>13</v>
      </c>
      <c r="E23" s="6"/>
      <c r="F23" s="6"/>
      <c r="G23" s="7">
        <v>5165</v>
      </c>
      <c r="H23" s="7"/>
      <c r="I23" s="5"/>
      <c r="J23" s="21" t="s">
        <v>1229</v>
      </c>
      <c r="K23" s="7">
        <f t="shared" si="0"/>
        <v>-16791.760000000002</v>
      </c>
    </row>
    <row r="24" spans="1:11" x14ac:dyDescent="0.25">
      <c r="A24" s="3">
        <v>46177</v>
      </c>
      <c r="B24" s="4" t="s">
        <v>21</v>
      </c>
      <c r="C24" s="5" t="s">
        <v>20</v>
      </c>
      <c r="D24" s="6" t="s">
        <v>22</v>
      </c>
      <c r="E24" s="6" t="s">
        <v>17</v>
      </c>
      <c r="F24" s="6"/>
      <c r="G24" s="7">
        <v>0</v>
      </c>
      <c r="H24" s="7"/>
      <c r="I24" s="5"/>
      <c r="J24" s="21" t="s">
        <v>1229</v>
      </c>
      <c r="K24" s="7">
        <f t="shared" si="0"/>
        <v>-16791.760000000002</v>
      </c>
    </row>
    <row r="25" spans="1:11" x14ac:dyDescent="0.25">
      <c r="A25" s="3">
        <v>46177</v>
      </c>
      <c r="B25" s="4" t="s">
        <v>23</v>
      </c>
      <c r="C25" s="5" t="s">
        <v>12</v>
      </c>
      <c r="D25" s="6" t="s">
        <v>24</v>
      </c>
      <c r="E25" s="6" t="s">
        <v>17</v>
      </c>
      <c r="F25" s="6" t="s">
        <v>25</v>
      </c>
      <c r="G25" s="7">
        <v>0</v>
      </c>
      <c r="H25" s="7"/>
      <c r="I25" s="5"/>
      <c r="J25" s="21" t="s">
        <v>1229</v>
      </c>
      <c r="K25" s="7">
        <f t="shared" si="0"/>
        <v>-16791.760000000002</v>
      </c>
    </row>
    <row r="26" spans="1:11" x14ac:dyDescent="0.25">
      <c r="A26" s="3">
        <v>46177</v>
      </c>
      <c r="B26" s="4" t="s">
        <v>11</v>
      </c>
      <c r="C26" s="5" t="s">
        <v>12</v>
      </c>
      <c r="D26" s="6" t="s">
        <v>19</v>
      </c>
      <c r="E26" s="6" t="s">
        <v>14</v>
      </c>
      <c r="F26" s="6" t="s">
        <v>15</v>
      </c>
      <c r="G26" s="7">
        <v>235</v>
      </c>
      <c r="H26" s="7"/>
      <c r="I26" s="5"/>
      <c r="J26" s="21" t="s">
        <v>1229</v>
      </c>
      <c r="K26" s="7">
        <f t="shared" si="0"/>
        <v>-17026.760000000002</v>
      </c>
    </row>
    <row r="27" spans="1:11" x14ac:dyDescent="0.25">
      <c r="A27" s="3">
        <v>46178</v>
      </c>
      <c r="B27" s="4" t="s">
        <v>13</v>
      </c>
      <c r="C27" s="5" t="s">
        <v>20</v>
      </c>
      <c r="D27" s="6" t="s">
        <v>13</v>
      </c>
      <c r="E27" s="6"/>
      <c r="F27" s="6"/>
      <c r="G27" s="7">
        <v>6234</v>
      </c>
      <c r="H27" s="7"/>
      <c r="I27" s="5"/>
      <c r="J27" s="21" t="s">
        <v>1229</v>
      </c>
      <c r="K27" s="7">
        <f t="shared" si="0"/>
        <v>-10792.760000000002</v>
      </c>
    </row>
    <row r="28" spans="1:11" x14ac:dyDescent="0.25">
      <c r="A28" s="3">
        <v>46178</v>
      </c>
      <c r="B28" s="4" t="s">
        <v>21</v>
      </c>
      <c r="C28" s="5" t="s">
        <v>20</v>
      </c>
      <c r="D28" s="6" t="s">
        <v>22</v>
      </c>
      <c r="E28" s="6" t="s">
        <v>17</v>
      </c>
      <c r="F28" s="6"/>
      <c r="G28" s="7">
        <v>168</v>
      </c>
      <c r="H28" s="7"/>
      <c r="I28" s="5"/>
      <c r="J28" s="21" t="s">
        <v>1229</v>
      </c>
      <c r="K28" s="7">
        <f t="shared" si="0"/>
        <v>-10624.760000000002</v>
      </c>
    </row>
    <row r="29" spans="1:11" x14ac:dyDescent="0.25">
      <c r="A29" s="3">
        <v>46178</v>
      </c>
      <c r="B29" s="4" t="s">
        <v>23</v>
      </c>
      <c r="C29" s="5" t="s">
        <v>12</v>
      </c>
      <c r="D29" s="6" t="s">
        <v>24</v>
      </c>
      <c r="E29" s="6" t="s">
        <v>17</v>
      </c>
      <c r="F29" s="6" t="s">
        <v>25</v>
      </c>
      <c r="G29" s="7">
        <v>35</v>
      </c>
      <c r="H29" s="7"/>
      <c r="I29" s="5"/>
      <c r="J29" s="21" t="s">
        <v>1229</v>
      </c>
      <c r="K29" s="7">
        <f t="shared" si="0"/>
        <v>-10659.760000000002</v>
      </c>
    </row>
    <row r="30" spans="1:11" x14ac:dyDescent="0.25">
      <c r="A30" s="3">
        <v>46178</v>
      </c>
      <c r="B30" s="4" t="s">
        <v>510</v>
      </c>
      <c r="C30" s="5" t="s">
        <v>12</v>
      </c>
      <c r="D30" s="6" t="s">
        <v>27</v>
      </c>
      <c r="E30" s="6" t="s">
        <v>17</v>
      </c>
      <c r="F30" s="6" t="s">
        <v>25</v>
      </c>
      <c r="G30" s="7">
        <v>6890.33</v>
      </c>
      <c r="H30" s="7"/>
      <c r="I30" s="5"/>
      <c r="J30" s="21" t="s">
        <v>1229</v>
      </c>
      <c r="K30" s="7">
        <f t="shared" si="0"/>
        <v>-17550.090000000004</v>
      </c>
    </row>
    <row r="31" spans="1:11" x14ac:dyDescent="0.25">
      <c r="A31" s="3">
        <v>46178</v>
      </c>
      <c r="B31" s="4" t="s">
        <v>319</v>
      </c>
      <c r="C31" s="5" t="s">
        <v>12</v>
      </c>
      <c r="D31" s="6" t="s">
        <v>39</v>
      </c>
      <c r="E31" s="6" t="s">
        <v>17</v>
      </c>
      <c r="F31" s="6"/>
      <c r="G31" s="7">
        <v>8918.64</v>
      </c>
      <c r="H31" s="7"/>
      <c r="I31" s="5"/>
      <c r="J31" s="21" t="s">
        <v>1229</v>
      </c>
      <c r="K31" s="7">
        <f t="shared" si="0"/>
        <v>-26468.730000000003</v>
      </c>
    </row>
    <row r="32" spans="1:11" x14ac:dyDescent="0.25">
      <c r="A32" s="3">
        <v>46178</v>
      </c>
      <c r="B32" s="4" t="s">
        <v>320</v>
      </c>
      <c r="C32" s="5" t="s">
        <v>12</v>
      </c>
      <c r="D32" s="6" t="s">
        <v>39</v>
      </c>
      <c r="E32" s="6" t="s">
        <v>17</v>
      </c>
      <c r="F32" s="6" t="s">
        <v>25</v>
      </c>
      <c r="G32" s="7">
        <v>94.9</v>
      </c>
      <c r="H32" s="7"/>
      <c r="I32" s="5"/>
      <c r="J32" s="21" t="s">
        <v>1229</v>
      </c>
      <c r="K32" s="7">
        <f t="shared" si="0"/>
        <v>-26563.630000000005</v>
      </c>
    </row>
    <row r="33" spans="1:11" x14ac:dyDescent="0.25">
      <c r="A33" s="3">
        <v>46178</v>
      </c>
      <c r="B33" s="4" t="s">
        <v>602</v>
      </c>
      <c r="C33" s="5" t="s">
        <v>12</v>
      </c>
      <c r="D33" s="6" t="s">
        <v>39</v>
      </c>
      <c r="E33" s="6" t="s">
        <v>17</v>
      </c>
      <c r="F33" s="6"/>
      <c r="G33" s="7">
        <v>100</v>
      </c>
      <c r="H33" s="7"/>
      <c r="I33" s="5"/>
      <c r="J33" s="21" t="s">
        <v>1229</v>
      </c>
      <c r="K33" s="7">
        <f t="shared" si="0"/>
        <v>-26663.630000000005</v>
      </c>
    </row>
    <row r="34" spans="1:11" x14ac:dyDescent="0.25">
      <c r="A34" s="3">
        <v>46178</v>
      </c>
      <c r="B34" s="4" t="s">
        <v>11</v>
      </c>
      <c r="C34" s="5" t="s">
        <v>12</v>
      </c>
      <c r="D34" s="6" t="s">
        <v>19</v>
      </c>
      <c r="E34" s="6" t="s">
        <v>14</v>
      </c>
      <c r="F34" s="6" t="s">
        <v>15</v>
      </c>
      <c r="G34" s="7">
        <v>329</v>
      </c>
      <c r="H34" s="7"/>
      <c r="I34" s="5"/>
      <c r="J34" s="21" t="s">
        <v>1229</v>
      </c>
      <c r="K34" s="7">
        <f t="shared" si="0"/>
        <v>-26992.630000000005</v>
      </c>
    </row>
    <row r="35" spans="1:11" x14ac:dyDescent="0.25">
      <c r="A35" s="3">
        <v>46178</v>
      </c>
      <c r="B35" s="4" t="s">
        <v>507</v>
      </c>
      <c r="C35" s="5" t="s">
        <v>12</v>
      </c>
      <c r="D35" s="6" t="s">
        <v>19</v>
      </c>
      <c r="E35" s="6" t="s">
        <v>17</v>
      </c>
      <c r="F35" s="6" t="s">
        <v>25</v>
      </c>
      <c r="G35" s="7">
        <v>203.5</v>
      </c>
      <c r="H35" s="7"/>
      <c r="I35" s="5"/>
      <c r="J35" s="21" t="s">
        <v>1229</v>
      </c>
      <c r="K35" s="7">
        <f t="shared" ref="K35:K66" si="1">K34 + IF(C35="Entrada", G35, -G35)</f>
        <v>-27196.130000000005</v>
      </c>
    </row>
    <row r="36" spans="1:11" x14ac:dyDescent="0.25">
      <c r="A36" s="3">
        <v>46179</v>
      </c>
      <c r="B36" s="4" t="s">
        <v>13</v>
      </c>
      <c r="C36" s="5" t="s">
        <v>20</v>
      </c>
      <c r="D36" s="6" t="s">
        <v>13</v>
      </c>
      <c r="E36" s="6"/>
      <c r="F36" s="6"/>
      <c r="G36" s="7">
        <v>6129</v>
      </c>
      <c r="H36" s="7"/>
      <c r="I36" s="5"/>
      <c r="J36" s="21" t="s">
        <v>1229</v>
      </c>
      <c r="K36" s="7">
        <f t="shared" si="1"/>
        <v>-21067.130000000005</v>
      </c>
    </row>
    <row r="37" spans="1:11" x14ac:dyDescent="0.25">
      <c r="A37" s="3">
        <v>46179</v>
      </c>
      <c r="B37" s="4" t="s">
        <v>21</v>
      </c>
      <c r="C37" s="5" t="s">
        <v>20</v>
      </c>
      <c r="D37" s="6" t="s">
        <v>22</v>
      </c>
      <c r="E37" s="6" t="s">
        <v>17</v>
      </c>
      <c r="F37" s="6"/>
      <c r="G37" s="7">
        <v>114</v>
      </c>
      <c r="H37" s="7"/>
      <c r="I37" s="5"/>
      <c r="J37" s="21" t="s">
        <v>1229</v>
      </c>
      <c r="K37" s="7">
        <f t="shared" si="1"/>
        <v>-20953.130000000005</v>
      </c>
    </row>
    <row r="38" spans="1:11" x14ac:dyDescent="0.25">
      <c r="A38" s="3">
        <v>46179</v>
      </c>
      <c r="B38" s="4" t="s">
        <v>23</v>
      </c>
      <c r="C38" s="5" t="s">
        <v>12</v>
      </c>
      <c r="D38" s="6" t="s">
        <v>24</v>
      </c>
      <c r="E38" s="6" t="s">
        <v>17</v>
      </c>
      <c r="F38" s="6" t="s">
        <v>25</v>
      </c>
      <c r="G38" s="7">
        <v>9</v>
      </c>
      <c r="H38" s="7"/>
      <c r="I38" s="5"/>
      <c r="J38" s="21" t="s">
        <v>1229</v>
      </c>
      <c r="K38" s="7">
        <f t="shared" si="1"/>
        <v>-20962.130000000005</v>
      </c>
    </row>
    <row r="39" spans="1:11" x14ac:dyDescent="0.25">
      <c r="A39" s="3">
        <v>46179</v>
      </c>
      <c r="B39" s="4" t="s">
        <v>33</v>
      </c>
      <c r="C39" s="5" t="s">
        <v>12</v>
      </c>
      <c r="D39" s="6" t="s">
        <v>33</v>
      </c>
      <c r="E39" s="6" t="s">
        <v>14</v>
      </c>
      <c r="F39" s="6" t="s">
        <v>15</v>
      </c>
      <c r="G39" s="7">
        <v>150</v>
      </c>
      <c r="H39" s="7"/>
      <c r="I39" s="5"/>
      <c r="J39" s="21" t="s">
        <v>1229</v>
      </c>
      <c r="K39" s="7">
        <f t="shared" si="1"/>
        <v>-21112.130000000005</v>
      </c>
    </row>
    <row r="40" spans="1:11" x14ac:dyDescent="0.25">
      <c r="A40" s="3">
        <v>46180</v>
      </c>
      <c r="B40" s="4" t="s">
        <v>13</v>
      </c>
      <c r="C40" s="5" t="s">
        <v>20</v>
      </c>
      <c r="D40" s="6" t="s">
        <v>13</v>
      </c>
      <c r="E40" s="6"/>
      <c r="F40" s="6"/>
      <c r="G40" s="7">
        <v>4783</v>
      </c>
      <c r="H40" s="7"/>
      <c r="I40" s="5"/>
      <c r="J40" s="21" t="s">
        <v>1229</v>
      </c>
      <c r="K40" s="7">
        <f t="shared" si="1"/>
        <v>-16329.130000000005</v>
      </c>
    </row>
    <row r="41" spans="1:11" x14ac:dyDescent="0.25">
      <c r="A41" s="3">
        <v>46180</v>
      </c>
      <c r="B41" s="4" t="s">
        <v>21</v>
      </c>
      <c r="C41" s="5" t="s">
        <v>20</v>
      </c>
      <c r="D41" s="6" t="s">
        <v>22</v>
      </c>
      <c r="E41" s="6" t="s">
        <v>17</v>
      </c>
      <c r="F41" s="6"/>
      <c r="G41" s="7">
        <v>99</v>
      </c>
      <c r="H41" s="7"/>
      <c r="I41" s="5"/>
      <c r="J41" s="21" t="s">
        <v>1229</v>
      </c>
      <c r="K41" s="7">
        <f t="shared" si="1"/>
        <v>-16230.130000000005</v>
      </c>
    </row>
    <row r="42" spans="1:11" x14ac:dyDescent="0.25">
      <c r="A42" s="3">
        <v>46180</v>
      </c>
      <c r="B42" s="4" t="s">
        <v>23</v>
      </c>
      <c r="C42" s="5" t="s">
        <v>12</v>
      </c>
      <c r="D42" s="6" t="s">
        <v>24</v>
      </c>
      <c r="E42" s="6" t="s">
        <v>17</v>
      </c>
      <c r="F42" s="6" t="s">
        <v>25</v>
      </c>
      <c r="G42" s="7">
        <v>17</v>
      </c>
      <c r="H42" s="7"/>
      <c r="I42" s="5"/>
      <c r="J42" s="21" t="s">
        <v>1229</v>
      </c>
      <c r="K42" s="7">
        <f t="shared" si="1"/>
        <v>-16247.130000000005</v>
      </c>
    </row>
    <row r="43" spans="1:11" x14ac:dyDescent="0.25">
      <c r="A43" s="3">
        <v>46180</v>
      </c>
      <c r="B43" s="4" t="s">
        <v>33</v>
      </c>
      <c r="C43" s="5" t="s">
        <v>12</v>
      </c>
      <c r="D43" s="6" t="s">
        <v>33</v>
      </c>
      <c r="E43" s="6" t="s">
        <v>14</v>
      </c>
      <c r="F43" s="6" t="s">
        <v>15</v>
      </c>
      <c r="G43" s="7">
        <v>150</v>
      </c>
      <c r="H43" s="7"/>
      <c r="I43" s="5"/>
      <c r="J43" s="21" t="s">
        <v>1229</v>
      </c>
      <c r="K43" s="7">
        <f t="shared" si="1"/>
        <v>-16397.130000000005</v>
      </c>
    </row>
    <row r="44" spans="1:11" x14ac:dyDescent="0.25">
      <c r="A44" s="3">
        <v>46181</v>
      </c>
      <c r="B44" s="4" t="s">
        <v>13</v>
      </c>
      <c r="C44" s="5" t="s">
        <v>20</v>
      </c>
      <c r="D44" s="6" t="s">
        <v>13</v>
      </c>
      <c r="E44" s="6"/>
      <c r="F44" s="6"/>
      <c r="G44" s="7">
        <v>924</v>
      </c>
      <c r="H44" s="7"/>
      <c r="I44" s="5"/>
      <c r="J44" s="21" t="s">
        <v>1229</v>
      </c>
      <c r="K44" s="7">
        <f t="shared" si="1"/>
        <v>-15473.130000000005</v>
      </c>
    </row>
    <row r="45" spans="1:11" x14ac:dyDescent="0.25">
      <c r="A45" s="3">
        <v>46181</v>
      </c>
      <c r="B45" s="4" t="s">
        <v>21</v>
      </c>
      <c r="C45" s="5" t="s">
        <v>20</v>
      </c>
      <c r="D45" s="6" t="s">
        <v>22</v>
      </c>
      <c r="E45" s="6" t="s">
        <v>17</v>
      </c>
      <c r="F45" s="6"/>
      <c r="G45" s="7">
        <v>0</v>
      </c>
      <c r="H45" s="7"/>
      <c r="I45" s="5"/>
      <c r="J45" s="21" t="s">
        <v>1229</v>
      </c>
      <c r="K45" s="7">
        <f t="shared" si="1"/>
        <v>-15473.130000000005</v>
      </c>
    </row>
    <row r="46" spans="1:11" x14ac:dyDescent="0.25">
      <c r="A46" s="3">
        <v>46181</v>
      </c>
      <c r="B46" s="4" t="s">
        <v>23</v>
      </c>
      <c r="C46" s="5" t="s">
        <v>12</v>
      </c>
      <c r="D46" s="6" t="s">
        <v>24</v>
      </c>
      <c r="E46" s="6" t="s">
        <v>17</v>
      </c>
      <c r="F46" s="6" t="s">
        <v>25</v>
      </c>
      <c r="G46" s="7">
        <v>0</v>
      </c>
      <c r="H46" s="7"/>
      <c r="I46" s="5"/>
      <c r="J46" s="21" t="s">
        <v>1229</v>
      </c>
      <c r="K46" s="7">
        <f t="shared" si="1"/>
        <v>-15473.130000000005</v>
      </c>
    </row>
    <row r="47" spans="1:11" x14ac:dyDescent="0.25">
      <c r="A47" s="3">
        <v>46181</v>
      </c>
      <c r="B47" s="9" t="s">
        <v>405</v>
      </c>
      <c r="C47" s="7" t="s">
        <v>12</v>
      </c>
      <c r="D47" s="6" t="s">
        <v>325</v>
      </c>
      <c r="E47" s="6" t="s">
        <v>17</v>
      </c>
      <c r="F47" s="6"/>
      <c r="G47" s="7">
        <v>2570.7600000000002</v>
      </c>
      <c r="H47" s="7"/>
      <c r="I47" s="5"/>
      <c r="J47" s="21" t="s">
        <v>1229</v>
      </c>
      <c r="K47" s="7">
        <f t="shared" si="1"/>
        <v>-18043.890000000007</v>
      </c>
    </row>
    <row r="48" spans="1:11" x14ac:dyDescent="0.25">
      <c r="A48" s="3">
        <v>46181</v>
      </c>
      <c r="B48" s="4" t="s">
        <v>603</v>
      </c>
      <c r="C48" s="5" t="s">
        <v>12</v>
      </c>
      <c r="D48" s="6" t="s">
        <v>68</v>
      </c>
      <c r="E48" s="6" t="s">
        <v>17</v>
      </c>
      <c r="F48" s="6"/>
      <c r="G48" s="7">
        <v>1500</v>
      </c>
      <c r="H48" s="7"/>
      <c r="I48" s="5"/>
      <c r="J48" s="21" t="s">
        <v>1229</v>
      </c>
      <c r="K48" s="7">
        <f t="shared" si="1"/>
        <v>-19543.890000000007</v>
      </c>
    </row>
    <row r="49" spans="1:11" x14ac:dyDescent="0.25">
      <c r="A49" s="3">
        <v>46181</v>
      </c>
      <c r="B49" s="4" t="s">
        <v>345</v>
      </c>
      <c r="C49" s="5" t="s">
        <v>12</v>
      </c>
      <c r="D49" s="6" t="s">
        <v>19</v>
      </c>
      <c r="E49" s="6" t="s">
        <v>17</v>
      </c>
      <c r="F49" s="6"/>
      <c r="G49" s="7">
        <v>1486.49</v>
      </c>
      <c r="H49" s="7"/>
      <c r="I49" s="5"/>
      <c r="J49" s="21" t="s">
        <v>1229</v>
      </c>
      <c r="K49" s="7">
        <f t="shared" si="1"/>
        <v>-21030.380000000008</v>
      </c>
    </row>
    <row r="50" spans="1:11" x14ac:dyDescent="0.25">
      <c r="A50" s="3">
        <v>46181</v>
      </c>
      <c r="B50" s="4" t="s">
        <v>340</v>
      </c>
      <c r="C50" s="5" t="s">
        <v>12</v>
      </c>
      <c r="D50" s="6" t="s">
        <v>19</v>
      </c>
      <c r="E50" s="6" t="s">
        <v>17</v>
      </c>
      <c r="F50" s="6"/>
      <c r="G50" s="7">
        <v>772.73</v>
      </c>
      <c r="H50" s="7"/>
      <c r="I50" s="5"/>
      <c r="J50" s="21" t="s">
        <v>1229</v>
      </c>
      <c r="K50" s="7">
        <f t="shared" si="1"/>
        <v>-21803.110000000008</v>
      </c>
    </row>
    <row r="51" spans="1:11" x14ac:dyDescent="0.25">
      <c r="A51" s="3">
        <v>46181</v>
      </c>
      <c r="B51" s="4" t="s">
        <v>340</v>
      </c>
      <c r="C51" s="5" t="s">
        <v>12</v>
      </c>
      <c r="D51" s="6" t="s">
        <v>19</v>
      </c>
      <c r="E51" s="6" t="s">
        <v>17</v>
      </c>
      <c r="F51" s="6"/>
      <c r="G51" s="7">
        <v>444.67</v>
      </c>
      <c r="H51" s="7"/>
      <c r="I51" s="5"/>
      <c r="J51" s="21" t="s">
        <v>1229</v>
      </c>
      <c r="K51" s="7">
        <f t="shared" si="1"/>
        <v>-22247.780000000006</v>
      </c>
    </row>
    <row r="52" spans="1:11" x14ac:dyDescent="0.25">
      <c r="A52" s="3">
        <v>46181</v>
      </c>
      <c r="B52" s="4" t="s">
        <v>578</v>
      </c>
      <c r="C52" s="5" t="s">
        <v>12</v>
      </c>
      <c r="D52" s="6" t="s">
        <v>62</v>
      </c>
      <c r="E52" s="6" t="s">
        <v>17</v>
      </c>
      <c r="F52" s="6"/>
      <c r="G52" s="7">
        <v>571.9</v>
      </c>
      <c r="H52" s="7"/>
      <c r="I52" s="5"/>
      <c r="J52" s="21" t="s">
        <v>1229</v>
      </c>
      <c r="K52" s="7">
        <f t="shared" si="1"/>
        <v>-22819.680000000008</v>
      </c>
    </row>
    <row r="53" spans="1:11" x14ac:dyDescent="0.25">
      <c r="A53" s="3">
        <v>46182</v>
      </c>
      <c r="B53" s="4" t="s">
        <v>409</v>
      </c>
      <c r="C53" s="5" t="s">
        <v>12</v>
      </c>
      <c r="D53" s="6" t="s">
        <v>39</v>
      </c>
      <c r="E53" s="6" t="s">
        <v>14</v>
      </c>
      <c r="F53" s="6" t="s">
        <v>15</v>
      </c>
      <c r="G53" s="7">
        <v>2440.75</v>
      </c>
      <c r="H53" s="7"/>
      <c r="I53" s="5"/>
      <c r="J53" s="21" t="s">
        <v>1229</v>
      </c>
      <c r="K53" s="7">
        <f t="shared" si="1"/>
        <v>-25260.430000000008</v>
      </c>
    </row>
    <row r="54" spans="1:11" x14ac:dyDescent="0.25">
      <c r="A54" s="3">
        <v>46182</v>
      </c>
      <c r="B54" s="4" t="s">
        <v>348</v>
      </c>
      <c r="C54" s="5" t="s">
        <v>12</v>
      </c>
      <c r="D54" s="6" t="s">
        <v>19</v>
      </c>
      <c r="E54" s="6" t="s">
        <v>17</v>
      </c>
      <c r="F54" s="6"/>
      <c r="G54" s="7">
        <v>182.55</v>
      </c>
      <c r="H54" s="7"/>
      <c r="I54" s="5"/>
      <c r="J54" s="21" t="s">
        <v>1229</v>
      </c>
      <c r="K54" s="7">
        <f t="shared" si="1"/>
        <v>-25442.980000000007</v>
      </c>
    </row>
    <row r="55" spans="1:11" x14ac:dyDescent="0.25">
      <c r="A55" s="3">
        <v>46182</v>
      </c>
      <c r="B55" s="4" t="s">
        <v>387</v>
      </c>
      <c r="C55" s="5" t="s">
        <v>12</v>
      </c>
      <c r="D55" s="6" t="s">
        <v>19</v>
      </c>
      <c r="E55" s="6" t="s">
        <v>17</v>
      </c>
      <c r="F55" s="6"/>
      <c r="G55" s="7">
        <v>1084.28</v>
      </c>
      <c r="H55" s="7"/>
      <c r="I55" s="5"/>
      <c r="J55" s="21" t="s">
        <v>1229</v>
      </c>
      <c r="K55" s="7">
        <f t="shared" si="1"/>
        <v>-26527.260000000006</v>
      </c>
    </row>
    <row r="56" spans="1:11" x14ac:dyDescent="0.25">
      <c r="A56" s="3">
        <v>46182</v>
      </c>
      <c r="B56" s="4" t="s">
        <v>387</v>
      </c>
      <c r="C56" s="5" t="s">
        <v>12</v>
      </c>
      <c r="D56" s="6" t="s">
        <v>19</v>
      </c>
      <c r="E56" s="6" t="s">
        <v>17</v>
      </c>
      <c r="F56" s="6"/>
      <c r="G56" s="7">
        <v>578</v>
      </c>
      <c r="H56" s="7"/>
      <c r="I56" s="5"/>
      <c r="J56" s="21" t="s">
        <v>1229</v>
      </c>
      <c r="K56" s="7">
        <f t="shared" si="1"/>
        <v>-27105.260000000006</v>
      </c>
    </row>
    <row r="57" spans="1:11" x14ac:dyDescent="0.25">
      <c r="A57" s="3">
        <v>46182</v>
      </c>
      <c r="B57" s="4" t="s">
        <v>604</v>
      </c>
      <c r="C57" s="5" t="s">
        <v>12</v>
      </c>
      <c r="D57" s="6" t="s">
        <v>39</v>
      </c>
      <c r="E57" s="6" t="s">
        <v>17</v>
      </c>
      <c r="F57" s="6"/>
      <c r="G57" s="7">
        <v>304.92</v>
      </c>
      <c r="H57" s="7"/>
      <c r="I57" s="5"/>
      <c r="J57" s="21" t="s">
        <v>1229</v>
      </c>
      <c r="K57" s="7">
        <f t="shared" si="1"/>
        <v>-27410.180000000004</v>
      </c>
    </row>
    <row r="58" spans="1:11" x14ac:dyDescent="0.25">
      <c r="A58" s="3">
        <v>46182</v>
      </c>
      <c r="B58" s="4" t="s">
        <v>30</v>
      </c>
      <c r="C58" s="5" t="s">
        <v>20</v>
      </c>
      <c r="D58" s="6" t="s">
        <v>13</v>
      </c>
      <c r="E58" s="6"/>
      <c r="F58" s="6"/>
      <c r="G58" s="7">
        <v>1097</v>
      </c>
      <c r="H58" s="7"/>
      <c r="I58" s="5"/>
      <c r="J58" s="21" t="s">
        <v>1229</v>
      </c>
      <c r="K58" s="7">
        <f t="shared" si="1"/>
        <v>-26313.180000000004</v>
      </c>
    </row>
    <row r="59" spans="1:11" x14ac:dyDescent="0.25">
      <c r="A59" s="3">
        <v>46182</v>
      </c>
      <c r="B59" s="4" t="s">
        <v>44</v>
      </c>
      <c r="C59" s="5" t="s">
        <v>20</v>
      </c>
      <c r="D59" s="6" t="s">
        <v>22</v>
      </c>
      <c r="E59" s="6" t="s">
        <v>17</v>
      </c>
      <c r="F59" s="6"/>
      <c r="G59" s="7">
        <v>0</v>
      </c>
      <c r="H59" s="7"/>
      <c r="I59" s="5"/>
      <c r="J59" s="21" t="s">
        <v>1229</v>
      </c>
      <c r="K59" s="7">
        <f t="shared" si="1"/>
        <v>-26313.180000000004</v>
      </c>
    </row>
    <row r="60" spans="1:11" x14ac:dyDescent="0.25">
      <c r="A60" s="3">
        <v>46182</v>
      </c>
      <c r="B60" s="4" t="s">
        <v>45</v>
      </c>
      <c r="C60" s="5" t="s">
        <v>12</v>
      </c>
      <c r="D60" s="6" t="s">
        <v>24</v>
      </c>
      <c r="E60" s="6" t="s">
        <v>17</v>
      </c>
      <c r="F60" s="6" t="s">
        <v>25</v>
      </c>
      <c r="G60" s="7">
        <v>0</v>
      </c>
      <c r="H60" s="7"/>
      <c r="I60" s="5"/>
      <c r="J60" s="21" t="s">
        <v>1229</v>
      </c>
      <c r="K60" s="7">
        <f t="shared" si="1"/>
        <v>-26313.180000000004</v>
      </c>
    </row>
    <row r="61" spans="1:11" x14ac:dyDescent="0.25">
      <c r="A61" s="3">
        <v>46182</v>
      </c>
      <c r="B61" s="4" t="s">
        <v>605</v>
      </c>
      <c r="C61" s="5" t="s">
        <v>12</v>
      </c>
      <c r="D61" s="6" t="s">
        <v>29</v>
      </c>
      <c r="E61" s="6" t="s">
        <v>17</v>
      </c>
      <c r="F61" s="6" t="s">
        <v>25</v>
      </c>
      <c r="G61" s="7">
        <v>500</v>
      </c>
      <c r="H61" s="7"/>
      <c r="I61" s="5"/>
      <c r="J61" s="21" t="s">
        <v>1229</v>
      </c>
      <c r="K61" s="7">
        <f t="shared" si="1"/>
        <v>-26813.180000000004</v>
      </c>
    </row>
    <row r="62" spans="1:11" x14ac:dyDescent="0.25">
      <c r="A62" s="3">
        <v>46183</v>
      </c>
      <c r="B62" s="4" t="s">
        <v>13</v>
      </c>
      <c r="C62" s="5" t="s">
        <v>20</v>
      </c>
      <c r="D62" s="6" t="s">
        <v>13</v>
      </c>
      <c r="E62" s="6"/>
      <c r="F62" s="6"/>
      <c r="G62" s="7">
        <v>912</v>
      </c>
      <c r="H62" s="7"/>
      <c r="I62" s="5"/>
      <c r="J62" s="21" t="s">
        <v>1229</v>
      </c>
      <c r="K62" s="7">
        <f t="shared" si="1"/>
        <v>-25901.180000000004</v>
      </c>
    </row>
    <row r="63" spans="1:11" x14ac:dyDescent="0.25">
      <c r="A63" s="3">
        <v>46183</v>
      </c>
      <c r="B63" s="4" t="s">
        <v>21</v>
      </c>
      <c r="C63" s="5" t="s">
        <v>20</v>
      </c>
      <c r="D63" s="6" t="s">
        <v>22</v>
      </c>
      <c r="E63" s="6" t="s">
        <v>17</v>
      </c>
      <c r="F63" s="6"/>
      <c r="G63" s="7">
        <v>0</v>
      </c>
      <c r="H63" s="7"/>
      <c r="I63" s="5"/>
      <c r="J63" s="21" t="s">
        <v>1229</v>
      </c>
      <c r="K63" s="7">
        <f t="shared" si="1"/>
        <v>-25901.180000000004</v>
      </c>
    </row>
    <row r="64" spans="1:11" x14ac:dyDescent="0.25">
      <c r="A64" s="3">
        <v>46183</v>
      </c>
      <c r="B64" s="4" t="s">
        <v>23</v>
      </c>
      <c r="C64" s="5" t="s">
        <v>12</v>
      </c>
      <c r="D64" s="6" t="s">
        <v>24</v>
      </c>
      <c r="E64" s="6" t="s">
        <v>17</v>
      </c>
      <c r="F64" s="6" t="s">
        <v>25</v>
      </c>
      <c r="G64" s="7">
        <v>0</v>
      </c>
      <c r="H64" s="7"/>
      <c r="I64" s="5"/>
      <c r="J64" s="21" t="s">
        <v>1229</v>
      </c>
      <c r="K64" s="7">
        <f t="shared" si="1"/>
        <v>-25901.180000000004</v>
      </c>
    </row>
    <row r="65" spans="1:11" x14ac:dyDescent="0.25">
      <c r="A65" s="3">
        <v>46183</v>
      </c>
      <c r="B65" s="4" t="s">
        <v>606</v>
      </c>
      <c r="C65" s="5" t="s">
        <v>12</v>
      </c>
      <c r="D65" s="6" t="s">
        <v>66</v>
      </c>
      <c r="E65" s="6" t="s">
        <v>17</v>
      </c>
      <c r="F65" s="6" t="s">
        <v>25</v>
      </c>
      <c r="G65" s="7">
        <v>7228.96</v>
      </c>
      <c r="H65" s="7"/>
      <c r="I65" s="5"/>
      <c r="J65" s="21" t="s">
        <v>1229</v>
      </c>
      <c r="K65" s="7">
        <f t="shared" si="1"/>
        <v>-33130.140000000007</v>
      </c>
    </row>
    <row r="66" spans="1:11" x14ac:dyDescent="0.25">
      <c r="A66" s="3">
        <v>46183</v>
      </c>
      <c r="B66" s="4" t="s">
        <v>68</v>
      </c>
      <c r="C66" s="5" t="s">
        <v>12</v>
      </c>
      <c r="D66" s="6" t="s">
        <v>68</v>
      </c>
      <c r="E66" s="6" t="s">
        <v>17</v>
      </c>
      <c r="F66" s="6" t="s">
        <v>25</v>
      </c>
      <c r="G66" s="7">
        <v>450</v>
      </c>
      <c r="H66" s="7"/>
      <c r="I66" s="5"/>
      <c r="J66" s="21" t="s">
        <v>1229</v>
      </c>
      <c r="K66" s="7">
        <f t="shared" si="1"/>
        <v>-33580.140000000007</v>
      </c>
    </row>
    <row r="67" spans="1:11" x14ac:dyDescent="0.25">
      <c r="A67" s="3">
        <v>46183</v>
      </c>
      <c r="B67" s="4" t="s">
        <v>289</v>
      </c>
      <c r="C67" s="5" t="s">
        <v>12</v>
      </c>
      <c r="D67" s="6" t="s">
        <v>19</v>
      </c>
      <c r="E67" s="6" t="s">
        <v>17</v>
      </c>
      <c r="F67" s="6"/>
      <c r="G67" s="7">
        <v>1085.93</v>
      </c>
      <c r="H67" s="7"/>
      <c r="I67" s="5"/>
      <c r="J67" s="21" t="s">
        <v>1229</v>
      </c>
      <c r="K67" s="7">
        <f t="shared" ref="K67:K83" si="2">K66 + IF(C67="Entrada", G67, -G67)</f>
        <v>-34666.070000000007</v>
      </c>
    </row>
    <row r="68" spans="1:11" x14ac:dyDescent="0.25">
      <c r="A68" s="3">
        <v>46183</v>
      </c>
      <c r="B68" s="4" t="s">
        <v>464</v>
      </c>
      <c r="C68" s="5" t="s">
        <v>12</v>
      </c>
      <c r="D68" s="6" t="s">
        <v>27</v>
      </c>
      <c r="E68" s="6" t="s">
        <v>17</v>
      </c>
      <c r="F68" s="6"/>
      <c r="G68" s="7">
        <v>60</v>
      </c>
      <c r="H68" s="7"/>
      <c r="I68" s="5"/>
      <c r="J68" s="21" t="s">
        <v>1229</v>
      </c>
      <c r="K68" s="7">
        <f t="shared" si="2"/>
        <v>-34726.070000000007</v>
      </c>
    </row>
    <row r="69" spans="1:11" x14ac:dyDescent="0.25">
      <c r="A69" s="3">
        <v>46183</v>
      </c>
      <c r="B69" s="4" t="s">
        <v>607</v>
      </c>
      <c r="C69" s="5" t="s">
        <v>12</v>
      </c>
      <c r="D69" s="6" t="s">
        <v>27</v>
      </c>
      <c r="E69" s="6" t="s">
        <v>17</v>
      </c>
      <c r="F69" s="6"/>
      <c r="G69" s="7">
        <v>204.5</v>
      </c>
      <c r="H69" s="7"/>
      <c r="I69" s="5"/>
      <c r="J69" s="21" t="s">
        <v>1229</v>
      </c>
      <c r="K69" s="7">
        <f t="shared" si="2"/>
        <v>-34930.570000000007</v>
      </c>
    </row>
    <row r="70" spans="1:11" x14ac:dyDescent="0.25">
      <c r="A70" s="3">
        <v>46184</v>
      </c>
      <c r="B70" s="4" t="s">
        <v>608</v>
      </c>
      <c r="C70" s="5" t="s">
        <v>12</v>
      </c>
      <c r="D70" s="6" t="s">
        <v>27</v>
      </c>
      <c r="E70" s="6" t="s">
        <v>17</v>
      </c>
      <c r="F70" s="6" t="s">
        <v>25</v>
      </c>
      <c r="G70" s="7">
        <v>0</v>
      </c>
      <c r="H70" s="7"/>
      <c r="I70" s="5"/>
      <c r="J70" s="21" t="s">
        <v>1229</v>
      </c>
      <c r="K70" s="7">
        <f t="shared" si="2"/>
        <v>-34930.570000000007</v>
      </c>
    </row>
    <row r="71" spans="1:11" x14ac:dyDescent="0.25">
      <c r="A71" s="3">
        <v>46184</v>
      </c>
      <c r="B71" s="4" t="s">
        <v>13</v>
      </c>
      <c r="C71" s="5" t="s">
        <v>20</v>
      </c>
      <c r="D71" s="6" t="s">
        <v>13</v>
      </c>
      <c r="E71" s="6"/>
      <c r="F71" s="6"/>
      <c r="G71" s="7">
        <v>939</v>
      </c>
      <c r="H71" s="7"/>
      <c r="I71" s="5"/>
      <c r="J71" s="21" t="s">
        <v>1229</v>
      </c>
      <c r="K71" s="7">
        <f t="shared" si="2"/>
        <v>-33991.570000000007</v>
      </c>
    </row>
    <row r="72" spans="1:11" x14ac:dyDescent="0.25">
      <c r="A72" s="3">
        <v>46184</v>
      </c>
      <c r="B72" s="4" t="s">
        <v>21</v>
      </c>
      <c r="C72" s="5" t="s">
        <v>20</v>
      </c>
      <c r="D72" s="6" t="s">
        <v>22</v>
      </c>
      <c r="E72" s="6" t="s">
        <v>17</v>
      </c>
      <c r="F72" s="6"/>
      <c r="G72" s="7">
        <v>54</v>
      </c>
      <c r="H72" s="7"/>
      <c r="I72" s="5"/>
      <c r="J72" s="21" t="s">
        <v>1229</v>
      </c>
      <c r="K72" s="7">
        <f t="shared" si="2"/>
        <v>-33937.570000000007</v>
      </c>
    </row>
    <row r="73" spans="1:11" x14ac:dyDescent="0.25">
      <c r="A73" s="3">
        <v>46184</v>
      </c>
      <c r="B73" s="4" t="s">
        <v>23</v>
      </c>
      <c r="C73" s="5" t="s">
        <v>12</v>
      </c>
      <c r="D73" s="6" t="s">
        <v>24</v>
      </c>
      <c r="E73" s="6" t="s">
        <v>17</v>
      </c>
      <c r="F73" s="6" t="s">
        <v>25</v>
      </c>
      <c r="G73" s="7">
        <v>9</v>
      </c>
      <c r="H73" s="7"/>
      <c r="I73" s="5"/>
      <c r="J73" s="21" t="s">
        <v>1229</v>
      </c>
      <c r="K73" s="7">
        <f t="shared" si="2"/>
        <v>-33946.570000000007</v>
      </c>
    </row>
    <row r="74" spans="1:11" x14ac:dyDescent="0.25">
      <c r="A74" s="3">
        <v>46185</v>
      </c>
      <c r="B74" s="4" t="s">
        <v>30</v>
      </c>
      <c r="C74" s="5" t="s">
        <v>20</v>
      </c>
      <c r="D74" s="6" t="s">
        <v>13</v>
      </c>
      <c r="E74" s="6"/>
      <c r="F74" s="6"/>
      <c r="G74" s="7">
        <v>1802</v>
      </c>
      <c r="H74" s="7"/>
      <c r="I74" s="5"/>
      <c r="J74" s="21" t="s">
        <v>1229</v>
      </c>
      <c r="K74" s="7">
        <f t="shared" si="2"/>
        <v>-32144.570000000007</v>
      </c>
    </row>
    <row r="75" spans="1:11" x14ac:dyDescent="0.25">
      <c r="A75" s="3">
        <v>46185</v>
      </c>
      <c r="B75" s="4" t="s">
        <v>21</v>
      </c>
      <c r="C75" s="5" t="s">
        <v>20</v>
      </c>
      <c r="D75" s="6" t="s">
        <v>22</v>
      </c>
      <c r="E75" s="6" t="s">
        <v>17</v>
      </c>
      <c r="F75" s="6"/>
      <c r="G75" s="7">
        <v>103</v>
      </c>
      <c r="H75" s="7"/>
      <c r="I75" s="5"/>
      <c r="J75" s="21" t="s">
        <v>1229</v>
      </c>
      <c r="K75" s="7">
        <f t="shared" si="2"/>
        <v>-32041.570000000007</v>
      </c>
    </row>
    <row r="76" spans="1:11" x14ac:dyDescent="0.25">
      <c r="A76" s="3">
        <v>46185</v>
      </c>
      <c r="B76" s="4" t="s">
        <v>23</v>
      </c>
      <c r="C76" s="5" t="s">
        <v>12</v>
      </c>
      <c r="D76" s="6" t="s">
        <v>24</v>
      </c>
      <c r="E76" s="6" t="s">
        <v>17</v>
      </c>
      <c r="F76" s="6" t="s">
        <v>25</v>
      </c>
      <c r="G76" s="7">
        <v>17</v>
      </c>
      <c r="H76" s="7"/>
      <c r="I76" s="5"/>
      <c r="J76" s="21" t="s">
        <v>1229</v>
      </c>
      <c r="K76" s="7">
        <f t="shared" si="2"/>
        <v>-32058.570000000007</v>
      </c>
    </row>
    <row r="77" spans="1:11" x14ac:dyDescent="0.25">
      <c r="A77" s="3">
        <v>46185</v>
      </c>
      <c r="B77" s="4" t="s">
        <v>11</v>
      </c>
      <c r="C77" s="5" t="s">
        <v>12</v>
      </c>
      <c r="D77" s="6" t="s">
        <v>19</v>
      </c>
      <c r="E77" s="6" t="s">
        <v>14</v>
      </c>
      <c r="F77" s="6" t="s">
        <v>15</v>
      </c>
      <c r="G77" s="7">
        <v>376</v>
      </c>
      <c r="H77" s="7"/>
      <c r="I77" s="5"/>
      <c r="J77" s="21" t="s">
        <v>1229</v>
      </c>
      <c r="K77" s="7">
        <f t="shared" si="2"/>
        <v>-32434.570000000007</v>
      </c>
    </row>
    <row r="78" spans="1:11" x14ac:dyDescent="0.25">
      <c r="A78" s="3">
        <v>46186</v>
      </c>
      <c r="B78" s="4" t="s">
        <v>13</v>
      </c>
      <c r="C78" s="5" t="s">
        <v>20</v>
      </c>
      <c r="D78" s="6" t="s">
        <v>13</v>
      </c>
      <c r="E78" s="6"/>
      <c r="F78" s="6"/>
      <c r="G78" s="7">
        <v>3938</v>
      </c>
      <c r="H78" s="7"/>
      <c r="I78" s="5"/>
      <c r="J78" s="21" t="s">
        <v>1229</v>
      </c>
      <c r="K78" s="7">
        <f t="shared" si="2"/>
        <v>-28496.570000000007</v>
      </c>
    </row>
    <row r="79" spans="1:11" x14ac:dyDescent="0.25">
      <c r="A79" s="3">
        <v>46186</v>
      </c>
      <c r="B79" s="4" t="s">
        <v>21</v>
      </c>
      <c r="C79" s="5" t="s">
        <v>20</v>
      </c>
      <c r="D79" s="6" t="s">
        <v>22</v>
      </c>
      <c r="E79" s="6" t="s">
        <v>17</v>
      </c>
      <c r="F79" s="6"/>
      <c r="G79" s="7">
        <v>0</v>
      </c>
      <c r="H79" s="7"/>
      <c r="I79" s="5"/>
      <c r="J79" s="21" t="s">
        <v>1229</v>
      </c>
      <c r="K79" s="7">
        <f t="shared" si="2"/>
        <v>-28496.570000000007</v>
      </c>
    </row>
    <row r="80" spans="1:11" x14ac:dyDescent="0.25">
      <c r="A80" s="3">
        <v>46186</v>
      </c>
      <c r="B80" s="4" t="s">
        <v>609</v>
      </c>
      <c r="C80" s="5" t="s">
        <v>12</v>
      </c>
      <c r="D80" s="6" t="s">
        <v>22</v>
      </c>
      <c r="E80" s="6" t="s">
        <v>17</v>
      </c>
      <c r="F80" s="6" t="s">
        <v>25</v>
      </c>
      <c r="G80" s="7">
        <v>9</v>
      </c>
      <c r="H80" s="7"/>
      <c r="I80" s="5"/>
      <c r="J80" s="21" t="s">
        <v>1229</v>
      </c>
      <c r="K80" s="7">
        <f t="shared" si="2"/>
        <v>-28505.570000000007</v>
      </c>
    </row>
    <row r="81" spans="1:11" x14ac:dyDescent="0.25">
      <c r="A81" s="3">
        <v>46187</v>
      </c>
      <c r="B81" s="4" t="s">
        <v>30</v>
      </c>
      <c r="C81" s="5" t="s">
        <v>20</v>
      </c>
      <c r="D81" s="6" t="s">
        <v>13</v>
      </c>
      <c r="E81" s="6"/>
      <c r="F81" s="6"/>
      <c r="G81" s="7">
        <v>4218</v>
      </c>
      <c r="H81" s="7"/>
      <c r="I81" s="5"/>
      <c r="J81" s="21" t="s">
        <v>1229</v>
      </c>
      <c r="K81" s="7">
        <f t="shared" si="2"/>
        <v>-24287.570000000007</v>
      </c>
    </row>
    <row r="82" spans="1:11" x14ac:dyDescent="0.25">
      <c r="A82" s="3">
        <v>46187</v>
      </c>
      <c r="B82" s="4" t="s">
        <v>610</v>
      </c>
      <c r="C82" s="5" t="s">
        <v>20</v>
      </c>
      <c r="D82" s="6" t="s">
        <v>22</v>
      </c>
      <c r="E82" s="6" t="s">
        <v>17</v>
      </c>
      <c r="F82" s="6"/>
      <c r="G82" s="7">
        <v>252</v>
      </c>
      <c r="H82" s="7"/>
      <c r="I82" s="5"/>
      <c r="J82" s="21" t="s">
        <v>1229</v>
      </c>
      <c r="K82" s="7">
        <f t="shared" si="2"/>
        <v>-24035.570000000007</v>
      </c>
    </row>
    <row r="83" spans="1:11" x14ac:dyDescent="0.25">
      <c r="A83" s="3">
        <v>46187</v>
      </c>
      <c r="B83" s="4" t="s">
        <v>419</v>
      </c>
      <c r="C83" s="5" t="s">
        <v>12</v>
      </c>
      <c r="D83" s="6" t="s">
        <v>27</v>
      </c>
      <c r="E83" s="6" t="s">
        <v>14</v>
      </c>
      <c r="F83" s="6" t="s">
        <v>15</v>
      </c>
      <c r="G83" s="7">
        <v>10</v>
      </c>
      <c r="H83" s="7"/>
      <c r="I83" s="5"/>
      <c r="J83" s="21" t="s">
        <v>1229</v>
      </c>
      <c r="K83" s="7">
        <f t="shared" si="2"/>
        <v>-24045.570000000007</v>
      </c>
    </row>
    <row r="84" spans="1:11" x14ac:dyDescent="0.25">
      <c r="A84" s="3">
        <v>46187</v>
      </c>
      <c r="B84" s="4" t="s">
        <v>23</v>
      </c>
      <c r="C84" s="5" t="s">
        <v>12</v>
      </c>
      <c r="D84" s="6" t="s">
        <v>24</v>
      </c>
      <c r="E84" s="6" t="s">
        <v>17</v>
      </c>
      <c r="F84" s="6" t="s">
        <v>25</v>
      </c>
      <c r="G84" s="7">
        <v>27</v>
      </c>
      <c r="H84" s="7"/>
      <c r="I84" s="5"/>
      <c r="J84" s="21" t="s">
        <v>1229</v>
      </c>
      <c r="K84" s="7">
        <f>K82 + IF(C84="Entrada", G84, -G84)</f>
        <v>-24062.570000000007</v>
      </c>
    </row>
    <row r="85" spans="1:11" x14ac:dyDescent="0.25">
      <c r="A85" s="3">
        <v>46188</v>
      </c>
      <c r="B85" s="4" t="s">
        <v>13</v>
      </c>
      <c r="C85" s="5" t="s">
        <v>20</v>
      </c>
      <c r="D85" s="6" t="s">
        <v>13</v>
      </c>
      <c r="E85" s="6"/>
      <c r="F85" s="6"/>
      <c r="G85" s="7">
        <v>764</v>
      </c>
      <c r="H85" s="7"/>
      <c r="I85" s="5"/>
      <c r="J85" s="21" t="s">
        <v>1229</v>
      </c>
      <c r="K85" s="7">
        <f t="shared" ref="K85:K116" si="3">K84 + IF(C85="Entrada", G85, -G85)</f>
        <v>-23298.570000000007</v>
      </c>
    </row>
    <row r="86" spans="1:11" x14ac:dyDescent="0.25">
      <c r="A86" s="3">
        <v>46188</v>
      </c>
      <c r="B86" s="4" t="s">
        <v>21</v>
      </c>
      <c r="C86" s="5" t="s">
        <v>20</v>
      </c>
      <c r="D86" s="6" t="s">
        <v>22</v>
      </c>
      <c r="E86" s="6" t="s">
        <v>17</v>
      </c>
      <c r="F86" s="6"/>
      <c r="G86" s="7">
        <v>0</v>
      </c>
      <c r="H86" s="7"/>
      <c r="I86" s="5"/>
      <c r="J86" s="21" t="s">
        <v>1229</v>
      </c>
      <c r="K86" s="7">
        <f t="shared" si="3"/>
        <v>-23298.570000000007</v>
      </c>
    </row>
    <row r="87" spans="1:11" x14ac:dyDescent="0.25">
      <c r="A87" s="3">
        <v>46188</v>
      </c>
      <c r="B87" s="4" t="s">
        <v>23</v>
      </c>
      <c r="C87" s="5" t="s">
        <v>12</v>
      </c>
      <c r="D87" s="6" t="s">
        <v>24</v>
      </c>
      <c r="E87" s="6" t="s">
        <v>17</v>
      </c>
      <c r="F87" s="6" t="s">
        <v>25</v>
      </c>
      <c r="G87" s="7">
        <v>0</v>
      </c>
      <c r="H87" s="7"/>
      <c r="I87" s="5"/>
      <c r="J87" s="21" t="s">
        <v>1229</v>
      </c>
      <c r="K87" s="7">
        <f t="shared" si="3"/>
        <v>-23298.570000000007</v>
      </c>
    </row>
    <row r="88" spans="1:11" x14ac:dyDescent="0.25">
      <c r="A88" s="3">
        <v>46188</v>
      </c>
      <c r="B88" s="4" t="s">
        <v>611</v>
      </c>
      <c r="C88" s="5" t="s">
        <v>12</v>
      </c>
      <c r="D88" s="6" t="s">
        <v>27</v>
      </c>
      <c r="E88" s="6" t="s">
        <v>17</v>
      </c>
      <c r="F88" s="6"/>
      <c r="G88" s="7">
        <v>180</v>
      </c>
      <c r="H88" s="7"/>
      <c r="I88" s="5"/>
      <c r="J88" s="21" t="s">
        <v>1229</v>
      </c>
      <c r="K88" s="7">
        <f t="shared" si="3"/>
        <v>-23478.570000000007</v>
      </c>
    </row>
    <row r="89" spans="1:11" x14ac:dyDescent="0.25">
      <c r="A89" s="3">
        <v>46188</v>
      </c>
      <c r="B89" s="4" t="s">
        <v>64</v>
      </c>
      <c r="C89" s="5" t="s">
        <v>12</v>
      </c>
      <c r="D89" s="6" t="s">
        <v>64</v>
      </c>
      <c r="E89" s="6" t="s">
        <v>17</v>
      </c>
      <c r="F89" s="6"/>
      <c r="G89" s="7">
        <v>800</v>
      </c>
      <c r="H89" s="7"/>
      <c r="I89" s="5"/>
      <c r="J89" s="21" t="s">
        <v>1229</v>
      </c>
      <c r="K89" s="7">
        <f t="shared" si="3"/>
        <v>-24278.570000000007</v>
      </c>
    </row>
    <row r="90" spans="1:11" x14ac:dyDescent="0.25">
      <c r="A90" s="3">
        <v>46188</v>
      </c>
      <c r="B90" s="4" t="s">
        <v>280</v>
      </c>
      <c r="C90" s="5" t="s">
        <v>12</v>
      </c>
      <c r="D90" s="6" t="s">
        <v>19</v>
      </c>
      <c r="E90" s="6" t="s">
        <v>17</v>
      </c>
      <c r="F90" s="6"/>
      <c r="G90" s="7">
        <v>231.55</v>
      </c>
      <c r="H90" s="7"/>
      <c r="I90" s="5"/>
      <c r="J90" s="21" t="s">
        <v>1229</v>
      </c>
      <c r="K90" s="7">
        <f t="shared" si="3"/>
        <v>-24510.120000000006</v>
      </c>
    </row>
    <row r="91" spans="1:11" x14ac:dyDescent="0.25">
      <c r="A91" s="3">
        <v>46188</v>
      </c>
      <c r="B91" s="4" t="s">
        <v>612</v>
      </c>
      <c r="C91" s="5" t="s">
        <v>12</v>
      </c>
      <c r="D91" s="6" t="s">
        <v>19</v>
      </c>
      <c r="E91" s="6" t="s">
        <v>17</v>
      </c>
      <c r="F91" s="6" t="s">
        <v>25</v>
      </c>
      <c r="G91" s="7">
        <v>225</v>
      </c>
      <c r="H91" s="7"/>
      <c r="I91" s="5"/>
      <c r="J91" s="21" t="s">
        <v>1229</v>
      </c>
      <c r="K91" s="7">
        <f t="shared" si="3"/>
        <v>-24735.120000000006</v>
      </c>
    </row>
    <row r="92" spans="1:11" x14ac:dyDescent="0.25">
      <c r="A92" s="3">
        <v>46188</v>
      </c>
      <c r="B92" s="4" t="s">
        <v>613</v>
      </c>
      <c r="C92" s="5" t="s">
        <v>12</v>
      </c>
      <c r="D92" s="6" t="s">
        <v>58</v>
      </c>
      <c r="E92" s="6" t="s">
        <v>17</v>
      </c>
      <c r="F92" s="6"/>
      <c r="G92" s="7">
        <v>606.58000000000004</v>
      </c>
      <c r="H92" s="7"/>
      <c r="I92" s="5"/>
      <c r="J92" s="21" t="s">
        <v>1229</v>
      </c>
      <c r="K92" s="7">
        <f t="shared" si="3"/>
        <v>-25341.700000000008</v>
      </c>
    </row>
    <row r="93" spans="1:11" x14ac:dyDescent="0.25">
      <c r="A93" s="3">
        <v>46189</v>
      </c>
      <c r="B93" s="4" t="s">
        <v>13</v>
      </c>
      <c r="C93" s="5" t="s">
        <v>20</v>
      </c>
      <c r="D93" s="6" t="s">
        <v>13</v>
      </c>
      <c r="E93" s="6"/>
      <c r="F93" s="6"/>
      <c r="G93" s="7">
        <v>1249</v>
      </c>
      <c r="H93" s="7"/>
      <c r="I93" s="5"/>
      <c r="J93" s="21" t="s">
        <v>1229</v>
      </c>
      <c r="K93" s="7">
        <f t="shared" si="3"/>
        <v>-24092.700000000008</v>
      </c>
    </row>
    <row r="94" spans="1:11" x14ac:dyDescent="0.25">
      <c r="A94" s="3">
        <v>46189</v>
      </c>
      <c r="B94" s="4" t="s">
        <v>21</v>
      </c>
      <c r="C94" s="5" t="s">
        <v>20</v>
      </c>
      <c r="D94" s="6" t="s">
        <v>22</v>
      </c>
      <c r="E94" s="6" t="s">
        <v>17</v>
      </c>
      <c r="F94" s="6"/>
      <c r="G94" s="7">
        <v>254</v>
      </c>
      <c r="H94" s="7"/>
      <c r="I94" s="5"/>
      <c r="J94" s="21" t="s">
        <v>1229</v>
      </c>
      <c r="K94" s="7">
        <f t="shared" si="3"/>
        <v>-23838.700000000008</v>
      </c>
    </row>
    <row r="95" spans="1:11" x14ac:dyDescent="0.25">
      <c r="A95" s="3">
        <v>46189</v>
      </c>
      <c r="B95" s="4" t="s">
        <v>23</v>
      </c>
      <c r="C95" s="5" t="s">
        <v>12</v>
      </c>
      <c r="D95" s="6" t="s">
        <v>24</v>
      </c>
      <c r="E95" s="6" t="s">
        <v>17</v>
      </c>
      <c r="F95" s="6" t="s">
        <v>25</v>
      </c>
      <c r="G95" s="7">
        <v>35</v>
      </c>
      <c r="H95" s="7"/>
      <c r="I95" s="5"/>
      <c r="J95" s="21" t="s">
        <v>1229</v>
      </c>
      <c r="K95" s="7">
        <f t="shared" si="3"/>
        <v>-23873.700000000008</v>
      </c>
    </row>
    <row r="96" spans="1:11" x14ac:dyDescent="0.25">
      <c r="A96" s="3">
        <v>46189</v>
      </c>
      <c r="B96" s="4" t="s">
        <v>346</v>
      </c>
      <c r="C96" s="5" t="s">
        <v>12</v>
      </c>
      <c r="D96" s="6" t="s">
        <v>19</v>
      </c>
      <c r="E96" s="6" t="s">
        <v>17</v>
      </c>
      <c r="F96" s="6"/>
      <c r="G96" s="7">
        <v>1084.28</v>
      </c>
      <c r="H96" s="7"/>
      <c r="I96" s="5"/>
      <c r="J96" s="21" t="s">
        <v>1229</v>
      </c>
      <c r="K96" s="7">
        <f t="shared" si="3"/>
        <v>-24957.980000000007</v>
      </c>
    </row>
    <row r="97" spans="1:11" x14ac:dyDescent="0.25">
      <c r="A97" s="3">
        <v>46189</v>
      </c>
      <c r="B97" s="4" t="s">
        <v>346</v>
      </c>
      <c r="C97" s="5" t="s">
        <v>12</v>
      </c>
      <c r="D97" s="6" t="s">
        <v>19</v>
      </c>
      <c r="E97" s="6" t="s">
        <v>14</v>
      </c>
      <c r="F97" s="6"/>
      <c r="G97" s="7">
        <v>578</v>
      </c>
      <c r="H97" s="7"/>
      <c r="I97" s="5"/>
      <c r="J97" s="21" t="s">
        <v>1229</v>
      </c>
      <c r="K97" s="7">
        <f t="shared" si="3"/>
        <v>-25535.980000000007</v>
      </c>
    </row>
    <row r="98" spans="1:11" x14ac:dyDescent="0.25">
      <c r="A98" s="3">
        <v>46189</v>
      </c>
      <c r="B98" s="4" t="s">
        <v>598</v>
      </c>
      <c r="C98" s="5" t="s">
        <v>12</v>
      </c>
      <c r="D98" s="6" t="s">
        <v>19</v>
      </c>
      <c r="E98" s="6" t="s">
        <v>17</v>
      </c>
      <c r="F98" s="6"/>
      <c r="G98" s="7">
        <v>136.51</v>
      </c>
      <c r="H98" s="7"/>
      <c r="I98" s="5"/>
      <c r="J98" s="21" t="s">
        <v>1229</v>
      </c>
      <c r="K98" s="7">
        <f t="shared" si="3"/>
        <v>-25672.490000000005</v>
      </c>
    </row>
    <row r="99" spans="1:11" x14ac:dyDescent="0.25">
      <c r="A99" s="3">
        <v>46189</v>
      </c>
      <c r="B99" s="4" t="s">
        <v>614</v>
      </c>
      <c r="C99" s="5" t="s">
        <v>12</v>
      </c>
      <c r="D99" s="6" t="s">
        <v>68</v>
      </c>
      <c r="E99" s="6" t="s">
        <v>17</v>
      </c>
      <c r="F99" s="6" t="s">
        <v>25</v>
      </c>
      <c r="G99" s="7">
        <v>45</v>
      </c>
      <c r="H99" s="7"/>
      <c r="I99" s="5"/>
      <c r="J99" s="21" t="s">
        <v>1229</v>
      </c>
      <c r="K99" s="7">
        <f t="shared" si="3"/>
        <v>-25717.490000000005</v>
      </c>
    </row>
    <row r="100" spans="1:11" x14ac:dyDescent="0.25">
      <c r="A100" s="3">
        <v>46189</v>
      </c>
      <c r="B100" s="4" t="s">
        <v>67</v>
      </c>
      <c r="C100" s="5" t="s">
        <v>12</v>
      </c>
      <c r="D100" s="6" t="s">
        <v>67</v>
      </c>
      <c r="E100" s="6" t="s">
        <v>14</v>
      </c>
      <c r="F100" s="6" t="s">
        <v>15</v>
      </c>
      <c r="G100" s="7">
        <v>20</v>
      </c>
      <c r="H100" s="7"/>
      <c r="I100" s="5"/>
      <c r="J100" s="21" t="s">
        <v>1229</v>
      </c>
      <c r="K100" s="7">
        <f t="shared" si="3"/>
        <v>-25737.490000000005</v>
      </c>
    </row>
    <row r="101" spans="1:11" x14ac:dyDescent="0.25">
      <c r="A101" s="3">
        <v>46189</v>
      </c>
      <c r="B101" s="4" t="s">
        <v>361</v>
      </c>
      <c r="C101" s="5" t="s">
        <v>12</v>
      </c>
      <c r="D101" s="6" t="s">
        <v>39</v>
      </c>
      <c r="E101" s="6" t="s">
        <v>17</v>
      </c>
      <c r="F101" s="6"/>
      <c r="G101" s="7">
        <v>99.9</v>
      </c>
      <c r="H101" s="7"/>
      <c r="I101" s="5"/>
      <c r="J101" s="21" t="s">
        <v>1229</v>
      </c>
      <c r="K101" s="7">
        <f t="shared" si="3"/>
        <v>-25837.390000000007</v>
      </c>
    </row>
    <row r="102" spans="1:11" x14ac:dyDescent="0.25">
      <c r="A102" s="3">
        <v>46190</v>
      </c>
      <c r="B102" s="4" t="s">
        <v>13</v>
      </c>
      <c r="C102" s="5" t="s">
        <v>20</v>
      </c>
      <c r="D102" s="6" t="s">
        <v>13</v>
      </c>
      <c r="E102" s="6"/>
      <c r="F102" s="6"/>
      <c r="G102" s="7">
        <v>1106</v>
      </c>
      <c r="H102" s="7"/>
      <c r="I102" s="5"/>
      <c r="J102" s="21" t="s">
        <v>1229</v>
      </c>
      <c r="K102" s="7">
        <f t="shared" si="3"/>
        <v>-24731.390000000007</v>
      </c>
    </row>
    <row r="103" spans="1:11" x14ac:dyDescent="0.25">
      <c r="A103" s="3">
        <v>46190</v>
      </c>
      <c r="B103" s="4" t="s">
        <v>21</v>
      </c>
      <c r="C103" s="5" t="s">
        <v>20</v>
      </c>
      <c r="D103" s="6" t="s">
        <v>22</v>
      </c>
      <c r="E103" s="6" t="s">
        <v>17</v>
      </c>
      <c r="F103" s="6"/>
      <c r="G103" s="7">
        <v>67</v>
      </c>
      <c r="H103" s="7"/>
      <c r="I103" s="5"/>
      <c r="J103" s="21" t="s">
        <v>1229</v>
      </c>
      <c r="K103" s="7">
        <f t="shared" si="3"/>
        <v>-24664.390000000007</v>
      </c>
    </row>
    <row r="104" spans="1:11" x14ac:dyDescent="0.25">
      <c r="A104" s="3">
        <v>46190</v>
      </c>
      <c r="B104" s="4" t="s">
        <v>23</v>
      </c>
      <c r="C104" s="5" t="s">
        <v>12</v>
      </c>
      <c r="D104" s="6" t="s">
        <v>24</v>
      </c>
      <c r="E104" s="6" t="s">
        <v>17</v>
      </c>
      <c r="F104" s="6" t="s">
        <v>25</v>
      </c>
      <c r="G104" s="7">
        <v>9</v>
      </c>
      <c r="H104" s="7"/>
      <c r="I104" s="5"/>
      <c r="J104" s="21" t="s">
        <v>1229</v>
      </c>
      <c r="K104" s="7">
        <f t="shared" si="3"/>
        <v>-24673.390000000007</v>
      </c>
    </row>
    <row r="105" spans="1:11" x14ac:dyDescent="0.25">
      <c r="A105" s="3">
        <v>46191</v>
      </c>
      <c r="B105" s="4" t="s">
        <v>30</v>
      </c>
      <c r="C105" s="5" t="s">
        <v>20</v>
      </c>
      <c r="D105" s="6" t="s">
        <v>13</v>
      </c>
      <c r="E105" s="6"/>
      <c r="F105" s="6"/>
      <c r="G105" s="7">
        <v>1241.4000000000001</v>
      </c>
      <c r="H105" s="7"/>
      <c r="I105" s="5"/>
      <c r="J105" s="21" t="s">
        <v>1229</v>
      </c>
      <c r="K105" s="7">
        <f t="shared" si="3"/>
        <v>-23431.990000000005</v>
      </c>
    </row>
    <row r="106" spans="1:11" x14ac:dyDescent="0.25">
      <c r="A106" s="3">
        <v>46191</v>
      </c>
      <c r="B106" s="4" t="s">
        <v>21</v>
      </c>
      <c r="C106" s="5" t="s">
        <v>20</v>
      </c>
      <c r="D106" s="6" t="s">
        <v>22</v>
      </c>
      <c r="E106" s="6" t="s">
        <v>17</v>
      </c>
      <c r="F106" s="6"/>
      <c r="G106" s="7">
        <v>32</v>
      </c>
      <c r="H106" s="7"/>
      <c r="I106" s="5"/>
      <c r="J106" s="21" t="s">
        <v>1229</v>
      </c>
      <c r="K106" s="7">
        <f t="shared" si="3"/>
        <v>-23399.990000000005</v>
      </c>
    </row>
    <row r="107" spans="1:11" x14ac:dyDescent="0.25">
      <c r="A107" s="3">
        <v>46191</v>
      </c>
      <c r="B107" s="4" t="s">
        <v>23</v>
      </c>
      <c r="C107" s="5" t="s">
        <v>12</v>
      </c>
      <c r="D107" s="6" t="s">
        <v>24</v>
      </c>
      <c r="E107" s="6" t="s">
        <v>17</v>
      </c>
      <c r="F107" s="6" t="s">
        <v>25</v>
      </c>
      <c r="G107" s="7">
        <v>17</v>
      </c>
      <c r="H107" s="7"/>
      <c r="I107" s="5"/>
      <c r="J107" s="21" t="s">
        <v>1229</v>
      </c>
      <c r="K107" s="7">
        <f t="shared" si="3"/>
        <v>-23416.990000000005</v>
      </c>
    </row>
    <row r="108" spans="1:11" x14ac:dyDescent="0.25">
      <c r="A108" s="3">
        <v>46192</v>
      </c>
      <c r="B108" s="4" t="s">
        <v>13</v>
      </c>
      <c r="C108" s="5" t="s">
        <v>20</v>
      </c>
      <c r="D108" s="6" t="s">
        <v>13</v>
      </c>
      <c r="E108" s="6"/>
      <c r="F108" s="6"/>
      <c r="G108" s="7">
        <v>1829</v>
      </c>
      <c r="H108" s="7"/>
      <c r="I108" s="5"/>
      <c r="J108" s="21" t="s">
        <v>1229</v>
      </c>
      <c r="K108" s="7">
        <f t="shared" si="3"/>
        <v>-21587.990000000005</v>
      </c>
    </row>
    <row r="109" spans="1:11" x14ac:dyDescent="0.25">
      <c r="A109" s="3">
        <v>46192</v>
      </c>
      <c r="B109" s="4" t="s">
        <v>44</v>
      </c>
      <c r="C109" s="5" t="s">
        <v>20</v>
      </c>
      <c r="D109" s="6" t="s">
        <v>22</v>
      </c>
      <c r="E109" s="6" t="s">
        <v>17</v>
      </c>
      <c r="F109" s="6"/>
      <c r="G109" s="7">
        <v>42</v>
      </c>
      <c r="H109" s="7"/>
      <c r="I109" s="5"/>
      <c r="J109" s="21" t="s">
        <v>1229</v>
      </c>
      <c r="K109" s="7">
        <f t="shared" si="3"/>
        <v>-21545.990000000005</v>
      </c>
    </row>
    <row r="110" spans="1:11" x14ac:dyDescent="0.25">
      <c r="A110" s="3">
        <v>46192</v>
      </c>
      <c r="B110" s="4" t="s">
        <v>45</v>
      </c>
      <c r="C110" s="5" t="s">
        <v>12</v>
      </c>
      <c r="D110" s="6" t="s">
        <v>24</v>
      </c>
      <c r="E110" s="6" t="s">
        <v>17</v>
      </c>
      <c r="F110" s="6" t="s">
        <v>25</v>
      </c>
      <c r="G110" s="7">
        <v>9</v>
      </c>
      <c r="H110" s="7"/>
      <c r="I110" s="5"/>
      <c r="J110" s="21" t="s">
        <v>1229</v>
      </c>
      <c r="K110" s="7">
        <f t="shared" si="3"/>
        <v>-21554.990000000005</v>
      </c>
    </row>
    <row r="111" spans="1:11" x14ac:dyDescent="0.25">
      <c r="A111" s="3">
        <v>46192</v>
      </c>
      <c r="B111" s="4" t="s">
        <v>393</v>
      </c>
      <c r="C111" s="5" t="s">
        <v>12</v>
      </c>
      <c r="D111" s="6" t="s">
        <v>19</v>
      </c>
      <c r="E111" s="6" t="s">
        <v>14</v>
      </c>
      <c r="F111" s="6" t="s">
        <v>15</v>
      </c>
      <c r="G111" s="7">
        <v>423</v>
      </c>
      <c r="H111" s="7"/>
      <c r="I111" s="5"/>
      <c r="J111" s="21" t="s">
        <v>1229</v>
      </c>
      <c r="K111" s="7">
        <f t="shared" si="3"/>
        <v>-21977.990000000005</v>
      </c>
    </row>
    <row r="112" spans="1:11" x14ac:dyDescent="0.25">
      <c r="A112" s="3">
        <v>46192</v>
      </c>
      <c r="B112" s="4" t="s">
        <v>615</v>
      </c>
      <c r="C112" s="5" t="s">
        <v>12</v>
      </c>
      <c r="D112" s="6" t="s">
        <v>19</v>
      </c>
      <c r="E112" s="6" t="s">
        <v>17</v>
      </c>
      <c r="F112" s="6" t="s">
        <v>25</v>
      </c>
      <c r="G112" s="7">
        <v>92</v>
      </c>
      <c r="H112" s="7"/>
      <c r="I112" s="5"/>
      <c r="J112" s="21" t="s">
        <v>1229</v>
      </c>
      <c r="K112" s="7">
        <f t="shared" si="3"/>
        <v>-22069.990000000005</v>
      </c>
    </row>
    <row r="113" spans="1:11" x14ac:dyDescent="0.25">
      <c r="A113" s="3">
        <v>46192</v>
      </c>
      <c r="B113" s="4" t="s">
        <v>616</v>
      </c>
      <c r="C113" s="5" t="s">
        <v>12</v>
      </c>
      <c r="D113" s="6" t="s">
        <v>19</v>
      </c>
      <c r="E113" s="6" t="s">
        <v>17</v>
      </c>
      <c r="F113" s="6" t="s">
        <v>25</v>
      </c>
      <c r="G113" s="7">
        <v>700</v>
      </c>
      <c r="H113" s="7"/>
      <c r="I113" s="5"/>
      <c r="J113" s="21" t="s">
        <v>1229</v>
      </c>
      <c r="K113" s="7">
        <f t="shared" si="3"/>
        <v>-22769.990000000005</v>
      </c>
    </row>
    <row r="114" spans="1:11" x14ac:dyDescent="0.25">
      <c r="A114" s="3">
        <v>46192</v>
      </c>
      <c r="B114" s="4" t="s">
        <v>483</v>
      </c>
      <c r="C114" s="5" t="s">
        <v>12</v>
      </c>
      <c r="D114" s="6" t="s">
        <v>58</v>
      </c>
      <c r="E114" s="6" t="s">
        <v>17</v>
      </c>
      <c r="F114" s="6"/>
      <c r="G114" s="7">
        <v>749.53</v>
      </c>
      <c r="H114" s="7"/>
      <c r="I114" s="5"/>
      <c r="J114" s="21" t="s">
        <v>1229</v>
      </c>
      <c r="K114" s="7">
        <f t="shared" si="3"/>
        <v>-23519.520000000004</v>
      </c>
    </row>
    <row r="115" spans="1:11" x14ac:dyDescent="0.25">
      <c r="A115" s="3">
        <v>46192</v>
      </c>
      <c r="B115" s="4" t="s">
        <v>350</v>
      </c>
      <c r="C115" s="5" t="s">
        <v>12</v>
      </c>
      <c r="D115" s="6" t="s">
        <v>58</v>
      </c>
      <c r="E115" s="6" t="s">
        <v>17</v>
      </c>
      <c r="F115" s="6" t="s">
        <v>25</v>
      </c>
      <c r="G115" s="7">
        <v>774.34</v>
      </c>
      <c r="H115" s="7"/>
      <c r="I115" s="5"/>
      <c r="J115" s="21" t="s">
        <v>1229</v>
      </c>
      <c r="K115" s="7">
        <f t="shared" si="3"/>
        <v>-24293.860000000004</v>
      </c>
    </row>
    <row r="116" spans="1:11" x14ac:dyDescent="0.25">
      <c r="A116" s="3">
        <v>46192</v>
      </c>
      <c r="B116" s="4" t="s">
        <v>507</v>
      </c>
      <c r="C116" s="5" t="s">
        <v>12</v>
      </c>
      <c r="D116" s="6" t="s">
        <v>19</v>
      </c>
      <c r="E116" s="6" t="s">
        <v>17</v>
      </c>
      <c r="F116" s="6" t="s">
        <v>25</v>
      </c>
      <c r="G116" s="7">
        <v>179</v>
      </c>
      <c r="H116" s="7"/>
      <c r="I116" s="5"/>
      <c r="J116" s="21" t="s">
        <v>1229</v>
      </c>
      <c r="K116" s="7">
        <f t="shared" si="3"/>
        <v>-24472.860000000004</v>
      </c>
    </row>
    <row r="117" spans="1:11" x14ac:dyDescent="0.25">
      <c r="A117" s="3">
        <v>46192</v>
      </c>
      <c r="B117" s="4" t="s">
        <v>527</v>
      </c>
      <c r="C117" s="5" t="s">
        <v>12</v>
      </c>
      <c r="D117" s="6" t="s">
        <v>27</v>
      </c>
      <c r="E117" s="6" t="s">
        <v>17</v>
      </c>
      <c r="F117" s="6" t="s">
        <v>25</v>
      </c>
      <c r="G117" s="7">
        <v>4210.16</v>
      </c>
      <c r="H117" s="7"/>
      <c r="I117" s="5"/>
      <c r="J117" s="21" t="s">
        <v>1229</v>
      </c>
      <c r="K117" s="7">
        <f t="shared" ref="K117:K148" si="4">K116 + IF(C117="Entrada", G117, -G117)</f>
        <v>-28683.020000000004</v>
      </c>
    </row>
    <row r="118" spans="1:11" x14ac:dyDescent="0.25">
      <c r="A118" s="3">
        <v>46192</v>
      </c>
      <c r="B118" s="4" t="s">
        <v>617</v>
      </c>
      <c r="C118" s="5" t="s">
        <v>12</v>
      </c>
      <c r="D118" s="6" t="s">
        <v>67</v>
      </c>
      <c r="E118" s="6" t="s">
        <v>14</v>
      </c>
      <c r="F118" s="6" t="s">
        <v>15</v>
      </c>
      <c r="G118" s="7">
        <v>30</v>
      </c>
      <c r="H118" s="7"/>
      <c r="I118" s="5"/>
      <c r="J118" s="21" t="s">
        <v>1229</v>
      </c>
      <c r="K118" s="7">
        <f t="shared" si="4"/>
        <v>-28713.020000000004</v>
      </c>
    </row>
    <row r="119" spans="1:11" x14ac:dyDescent="0.25">
      <c r="A119" s="3">
        <v>46192</v>
      </c>
      <c r="B119" s="4" t="s">
        <v>322</v>
      </c>
      <c r="C119" s="5" t="s">
        <v>12</v>
      </c>
      <c r="D119" s="6" t="s">
        <v>65</v>
      </c>
      <c r="E119" s="6" t="s">
        <v>17</v>
      </c>
      <c r="F119" s="6" t="s">
        <v>25</v>
      </c>
      <c r="G119" s="7">
        <v>45</v>
      </c>
      <c r="H119" s="7"/>
      <c r="I119" s="5"/>
      <c r="J119" s="21" t="s">
        <v>1229</v>
      </c>
      <c r="K119" s="7">
        <f t="shared" si="4"/>
        <v>-28758.020000000004</v>
      </c>
    </row>
    <row r="120" spans="1:11" x14ac:dyDescent="0.25">
      <c r="A120" s="3">
        <v>46193</v>
      </c>
      <c r="B120" s="4" t="s">
        <v>618</v>
      </c>
      <c r="C120" s="5" t="s">
        <v>20</v>
      </c>
      <c r="D120" s="6" t="s">
        <v>13</v>
      </c>
      <c r="E120" s="6"/>
      <c r="F120" s="6"/>
      <c r="G120" s="7">
        <v>4757</v>
      </c>
      <c r="H120" s="7"/>
      <c r="I120" s="5"/>
      <c r="J120" s="21" t="s">
        <v>1229</v>
      </c>
      <c r="K120" s="7">
        <f t="shared" si="4"/>
        <v>-24001.020000000004</v>
      </c>
    </row>
    <row r="121" spans="1:11" x14ac:dyDescent="0.25">
      <c r="A121" s="3">
        <v>46193</v>
      </c>
      <c r="B121" s="4" t="s">
        <v>21</v>
      </c>
      <c r="C121" s="5" t="s">
        <v>20</v>
      </c>
      <c r="D121" s="6" t="s">
        <v>22</v>
      </c>
      <c r="E121" s="6" t="s">
        <v>17</v>
      </c>
      <c r="F121" s="6"/>
      <c r="G121" s="7">
        <v>68</v>
      </c>
      <c r="H121" s="7"/>
      <c r="I121" s="5"/>
      <c r="J121" s="21" t="s">
        <v>1229</v>
      </c>
      <c r="K121" s="7">
        <f t="shared" si="4"/>
        <v>-23933.020000000004</v>
      </c>
    </row>
    <row r="122" spans="1:11" x14ac:dyDescent="0.25">
      <c r="A122" s="3">
        <v>46193</v>
      </c>
      <c r="B122" s="4" t="s">
        <v>23</v>
      </c>
      <c r="C122" s="5" t="s">
        <v>12</v>
      </c>
      <c r="D122" s="6" t="s">
        <v>24</v>
      </c>
      <c r="E122" s="6" t="s">
        <v>17</v>
      </c>
      <c r="F122" s="6" t="s">
        <v>25</v>
      </c>
      <c r="G122" s="7">
        <v>9</v>
      </c>
      <c r="H122" s="7"/>
      <c r="I122" s="5"/>
      <c r="J122" s="21" t="s">
        <v>1229</v>
      </c>
      <c r="K122" s="7">
        <f t="shared" si="4"/>
        <v>-23942.020000000004</v>
      </c>
    </row>
    <row r="123" spans="1:11" x14ac:dyDescent="0.25">
      <c r="A123" s="3">
        <v>46194</v>
      </c>
      <c r="B123" s="4" t="s">
        <v>13</v>
      </c>
      <c r="C123" s="5" t="s">
        <v>20</v>
      </c>
      <c r="D123" s="6" t="s">
        <v>13</v>
      </c>
      <c r="E123" s="6"/>
      <c r="F123" s="6"/>
      <c r="G123" s="7">
        <v>6548</v>
      </c>
      <c r="H123" s="7"/>
      <c r="I123" s="5"/>
      <c r="J123" s="21" t="s">
        <v>1229</v>
      </c>
      <c r="K123" s="7">
        <f t="shared" si="4"/>
        <v>-17394.020000000004</v>
      </c>
    </row>
    <row r="124" spans="1:11" x14ac:dyDescent="0.25">
      <c r="A124" s="3">
        <v>46194</v>
      </c>
      <c r="B124" s="4" t="s">
        <v>21</v>
      </c>
      <c r="C124" s="5" t="s">
        <v>20</v>
      </c>
      <c r="D124" s="6" t="s">
        <v>22</v>
      </c>
      <c r="E124" s="6" t="s">
        <v>17</v>
      </c>
      <c r="F124" s="6"/>
      <c r="G124" s="7">
        <v>309</v>
      </c>
      <c r="H124" s="7"/>
      <c r="I124" s="5"/>
      <c r="J124" s="21" t="s">
        <v>1229</v>
      </c>
      <c r="K124" s="7">
        <f t="shared" si="4"/>
        <v>-17085.020000000004</v>
      </c>
    </row>
    <row r="125" spans="1:11" x14ac:dyDescent="0.25">
      <c r="A125" s="3">
        <v>46194</v>
      </c>
      <c r="B125" s="4" t="s">
        <v>23</v>
      </c>
      <c r="C125" s="5" t="s">
        <v>12</v>
      </c>
      <c r="D125" s="6" t="s">
        <v>24</v>
      </c>
      <c r="E125" s="6" t="s">
        <v>17</v>
      </c>
      <c r="F125" s="6" t="s">
        <v>25</v>
      </c>
      <c r="G125" s="7">
        <v>45</v>
      </c>
      <c r="H125" s="7"/>
      <c r="I125" s="5"/>
      <c r="J125" s="21" t="s">
        <v>1229</v>
      </c>
      <c r="K125" s="7">
        <f t="shared" si="4"/>
        <v>-17130.020000000004</v>
      </c>
    </row>
    <row r="126" spans="1:11" x14ac:dyDescent="0.25">
      <c r="A126" s="3">
        <v>46195</v>
      </c>
      <c r="B126" s="4" t="s">
        <v>13</v>
      </c>
      <c r="C126" s="5" t="s">
        <v>20</v>
      </c>
      <c r="D126" s="6" t="s">
        <v>13</v>
      </c>
      <c r="E126" s="6"/>
      <c r="F126" s="6"/>
      <c r="G126" s="7">
        <v>1239</v>
      </c>
      <c r="H126" s="7"/>
      <c r="I126" s="5"/>
      <c r="J126" s="21" t="s">
        <v>1229</v>
      </c>
      <c r="K126" s="7">
        <f t="shared" si="4"/>
        <v>-15891.020000000004</v>
      </c>
    </row>
    <row r="127" spans="1:11" x14ac:dyDescent="0.25">
      <c r="A127" s="3">
        <v>46195</v>
      </c>
      <c r="B127" s="4" t="s">
        <v>21</v>
      </c>
      <c r="C127" s="5" t="s">
        <v>20</v>
      </c>
      <c r="D127" s="6" t="s">
        <v>22</v>
      </c>
      <c r="E127" s="6" t="s">
        <v>17</v>
      </c>
      <c r="F127" s="6"/>
      <c r="G127" s="7">
        <v>0</v>
      </c>
      <c r="H127" s="7"/>
      <c r="I127" s="5"/>
      <c r="J127" s="21" t="s">
        <v>1229</v>
      </c>
      <c r="K127" s="7">
        <f t="shared" si="4"/>
        <v>-15891.020000000004</v>
      </c>
    </row>
    <row r="128" spans="1:11" x14ac:dyDescent="0.25">
      <c r="A128" s="3">
        <v>46195</v>
      </c>
      <c r="B128" s="4" t="s">
        <v>23</v>
      </c>
      <c r="C128" s="5" t="s">
        <v>12</v>
      </c>
      <c r="D128" s="6" t="s">
        <v>24</v>
      </c>
      <c r="E128" s="6" t="s">
        <v>17</v>
      </c>
      <c r="F128" s="6" t="s">
        <v>25</v>
      </c>
      <c r="G128" s="7">
        <v>0</v>
      </c>
      <c r="H128" s="7"/>
      <c r="I128" s="5"/>
      <c r="J128" s="21" t="s">
        <v>1229</v>
      </c>
      <c r="K128" s="7">
        <f t="shared" si="4"/>
        <v>-15891.020000000004</v>
      </c>
    </row>
    <row r="129" spans="1:11" x14ac:dyDescent="0.25">
      <c r="A129" s="3">
        <v>46195</v>
      </c>
      <c r="B129" s="4" t="s">
        <v>619</v>
      </c>
      <c r="C129" s="5" t="s">
        <v>12</v>
      </c>
      <c r="D129" s="6" t="s">
        <v>58</v>
      </c>
      <c r="E129" s="6" t="s">
        <v>17</v>
      </c>
      <c r="F129" s="6"/>
      <c r="G129" s="7">
        <v>7156.18</v>
      </c>
      <c r="H129" s="7"/>
      <c r="I129" s="5"/>
      <c r="J129" s="21" t="s">
        <v>1229</v>
      </c>
      <c r="K129" s="7">
        <f t="shared" si="4"/>
        <v>-23047.200000000004</v>
      </c>
    </row>
    <row r="130" spans="1:11" x14ac:dyDescent="0.25">
      <c r="A130" s="3">
        <v>46195</v>
      </c>
      <c r="B130" s="4" t="s">
        <v>533</v>
      </c>
      <c r="C130" s="5" t="s">
        <v>12</v>
      </c>
      <c r="D130" s="6" t="s">
        <v>19</v>
      </c>
      <c r="E130" s="6" t="s">
        <v>17</v>
      </c>
      <c r="F130" s="6"/>
      <c r="G130" s="7">
        <v>1486.94</v>
      </c>
      <c r="H130" s="7"/>
      <c r="I130" s="5"/>
      <c r="J130" s="21" t="s">
        <v>1229</v>
      </c>
      <c r="K130" s="7">
        <f t="shared" si="4"/>
        <v>-24534.140000000003</v>
      </c>
    </row>
    <row r="131" spans="1:11" x14ac:dyDescent="0.25">
      <c r="A131" s="3">
        <v>46195</v>
      </c>
      <c r="B131" s="4" t="s">
        <v>387</v>
      </c>
      <c r="C131" s="5" t="s">
        <v>12</v>
      </c>
      <c r="D131" s="6" t="s">
        <v>19</v>
      </c>
      <c r="E131" s="6" t="s">
        <v>17</v>
      </c>
      <c r="F131" s="6"/>
      <c r="G131" s="7">
        <v>428.45</v>
      </c>
      <c r="H131" s="7"/>
      <c r="I131" s="5"/>
      <c r="J131" s="21" t="s">
        <v>1229</v>
      </c>
      <c r="K131" s="7">
        <f t="shared" si="4"/>
        <v>-24962.590000000004</v>
      </c>
    </row>
    <row r="132" spans="1:11" x14ac:dyDescent="0.25">
      <c r="A132" s="3">
        <v>46195</v>
      </c>
      <c r="B132" s="4" t="s">
        <v>578</v>
      </c>
      <c r="C132" s="5" t="s">
        <v>12</v>
      </c>
      <c r="D132" s="6" t="s">
        <v>62</v>
      </c>
      <c r="E132" s="6" t="s">
        <v>17</v>
      </c>
      <c r="F132" s="6"/>
      <c r="G132" s="7">
        <v>537</v>
      </c>
      <c r="H132" s="7"/>
      <c r="I132" s="5"/>
      <c r="J132" s="21" t="s">
        <v>1229</v>
      </c>
      <c r="K132" s="7">
        <f t="shared" si="4"/>
        <v>-25499.590000000004</v>
      </c>
    </row>
    <row r="133" spans="1:11" x14ac:dyDescent="0.25">
      <c r="A133" s="3">
        <v>46196</v>
      </c>
      <c r="B133" s="4" t="s">
        <v>30</v>
      </c>
      <c r="C133" s="5" t="s">
        <v>20</v>
      </c>
      <c r="D133" s="6" t="s">
        <v>13</v>
      </c>
      <c r="E133" s="6"/>
      <c r="F133" s="6"/>
      <c r="G133" s="7">
        <v>907</v>
      </c>
      <c r="H133" s="7"/>
      <c r="I133" s="5"/>
      <c r="J133" s="21" t="s">
        <v>1229</v>
      </c>
      <c r="K133" s="7">
        <f t="shared" si="4"/>
        <v>-24592.590000000004</v>
      </c>
    </row>
    <row r="134" spans="1:11" x14ac:dyDescent="0.25">
      <c r="A134" s="3">
        <v>46196</v>
      </c>
      <c r="B134" s="4" t="s">
        <v>44</v>
      </c>
      <c r="C134" s="5" t="s">
        <v>20</v>
      </c>
      <c r="D134" s="6" t="s">
        <v>22</v>
      </c>
      <c r="E134" s="6" t="s">
        <v>17</v>
      </c>
      <c r="F134" s="6"/>
      <c r="G134" s="7">
        <v>0</v>
      </c>
      <c r="H134" s="7"/>
      <c r="I134" s="5"/>
      <c r="J134" s="21" t="s">
        <v>1229</v>
      </c>
      <c r="K134" s="7">
        <f t="shared" si="4"/>
        <v>-24592.590000000004</v>
      </c>
    </row>
    <row r="135" spans="1:11" x14ac:dyDescent="0.25">
      <c r="A135" s="3">
        <v>46196</v>
      </c>
      <c r="B135" s="4" t="s">
        <v>45</v>
      </c>
      <c r="C135" s="5" t="s">
        <v>12</v>
      </c>
      <c r="D135" s="6" t="s">
        <v>24</v>
      </c>
      <c r="E135" s="6" t="s">
        <v>17</v>
      </c>
      <c r="F135" s="6" t="s">
        <v>25</v>
      </c>
      <c r="G135" s="7">
        <v>0</v>
      </c>
      <c r="H135" s="7"/>
      <c r="I135" s="5"/>
      <c r="J135" s="21" t="s">
        <v>1229</v>
      </c>
      <c r="K135" s="7">
        <f t="shared" si="4"/>
        <v>-24592.590000000004</v>
      </c>
    </row>
    <row r="136" spans="1:11" x14ac:dyDescent="0.25">
      <c r="A136" s="3">
        <v>46196</v>
      </c>
      <c r="B136" s="4" t="s">
        <v>348</v>
      </c>
      <c r="C136" s="5" t="s">
        <v>12</v>
      </c>
      <c r="D136" s="6" t="s">
        <v>19</v>
      </c>
      <c r="E136" s="6" t="s">
        <v>17</v>
      </c>
      <c r="F136" s="6"/>
      <c r="G136" s="7">
        <v>136.51</v>
      </c>
      <c r="H136" s="7"/>
      <c r="I136" s="5"/>
      <c r="J136" s="21" t="s">
        <v>1229</v>
      </c>
      <c r="K136" s="7">
        <f t="shared" si="4"/>
        <v>-24729.100000000002</v>
      </c>
    </row>
    <row r="137" spans="1:11" x14ac:dyDescent="0.25">
      <c r="A137" s="3">
        <v>46196</v>
      </c>
      <c r="B137" s="4" t="s">
        <v>620</v>
      </c>
      <c r="C137" s="5" t="s">
        <v>12</v>
      </c>
      <c r="D137" s="6" t="s">
        <v>65</v>
      </c>
      <c r="E137" s="6" t="s">
        <v>17</v>
      </c>
      <c r="F137" s="6" t="s">
        <v>25</v>
      </c>
      <c r="G137" s="7">
        <v>3428.21</v>
      </c>
      <c r="H137" s="7"/>
      <c r="I137" s="5" t="s">
        <v>621</v>
      </c>
      <c r="J137" s="21" t="s">
        <v>1229</v>
      </c>
      <c r="K137" s="7">
        <f t="shared" si="4"/>
        <v>-28157.31</v>
      </c>
    </row>
    <row r="138" spans="1:11" x14ac:dyDescent="0.25">
      <c r="A138" s="3">
        <v>46195</v>
      </c>
      <c r="B138" s="4" t="s">
        <v>622</v>
      </c>
      <c r="C138" s="5" t="s">
        <v>12</v>
      </c>
      <c r="D138" s="6" t="s">
        <v>19</v>
      </c>
      <c r="E138" s="6" t="s">
        <v>17</v>
      </c>
      <c r="F138" s="6" t="s">
        <v>25</v>
      </c>
      <c r="G138" s="7">
        <v>500</v>
      </c>
      <c r="H138" s="7"/>
      <c r="I138" s="5"/>
      <c r="J138" s="21" t="s">
        <v>1229</v>
      </c>
      <c r="K138" s="7">
        <f t="shared" si="4"/>
        <v>-28657.31</v>
      </c>
    </row>
    <row r="139" spans="1:11" x14ac:dyDescent="0.25">
      <c r="A139" s="3">
        <v>46197</v>
      </c>
      <c r="B139" s="4" t="s">
        <v>13</v>
      </c>
      <c r="C139" s="5" t="s">
        <v>20</v>
      </c>
      <c r="D139" s="6" t="s">
        <v>13</v>
      </c>
      <c r="E139" s="6"/>
      <c r="F139" s="6"/>
      <c r="G139" s="7">
        <v>237</v>
      </c>
      <c r="H139" s="7"/>
      <c r="I139" s="5"/>
      <c r="J139" s="21" t="s">
        <v>1229</v>
      </c>
      <c r="K139" s="7">
        <f t="shared" si="4"/>
        <v>-28420.31</v>
      </c>
    </row>
    <row r="140" spans="1:11" x14ac:dyDescent="0.25">
      <c r="A140" s="3">
        <v>46197</v>
      </c>
      <c r="B140" s="4" t="s">
        <v>21</v>
      </c>
      <c r="C140" s="5" t="s">
        <v>20</v>
      </c>
      <c r="D140" s="6" t="s">
        <v>22</v>
      </c>
      <c r="E140" s="6" t="s">
        <v>17</v>
      </c>
      <c r="F140" s="6"/>
      <c r="G140" s="7">
        <v>42</v>
      </c>
      <c r="H140" s="7"/>
      <c r="I140" s="5"/>
      <c r="J140" s="21" t="s">
        <v>1229</v>
      </c>
      <c r="K140" s="7">
        <f t="shared" si="4"/>
        <v>-28378.31</v>
      </c>
    </row>
    <row r="141" spans="1:11" x14ac:dyDescent="0.25">
      <c r="A141" s="3">
        <v>46197</v>
      </c>
      <c r="B141" s="4" t="s">
        <v>23</v>
      </c>
      <c r="C141" s="5" t="s">
        <v>12</v>
      </c>
      <c r="D141" s="6" t="s">
        <v>24</v>
      </c>
      <c r="E141" s="6" t="s">
        <v>17</v>
      </c>
      <c r="F141" s="6" t="s">
        <v>25</v>
      </c>
      <c r="G141" s="7">
        <v>9</v>
      </c>
      <c r="H141" s="7"/>
      <c r="I141" s="5"/>
      <c r="J141" s="21" t="s">
        <v>1229</v>
      </c>
      <c r="K141" s="7">
        <f t="shared" si="4"/>
        <v>-28387.31</v>
      </c>
    </row>
    <row r="142" spans="1:11" x14ac:dyDescent="0.25">
      <c r="A142" s="3">
        <v>46197</v>
      </c>
      <c r="B142" s="4" t="s">
        <v>623</v>
      </c>
      <c r="C142" s="5" t="s">
        <v>12</v>
      </c>
      <c r="D142" s="6" t="s">
        <v>19</v>
      </c>
      <c r="E142" s="6" t="s">
        <v>17</v>
      </c>
      <c r="F142" s="6" t="s">
        <v>25</v>
      </c>
      <c r="G142" s="7">
        <v>500</v>
      </c>
      <c r="H142" s="7"/>
      <c r="I142" s="5"/>
      <c r="J142" s="21" t="s">
        <v>1229</v>
      </c>
      <c r="K142" s="7">
        <f t="shared" si="4"/>
        <v>-28887.31</v>
      </c>
    </row>
    <row r="143" spans="1:11" x14ac:dyDescent="0.25">
      <c r="A143" s="3">
        <v>46198</v>
      </c>
      <c r="B143" s="4" t="s">
        <v>624</v>
      </c>
      <c r="C143" s="5" t="s">
        <v>12</v>
      </c>
      <c r="D143" s="6" t="s">
        <v>39</v>
      </c>
      <c r="E143" s="6" t="s">
        <v>17</v>
      </c>
      <c r="F143" s="6"/>
      <c r="G143" s="7">
        <v>112.68</v>
      </c>
      <c r="H143" s="7"/>
      <c r="I143" s="5"/>
      <c r="J143" s="21" t="s">
        <v>1229</v>
      </c>
      <c r="K143" s="7">
        <f t="shared" si="4"/>
        <v>-28999.99</v>
      </c>
    </row>
    <row r="144" spans="1:11" x14ac:dyDescent="0.25">
      <c r="A144" s="3">
        <v>46198</v>
      </c>
      <c r="B144" s="4" t="s">
        <v>30</v>
      </c>
      <c r="C144" s="5" t="s">
        <v>20</v>
      </c>
      <c r="D144" s="6" t="s">
        <v>13</v>
      </c>
      <c r="E144" s="6"/>
      <c r="F144" s="6"/>
      <c r="G144" s="7">
        <v>1167</v>
      </c>
      <c r="H144" s="7"/>
      <c r="I144" s="5"/>
      <c r="J144" s="21" t="s">
        <v>1229</v>
      </c>
      <c r="K144" s="7">
        <f t="shared" si="4"/>
        <v>-27832.99</v>
      </c>
    </row>
    <row r="145" spans="1:11" x14ac:dyDescent="0.25">
      <c r="A145" s="3">
        <v>46198</v>
      </c>
      <c r="B145" s="4" t="s">
        <v>44</v>
      </c>
      <c r="C145" s="5" t="s">
        <v>20</v>
      </c>
      <c r="D145" s="6" t="s">
        <v>22</v>
      </c>
      <c r="E145" s="6" t="s">
        <v>17</v>
      </c>
      <c r="F145" s="6"/>
      <c r="G145" s="7">
        <v>13</v>
      </c>
      <c r="H145" s="7"/>
      <c r="I145" s="5"/>
      <c r="J145" s="21" t="s">
        <v>1229</v>
      </c>
      <c r="K145" s="7">
        <f t="shared" si="4"/>
        <v>-27819.99</v>
      </c>
    </row>
    <row r="146" spans="1:11" x14ac:dyDescent="0.25">
      <c r="A146" s="3">
        <v>46198</v>
      </c>
      <c r="B146" s="4" t="s">
        <v>45</v>
      </c>
      <c r="C146" s="5" t="s">
        <v>12</v>
      </c>
      <c r="D146" s="6" t="s">
        <v>24</v>
      </c>
      <c r="E146" s="6" t="s">
        <v>17</v>
      </c>
      <c r="F146" s="6" t="s">
        <v>25</v>
      </c>
      <c r="G146" s="7">
        <v>17</v>
      </c>
      <c r="H146" s="7"/>
      <c r="I146" s="5"/>
      <c r="J146" s="21" t="s">
        <v>1229</v>
      </c>
      <c r="K146" s="7">
        <f t="shared" si="4"/>
        <v>-27836.99</v>
      </c>
    </row>
    <row r="147" spans="1:11" x14ac:dyDescent="0.25">
      <c r="A147" s="13">
        <v>46198</v>
      </c>
      <c r="B147" s="4" t="s">
        <v>393</v>
      </c>
      <c r="C147" s="5" t="s">
        <v>12</v>
      </c>
      <c r="D147" s="6" t="s">
        <v>19</v>
      </c>
      <c r="E147" s="6" t="s">
        <v>14</v>
      </c>
      <c r="F147" s="6" t="s">
        <v>15</v>
      </c>
      <c r="G147" s="7">
        <v>230</v>
      </c>
      <c r="H147" s="7"/>
      <c r="I147" s="5"/>
      <c r="J147" s="21" t="s">
        <v>1229</v>
      </c>
      <c r="K147" s="7">
        <f t="shared" si="4"/>
        <v>-28066.99</v>
      </c>
    </row>
    <row r="148" spans="1:11" x14ac:dyDescent="0.25">
      <c r="A148" s="3">
        <v>46199</v>
      </c>
      <c r="B148" s="4" t="s">
        <v>30</v>
      </c>
      <c r="C148" s="5" t="s">
        <v>20</v>
      </c>
      <c r="D148" s="6" t="s">
        <v>13</v>
      </c>
      <c r="E148" s="6"/>
      <c r="F148" s="6"/>
      <c r="G148" s="7">
        <v>1898</v>
      </c>
      <c r="H148" s="7"/>
      <c r="I148" s="5"/>
      <c r="J148" s="21" t="s">
        <v>1229</v>
      </c>
      <c r="K148" s="7">
        <f t="shared" si="4"/>
        <v>-26168.99</v>
      </c>
    </row>
    <row r="149" spans="1:11" x14ac:dyDescent="0.25">
      <c r="A149" s="3">
        <v>46199</v>
      </c>
      <c r="B149" s="4" t="s">
        <v>21</v>
      </c>
      <c r="C149" s="5" t="s">
        <v>20</v>
      </c>
      <c r="D149" s="6" t="s">
        <v>22</v>
      </c>
      <c r="E149" s="6" t="s">
        <v>17</v>
      </c>
      <c r="F149" s="6"/>
      <c r="G149" s="7">
        <v>102</v>
      </c>
      <c r="H149" s="7"/>
      <c r="I149" s="5"/>
      <c r="J149" s="21" t="s">
        <v>1229</v>
      </c>
      <c r="K149" s="7">
        <f t="shared" ref="K149:K176" si="5">K148 + IF(C149="Entrada", G149, -G149)</f>
        <v>-26066.99</v>
      </c>
    </row>
    <row r="150" spans="1:11" x14ac:dyDescent="0.25">
      <c r="A150" s="3">
        <v>46199</v>
      </c>
      <c r="B150" s="4" t="s">
        <v>23</v>
      </c>
      <c r="C150" s="5" t="s">
        <v>12</v>
      </c>
      <c r="D150" s="6" t="s">
        <v>24</v>
      </c>
      <c r="E150" s="6" t="s">
        <v>17</v>
      </c>
      <c r="F150" s="6" t="s">
        <v>25</v>
      </c>
      <c r="G150" s="7">
        <v>18</v>
      </c>
      <c r="H150" s="7"/>
      <c r="I150" s="5"/>
      <c r="J150" s="21" t="s">
        <v>1229</v>
      </c>
      <c r="K150" s="7">
        <f t="shared" si="5"/>
        <v>-26084.99</v>
      </c>
    </row>
    <row r="151" spans="1:11" x14ac:dyDescent="0.25">
      <c r="A151" s="3">
        <v>46199</v>
      </c>
      <c r="B151" s="4" t="s">
        <v>11</v>
      </c>
      <c r="C151" s="5" t="s">
        <v>12</v>
      </c>
      <c r="D151" s="6" t="s">
        <v>19</v>
      </c>
      <c r="E151" s="6" t="s">
        <v>14</v>
      </c>
      <c r="F151" s="6" t="s">
        <v>15</v>
      </c>
      <c r="G151" s="7">
        <v>329</v>
      </c>
      <c r="H151" s="7"/>
      <c r="I151" s="5"/>
      <c r="J151" s="21" t="s">
        <v>1229</v>
      </c>
      <c r="K151" s="7">
        <f t="shared" si="5"/>
        <v>-26413.99</v>
      </c>
    </row>
    <row r="152" spans="1:11" x14ac:dyDescent="0.25">
      <c r="A152" s="13">
        <v>46200</v>
      </c>
      <c r="B152" s="4" t="s">
        <v>13</v>
      </c>
      <c r="C152" s="5" t="s">
        <v>20</v>
      </c>
      <c r="D152" s="6" t="s">
        <v>13</v>
      </c>
      <c r="E152" s="6"/>
      <c r="F152" s="6"/>
      <c r="G152" s="7">
        <v>5762</v>
      </c>
      <c r="H152" s="7"/>
      <c r="I152" s="5"/>
      <c r="J152" s="21" t="s">
        <v>1229</v>
      </c>
      <c r="K152" s="7">
        <f t="shared" si="5"/>
        <v>-20651.990000000002</v>
      </c>
    </row>
    <row r="153" spans="1:11" x14ac:dyDescent="0.25">
      <c r="A153" s="3">
        <v>46200</v>
      </c>
      <c r="B153" s="4" t="s">
        <v>21</v>
      </c>
      <c r="C153" s="5" t="s">
        <v>20</v>
      </c>
      <c r="D153" s="6" t="s">
        <v>22</v>
      </c>
      <c r="E153" s="6" t="s">
        <v>17</v>
      </c>
      <c r="F153" s="6"/>
      <c r="G153" s="7">
        <v>526</v>
      </c>
      <c r="H153" s="7"/>
      <c r="I153" s="5"/>
      <c r="J153" s="21" t="s">
        <v>1229</v>
      </c>
      <c r="K153" s="7">
        <f t="shared" si="5"/>
        <v>-20125.990000000002</v>
      </c>
    </row>
    <row r="154" spans="1:11" x14ac:dyDescent="0.25">
      <c r="A154" s="3">
        <v>46200</v>
      </c>
      <c r="B154" s="4" t="s">
        <v>23</v>
      </c>
      <c r="C154" s="5" t="s">
        <v>12</v>
      </c>
      <c r="D154" s="6" t="s">
        <v>24</v>
      </c>
      <c r="E154" s="6" t="s">
        <v>17</v>
      </c>
      <c r="F154" s="6" t="s">
        <v>25</v>
      </c>
      <c r="G154" s="7">
        <v>36</v>
      </c>
      <c r="H154" s="7"/>
      <c r="I154" s="5"/>
      <c r="J154" s="21" t="s">
        <v>1229</v>
      </c>
      <c r="K154" s="7">
        <f t="shared" si="5"/>
        <v>-20161.990000000002</v>
      </c>
    </row>
    <row r="155" spans="1:11" x14ac:dyDescent="0.25">
      <c r="A155" s="3">
        <v>46201</v>
      </c>
      <c r="B155" s="4" t="s">
        <v>13</v>
      </c>
      <c r="C155" s="5" t="s">
        <v>20</v>
      </c>
      <c r="D155" s="6" t="s">
        <v>13</v>
      </c>
      <c r="E155" s="6"/>
      <c r="F155" s="6"/>
      <c r="G155" s="7">
        <v>6278</v>
      </c>
      <c r="H155" s="7"/>
      <c r="I155" s="5"/>
      <c r="J155" s="21" t="s">
        <v>1229</v>
      </c>
      <c r="K155" s="7">
        <f t="shared" si="5"/>
        <v>-13883.990000000002</v>
      </c>
    </row>
    <row r="156" spans="1:11" x14ac:dyDescent="0.25">
      <c r="A156" s="3">
        <v>46201</v>
      </c>
      <c r="B156" s="4" t="s">
        <v>21</v>
      </c>
      <c r="C156" s="5" t="s">
        <v>20</v>
      </c>
      <c r="D156" s="6" t="s">
        <v>22</v>
      </c>
      <c r="E156" s="6" t="s">
        <v>17</v>
      </c>
      <c r="F156" s="6"/>
      <c r="G156" s="7">
        <v>89</v>
      </c>
      <c r="H156" s="7"/>
      <c r="I156" s="5"/>
      <c r="J156" s="21" t="s">
        <v>1229</v>
      </c>
      <c r="K156" s="7">
        <f t="shared" si="5"/>
        <v>-13794.990000000002</v>
      </c>
    </row>
    <row r="157" spans="1:11" x14ac:dyDescent="0.25">
      <c r="A157" s="3">
        <v>46201</v>
      </c>
      <c r="B157" s="4" t="s">
        <v>23</v>
      </c>
      <c r="C157" s="5" t="s">
        <v>12</v>
      </c>
      <c r="D157" s="6" t="s">
        <v>24</v>
      </c>
      <c r="E157" s="6" t="s">
        <v>17</v>
      </c>
      <c r="F157" s="6" t="s">
        <v>25</v>
      </c>
      <c r="G157" s="7">
        <v>26</v>
      </c>
      <c r="H157" s="7"/>
      <c r="I157" s="5"/>
      <c r="J157" s="21" t="s">
        <v>1229</v>
      </c>
      <c r="K157" s="7">
        <f t="shared" si="5"/>
        <v>-13820.990000000002</v>
      </c>
    </row>
    <row r="158" spans="1:11" x14ac:dyDescent="0.25">
      <c r="A158" s="3">
        <v>46201</v>
      </c>
      <c r="B158" s="4" t="s">
        <v>33</v>
      </c>
      <c r="C158" s="5" t="s">
        <v>12</v>
      </c>
      <c r="D158" s="6" t="s">
        <v>33</v>
      </c>
      <c r="E158" s="6" t="s">
        <v>14</v>
      </c>
      <c r="F158" s="6" t="s">
        <v>15</v>
      </c>
      <c r="G158" s="7">
        <v>150</v>
      </c>
      <c r="H158" s="7"/>
      <c r="I158" s="5"/>
      <c r="J158" s="21" t="s">
        <v>1229</v>
      </c>
      <c r="K158" s="7">
        <f t="shared" si="5"/>
        <v>-13970.990000000002</v>
      </c>
    </row>
    <row r="159" spans="1:11" x14ac:dyDescent="0.25">
      <c r="A159" s="3">
        <v>46202</v>
      </c>
      <c r="B159" s="4" t="s">
        <v>13</v>
      </c>
      <c r="C159" s="5" t="s">
        <v>20</v>
      </c>
      <c r="D159" s="6" t="s">
        <v>13</v>
      </c>
      <c r="E159" s="6"/>
      <c r="F159" s="6"/>
      <c r="G159" s="7">
        <v>1864</v>
      </c>
      <c r="H159" s="7"/>
      <c r="I159" s="5"/>
      <c r="J159" s="21" t="s">
        <v>1229</v>
      </c>
      <c r="K159" s="7">
        <f t="shared" si="5"/>
        <v>-12106.990000000002</v>
      </c>
    </row>
    <row r="160" spans="1:11" x14ac:dyDescent="0.25">
      <c r="A160" s="3">
        <v>46202</v>
      </c>
      <c r="B160" s="4" t="s">
        <v>21</v>
      </c>
      <c r="C160" s="5" t="s">
        <v>20</v>
      </c>
      <c r="D160" s="6" t="s">
        <v>22</v>
      </c>
      <c r="E160" s="6" t="s">
        <v>17</v>
      </c>
      <c r="F160" s="6"/>
      <c r="G160" s="7">
        <v>93</v>
      </c>
      <c r="H160" s="7"/>
      <c r="I160" s="5"/>
      <c r="J160" s="21" t="s">
        <v>1229</v>
      </c>
      <c r="K160" s="7">
        <f t="shared" si="5"/>
        <v>-12013.990000000002</v>
      </c>
    </row>
    <row r="161" spans="1:11" x14ac:dyDescent="0.25">
      <c r="A161" s="3">
        <v>46202</v>
      </c>
      <c r="B161" s="4" t="s">
        <v>23</v>
      </c>
      <c r="C161" s="5" t="s">
        <v>12</v>
      </c>
      <c r="D161" s="6" t="s">
        <v>24</v>
      </c>
      <c r="E161" s="6" t="s">
        <v>17</v>
      </c>
      <c r="F161" s="6" t="s">
        <v>25</v>
      </c>
      <c r="G161" s="7">
        <v>18</v>
      </c>
      <c r="H161" s="7"/>
      <c r="I161" s="5"/>
      <c r="J161" s="21" t="s">
        <v>1229</v>
      </c>
      <c r="K161" s="7">
        <f t="shared" si="5"/>
        <v>-12031.990000000002</v>
      </c>
    </row>
    <row r="162" spans="1:11" x14ac:dyDescent="0.25">
      <c r="A162" s="3">
        <v>46202</v>
      </c>
      <c r="B162" s="4" t="s">
        <v>314</v>
      </c>
      <c r="C162" s="5" t="s">
        <v>12</v>
      </c>
      <c r="D162" s="6" t="s">
        <v>27</v>
      </c>
      <c r="E162" s="6" t="s">
        <v>17</v>
      </c>
      <c r="F162" s="6"/>
      <c r="G162" s="7">
        <v>1200</v>
      </c>
      <c r="H162" s="7"/>
      <c r="I162" s="5"/>
      <c r="J162" s="21" t="s">
        <v>1229</v>
      </c>
      <c r="K162" s="7">
        <f t="shared" si="5"/>
        <v>-13231.990000000002</v>
      </c>
    </row>
    <row r="163" spans="1:11" x14ac:dyDescent="0.25">
      <c r="A163" s="3">
        <v>46202</v>
      </c>
      <c r="B163" s="4" t="s">
        <v>289</v>
      </c>
      <c r="C163" s="5" t="s">
        <v>12</v>
      </c>
      <c r="D163" s="6" t="s">
        <v>19</v>
      </c>
      <c r="E163" s="6" t="s">
        <v>17</v>
      </c>
      <c r="F163" s="6"/>
      <c r="G163" s="7">
        <v>4817.1899999999996</v>
      </c>
      <c r="H163" s="7"/>
      <c r="I163" s="5"/>
      <c r="J163" s="21" t="s">
        <v>1229</v>
      </c>
      <c r="K163" s="7">
        <f t="shared" si="5"/>
        <v>-18049.18</v>
      </c>
    </row>
    <row r="164" spans="1:11" x14ac:dyDescent="0.25">
      <c r="A164" s="3">
        <v>46202</v>
      </c>
      <c r="B164" s="4" t="s">
        <v>453</v>
      </c>
      <c r="C164" s="5" t="s">
        <v>12</v>
      </c>
      <c r="D164" s="6" t="s">
        <v>68</v>
      </c>
      <c r="E164" s="6" t="s">
        <v>17</v>
      </c>
      <c r="F164" s="6"/>
      <c r="G164" s="7">
        <v>600</v>
      </c>
      <c r="H164" s="7"/>
      <c r="I164" s="5"/>
      <c r="J164" s="21" t="s">
        <v>1229</v>
      </c>
      <c r="K164" s="7">
        <f t="shared" si="5"/>
        <v>-18649.18</v>
      </c>
    </row>
    <row r="165" spans="1:11" x14ac:dyDescent="0.25">
      <c r="A165" s="3">
        <v>46202</v>
      </c>
      <c r="B165" s="4" t="s">
        <v>16</v>
      </c>
      <c r="C165" s="5" t="s">
        <v>12</v>
      </c>
      <c r="D165" s="6" t="s">
        <v>16</v>
      </c>
      <c r="E165" s="6" t="s">
        <v>17</v>
      </c>
      <c r="F165" s="6"/>
      <c r="G165" s="7">
        <v>13185</v>
      </c>
      <c r="H165" s="7"/>
      <c r="I165" s="5"/>
      <c r="J165" s="21" t="s">
        <v>1229</v>
      </c>
      <c r="K165" s="7">
        <f t="shared" si="5"/>
        <v>-31834.18</v>
      </c>
    </row>
    <row r="166" spans="1:11" x14ac:dyDescent="0.25">
      <c r="A166" s="3">
        <v>46202</v>
      </c>
      <c r="B166" s="4" t="s">
        <v>500</v>
      </c>
      <c r="C166" s="5" t="s">
        <v>12</v>
      </c>
      <c r="D166" s="6" t="s">
        <v>39</v>
      </c>
      <c r="E166" s="6" t="s">
        <v>17</v>
      </c>
      <c r="F166" s="6"/>
      <c r="G166" s="7">
        <v>260</v>
      </c>
      <c r="H166" s="7"/>
      <c r="I166" s="5"/>
      <c r="J166" s="21" t="s">
        <v>1229</v>
      </c>
      <c r="K166" s="7">
        <f t="shared" si="5"/>
        <v>-32094.18</v>
      </c>
    </row>
    <row r="167" spans="1:11" x14ac:dyDescent="0.25">
      <c r="A167" s="3">
        <v>46202</v>
      </c>
      <c r="B167" s="4" t="s">
        <v>625</v>
      </c>
      <c r="C167" s="5" t="s">
        <v>12</v>
      </c>
      <c r="D167" s="6" t="s">
        <v>19</v>
      </c>
      <c r="E167" s="6" t="s">
        <v>17</v>
      </c>
      <c r="F167" s="6" t="s">
        <v>25</v>
      </c>
      <c r="G167" s="7">
        <v>401.5</v>
      </c>
      <c r="H167" s="7"/>
      <c r="I167" s="5"/>
      <c r="J167" s="21" t="s">
        <v>1229</v>
      </c>
      <c r="K167" s="7">
        <f t="shared" si="5"/>
        <v>-32495.68</v>
      </c>
    </row>
    <row r="168" spans="1:11" x14ac:dyDescent="0.25">
      <c r="A168" s="3">
        <v>46202</v>
      </c>
      <c r="B168" s="4" t="s">
        <v>363</v>
      </c>
      <c r="C168" s="5" t="s">
        <v>12</v>
      </c>
      <c r="D168" s="6" t="s">
        <v>19</v>
      </c>
      <c r="E168" s="6" t="s">
        <v>17</v>
      </c>
      <c r="F168" s="6"/>
      <c r="G168" s="7">
        <v>428.45</v>
      </c>
      <c r="H168" s="7"/>
      <c r="I168" s="5"/>
      <c r="J168" s="21" t="s">
        <v>1229</v>
      </c>
      <c r="K168" s="7">
        <f t="shared" si="5"/>
        <v>-32924.129999999997</v>
      </c>
    </row>
    <row r="169" spans="1:11" x14ac:dyDescent="0.25">
      <c r="A169" s="3">
        <v>46202</v>
      </c>
      <c r="B169" s="4" t="s">
        <v>626</v>
      </c>
      <c r="C169" s="5" t="s">
        <v>12</v>
      </c>
      <c r="D169" s="6" t="s">
        <v>33</v>
      </c>
      <c r="E169" s="6" t="s">
        <v>14</v>
      </c>
      <c r="F169" s="6" t="s">
        <v>15</v>
      </c>
      <c r="G169" s="7">
        <v>420</v>
      </c>
      <c r="H169" s="7"/>
      <c r="I169" s="5"/>
      <c r="J169" s="21" t="s">
        <v>1229</v>
      </c>
      <c r="K169" s="7">
        <f t="shared" si="5"/>
        <v>-33344.129999999997</v>
      </c>
    </row>
    <row r="170" spans="1:11" x14ac:dyDescent="0.25">
      <c r="A170" s="3">
        <v>46202</v>
      </c>
      <c r="B170" s="4" t="s">
        <v>347</v>
      </c>
      <c r="C170" s="5" t="s">
        <v>12</v>
      </c>
      <c r="D170" s="6" t="s">
        <v>19</v>
      </c>
      <c r="E170" s="6" t="s">
        <v>17</v>
      </c>
      <c r="F170" s="6"/>
      <c r="G170" s="7">
        <v>1443.71</v>
      </c>
      <c r="H170" s="7"/>
      <c r="I170" s="5"/>
      <c r="J170" s="21" t="s">
        <v>1229</v>
      </c>
      <c r="K170" s="7">
        <f t="shared" si="5"/>
        <v>-34787.839999999997</v>
      </c>
    </row>
    <row r="171" spans="1:11" x14ac:dyDescent="0.25">
      <c r="A171" s="3">
        <v>46203</v>
      </c>
      <c r="B171" s="4" t="s">
        <v>604</v>
      </c>
      <c r="C171" s="5" t="s">
        <v>12</v>
      </c>
      <c r="D171" s="6" t="s">
        <v>29</v>
      </c>
      <c r="E171" s="6" t="s">
        <v>17</v>
      </c>
      <c r="F171" s="6"/>
      <c r="G171" s="7">
        <v>304.92</v>
      </c>
      <c r="H171" s="7"/>
      <c r="I171" s="5"/>
      <c r="J171" s="21" t="s">
        <v>1229</v>
      </c>
      <c r="K171" s="7">
        <f t="shared" si="5"/>
        <v>-35092.759999999995</v>
      </c>
    </row>
    <row r="172" spans="1:11" x14ac:dyDescent="0.25">
      <c r="A172" s="3">
        <v>46203</v>
      </c>
      <c r="B172" s="4" t="s">
        <v>627</v>
      </c>
      <c r="C172" s="5" t="s">
        <v>12</v>
      </c>
      <c r="D172" s="6" t="s">
        <v>19</v>
      </c>
      <c r="E172" s="6" t="s">
        <v>17</v>
      </c>
      <c r="F172" s="6"/>
      <c r="G172" s="7">
        <v>225.27</v>
      </c>
      <c r="H172" s="7"/>
      <c r="I172" s="5"/>
      <c r="J172" s="21" t="s">
        <v>1229</v>
      </c>
      <c r="K172" s="7">
        <f t="shared" si="5"/>
        <v>-35318.029999999992</v>
      </c>
    </row>
    <row r="173" spans="1:11" x14ac:dyDescent="0.25">
      <c r="A173" s="3">
        <v>46203</v>
      </c>
      <c r="B173" s="4" t="s">
        <v>598</v>
      </c>
      <c r="C173" s="5" t="s">
        <v>12</v>
      </c>
      <c r="D173" s="6" t="s">
        <v>19</v>
      </c>
      <c r="E173" s="6" t="s">
        <v>17</v>
      </c>
      <c r="F173" s="6"/>
      <c r="G173" s="7">
        <v>136.51</v>
      </c>
      <c r="H173" s="7"/>
      <c r="I173" s="5"/>
      <c r="J173" s="21" t="s">
        <v>1229</v>
      </c>
      <c r="K173" s="7">
        <f t="shared" si="5"/>
        <v>-35454.539999999994</v>
      </c>
    </row>
    <row r="174" spans="1:11" x14ac:dyDescent="0.25">
      <c r="A174" s="3">
        <v>46203</v>
      </c>
      <c r="B174" s="4" t="s">
        <v>30</v>
      </c>
      <c r="C174" s="5" t="s">
        <v>20</v>
      </c>
      <c r="D174" s="6" t="s">
        <v>13</v>
      </c>
      <c r="E174" s="6"/>
      <c r="F174" s="6"/>
      <c r="G174" s="7">
        <v>1018</v>
      </c>
      <c r="H174" s="7"/>
      <c r="I174" s="5"/>
      <c r="J174" s="21" t="s">
        <v>1229</v>
      </c>
      <c r="K174" s="7">
        <f t="shared" si="5"/>
        <v>-34436.539999999994</v>
      </c>
    </row>
    <row r="175" spans="1:11" x14ac:dyDescent="0.25">
      <c r="A175" s="3">
        <v>46203</v>
      </c>
      <c r="B175" s="4" t="s">
        <v>44</v>
      </c>
      <c r="C175" s="5" t="s">
        <v>20</v>
      </c>
      <c r="D175" s="6" t="s">
        <v>22</v>
      </c>
      <c r="E175" s="6" t="s">
        <v>17</v>
      </c>
      <c r="F175" s="6"/>
      <c r="G175" s="7">
        <v>84</v>
      </c>
      <c r="H175" s="7"/>
      <c r="I175" s="5"/>
      <c r="J175" s="21" t="s">
        <v>1229</v>
      </c>
      <c r="K175" s="7">
        <f t="shared" si="5"/>
        <v>-34352.539999999994</v>
      </c>
    </row>
    <row r="176" spans="1:11" x14ac:dyDescent="0.25">
      <c r="A176" s="3">
        <v>46203</v>
      </c>
      <c r="B176" s="4" t="s">
        <v>45</v>
      </c>
      <c r="C176" s="5" t="s">
        <v>12</v>
      </c>
      <c r="D176" s="6" t="s">
        <v>24</v>
      </c>
      <c r="E176" s="6" t="s">
        <v>17</v>
      </c>
      <c r="F176" s="6" t="s">
        <v>25</v>
      </c>
      <c r="G176" s="7">
        <v>27</v>
      </c>
      <c r="H176" s="7"/>
      <c r="I176" s="5"/>
      <c r="J176" s="21" t="s">
        <v>1229</v>
      </c>
      <c r="K176" s="7">
        <f t="shared" si="5"/>
        <v>-34379.539999999994</v>
      </c>
    </row>
  </sheetData>
  <autoFilter ref="A1:K176" xr:uid="{00000000-0001-0000-0B00-000000000000}"/>
  <phoneticPr fontId="15" type="noConversion"/>
  <dataValidations count="5">
    <dataValidation type="list" allowBlank="1" showInputMessage="1" showErrorMessage="1" prompt="Clique e digite um valor da lista de itens" sqref="C2:C176" xr:uid="{00000000-0002-0000-0B00-000000000000}">
      <formula1>"Entrada,Saída"</formula1>
    </dataValidation>
    <dataValidation type="list" allowBlank="1" showErrorMessage="1" sqref="D2:D140 D142:D176" xr:uid="{00000000-0002-0000-0B00-000001000000}">
      <formula1>"Vendas,Vendas iFood,Matéria Prima,CustoFixo,iFood,Papelaria,Frete,Mat Consumo,Salário,Freelancer,Impostos,Contabilidade,Marketing,Demissão,Royalt,Cartao de Credito,Caixa_mes_anterior,Tortelli,Celso,Manutenção"</formula1>
    </dataValidation>
    <dataValidation type="list" allowBlank="1" showErrorMessage="1" sqref="D141" xr:uid="{00000000-0002-0000-0B00-000002000000}">
      <formula1>"Vendas,Vendas iFood,Matéria Prima,CustoFixo,iFood,Papelaria,Frete,Mat Consumo,Salário,Freelancer,Impostos,Contabilidade,Marketing,Demissão,Royalt,Cartao de Credito,Caixa_mes_anterior,Manutenção,Tortelli,Celso"</formula1>
    </dataValidation>
    <dataValidation type="list" allowBlank="1" showErrorMessage="1" sqref="F2:F176" xr:uid="{00000000-0002-0000-0B00-000003000000}">
      <formula1>"Pix,Dinheiro,Débito,Crédito"</formula1>
    </dataValidation>
    <dataValidation type="list" allowBlank="1" showErrorMessage="1" sqref="E2:E176" xr:uid="{00000000-0002-0000-0B00-000004000000}">
      <formula1>"Caixa,Banco Principal"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C7EA-A1CE-4D11-B55B-E3F32B9D515B}">
  <dimension ref="A1:E1275"/>
  <sheetViews>
    <sheetView workbookViewId="0">
      <selection activeCell="H1214" sqref="H1214"/>
    </sheetView>
  </sheetViews>
  <sheetFormatPr defaultColWidth="12.5703125" defaultRowHeight="15.75" x14ac:dyDescent="0.25"/>
  <cols>
    <col min="1" max="1" width="49.5703125" style="83" bestFit="1" customWidth="1"/>
    <col min="2" max="2" width="12.5703125" style="83"/>
    <col min="3" max="3" width="29.7109375" style="83" bestFit="1" customWidth="1"/>
    <col min="4" max="4" width="12.5703125" style="83"/>
    <col min="5" max="5" width="16.7109375" style="83" customWidth="1"/>
    <col min="6" max="16384" width="12.5703125" style="83"/>
  </cols>
  <sheetData>
    <row r="1" spans="1:5" ht="18.75" x14ac:dyDescent="0.3">
      <c r="A1" s="82" t="s">
        <v>653</v>
      </c>
      <c r="B1" s="82" t="s">
        <v>3</v>
      </c>
      <c r="C1" s="82" t="s">
        <v>974</v>
      </c>
      <c r="D1" s="82" t="s">
        <v>975</v>
      </c>
      <c r="E1" s="82" t="s">
        <v>719</v>
      </c>
    </row>
    <row r="2" spans="1:5" x14ac:dyDescent="0.25">
      <c r="A2" s="84" t="s">
        <v>976</v>
      </c>
      <c r="B2" s="84" t="s">
        <v>977</v>
      </c>
      <c r="C2" s="84" t="s">
        <v>713</v>
      </c>
      <c r="D2" s="84" t="s">
        <v>662</v>
      </c>
      <c r="E2" s="85">
        <v>1100</v>
      </c>
    </row>
    <row r="3" spans="1:5" x14ac:dyDescent="0.25">
      <c r="A3" s="84" t="s">
        <v>976</v>
      </c>
      <c r="B3" s="84" t="s">
        <v>977</v>
      </c>
      <c r="C3" s="84" t="s">
        <v>668</v>
      </c>
      <c r="D3" s="84" t="s">
        <v>662</v>
      </c>
      <c r="E3" s="85">
        <v>320</v>
      </c>
    </row>
    <row r="4" spans="1:5" x14ac:dyDescent="0.25">
      <c r="A4" s="84" t="s">
        <v>976</v>
      </c>
      <c r="B4" s="84" t="s">
        <v>977</v>
      </c>
      <c r="C4" s="84" t="s">
        <v>978</v>
      </c>
      <c r="D4" s="84" t="s">
        <v>662</v>
      </c>
      <c r="E4" s="85">
        <v>140</v>
      </c>
    </row>
    <row r="5" spans="1:5" x14ac:dyDescent="0.25">
      <c r="A5" s="84" t="s">
        <v>976</v>
      </c>
      <c r="B5" s="84" t="s">
        <v>977</v>
      </c>
      <c r="C5" s="84" t="s">
        <v>84</v>
      </c>
      <c r="D5" s="84" t="s">
        <v>662</v>
      </c>
      <c r="E5" s="85">
        <v>80</v>
      </c>
    </row>
    <row r="6" spans="1:5" x14ac:dyDescent="0.25">
      <c r="A6" s="84" t="s">
        <v>976</v>
      </c>
      <c r="B6" s="84" t="s">
        <v>977</v>
      </c>
      <c r="C6" s="84" t="s">
        <v>976</v>
      </c>
      <c r="D6" s="84" t="s">
        <v>662</v>
      </c>
      <c r="E6" s="85">
        <v>2000</v>
      </c>
    </row>
    <row r="7" spans="1:5" x14ac:dyDescent="0.25">
      <c r="A7" s="84" t="s">
        <v>976</v>
      </c>
      <c r="B7" s="84" t="s">
        <v>977</v>
      </c>
      <c r="C7" s="84" t="s">
        <v>675</v>
      </c>
      <c r="D7" s="84" t="s">
        <v>662</v>
      </c>
      <c r="E7" s="85">
        <v>320</v>
      </c>
    </row>
    <row r="8" spans="1:5" x14ac:dyDescent="0.25">
      <c r="A8" s="84" t="s">
        <v>976</v>
      </c>
      <c r="B8" s="84" t="s">
        <v>977</v>
      </c>
      <c r="C8" s="84" t="s">
        <v>979</v>
      </c>
      <c r="D8" s="84" t="s">
        <v>662</v>
      </c>
      <c r="E8" s="85">
        <v>40</v>
      </c>
    </row>
    <row r="9" spans="1:5" x14ac:dyDescent="0.25">
      <c r="A9" s="86" t="s">
        <v>980</v>
      </c>
      <c r="B9" s="86" t="s">
        <v>977</v>
      </c>
      <c r="C9" s="86" t="s">
        <v>713</v>
      </c>
      <c r="D9" s="86" t="s">
        <v>662</v>
      </c>
      <c r="E9" s="87">
        <v>1085.883514313919</v>
      </c>
    </row>
    <row r="10" spans="1:5" x14ac:dyDescent="0.25">
      <c r="A10" s="86" t="s">
        <v>980</v>
      </c>
      <c r="B10" s="86" t="s">
        <v>977</v>
      </c>
      <c r="C10" s="86" t="s">
        <v>668</v>
      </c>
      <c r="D10" s="86" t="s">
        <v>662</v>
      </c>
      <c r="E10" s="87">
        <v>315.893385982231</v>
      </c>
    </row>
    <row r="11" spans="1:5" x14ac:dyDescent="0.25">
      <c r="A11" s="86" t="s">
        <v>980</v>
      </c>
      <c r="B11" s="86" t="s">
        <v>977</v>
      </c>
      <c r="C11" s="86" t="s">
        <v>978</v>
      </c>
      <c r="D11" s="86" t="s">
        <v>662</v>
      </c>
      <c r="E11" s="87">
        <v>138.20335636722606</v>
      </c>
    </row>
    <row r="12" spans="1:5" x14ac:dyDescent="0.25">
      <c r="A12" s="86" t="s">
        <v>980</v>
      </c>
      <c r="B12" s="86" t="s">
        <v>977</v>
      </c>
      <c r="C12" s="86" t="s">
        <v>84</v>
      </c>
      <c r="D12" s="86" t="s">
        <v>662</v>
      </c>
      <c r="E12" s="87">
        <v>78.973346495557749</v>
      </c>
    </row>
    <row r="13" spans="1:5" x14ac:dyDescent="0.25">
      <c r="A13" s="86" t="s">
        <v>980</v>
      </c>
      <c r="B13" s="86" t="s">
        <v>977</v>
      </c>
      <c r="C13" s="86" t="s">
        <v>976</v>
      </c>
      <c r="D13" s="86" t="s">
        <v>662</v>
      </c>
      <c r="E13" s="87">
        <v>1974.3336623889438</v>
      </c>
    </row>
    <row r="14" spans="1:5" x14ac:dyDescent="0.25">
      <c r="A14" s="86" t="s">
        <v>980</v>
      </c>
      <c r="B14" s="86" t="s">
        <v>977</v>
      </c>
      <c r="C14" s="86" t="s">
        <v>675</v>
      </c>
      <c r="D14" s="86" t="s">
        <v>662</v>
      </c>
      <c r="E14" s="87">
        <v>315.893385982231</v>
      </c>
    </row>
    <row r="15" spans="1:5" x14ac:dyDescent="0.25">
      <c r="A15" s="86" t="s">
        <v>980</v>
      </c>
      <c r="B15" s="86" t="s">
        <v>977</v>
      </c>
      <c r="C15" s="86" t="s">
        <v>979</v>
      </c>
      <c r="D15" s="86" t="s">
        <v>662</v>
      </c>
      <c r="E15" s="87">
        <v>39.486673247778874</v>
      </c>
    </row>
    <row r="16" spans="1:5" x14ac:dyDescent="0.25">
      <c r="A16" s="86" t="s">
        <v>980</v>
      </c>
      <c r="B16" s="86" t="s">
        <v>977</v>
      </c>
      <c r="C16" s="86" t="s">
        <v>981</v>
      </c>
      <c r="D16" s="86" t="s">
        <v>662</v>
      </c>
      <c r="E16" s="87">
        <v>51.332675222112542</v>
      </c>
    </row>
    <row r="17" spans="1:5" x14ac:dyDescent="0.25">
      <c r="A17" s="84" t="s">
        <v>916</v>
      </c>
      <c r="B17" s="84" t="s">
        <v>977</v>
      </c>
      <c r="C17" s="84" t="s">
        <v>713</v>
      </c>
      <c r="D17" s="84" t="s">
        <v>662</v>
      </c>
      <c r="E17" s="85">
        <v>1067.6435494126636</v>
      </c>
    </row>
    <row r="18" spans="1:5" x14ac:dyDescent="0.25">
      <c r="A18" s="84" t="s">
        <v>916</v>
      </c>
      <c r="B18" s="84" t="s">
        <v>977</v>
      </c>
      <c r="C18" s="84" t="s">
        <v>668</v>
      </c>
      <c r="D18" s="84" t="s">
        <v>662</v>
      </c>
      <c r="E18" s="85">
        <v>479.83979748883758</v>
      </c>
    </row>
    <row r="19" spans="1:5" x14ac:dyDescent="0.25">
      <c r="A19" s="84" t="s">
        <v>916</v>
      </c>
      <c r="B19" s="84" t="s">
        <v>977</v>
      </c>
      <c r="C19" s="84" t="s">
        <v>978</v>
      </c>
      <c r="D19" s="84" t="s">
        <v>662</v>
      </c>
      <c r="E19" s="85">
        <v>133.29416413577866</v>
      </c>
    </row>
    <row r="20" spans="1:5" x14ac:dyDescent="0.25">
      <c r="A20" s="84" t="s">
        <v>916</v>
      </c>
      <c r="B20" s="84" t="s">
        <v>977</v>
      </c>
      <c r="C20" s="84" t="s">
        <v>84</v>
      </c>
      <c r="D20" s="84" t="s">
        <v>662</v>
      </c>
      <c r="E20" s="85">
        <v>0</v>
      </c>
    </row>
    <row r="21" spans="1:5" x14ac:dyDescent="0.25">
      <c r="A21" s="84" t="s">
        <v>916</v>
      </c>
      <c r="B21" s="84" t="s">
        <v>977</v>
      </c>
      <c r="C21" s="84" t="s">
        <v>675</v>
      </c>
      <c r="D21" s="84" t="s">
        <v>662</v>
      </c>
      <c r="E21" s="85">
        <v>319.88999942589743</v>
      </c>
    </row>
    <row r="22" spans="1:5" x14ac:dyDescent="0.25">
      <c r="A22" s="84" t="s">
        <v>916</v>
      </c>
      <c r="B22" s="84" t="s">
        <v>977</v>
      </c>
      <c r="C22" s="84" t="s">
        <v>916</v>
      </c>
      <c r="D22" s="84" t="s">
        <v>662</v>
      </c>
      <c r="E22" s="85">
        <v>1999.3324895368232</v>
      </c>
    </row>
    <row r="23" spans="1:5" x14ac:dyDescent="0.25">
      <c r="A23" s="86" t="s">
        <v>982</v>
      </c>
      <c r="B23" s="86" t="s">
        <v>977</v>
      </c>
      <c r="C23" s="86" t="s">
        <v>713</v>
      </c>
      <c r="D23" s="86" t="s">
        <v>662</v>
      </c>
      <c r="E23" s="87">
        <v>2530.8414204328469</v>
      </c>
    </row>
    <row r="24" spans="1:5" x14ac:dyDescent="0.25">
      <c r="A24" s="86" t="s">
        <v>982</v>
      </c>
      <c r="B24" s="86" t="s">
        <v>977</v>
      </c>
      <c r="C24" s="86" t="s">
        <v>668</v>
      </c>
      <c r="D24" s="86" t="s">
        <v>662</v>
      </c>
      <c r="E24" s="87">
        <v>1333.7801040701597</v>
      </c>
    </row>
    <row r="25" spans="1:5" x14ac:dyDescent="0.25">
      <c r="A25" s="86" t="s">
        <v>982</v>
      </c>
      <c r="B25" s="86" t="s">
        <v>977</v>
      </c>
      <c r="C25" s="86" t="s">
        <v>978</v>
      </c>
      <c r="D25" s="86" t="s">
        <v>662</v>
      </c>
      <c r="E25" s="87">
        <v>333.45753004971516</v>
      </c>
    </row>
    <row r="26" spans="1:5" x14ac:dyDescent="0.25">
      <c r="A26" s="86" t="s">
        <v>982</v>
      </c>
      <c r="B26" s="86" t="s">
        <v>977</v>
      </c>
      <c r="C26" s="86" t="s">
        <v>84</v>
      </c>
      <c r="D26" s="86" t="s">
        <v>662</v>
      </c>
      <c r="E26" s="87">
        <v>0</v>
      </c>
    </row>
    <row r="27" spans="1:5" x14ac:dyDescent="0.25">
      <c r="A27" s="86" t="s">
        <v>982</v>
      </c>
      <c r="B27" s="86" t="s">
        <v>977</v>
      </c>
      <c r="C27" s="86" t="s">
        <v>675</v>
      </c>
      <c r="D27" s="86" t="s">
        <v>662</v>
      </c>
      <c r="E27" s="87">
        <v>800.25805921635549</v>
      </c>
    </row>
    <row r="28" spans="1:5" x14ac:dyDescent="0.25">
      <c r="A28" s="86" t="s">
        <v>982</v>
      </c>
      <c r="B28" s="86" t="s">
        <v>977</v>
      </c>
      <c r="C28" s="86" t="s">
        <v>982</v>
      </c>
      <c r="D28" s="86" t="s">
        <v>662</v>
      </c>
      <c r="E28" s="87">
        <v>5001.6628862309226</v>
      </c>
    </row>
    <row r="29" spans="1:5" x14ac:dyDescent="0.25">
      <c r="A29" s="84" t="s">
        <v>983</v>
      </c>
      <c r="B29" s="84" t="s">
        <v>977</v>
      </c>
      <c r="C29" s="84" t="s">
        <v>713</v>
      </c>
      <c r="D29" s="84" t="s">
        <v>662</v>
      </c>
      <c r="E29" s="85">
        <v>971.67558991489602</v>
      </c>
    </row>
    <row r="30" spans="1:5" x14ac:dyDescent="0.25">
      <c r="A30" s="84" t="s">
        <v>983</v>
      </c>
      <c r="B30" s="84" t="s">
        <v>977</v>
      </c>
      <c r="C30" s="84" t="s">
        <v>668</v>
      </c>
      <c r="D30" s="84" t="s">
        <v>662</v>
      </c>
      <c r="E30" s="85">
        <v>89.969962029157031</v>
      </c>
    </row>
    <row r="31" spans="1:5" x14ac:dyDescent="0.25">
      <c r="A31" s="84" t="s">
        <v>983</v>
      </c>
      <c r="B31" s="84" t="s">
        <v>977</v>
      </c>
      <c r="C31" s="84" t="s">
        <v>978</v>
      </c>
      <c r="D31" s="84" t="s">
        <v>662</v>
      </c>
      <c r="E31" s="85">
        <v>119.96474772220078</v>
      </c>
    </row>
    <row r="32" spans="1:5" x14ac:dyDescent="0.25">
      <c r="A32" s="84" t="s">
        <v>983</v>
      </c>
      <c r="B32" s="84" t="s">
        <v>977</v>
      </c>
      <c r="C32" s="84" t="s">
        <v>84</v>
      </c>
      <c r="D32" s="84" t="s">
        <v>662</v>
      </c>
      <c r="E32" s="85">
        <v>107.96395443498844</v>
      </c>
    </row>
    <row r="33" spans="1:5" x14ac:dyDescent="0.25">
      <c r="A33" s="84" t="s">
        <v>983</v>
      </c>
      <c r="B33" s="84" t="s">
        <v>977</v>
      </c>
      <c r="C33" s="84" t="s">
        <v>675</v>
      </c>
      <c r="D33" s="84" t="s">
        <v>662</v>
      </c>
      <c r="E33" s="85">
        <v>287.90099948330766</v>
      </c>
    </row>
    <row r="34" spans="1:5" x14ac:dyDescent="0.25">
      <c r="A34" s="84" t="s">
        <v>983</v>
      </c>
      <c r="B34" s="84" t="s">
        <v>977</v>
      </c>
      <c r="C34" s="84" t="s">
        <v>983</v>
      </c>
      <c r="D34" s="84" t="s">
        <v>662</v>
      </c>
      <c r="E34" s="85">
        <v>1439.5193924665125</v>
      </c>
    </row>
    <row r="35" spans="1:5" x14ac:dyDescent="0.25">
      <c r="A35" s="84" t="s">
        <v>983</v>
      </c>
      <c r="B35" s="84" t="s">
        <v>977</v>
      </c>
      <c r="C35" s="84" t="s">
        <v>984</v>
      </c>
      <c r="D35" s="84" t="s">
        <v>662</v>
      </c>
      <c r="E35" s="85">
        <v>583.00535394893757</v>
      </c>
    </row>
    <row r="36" spans="1:5" x14ac:dyDescent="0.25">
      <c r="A36" s="86" t="s">
        <v>985</v>
      </c>
      <c r="B36" s="86" t="s">
        <v>977</v>
      </c>
      <c r="C36" s="86" t="s">
        <v>985</v>
      </c>
      <c r="D36" s="86" t="s">
        <v>662</v>
      </c>
      <c r="E36" s="87">
        <v>2669</v>
      </c>
    </row>
    <row r="37" spans="1:5" x14ac:dyDescent="0.25">
      <c r="A37" s="86" t="s">
        <v>985</v>
      </c>
      <c r="B37" s="86" t="s">
        <v>977</v>
      </c>
      <c r="C37" s="86" t="s">
        <v>668</v>
      </c>
      <c r="D37" s="86" t="s">
        <v>662</v>
      </c>
      <c r="E37" s="87">
        <v>176.79999999999998</v>
      </c>
    </row>
    <row r="38" spans="1:5" x14ac:dyDescent="0.25">
      <c r="A38" s="86" t="s">
        <v>985</v>
      </c>
      <c r="B38" s="86" t="s">
        <v>977</v>
      </c>
      <c r="C38" s="86" t="s">
        <v>978</v>
      </c>
      <c r="D38" s="86" t="s">
        <v>662</v>
      </c>
      <c r="E38" s="87">
        <v>119</v>
      </c>
    </row>
    <row r="39" spans="1:5" x14ac:dyDescent="0.25">
      <c r="A39" s="86" t="s">
        <v>985</v>
      </c>
      <c r="B39" s="86" t="s">
        <v>977</v>
      </c>
      <c r="C39" s="86" t="s">
        <v>84</v>
      </c>
      <c r="D39" s="86" t="s">
        <v>662</v>
      </c>
      <c r="E39" s="87">
        <v>78.2</v>
      </c>
    </row>
    <row r="40" spans="1:5" x14ac:dyDescent="0.25">
      <c r="A40" s="86" t="s">
        <v>985</v>
      </c>
      <c r="B40" s="86" t="s">
        <v>977</v>
      </c>
      <c r="C40" s="86" t="s">
        <v>675</v>
      </c>
      <c r="D40" s="86" t="s">
        <v>662</v>
      </c>
      <c r="E40" s="87">
        <v>306</v>
      </c>
    </row>
    <row r="41" spans="1:5" x14ac:dyDescent="0.25">
      <c r="A41" s="86" t="s">
        <v>985</v>
      </c>
      <c r="B41" s="86" t="s">
        <v>977</v>
      </c>
      <c r="C41" s="86" t="s">
        <v>979</v>
      </c>
      <c r="D41" s="86" t="s">
        <v>662</v>
      </c>
      <c r="E41" s="87">
        <v>51</v>
      </c>
    </row>
    <row r="42" spans="1:5" x14ac:dyDescent="0.25">
      <c r="A42" s="84" t="s">
        <v>986</v>
      </c>
      <c r="B42" s="84" t="s">
        <v>977</v>
      </c>
      <c r="C42" s="84" t="s">
        <v>713</v>
      </c>
      <c r="D42" s="84" t="s">
        <v>662</v>
      </c>
      <c r="E42" s="84">
        <v>4185</v>
      </c>
    </row>
    <row r="43" spans="1:5" x14ac:dyDescent="0.25">
      <c r="A43" s="84" t="s">
        <v>986</v>
      </c>
      <c r="B43" s="84" t="s">
        <v>977</v>
      </c>
      <c r="C43" s="84" t="s">
        <v>668</v>
      </c>
      <c r="D43" s="84" t="s">
        <v>662</v>
      </c>
      <c r="E43" s="84">
        <v>1170</v>
      </c>
    </row>
    <row r="44" spans="1:5" x14ac:dyDescent="0.25">
      <c r="A44" s="84" t="s">
        <v>986</v>
      </c>
      <c r="B44" s="84" t="s">
        <v>977</v>
      </c>
      <c r="C44" s="84" t="s">
        <v>978</v>
      </c>
      <c r="D44" s="84" t="s">
        <v>662</v>
      </c>
      <c r="E44" s="84">
        <v>315</v>
      </c>
    </row>
    <row r="45" spans="1:5" x14ac:dyDescent="0.25">
      <c r="A45" s="84" t="s">
        <v>986</v>
      </c>
      <c r="B45" s="84" t="s">
        <v>977</v>
      </c>
      <c r="C45" s="84" t="s">
        <v>986</v>
      </c>
      <c r="D45" s="84" t="s">
        <v>662</v>
      </c>
      <c r="E45" s="84">
        <v>2250</v>
      </c>
    </row>
    <row r="46" spans="1:5" x14ac:dyDescent="0.25">
      <c r="A46" s="84" t="s">
        <v>986</v>
      </c>
      <c r="B46" s="84" t="s">
        <v>977</v>
      </c>
      <c r="C46" s="84" t="s">
        <v>675</v>
      </c>
      <c r="D46" s="84" t="s">
        <v>662</v>
      </c>
      <c r="E46" s="84">
        <v>900</v>
      </c>
    </row>
    <row r="47" spans="1:5" x14ac:dyDescent="0.25">
      <c r="A47" s="84" t="s">
        <v>986</v>
      </c>
      <c r="B47" s="84" t="s">
        <v>977</v>
      </c>
      <c r="C47" s="84" t="s">
        <v>979</v>
      </c>
      <c r="D47" s="84" t="s">
        <v>662</v>
      </c>
      <c r="E47" s="84">
        <v>180</v>
      </c>
    </row>
    <row r="48" spans="1:5" x14ac:dyDescent="0.25">
      <c r="A48" s="86" t="s">
        <v>987</v>
      </c>
      <c r="B48" s="86" t="s">
        <v>977</v>
      </c>
      <c r="C48" s="86" t="s">
        <v>713</v>
      </c>
      <c r="D48" s="86" t="s">
        <v>662</v>
      </c>
      <c r="E48" s="86">
        <v>1040</v>
      </c>
    </row>
    <row r="49" spans="1:5" x14ac:dyDescent="0.25">
      <c r="A49" s="86" t="s">
        <v>987</v>
      </c>
      <c r="B49" s="86" t="s">
        <v>977</v>
      </c>
      <c r="C49" s="86" t="s">
        <v>668</v>
      </c>
      <c r="D49" s="86" t="s">
        <v>662</v>
      </c>
      <c r="E49" s="86">
        <v>448</v>
      </c>
    </row>
    <row r="50" spans="1:5" x14ac:dyDescent="0.25">
      <c r="A50" s="86" t="s">
        <v>987</v>
      </c>
      <c r="B50" s="86" t="s">
        <v>977</v>
      </c>
      <c r="C50" s="86" t="s">
        <v>978</v>
      </c>
      <c r="D50" s="86" t="s">
        <v>662</v>
      </c>
      <c r="E50" s="86">
        <v>132</v>
      </c>
    </row>
    <row r="51" spans="1:5" x14ac:dyDescent="0.25">
      <c r="A51" s="86" t="s">
        <v>987</v>
      </c>
      <c r="B51" s="86" t="s">
        <v>977</v>
      </c>
      <c r="C51" s="86" t="s">
        <v>84</v>
      </c>
      <c r="D51" s="86" t="s">
        <v>662</v>
      </c>
      <c r="E51" s="86">
        <v>60</v>
      </c>
    </row>
    <row r="52" spans="1:5" x14ac:dyDescent="0.25">
      <c r="A52" s="86" t="s">
        <v>987</v>
      </c>
      <c r="B52" s="86" t="s">
        <v>977</v>
      </c>
      <c r="C52" s="86" t="s">
        <v>675</v>
      </c>
      <c r="D52" s="86" t="s">
        <v>662</v>
      </c>
      <c r="E52" s="86">
        <v>320</v>
      </c>
    </row>
    <row r="53" spans="1:5" x14ac:dyDescent="0.25">
      <c r="A53" s="86" t="s">
        <v>987</v>
      </c>
      <c r="B53" s="86" t="s">
        <v>977</v>
      </c>
      <c r="C53" s="86" t="s">
        <v>987</v>
      </c>
      <c r="D53" s="86" t="s">
        <v>662</v>
      </c>
      <c r="E53" s="86">
        <v>2000</v>
      </c>
    </row>
    <row r="54" spans="1:5" x14ac:dyDescent="0.25">
      <c r="A54" s="84" t="s">
        <v>988</v>
      </c>
      <c r="B54" s="84" t="s">
        <v>977</v>
      </c>
      <c r="C54" s="84" t="s">
        <v>713</v>
      </c>
      <c r="D54" s="84" t="s">
        <v>662</v>
      </c>
      <c r="E54" s="84">
        <v>980</v>
      </c>
    </row>
    <row r="55" spans="1:5" x14ac:dyDescent="0.25">
      <c r="A55" s="84" t="s">
        <v>988</v>
      </c>
      <c r="B55" s="84" t="s">
        <v>977</v>
      </c>
      <c r="C55" s="84" t="s">
        <v>668</v>
      </c>
      <c r="D55" s="84" t="s">
        <v>662</v>
      </c>
      <c r="E55" s="84">
        <v>432</v>
      </c>
    </row>
    <row r="56" spans="1:5" x14ac:dyDescent="0.25">
      <c r="A56" s="84" t="s">
        <v>988</v>
      </c>
      <c r="B56" s="84" t="s">
        <v>977</v>
      </c>
      <c r="C56" s="84" t="s">
        <v>978</v>
      </c>
      <c r="D56" s="84" t="s">
        <v>662</v>
      </c>
      <c r="E56" s="84">
        <v>140</v>
      </c>
    </row>
    <row r="57" spans="1:5" x14ac:dyDescent="0.25">
      <c r="A57" s="84" t="s">
        <v>988</v>
      </c>
      <c r="B57" s="84" t="s">
        <v>977</v>
      </c>
      <c r="C57" s="84" t="s">
        <v>84</v>
      </c>
      <c r="D57" s="84" t="s">
        <v>662</v>
      </c>
      <c r="E57" s="84">
        <v>76</v>
      </c>
    </row>
    <row r="58" spans="1:5" x14ac:dyDescent="0.25">
      <c r="A58" s="84" t="s">
        <v>988</v>
      </c>
      <c r="B58" s="84" t="s">
        <v>977</v>
      </c>
      <c r="C58" s="84" t="s">
        <v>675</v>
      </c>
      <c r="D58" s="84" t="s">
        <v>662</v>
      </c>
      <c r="E58" s="84">
        <v>372</v>
      </c>
    </row>
    <row r="59" spans="1:5" x14ac:dyDescent="0.25">
      <c r="A59" s="84" t="s">
        <v>988</v>
      </c>
      <c r="B59" s="84" t="s">
        <v>977</v>
      </c>
      <c r="C59" s="84" t="s">
        <v>987</v>
      </c>
      <c r="D59" s="84" t="s">
        <v>662</v>
      </c>
      <c r="E59" s="84">
        <v>1200</v>
      </c>
    </row>
    <row r="60" spans="1:5" x14ac:dyDescent="0.25">
      <c r="A60" s="84" t="s">
        <v>988</v>
      </c>
      <c r="B60" s="84" t="s">
        <v>977</v>
      </c>
      <c r="C60" s="84" t="s">
        <v>615</v>
      </c>
      <c r="D60" s="84" t="s">
        <v>662</v>
      </c>
      <c r="E60" s="84">
        <v>800</v>
      </c>
    </row>
    <row r="61" spans="1:5" x14ac:dyDescent="0.25">
      <c r="A61" s="86" t="s">
        <v>615</v>
      </c>
      <c r="B61" s="86" t="s">
        <v>977</v>
      </c>
      <c r="C61" s="86" t="s">
        <v>713</v>
      </c>
      <c r="D61" s="86" t="s">
        <v>662</v>
      </c>
      <c r="E61" s="86">
        <v>2052</v>
      </c>
    </row>
    <row r="62" spans="1:5" x14ac:dyDescent="0.25">
      <c r="A62" s="86" t="s">
        <v>615</v>
      </c>
      <c r="B62" s="86" t="s">
        <v>977</v>
      </c>
      <c r="C62" s="86" t="s">
        <v>668</v>
      </c>
      <c r="D62" s="86" t="s">
        <v>662</v>
      </c>
      <c r="E62" s="87">
        <v>763.80000000000007</v>
      </c>
    </row>
    <row r="63" spans="1:5" x14ac:dyDescent="0.25">
      <c r="A63" s="86" t="s">
        <v>615</v>
      </c>
      <c r="B63" s="86" t="s">
        <v>977</v>
      </c>
      <c r="C63" s="86" t="s">
        <v>978</v>
      </c>
      <c r="D63" s="86" t="s">
        <v>662</v>
      </c>
      <c r="E63" s="87">
        <v>199.5</v>
      </c>
    </row>
    <row r="64" spans="1:5" x14ac:dyDescent="0.25">
      <c r="A64" s="86" t="s">
        <v>615</v>
      </c>
      <c r="B64" s="86" t="s">
        <v>977</v>
      </c>
      <c r="C64" s="86" t="s">
        <v>84</v>
      </c>
      <c r="D64" s="86" t="s">
        <v>662</v>
      </c>
      <c r="E64" s="87">
        <v>148.20000000000002</v>
      </c>
    </row>
    <row r="65" spans="1:5" x14ac:dyDescent="0.25">
      <c r="A65" s="86" t="s">
        <v>615</v>
      </c>
      <c r="B65" s="86" t="s">
        <v>977</v>
      </c>
      <c r="C65" s="86" t="s">
        <v>615</v>
      </c>
      <c r="D65" s="86" t="s">
        <v>662</v>
      </c>
      <c r="E65" s="87">
        <v>1995</v>
      </c>
    </row>
    <row r="66" spans="1:5" x14ac:dyDescent="0.25">
      <c r="A66" s="86" t="s">
        <v>615</v>
      </c>
      <c r="B66" s="86" t="s">
        <v>977</v>
      </c>
      <c r="C66" s="86" t="s">
        <v>675</v>
      </c>
      <c r="D66" s="86" t="s">
        <v>662</v>
      </c>
      <c r="E66" s="87">
        <v>456</v>
      </c>
    </row>
    <row r="67" spans="1:5" x14ac:dyDescent="0.25">
      <c r="A67" s="86" t="s">
        <v>615</v>
      </c>
      <c r="B67" s="86" t="s">
        <v>977</v>
      </c>
      <c r="C67" s="86" t="s">
        <v>989</v>
      </c>
      <c r="D67" s="86" t="s">
        <v>662</v>
      </c>
      <c r="E67" s="87">
        <v>85.5</v>
      </c>
    </row>
    <row r="68" spans="1:5" x14ac:dyDescent="0.25">
      <c r="A68" s="84" t="s">
        <v>990</v>
      </c>
      <c r="B68" s="84" t="s">
        <v>977</v>
      </c>
      <c r="C68" s="84" t="s">
        <v>713</v>
      </c>
      <c r="D68" s="84" t="s">
        <v>662</v>
      </c>
      <c r="E68" s="85">
        <v>377.5609756097561</v>
      </c>
    </row>
    <row r="69" spans="1:5" x14ac:dyDescent="0.25">
      <c r="A69" s="84" t="s">
        <v>990</v>
      </c>
      <c r="B69" s="84" t="s">
        <v>977</v>
      </c>
      <c r="C69" s="84" t="s">
        <v>668</v>
      </c>
      <c r="D69" s="84" t="s">
        <v>662</v>
      </c>
      <c r="E69" s="85">
        <v>151.21951219512195</v>
      </c>
    </row>
    <row r="70" spans="1:5" x14ac:dyDescent="0.25">
      <c r="A70" s="84" t="s">
        <v>990</v>
      </c>
      <c r="B70" s="84" t="s">
        <v>977</v>
      </c>
      <c r="C70" s="84" t="s">
        <v>978</v>
      </c>
      <c r="D70" s="84" t="s">
        <v>662</v>
      </c>
      <c r="E70" s="85">
        <v>32.195121951219512</v>
      </c>
    </row>
    <row r="71" spans="1:5" x14ac:dyDescent="0.25">
      <c r="A71" s="84" t="s">
        <v>990</v>
      </c>
      <c r="B71" s="84" t="s">
        <v>977</v>
      </c>
      <c r="C71" s="84" t="s">
        <v>750</v>
      </c>
      <c r="D71" s="84" t="s">
        <v>662</v>
      </c>
      <c r="E71" s="85">
        <v>390.2439024390244</v>
      </c>
    </row>
    <row r="72" spans="1:5" x14ac:dyDescent="0.25">
      <c r="A72" s="84" t="s">
        <v>990</v>
      </c>
      <c r="B72" s="84" t="s">
        <v>977</v>
      </c>
      <c r="C72" s="84" t="s">
        <v>991</v>
      </c>
      <c r="D72" s="84" t="s">
        <v>662</v>
      </c>
      <c r="E72" s="85">
        <v>29.268292682926827</v>
      </c>
    </row>
    <row r="73" spans="1:5" x14ac:dyDescent="0.25">
      <c r="A73" s="84" t="s">
        <v>990</v>
      </c>
      <c r="B73" s="84" t="s">
        <v>977</v>
      </c>
      <c r="C73" s="84" t="s">
        <v>989</v>
      </c>
      <c r="D73" s="84" t="s">
        <v>662</v>
      </c>
      <c r="E73" s="85">
        <v>19.512195121951219</v>
      </c>
    </row>
    <row r="74" spans="1:5" x14ac:dyDescent="0.25">
      <c r="A74" s="86" t="s">
        <v>294</v>
      </c>
      <c r="B74" s="86" t="s">
        <v>977</v>
      </c>
      <c r="C74" s="86" t="s">
        <v>713</v>
      </c>
      <c r="D74" s="86" t="s">
        <v>662</v>
      </c>
      <c r="E74" s="87">
        <v>2333.3266667333328</v>
      </c>
    </row>
    <row r="75" spans="1:5" x14ac:dyDescent="0.25">
      <c r="A75" s="86" t="s">
        <v>294</v>
      </c>
      <c r="B75" s="86" t="s">
        <v>977</v>
      </c>
      <c r="C75" s="86" t="s">
        <v>668</v>
      </c>
      <c r="D75" s="86" t="s">
        <v>662</v>
      </c>
      <c r="E75" s="87">
        <v>1333.3366666333338</v>
      </c>
    </row>
    <row r="76" spans="1:5" x14ac:dyDescent="0.25">
      <c r="A76" s="86" t="s">
        <v>294</v>
      </c>
      <c r="B76" s="86" t="s">
        <v>977</v>
      </c>
      <c r="C76" s="86" t="s">
        <v>978</v>
      </c>
      <c r="D76" s="86" t="s">
        <v>662</v>
      </c>
      <c r="E76" s="87">
        <v>333.34666653333471</v>
      </c>
    </row>
    <row r="77" spans="1:5" x14ac:dyDescent="0.25">
      <c r="A77" s="86" t="s">
        <v>294</v>
      </c>
      <c r="B77" s="86" t="s">
        <v>977</v>
      </c>
      <c r="C77" s="86" t="s">
        <v>84</v>
      </c>
      <c r="D77" s="86" t="s">
        <v>662</v>
      </c>
      <c r="E77" s="87">
        <v>199.99800001999978</v>
      </c>
    </row>
    <row r="78" spans="1:5" x14ac:dyDescent="0.25">
      <c r="A78" s="86" t="s">
        <v>294</v>
      </c>
      <c r="B78" s="86" t="s">
        <v>977</v>
      </c>
      <c r="C78" s="86" t="s">
        <v>675</v>
      </c>
      <c r="D78" s="86" t="s">
        <v>662</v>
      </c>
      <c r="E78" s="87">
        <v>799.99200007999912</v>
      </c>
    </row>
    <row r="79" spans="1:5" x14ac:dyDescent="0.25">
      <c r="A79" s="86" t="s">
        <v>294</v>
      </c>
      <c r="B79" s="86" t="s">
        <v>977</v>
      </c>
      <c r="C79" s="86" t="s">
        <v>294</v>
      </c>
      <c r="D79" s="86" t="s">
        <v>662</v>
      </c>
      <c r="E79" s="87">
        <v>5000</v>
      </c>
    </row>
    <row r="80" spans="1:5" x14ac:dyDescent="0.25">
      <c r="A80" s="84" t="s">
        <v>992</v>
      </c>
      <c r="B80" s="84" t="s">
        <v>977</v>
      </c>
      <c r="C80" s="84" t="s">
        <v>985</v>
      </c>
      <c r="D80" s="84" t="s">
        <v>662</v>
      </c>
      <c r="E80" s="85">
        <v>1499.4996669494597</v>
      </c>
    </row>
    <row r="81" spans="1:5" x14ac:dyDescent="0.25">
      <c r="A81" s="84" t="s">
        <v>992</v>
      </c>
      <c r="B81" s="84" t="s">
        <v>977</v>
      </c>
      <c r="C81" s="84" t="s">
        <v>668</v>
      </c>
      <c r="D81" s="84" t="s">
        <v>662</v>
      </c>
      <c r="E81" s="85">
        <v>308.89693139158868</v>
      </c>
    </row>
    <row r="82" spans="1:5" x14ac:dyDescent="0.25">
      <c r="A82" s="84" t="s">
        <v>992</v>
      </c>
      <c r="B82" s="84" t="s">
        <v>977</v>
      </c>
      <c r="C82" s="84" t="s">
        <v>978</v>
      </c>
      <c r="D82" s="84" t="s">
        <v>662</v>
      </c>
      <c r="E82" s="85">
        <v>99.970643089089592</v>
      </c>
    </row>
    <row r="83" spans="1:5" x14ac:dyDescent="0.25">
      <c r="A83" s="84" t="s">
        <v>992</v>
      </c>
      <c r="B83" s="84" t="s">
        <v>977</v>
      </c>
      <c r="C83" s="84" t="s">
        <v>84</v>
      </c>
      <c r="D83" s="84" t="s">
        <v>662</v>
      </c>
      <c r="E83" s="85">
        <v>59.979386884109537</v>
      </c>
    </row>
    <row r="84" spans="1:5" x14ac:dyDescent="0.25">
      <c r="A84" s="84" t="s">
        <v>992</v>
      </c>
      <c r="B84" s="84" t="s">
        <v>977</v>
      </c>
      <c r="C84" s="84" t="s">
        <v>675</v>
      </c>
      <c r="D84" s="84" t="s">
        <v>662</v>
      </c>
      <c r="E84" s="85">
        <v>239.91754753643815</v>
      </c>
    </row>
    <row r="85" spans="1:5" x14ac:dyDescent="0.25">
      <c r="A85" s="84" t="s">
        <v>992</v>
      </c>
      <c r="B85" s="84" t="s">
        <v>977</v>
      </c>
      <c r="C85" s="84" t="s">
        <v>294</v>
      </c>
      <c r="D85" s="84" t="s">
        <v>662</v>
      </c>
      <c r="E85" s="85">
        <v>791.73582414931468</v>
      </c>
    </row>
    <row r="86" spans="1:5" x14ac:dyDescent="0.25">
      <c r="A86" s="86" t="s">
        <v>796</v>
      </c>
      <c r="B86" s="86" t="s">
        <v>977</v>
      </c>
      <c r="C86" s="86" t="s">
        <v>713</v>
      </c>
      <c r="D86" s="86" t="s">
        <v>662</v>
      </c>
      <c r="E86" s="86">
        <v>5750</v>
      </c>
    </row>
    <row r="87" spans="1:5" x14ac:dyDescent="0.25">
      <c r="A87" s="86" t="s">
        <v>796</v>
      </c>
      <c r="B87" s="86" t="s">
        <v>977</v>
      </c>
      <c r="C87" s="86" t="s">
        <v>978</v>
      </c>
      <c r="D87" s="86" t="s">
        <v>662</v>
      </c>
      <c r="E87" s="86">
        <v>350</v>
      </c>
    </row>
    <row r="88" spans="1:5" x14ac:dyDescent="0.25">
      <c r="A88" s="86" t="s">
        <v>796</v>
      </c>
      <c r="B88" s="86" t="s">
        <v>977</v>
      </c>
      <c r="C88" s="86" t="s">
        <v>84</v>
      </c>
      <c r="D88" s="86" t="s">
        <v>662</v>
      </c>
      <c r="E88" s="86">
        <v>1400</v>
      </c>
    </row>
    <row r="89" spans="1:5" x14ac:dyDescent="0.25">
      <c r="A89" s="86" t="s">
        <v>796</v>
      </c>
      <c r="B89" s="86" t="s">
        <v>977</v>
      </c>
      <c r="C89" s="86" t="s">
        <v>993</v>
      </c>
      <c r="D89" s="86" t="s">
        <v>662</v>
      </c>
      <c r="E89" s="86">
        <v>700</v>
      </c>
    </row>
    <row r="90" spans="1:5" x14ac:dyDescent="0.25">
      <c r="A90" s="86" t="s">
        <v>796</v>
      </c>
      <c r="B90" s="86" t="s">
        <v>977</v>
      </c>
      <c r="C90" s="86" t="s">
        <v>675</v>
      </c>
      <c r="D90" s="86" t="s">
        <v>662</v>
      </c>
      <c r="E90" s="86">
        <v>600</v>
      </c>
    </row>
    <row r="91" spans="1:5" x14ac:dyDescent="0.25">
      <c r="A91" s="86" t="s">
        <v>796</v>
      </c>
      <c r="B91" s="86" t="s">
        <v>977</v>
      </c>
      <c r="C91" s="86" t="s">
        <v>989</v>
      </c>
      <c r="D91" s="86" t="s">
        <v>662</v>
      </c>
      <c r="E91" s="86">
        <v>200</v>
      </c>
    </row>
    <row r="92" spans="1:5" x14ac:dyDescent="0.25">
      <c r="A92" s="86" t="s">
        <v>796</v>
      </c>
      <c r="B92" s="86" t="s">
        <v>977</v>
      </c>
      <c r="C92" s="86" t="s">
        <v>994</v>
      </c>
      <c r="D92" s="86" t="s">
        <v>662</v>
      </c>
      <c r="E92" s="86">
        <v>1000</v>
      </c>
    </row>
    <row r="93" spans="1:5" x14ac:dyDescent="0.25">
      <c r="A93" s="84" t="s">
        <v>995</v>
      </c>
      <c r="B93" s="84" t="s">
        <v>977</v>
      </c>
      <c r="C93" s="84" t="s">
        <v>713</v>
      </c>
      <c r="D93" s="84" t="s">
        <v>662</v>
      </c>
      <c r="E93" s="85">
        <v>1308.6325559823115</v>
      </c>
    </row>
    <row r="94" spans="1:5" x14ac:dyDescent="0.25">
      <c r="A94" s="84" t="s">
        <v>995</v>
      </c>
      <c r="B94" s="84" t="s">
        <v>977</v>
      </c>
      <c r="C94" s="84" t="s">
        <v>668</v>
      </c>
      <c r="D94" s="84" t="s">
        <v>662</v>
      </c>
      <c r="E94" s="85">
        <v>550.55738601197572</v>
      </c>
    </row>
    <row r="95" spans="1:5" x14ac:dyDescent="0.25">
      <c r="A95" s="84" t="s">
        <v>995</v>
      </c>
      <c r="B95" s="84" t="s">
        <v>977</v>
      </c>
      <c r="C95" s="84" t="s">
        <v>978</v>
      </c>
      <c r="D95" s="84" t="s">
        <v>662</v>
      </c>
      <c r="E95" s="85">
        <v>141.17420720184501</v>
      </c>
    </row>
    <row r="96" spans="1:5" x14ac:dyDescent="0.25">
      <c r="A96" s="84" t="s">
        <v>995</v>
      </c>
      <c r="B96" s="84" t="s">
        <v>977</v>
      </c>
      <c r="C96" s="84" t="s">
        <v>84</v>
      </c>
      <c r="D96" s="84" t="s">
        <v>662</v>
      </c>
      <c r="E96" s="85">
        <v>169.40227261906944</v>
      </c>
    </row>
    <row r="97" spans="1:5" x14ac:dyDescent="0.25">
      <c r="A97" s="84" t="s">
        <v>995</v>
      </c>
      <c r="B97" s="84" t="s">
        <v>977</v>
      </c>
      <c r="C97" s="84" t="s">
        <v>675</v>
      </c>
      <c r="D97" s="84" t="s">
        <v>662</v>
      </c>
      <c r="E97" s="85">
        <v>338.80454523813887</v>
      </c>
    </row>
    <row r="98" spans="1:5" x14ac:dyDescent="0.25">
      <c r="A98" s="84" t="s">
        <v>995</v>
      </c>
      <c r="B98" s="84" t="s">
        <v>977</v>
      </c>
      <c r="C98" s="84" t="s">
        <v>995</v>
      </c>
      <c r="D98" s="84" t="s">
        <v>662</v>
      </c>
      <c r="E98" s="85">
        <v>1694.0227261906944</v>
      </c>
    </row>
    <row r="99" spans="1:5" x14ac:dyDescent="0.25">
      <c r="A99" s="84" t="s">
        <v>995</v>
      </c>
      <c r="B99" s="84" t="s">
        <v>977</v>
      </c>
      <c r="C99" s="84" t="s">
        <v>996</v>
      </c>
      <c r="D99" s="84" t="s">
        <v>662</v>
      </c>
      <c r="E99" s="85">
        <v>33.880454523813889</v>
      </c>
    </row>
    <row r="100" spans="1:5" x14ac:dyDescent="0.25">
      <c r="A100" s="84" t="s">
        <v>995</v>
      </c>
      <c r="B100" s="84" t="s">
        <v>977</v>
      </c>
      <c r="C100" s="84" t="s">
        <v>989</v>
      </c>
      <c r="D100" s="84" t="s">
        <v>662</v>
      </c>
      <c r="E100" s="85">
        <v>63.525852232151038</v>
      </c>
    </row>
    <row r="101" spans="1:5" x14ac:dyDescent="0.25">
      <c r="A101" s="88" t="s">
        <v>997</v>
      </c>
      <c r="B101" s="88" t="s">
        <v>660</v>
      </c>
      <c r="C101" s="88" t="s">
        <v>661</v>
      </c>
      <c r="D101" s="88" t="s">
        <v>662</v>
      </c>
      <c r="E101" s="88">
        <v>2400</v>
      </c>
    </row>
    <row r="102" spans="1:5" x14ac:dyDescent="0.25">
      <c r="A102" s="88" t="s">
        <v>997</v>
      </c>
      <c r="B102" s="88" t="s">
        <v>660</v>
      </c>
      <c r="C102" s="88" t="s">
        <v>713</v>
      </c>
      <c r="D102" s="88" t="s">
        <v>662</v>
      </c>
      <c r="E102" s="88">
        <v>1240</v>
      </c>
    </row>
    <row r="103" spans="1:5" x14ac:dyDescent="0.25">
      <c r="A103" s="88" t="s">
        <v>997</v>
      </c>
      <c r="B103" s="88" t="s">
        <v>660</v>
      </c>
      <c r="C103" s="88" t="s">
        <v>668</v>
      </c>
      <c r="D103" s="88" t="s">
        <v>662</v>
      </c>
      <c r="E103" s="88">
        <v>680</v>
      </c>
    </row>
    <row r="104" spans="1:5" x14ac:dyDescent="0.25">
      <c r="A104" s="88" t="s">
        <v>997</v>
      </c>
      <c r="B104" s="88" t="s">
        <v>660</v>
      </c>
      <c r="C104" s="88" t="s">
        <v>84</v>
      </c>
      <c r="D104" s="88" t="s">
        <v>662</v>
      </c>
      <c r="E104" s="88">
        <v>680</v>
      </c>
    </row>
    <row r="105" spans="1:5" x14ac:dyDescent="0.25">
      <c r="A105" s="88" t="s">
        <v>997</v>
      </c>
      <c r="B105" s="88" t="s">
        <v>660</v>
      </c>
      <c r="C105" s="88" t="s">
        <v>672</v>
      </c>
      <c r="D105" s="88" t="s">
        <v>662</v>
      </c>
      <c r="E105" s="88">
        <v>40</v>
      </c>
    </row>
    <row r="106" spans="1:5" x14ac:dyDescent="0.25">
      <c r="A106" s="88" t="s">
        <v>997</v>
      </c>
      <c r="B106" s="88" t="s">
        <v>660</v>
      </c>
      <c r="C106" s="88" t="s">
        <v>675</v>
      </c>
      <c r="D106" s="88" t="s">
        <v>662</v>
      </c>
      <c r="E106" s="88">
        <v>320</v>
      </c>
    </row>
    <row r="107" spans="1:5" x14ac:dyDescent="0.25">
      <c r="A107" s="88" t="s">
        <v>997</v>
      </c>
      <c r="B107" s="88" t="s">
        <v>660</v>
      </c>
      <c r="C107" s="88" t="s">
        <v>677</v>
      </c>
      <c r="D107" s="88" t="s">
        <v>662</v>
      </c>
      <c r="E107" s="88">
        <v>240</v>
      </c>
    </row>
    <row r="108" spans="1:5" x14ac:dyDescent="0.25">
      <c r="A108" s="88" t="s">
        <v>997</v>
      </c>
      <c r="B108" s="88" t="s">
        <v>660</v>
      </c>
      <c r="C108" s="88" t="s">
        <v>998</v>
      </c>
      <c r="D108" s="88" t="s">
        <v>662</v>
      </c>
      <c r="E108" s="88">
        <v>2400</v>
      </c>
    </row>
    <row r="109" spans="1:5" x14ac:dyDescent="0.25">
      <c r="A109" s="84" t="s">
        <v>999</v>
      </c>
      <c r="B109" s="84" t="s">
        <v>660</v>
      </c>
      <c r="C109" s="84" t="s">
        <v>661</v>
      </c>
      <c r="D109" s="84" t="s">
        <v>662</v>
      </c>
      <c r="E109" s="84">
        <v>1520</v>
      </c>
    </row>
    <row r="110" spans="1:5" x14ac:dyDescent="0.25">
      <c r="A110" s="84" t="s">
        <v>999</v>
      </c>
      <c r="B110" s="84" t="s">
        <v>660</v>
      </c>
      <c r="C110" s="84" t="s">
        <v>665</v>
      </c>
      <c r="D110" s="84" t="s">
        <v>662</v>
      </c>
      <c r="E110" s="84">
        <v>400</v>
      </c>
    </row>
    <row r="111" spans="1:5" x14ac:dyDescent="0.25">
      <c r="A111" s="84" t="s">
        <v>999</v>
      </c>
      <c r="B111" s="84" t="s">
        <v>660</v>
      </c>
      <c r="C111" s="84" t="s">
        <v>668</v>
      </c>
      <c r="D111" s="84" t="s">
        <v>662</v>
      </c>
      <c r="E111" s="84">
        <v>320</v>
      </c>
    </row>
    <row r="112" spans="1:5" x14ac:dyDescent="0.25">
      <c r="A112" s="84" t="s">
        <v>999</v>
      </c>
      <c r="B112" s="84" t="s">
        <v>660</v>
      </c>
      <c r="C112" s="84" t="s">
        <v>84</v>
      </c>
      <c r="D112" s="84" t="s">
        <v>662</v>
      </c>
      <c r="E112" s="84">
        <v>120</v>
      </c>
    </row>
    <row r="113" spans="1:5" x14ac:dyDescent="0.25">
      <c r="A113" s="84" t="s">
        <v>999</v>
      </c>
      <c r="B113" s="84" t="s">
        <v>660</v>
      </c>
      <c r="C113" s="84" t="s">
        <v>672</v>
      </c>
      <c r="D113" s="84" t="s">
        <v>662</v>
      </c>
      <c r="E113" s="84">
        <v>20</v>
      </c>
    </row>
    <row r="114" spans="1:5" x14ac:dyDescent="0.25">
      <c r="A114" s="84" t="s">
        <v>999</v>
      </c>
      <c r="B114" s="84" t="s">
        <v>660</v>
      </c>
      <c r="C114" s="84" t="s">
        <v>675</v>
      </c>
      <c r="D114" s="84" t="s">
        <v>662</v>
      </c>
      <c r="E114" s="84">
        <v>180</v>
      </c>
    </row>
    <row r="115" spans="1:5" x14ac:dyDescent="0.25">
      <c r="A115" s="84" t="s">
        <v>999</v>
      </c>
      <c r="B115" s="84" t="s">
        <v>660</v>
      </c>
      <c r="C115" s="84" t="s">
        <v>677</v>
      </c>
      <c r="D115" s="84" t="s">
        <v>662</v>
      </c>
      <c r="E115" s="84">
        <v>120</v>
      </c>
    </row>
    <row r="116" spans="1:5" x14ac:dyDescent="0.25">
      <c r="A116" s="84" t="s">
        <v>999</v>
      </c>
      <c r="B116" s="84" t="s">
        <v>660</v>
      </c>
      <c r="C116" s="84" t="s">
        <v>976</v>
      </c>
      <c r="D116" s="84" t="s">
        <v>662</v>
      </c>
      <c r="E116" s="84">
        <v>1320</v>
      </c>
    </row>
    <row r="117" spans="1:5" x14ac:dyDescent="0.25">
      <c r="A117" s="86" t="s">
        <v>1000</v>
      </c>
      <c r="B117" s="88" t="s">
        <v>660</v>
      </c>
      <c r="C117" s="86" t="s">
        <v>661</v>
      </c>
      <c r="D117" s="88" t="s">
        <v>662</v>
      </c>
      <c r="E117" s="86">
        <v>2760</v>
      </c>
    </row>
    <row r="118" spans="1:5" x14ac:dyDescent="0.25">
      <c r="A118" s="86" t="s">
        <v>1000</v>
      </c>
      <c r="B118" s="88" t="s">
        <v>660</v>
      </c>
      <c r="C118" s="86" t="s">
        <v>665</v>
      </c>
      <c r="D118" s="88" t="s">
        <v>662</v>
      </c>
      <c r="E118" s="86">
        <v>320</v>
      </c>
    </row>
    <row r="119" spans="1:5" x14ac:dyDescent="0.25">
      <c r="A119" s="86" t="s">
        <v>1000</v>
      </c>
      <c r="B119" s="88" t="s">
        <v>660</v>
      </c>
      <c r="C119" s="86" t="s">
        <v>668</v>
      </c>
      <c r="D119" s="88" t="s">
        <v>662</v>
      </c>
      <c r="E119" s="86">
        <v>480</v>
      </c>
    </row>
    <row r="120" spans="1:5" x14ac:dyDescent="0.25">
      <c r="A120" s="86" t="s">
        <v>1000</v>
      </c>
      <c r="B120" s="88" t="s">
        <v>660</v>
      </c>
      <c r="C120" s="86" t="s">
        <v>84</v>
      </c>
      <c r="D120" s="88" t="s">
        <v>662</v>
      </c>
      <c r="E120" s="86">
        <v>120</v>
      </c>
    </row>
    <row r="121" spans="1:5" x14ac:dyDescent="0.25">
      <c r="A121" s="86" t="s">
        <v>1000</v>
      </c>
      <c r="B121" s="88" t="s">
        <v>660</v>
      </c>
      <c r="C121" s="86" t="s">
        <v>672</v>
      </c>
      <c r="D121" s="88" t="s">
        <v>662</v>
      </c>
      <c r="E121" s="86">
        <v>20</v>
      </c>
    </row>
    <row r="122" spans="1:5" x14ac:dyDescent="0.25">
      <c r="A122" s="86" t="s">
        <v>1000</v>
      </c>
      <c r="B122" s="88" t="s">
        <v>660</v>
      </c>
      <c r="C122" s="86" t="s">
        <v>675</v>
      </c>
      <c r="D122" s="88" t="s">
        <v>662</v>
      </c>
      <c r="E122" s="86">
        <v>180</v>
      </c>
    </row>
    <row r="123" spans="1:5" x14ac:dyDescent="0.25">
      <c r="A123" s="86" t="s">
        <v>1000</v>
      </c>
      <c r="B123" s="88" t="s">
        <v>660</v>
      </c>
      <c r="C123" s="86" t="s">
        <v>677</v>
      </c>
      <c r="D123" s="88" t="s">
        <v>662</v>
      </c>
      <c r="E123" s="86">
        <v>120</v>
      </c>
    </row>
    <row r="124" spans="1:5" x14ac:dyDescent="0.25">
      <c r="A124" s="86" t="s">
        <v>1000</v>
      </c>
      <c r="B124" s="88" t="s">
        <v>660</v>
      </c>
      <c r="C124" s="86" t="s">
        <v>92</v>
      </c>
      <c r="D124" s="88" t="s">
        <v>662</v>
      </c>
      <c r="E124" s="86">
        <v>320</v>
      </c>
    </row>
    <row r="125" spans="1:5" x14ac:dyDescent="0.25">
      <c r="A125" s="86" t="s">
        <v>1000</v>
      </c>
      <c r="B125" s="88" t="s">
        <v>660</v>
      </c>
      <c r="C125" s="86" t="s">
        <v>137</v>
      </c>
      <c r="D125" s="88" t="s">
        <v>662</v>
      </c>
      <c r="E125" s="86">
        <v>200</v>
      </c>
    </row>
    <row r="126" spans="1:5" x14ac:dyDescent="0.25">
      <c r="A126" s="86" t="s">
        <v>1000</v>
      </c>
      <c r="B126" s="88" t="s">
        <v>660</v>
      </c>
      <c r="C126" s="86" t="s">
        <v>1001</v>
      </c>
      <c r="D126" s="88" t="s">
        <v>662</v>
      </c>
      <c r="E126" s="86">
        <v>200</v>
      </c>
    </row>
    <row r="127" spans="1:5" x14ac:dyDescent="0.25">
      <c r="A127" s="84" t="s">
        <v>1002</v>
      </c>
      <c r="B127" s="84" t="s">
        <v>660</v>
      </c>
      <c r="C127" s="84" t="s">
        <v>661</v>
      </c>
      <c r="D127" s="84" t="s">
        <v>662</v>
      </c>
      <c r="E127" s="84">
        <v>2774</v>
      </c>
    </row>
    <row r="128" spans="1:5" x14ac:dyDescent="0.25">
      <c r="A128" s="84" t="s">
        <v>1002</v>
      </c>
      <c r="B128" s="84" t="s">
        <v>660</v>
      </c>
      <c r="C128" s="84" t="s">
        <v>665</v>
      </c>
      <c r="D128" s="84" t="s">
        <v>662</v>
      </c>
      <c r="E128" s="84">
        <v>160</v>
      </c>
    </row>
    <row r="129" spans="1:5" x14ac:dyDescent="0.25">
      <c r="A129" s="84" t="s">
        <v>1002</v>
      </c>
      <c r="B129" s="84" t="s">
        <v>660</v>
      </c>
      <c r="C129" s="84" t="s">
        <v>668</v>
      </c>
      <c r="D129" s="84" t="s">
        <v>662</v>
      </c>
      <c r="E129" s="84">
        <v>300</v>
      </c>
    </row>
    <row r="130" spans="1:5" x14ac:dyDescent="0.25">
      <c r="A130" s="84" t="s">
        <v>1002</v>
      </c>
      <c r="B130" s="84" t="s">
        <v>660</v>
      </c>
      <c r="C130" s="84" t="s">
        <v>84</v>
      </c>
      <c r="D130" s="84" t="s">
        <v>662</v>
      </c>
      <c r="E130" s="84">
        <v>140</v>
      </c>
    </row>
    <row r="131" spans="1:5" x14ac:dyDescent="0.25">
      <c r="A131" s="84" t="s">
        <v>1002</v>
      </c>
      <c r="B131" s="84" t="s">
        <v>660</v>
      </c>
      <c r="C131" s="84" t="s">
        <v>672</v>
      </c>
      <c r="D131" s="84" t="s">
        <v>662</v>
      </c>
      <c r="E131" s="84">
        <v>20</v>
      </c>
    </row>
    <row r="132" spans="1:5" x14ac:dyDescent="0.25">
      <c r="A132" s="84" t="s">
        <v>1002</v>
      </c>
      <c r="B132" s="84" t="s">
        <v>660</v>
      </c>
      <c r="C132" s="84" t="s">
        <v>675</v>
      </c>
      <c r="D132" s="84" t="s">
        <v>662</v>
      </c>
      <c r="E132" s="84">
        <v>160</v>
      </c>
    </row>
    <row r="133" spans="1:5" x14ac:dyDescent="0.25">
      <c r="A133" s="84" t="s">
        <v>1002</v>
      </c>
      <c r="B133" s="84" t="s">
        <v>660</v>
      </c>
      <c r="C133" s="84" t="s">
        <v>677</v>
      </c>
      <c r="D133" s="84" t="s">
        <v>662</v>
      </c>
      <c r="E133" s="84">
        <v>120</v>
      </c>
    </row>
    <row r="134" spans="1:5" x14ac:dyDescent="0.25">
      <c r="A134" s="84" t="s">
        <v>1002</v>
      </c>
      <c r="B134" s="84" t="s">
        <v>660</v>
      </c>
      <c r="C134" s="84" t="s">
        <v>1003</v>
      </c>
      <c r="D134" s="84" t="s">
        <v>662</v>
      </c>
      <c r="E134" s="84">
        <v>320</v>
      </c>
    </row>
    <row r="135" spans="1:5" x14ac:dyDescent="0.25">
      <c r="A135" s="84" t="s">
        <v>1002</v>
      </c>
      <c r="B135" s="84" t="s">
        <v>660</v>
      </c>
      <c r="C135" s="84" t="s">
        <v>113</v>
      </c>
      <c r="D135" s="84" t="s">
        <v>662</v>
      </c>
      <c r="E135" s="84">
        <v>6</v>
      </c>
    </row>
    <row r="136" spans="1:5" x14ac:dyDescent="0.25">
      <c r="A136" s="84" t="s">
        <v>1002</v>
      </c>
      <c r="B136" s="84" t="s">
        <v>660</v>
      </c>
      <c r="C136" s="84" t="s">
        <v>1004</v>
      </c>
      <c r="D136" s="84" t="s">
        <v>662</v>
      </c>
      <c r="E136" s="84">
        <v>300</v>
      </c>
    </row>
    <row r="137" spans="1:5" x14ac:dyDescent="0.25">
      <c r="A137" s="84" t="s">
        <v>1002</v>
      </c>
      <c r="B137" s="84" t="s">
        <v>660</v>
      </c>
      <c r="C137" s="84" t="s">
        <v>1002</v>
      </c>
      <c r="D137" s="84" t="s">
        <v>662</v>
      </c>
      <c r="E137" s="84">
        <v>80</v>
      </c>
    </row>
    <row r="138" spans="1:5" x14ac:dyDescent="0.25">
      <c r="A138" s="86" t="s">
        <v>1005</v>
      </c>
      <c r="B138" s="88" t="s">
        <v>660</v>
      </c>
      <c r="C138" s="86" t="s">
        <v>661</v>
      </c>
      <c r="D138" s="88" t="s">
        <v>662</v>
      </c>
      <c r="E138" s="87">
        <v>2774.4510978043909</v>
      </c>
    </row>
    <row r="139" spans="1:5" x14ac:dyDescent="0.25">
      <c r="A139" s="86" t="s">
        <v>1005</v>
      </c>
      <c r="B139" s="88" t="s">
        <v>660</v>
      </c>
      <c r="C139" s="86" t="s">
        <v>665</v>
      </c>
      <c r="D139" s="88" t="s">
        <v>662</v>
      </c>
      <c r="E139" s="87">
        <v>39.920159680638719</v>
      </c>
    </row>
    <row r="140" spans="1:5" x14ac:dyDescent="0.25">
      <c r="A140" s="86" t="s">
        <v>1005</v>
      </c>
      <c r="B140" s="88" t="s">
        <v>660</v>
      </c>
      <c r="C140" s="86" t="s">
        <v>668</v>
      </c>
      <c r="D140" s="88" t="s">
        <v>662</v>
      </c>
      <c r="E140" s="87">
        <v>319.36127744510975</v>
      </c>
    </row>
    <row r="141" spans="1:5" x14ac:dyDescent="0.25">
      <c r="A141" s="86" t="s">
        <v>1005</v>
      </c>
      <c r="B141" s="88" t="s">
        <v>660</v>
      </c>
      <c r="C141" s="86" t="s">
        <v>84</v>
      </c>
      <c r="D141" s="88" t="s">
        <v>662</v>
      </c>
      <c r="E141" s="87">
        <v>199.60079840319361</v>
      </c>
    </row>
    <row r="142" spans="1:5" x14ac:dyDescent="0.25">
      <c r="A142" s="86" t="s">
        <v>1005</v>
      </c>
      <c r="B142" s="88" t="s">
        <v>660</v>
      </c>
      <c r="C142" s="86" t="s">
        <v>672</v>
      </c>
      <c r="D142" s="88" t="s">
        <v>662</v>
      </c>
      <c r="E142" s="87">
        <v>19.960079840319359</v>
      </c>
    </row>
    <row r="143" spans="1:5" x14ac:dyDescent="0.25">
      <c r="A143" s="86" t="s">
        <v>1005</v>
      </c>
      <c r="B143" s="88" t="s">
        <v>660</v>
      </c>
      <c r="C143" s="86" t="s">
        <v>675</v>
      </c>
      <c r="D143" s="88" t="s">
        <v>662</v>
      </c>
      <c r="E143" s="87">
        <v>119.76047904191616</v>
      </c>
    </row>
    <row r="144" spans="1:5" x14ac:dyDescent="0.25">
      <c r="A144" s="86" t="s">
        <v>1005</v>
      </c>
      <c r="B144" s="88" t="s">
        <v>660</v>
      </c>
      <c r="C144" s="86" t="s">
        <v>677</v>
      </c>
      <c r="D144" s="88" t="s">
        <v>662</v>
      </c>
      <c r="E144" s="87">
        <v>119.76047904191616</v>
      </c>
    </row>
    <row r="145" spans="1:5" x14ac:dyDescent="0.25">
      <c r="A145" s="86" t="s">
        <v>1005</v>
      </c>
      <c r="B145" s="88" t="s">
        <v>660</v>
      </c>
      <c r="C145" s="86" t="s">
        <v>1006</v>
      </c>
      <c r="D145" s="88" t="s">
        <v>662</v>
      </c>
      <c r="E145" s="87">
        <v>399.20159680638722</v>
      </c>
    </row>
    <row r="146" spans="1:5" x14ac:dyDescent="0.25">
      <c r="A146" s="86" t="s">
        <v>1005</v>
      </c>
      <c r="B146" s="88" t="s">
        <v>660</v>
      </c>
      <c r="C146" s="86" t="s">
        <v>113</v>
      </c>
      <c r="D146" s="88" t="s">
        <v>662</v>
      </c>
      <c r="E146" s="87">
        <v>7.9840319361277441</v>
      </c>
    </row>
    <row r="147" spans="1:5" x14ac:dyDescent="0.25">
      <c r="A147" s="86" t="s">
        <v>1005</v>
      </c>
      <c r="B147" s="88" t="s">
        <v>660</v>
      </c>
      <c r="C147" s="86" t="s">
        <v>213</v>
      </c>
      <c r="D147" s="88" t="s">
        <v>662</v>
      </c>
      <c r="E147" s="86">
        <v>100</v>
      </c>
    </row>
    <row r="148" spans="1:5" x14ac:dyDescent="0.25">
      <c r="A148" s="84" t="s">
        <v>687</v>
      </c>
      <c r="B148" s="84" t="s">
        <v>660</v>
      </c>
      <c r="C148" s="84" t="s">
        <v>661</v>
      </c>
      <c r="D148" s="84" t="s">
        <v>662</v>
      </c>
      <c r="E148" s="85">
        <v>2954.07703851926</v>
      </c>
    </row>
    <row r="149" spans="1:5" x14ac:dyDescent="0.25">
      <c r="A149" s="84" t="s">
        <v>687</v>
      </c>
      <c r="B149" s="84" t="s">
        <v>660</v>
      </c>
      <c r="C149" s="84" t="s">
        <v>665</v>
      </c>
      <c r="D149" s="84" t="s">
        <v>662</v>
      </c>
      <c r="E149" s="85">
        <v>0</v>
      </c>
    </row>
    <row r="150" spans="1:5" x14ac:dyDescent="0.25">
      <c r="A150" s="84" t="s">
        <v>687</v>
      </c>
      <c r="B150" s="84" t="s">
        <v>660</v>
      </c>
      <c r="C150" s="84" t="s">
        <v>668</v>
      </c>
      <c r="D150" s="84" t="s">
        <v>662</v>
      </c>
      <c r="E150" s="85">
        <v>294.1470735367684</v>
      </c>
    </row>
    <row r="151" spans="1:5" x14ac:dyDescent="0.25">
      <c r="A151" s="84" t="s">
        <v>687</v>
      </c>
      <c r="B151" s="84" t="s">
        <v>660</v>
      </c>
      <c r="C151" s="84" t="s">
        <v>84</v>
      </c>
      <c r="D151" s="84" t="s">
        <v>662</v>
      </c>
      <c r="E151" s="85">
        <v>168.08404202101053</v>
      </c>
    </row>
    <row r="152" spans="1:5" x14ac:dyDescent="0.25">
      <c r="A152" s="84" t="s">
        <v>687</v>
      </c>
      <c r="B152" s="84" t="s">
        <v>660</v>
      </c>
      <c r="C152" s="84" t="s">
        <v>672</v>
      </c>
      <c r="D152" s="84" t="s">
        <v>662</v>
      </c>
      <c r="E152" s="85">
        <v>21.010505252626317</v>
      </c>
    </row>
    <row r="153" spans="1:5" x14ac:dyDescent="0.25">
      <c r="A153" s="84" t="s">
        <v>687</v>
      </c>
      <c r="B153" s="84" t="s">
        <v>660</v>
      </c>
      <c r="C153" s="84" t="s">
        <v>675</v>
      </c>
      <c r="D153" s="84" t="s">
        <v>662</v>
      </c>
      <c r="E153" s="85">
        <v>252.12606303151577</v>
      </c>
    </row>
    <row r="154" spans="1:5" x14ac:dyDescent="0.25">
      <c r="A154" s="84" t="s">
        <v>687</v>
      </c>
      <c r="B154" s="84" t="s">
        <v>660</v>
      </c>
      <c r="C154" s="84" t="s">
        <v>677</v>
      </c>
      <c r="D154" s="84" t="s">
        <v>662</v>
      </c>
      <c r="E154" s="85">
        <v>126.06303151575788</v>
      </c>
    </row>
    <row r="155" spans="1:5" x14ac:dyDescent="0.25">
      <c r="A155" s="84" t="s">
        <v>687</v>
      </c>
      <c r="B155" s="84" t="s">
        <v>660</v>
      </c>
      <c r="C155" s="84" t="s">
        <v>691</v>
      </c>
      <c r="D155" s="84" t="s">
        <v>662</v>
      </c>
      <c r="E155" s="85">
        <v>378.18909454727367</v>
      </c>
    </row>
    <row r="156" spans="1:5" x14ac:dyDescent="0.25">
      <c r="A156" s="84" t="s">
        <v>687</v>
      </c>
      <c r="B156" s="84" t="s">
        <v>660</v>
      </c>
      <c r="C156" s="84" t="s">
        <v>113</v>
      </c>
      <c r="D156" s="84" t="s">
        <v>662</v>
      </c>
      <c r="E156" s="85">
        <v>6.3031515757878944</v>
      </c>
    </row>
    <row r="157" spans="1:5" x14ac:dyDescent="0.25">
      <c r="A157" s="84" t="s">
        <v>687</v>
      </c>
      <c r="B157" s="84" t="s">
        <v>660</v>
      </c>
      <c r="C157" s="84" t="s">
        <v>687</v>
      </c>
      <c r="D157" s="84" t="s">
        <v>662</v>
      </c>
      <c r="E157" s="84">
        <v>105</v>
      </c>
    </row>
    <row r="158" spans="1:5" x14ac:dyDescent="0.25">
      <c r="A158" s="86" t="s">
        <v>1007</v>
      </c>
      <c r="B158" s="88" t="s">
        <v>660</v>
      </c>
      <c r="C158" s="86" t="s">
        <v>661</v>
      </c>
      <c r="D158" s="88" t="s">
        <v>662</v>
      </c>
      <c r="E158" s="87">
        <v>1873.9159678938165</v>
      </c>
    </row>
    <row r="159" spans="1:5" x14ac:dyDescent="0.25">
      <c r="A159" s="86" t="s">
        <v>1007</v>
      </c>
      <c r="B159" s="88" t="s">
        <v>660</v>
      </c>
      <c r="C159" s="86" t="s">
        <v>665</v>
      </c>
      <c r="D159" s="88" t="s">
        <v>662</v>
      </c>
      <c r="E159" s="87">
        <v>279.98744450921487</v>
      </c>
    </row>
    <row r="160" spans="1:5" x14ac:dyDescent="0.25">
      <c r="A160" s="86" t="s">
        <v>1007</v>
      </c>
      <c r="B160" s="88" t="s">
        <v>660</v>
      </c>
      <c r="C160" s="86" t="s">
        <v>668</v>
      </c>
      <c r="D160" s="88" t="s">
        <v>662</v>
      </c>
      <c r="E160" s="87">
        <v>358.72830814761676</v>
      </c>
    </row>
    <row r="161" spans="1:5" x14ac:dyDescent="0.25">
      <c r="A161" s="86" t="s">
        <v>1007</v>
      </c>
      <c r="B161" s="88" t="s">
        <v>660</v>
      </c>
      <c r="C161" s="86" t="s">
        <v>84</v>
      </c>
      <c r="D161" s="88" t="s">
        <v>662</v>
      </c>
      <c r="E161" s="87">
        <v>159.99282543383706</v>
      </c>
    </row>
    <row r="162" spans="1:5" x14ac:dyDescent="0.25">
      <c r="A162" s="86" t="s">
        <v>1007</v>
      </c>
      <c r="B162" s="88" t="s">
        <v>660</v>
      </c>
      <c r="C162" s="86" t="s">
        <v>672</v>
      </c>
      <c r="D162" s="88" t="s">
        <v>662</v>
      </c>
      <c r="E162" s="87">
        <v>19.999103179229632</v>
      </c>
    </row>
    <row r="163" spans="1:5" x14ac:dyDescent="0.25">
      <c r="A163" s="86" t="s">
        <v>1007</v>
      </c>
      <c r="B163" s="88" t="s">
        <v>660</v>
      </c>
      <c r="C163" s="86" t="s">
        <v>675</v>
      </c>
      <c r="D163" s="88" t="s">
        <v>662</v>
      </c>
      <c r="E163" s="87">
        <v>161.42773866642753</v>
      </c>
    </row>
    <row r="164" spans="1:5" x14ac:dyDescent="0.25">
      <c r="A164" s="86" t="s">
        <v>1007</v>
      </c>
      <c r="B164" s="88" t="s">
        <v>660</v>
      </c>
      <c r="C164" s="86" t="s">
        <v>677</v>
      </c>
      <c r="D164" s="88" t="s">
        <v>662</v>
      </c>
      <c r="E164" s="87">
        <v>99.995515896148163</v>
      </c>
    </row>
    <row r="165" spans="1:5" x14ac:dyDescent="0.25">
      <c r="A165" s="86" t="s">
        <v>1007</v>
      </c>
      <c r="B165" s="88" t="s">
        <v>660</v>
      </c>
      <c r="C165" s="86" t="s">
        <v>1007</v>
      </c>
      <c r="D165" s="88" t="s">
        <v>662</v>
      </c>
      <c r="E165" s="87">
        <v>599.97309537688898</v>
      </c>
    </row>
    <row r="166" spans="1:5" x14ac:dyDescent="0.25">
      <c r="A166" s="86" t="s">
        <v>1007</v>
      </c>
      <c r="B166" s="88" t="s">
        <v>660</v>
      </c>
      <c r="C166" s="86" t="s">
        <v>713</v>
      </c>
      <c r="D166" s="88" t="s">
        <v>662</v>
      </c>
      <c r="E166" s="87">
        <v>439.98026994305189</v>
      </c>
    </row>
    <row r="167" spans="1:5" x14ac:dyDescent="0.25">
      <c r="A167" s="86" t="s">
        <v>1007</v>
      </c>
      <c r="B167" s="88" t="s">
        <v>660</v>
      </c>
      <c r="C167" s="86" t="s">
        <v>113</v>
      </c>
      <c r="D167" s="88" t="s">
        <v>662</v>
      </c>
      <c r="E167" s="87">
        <v>5.9997309537688892</v>
      </c>
    </row>
    <row r="168" spans="1:5" x14ac:dyDescent="0.25">
      <c r="A168" s="84" t="s">
        <v>1008</v>
      </c>
      <c r="B168" s="84" t="s">
        <v>660</v>
      </c>
      <c r="C168" s="84" t="s">
        <v>661</v>
      </c>
      <c r="D168" s="84" t="s">
        <v>662</v>
      </c>
      <c r="E168" s="85">
        <v>1873.9159678938165</v>
      </c>
    </row>
    <row r="169" spans="1:5" x14ac:dyDescent="0.25">
      <c r="A169" s="84" t="s">
        <v>1008</v>
      </c>
      <c r="B169" s="84" t="s">
        <v>660</v>
      </c>
      <c r="C169" s="84" t="s">
        <v>665</v>
      </c>
      <c r="D169" s="84" t="s">
        <v>662</v>
      </c>
      <c r="E169" s="85">
        <v>279.98744450921487</v>
      </c>
    </row>
    <row r="170" spans="1:5" x14ac:dyDescent="0.25">
      <c r="A170" s="84" t="s">
        <v>1008</v>
      </c>
      <c r="B170" s="84" t="s">
        <v>660</v>
      </c>
      <c r="C170" s="84" t="s">
        <v>668</v>
      </c>
      <c r="D170" s="84" t="s">
        <v>662</v>
      </c>
      <c r="E170" s="85">
        <v>358.72830814761676</v>
      </c>
    </row>
    <row r="171" spans="1:5" x14ac:dyDescent="0.25">
      <c r="A171" s="84" t="s">
        <v>1008</v>
      </c>
      <c r="B171" s="84" t="s">
        <v>660</v>
      </c>
      <c r="C171" s="84" t="s">
        <v>84</v>
      </c>
      <c r="D171" s="84" t="s">
        <v>662</v>
      </c>
      <c r="E171" s="85">
        <v>159.99282543383706</v>
      </c>
    </row>
    <row r="172" spans="1:5" x14ac:dyDescent="0.25">
      <c r="A172" s="84" t="s">
        <v>1008</v>
      </c>
      <c r="B172" s="84" t="s">
        <v>660</v>
      </c>
      <c r="C172" s="84" t="s">
        <v>672</v>
      </c>
      <c r="D172" s="84" t="s">
        <v>662</v>
      </c>
      <c r="E172" s="85">
        <v>19.999103179229632</v>
      </c>
    </row>
    <row r="173" spans="1:5" x14ac:dyDescent="0.25">
      <c r="A173" s="84" t="s">
        <v>1008</v>
      </c>
      <c r="B173" s="84" t="s">
        <v>660</v>
      </c>
      <c r="C173" s="84" t="s">
        <v>675</v>
      </c>
      <c r="D173" s="84" t="s">
        <v>662</v>
      </c>
      <c r="E173" s="85">
        <v>161.42773866642753</v>
      </c>
    </row>
    <row r="174" spans="1:5" x14ac:dyDescent="0.25">
      <c r="A174" s="84" t="s">
        <v>1008</v>
      </c>
      <c r="B174" s="84" t="s">
        <v>660</v>
      </c>
      <c r="C174" s="84" t="s">
        <v>677</v>
      </c>
      <c r="D174" s="84" t="s">
        <v>662</v>
      </c>
      <c r="E174" s="85">
        <v>99.995515896148163</v>
      </c>
    </row>
    <row r="175" spans="1:5" x14ac:dyDescent="0.25">
      <c r="A175" s="84" t="s">
        <v>1008</v>
      </c>
      <c r="B175" s="84" t="s">
        <v>660</v>
      </c>
      <c r="C175" s="84" t="s">
        <v>1007</v>
      </c>
      <c r="D175" s="84" t="s">
        <v>662</v>
      </c>
      <c r="E175" s="85">
        <v>599.97309537688898</v>
      </c>
    </row>
    <row r="176" spans="1:5" x14ac:dyDescent="0.25">
      <c r="A176" s="84" t="s">
        <v>1008</v>
      </c>
      <c r="B176" s="84" t="s">
        <v>660</v>
      </c>
      <c r="C176" s="84" t="s">
        <v>713</v>
      </c>
      <c r="D176" s="84" t="s">
        <v>662</v>
      </c>
      <c r="E176" s="85">
        <v>439.98026994305189</v>
      </c>
    </row>
    <row r="177" spans="1:5" x14ac:dyDescent="0.25">
      <c r="A177" s="84" t="s">
        <v>1008</v>
      </c>
      <c r="B177" s="84" t="s">
        <v>660</v>
      </c>
      <c r="C177" s="84" t="s">
        <v>113</v>
      </c>
      <c r="D177" s="84" t="s">
        <v>662</v>
      </c>
      <c r="E177" s="85">
        <v>5.9997309537688892</v>
      </c>
    </row>
    <row r="178" spans="1:5" x14ac:dyDescent="0.25">
      <c r="A178" s="84" t="s">
        <v>1008</v>
      </c>
      <c r="B178" s="84" t="s">
        <v>660</v>
      </c>
      <c r="C178" s="84" t="s">
        <v>123</v>
      </c>
      <c r="D178" s="84" t="s">
        <v>662</v>
      </c>
      <c r="E178" s="84">
        <v>480</v>
      </c>
    </row>
    <row r="179" spans="1:5" x14ac:dyDescent="0.25">
      <c r="A179" s="86" t="s">
        <v>1009</v>
      </c>
      <c r="B179" s="88" t="s">
        <v>660</v>
      </c>
      <c r="C179" s="86" t="s">
        <v>661</v>
      </c>
      <c r="D179" s="88" t="s">
        <v>662</v>
      </c>
      <c r="E179" s="87">
        <v>1873.9159678938165</v>
      </c>
    </row>
    <row r="180" spans="1:5" x14ac:dyDescent="0.25">
      <c r="A180" s="86" t="s">
        <v>1009</v>
      </c>
      <c r="B180" s="88" t="s">
        <v>660</v>
      </c>
      <c r="C180" s="86" t="s">
        <v>665</v>
      </c>
      <c r="D180" s="88" t="s">
        <v>662</v>
      </c>
      <c r="E180" s="87">
        <v>279.98744450921487</v>
      </c>
    </row>
    <row r="181" spans="1:5" x14ac:dyDescent="0.25">
      <c r="A181" s="86" t="s">
        <v>1009</v>
      </c>
      <c r="B181" s="88" t="s">
        <v>660</v>
      </c>
      <c r="C181" s="86" t="s">
        <v>668</v>
      </c>
      <c r="D181" s="88" t="s">
        <v>662</v>
      </c>
      <c r="E181" s="87">
        <v>358.72830814761676</v>
      </c>
    </row>
    <row r="182" spans="1:5" x14ac:dyDescent="0.25">
      <c r="A182" s="86" t="s">
        <v>1009</v>
      </c>
      <c r="B182" s="88" t="s">
        <v>660</v>
      </c>
      <c r="C182" s="86" t="s">
        <v>84</v>
      </c>
      <c r="D182" s="88" t="s">
        <v>662</v>
      </c>
      <c r="E182" s="87">
        <v>159.99282543383706</v>
      </c>
    </row>
    <row r="183" spans="1:5" x14ac:dyDescent="0.25">
      <c r="A183" s="86" t="s">
        <v>1009</v>
      </c>
      <c r="B183" s="88" t="s">
        <v>660</v>
      </c>
      <c r="C183" s="86" t="s">
        <v>672</v>
      </c>
      <c r="D183" s="88" t="s">
        <v>662</v>
      </c>
      <c r="E183" s="87">
        <v>19.999103179229632</v>
      </c>
    </row>
    <row r="184" spans="1:5" x14ac:dyDescent="0.25">
      <c r="A184" s="86" t="s">
        <v>1009</v>
      </c>
      <c r="B184" s="88" t="s">
        <v>660</v>
      </c>
      <c r="C184" s="86" t="s">
        <v>675</v>
      </c>
      <c r="D184" s="88" t="s">
        <v>662</v>
      </c>
      <c r="E184" s="87">
        <v>161.42773866642753</v>
      </c>
    </row>
    <row r="185" spans="1:5" x14ac:dyDescent="0.25">
      <c r="A185" s="86" t="s">
        <v>1009</v>
      </c>
      <c r="B185" s="88" t="s">
        <v>660</v>
      </c>
      <c r="C185" s="86" t="s">
        <v>677</v>
      </c>
      <c r="D185" s="88" t="s">
        <v>662</v>
      </c>
      <c r="E185" s="87">
        <v>99.995515896148163</v>
      </c>
    </row>
    <row r="186" spans="1:5" x14ac:dyDescent="0.25">
      <c r="A186" s="86" t="s">
        <v>1009</v>
      </c>
      <c r="B186" s="88" t="s">
        <v>660</v>
      </c>
      <c r="C186" s="86" t="s">
        <v>1007</v>
      </c>
      <c r="D186" s="88" t="s">
        <v>662</v>
      </c>
      <c r="E186" s="87">
        <v>599.97309537688898</v>
      </c>
    </row>
    <row r="187" spans="1:5" x14ac:dyDescent="0.25">
      <c r="A187" s="86" t="s">
        <v>1009</v>
      </c>
      <c r="B187" s="88" t="s">
        <v>660</v>
      </c>
      <c r="C187" s="86" t="s">
        <v>713</v>
      </c>
      <c r="D187" s="88" t="s">
        <v>662</v>
      </c>
      <c r="E187" s="87">
        <v>439.98026994305189</v>
      </c>
    </row>
    <row r="188" spans="1:5" x14ac:dyDescent="0.25">
      <c r="A188" s="86" t="s">
        <v>1009</v>
      </c>
      <c r="B188" s="88" t="s">
        <v>660</v>
      </c>
      <c r="C188" s="86" t="s">
        <v>113</v>
      </c>
      <c r="D188" s="88" t="s">
        <v>662</v>
      </c>
      <c r="E188" s="87">
        <v>5.9997309537688892</v>
      </c>
    </row>
    <row r="189" spans="1:5" x14ac:dyDescent="0.25">
      <c r="A189" s="86" t="s">
        <v>1009</v>
      </c>
      <c r="B189" s="88" t="s">
        <v>660</v>
      </c>
      <c r="C189" s="86" t="s">
        <v>1010</v>
      </c>
      <c r="D189" s="88" t="s">
        <v>662</v>
      </c>
      <c r="E189" s="86">
        <v>300</v>
      </c>
    </row>
    <row r="190" spans="1:5" x14ac:dyDescent="0.25">
      <c r="A190" s="86" t="s">
        <v>1009</v>
      </c>
      <c r="B190" s="88" t="s">
        <v>660</v>
      </c>
      <c r="C190" s="86" t="s">
        <v>137</v>
      </c>
      <c r="D190" s="88" t="s">
        <v>662</v>
      </c>
      <c r="E190" s="86">
        <v>100</v>
      </c>
    </row>
    <row r="191" spans="1:5" x14ac:dyDescent="0.25">
      <c r="A191" s="84" t="s">
        <v>1011</v>
      </c>
      <c r="B191" s="84" t="s">
        <v>660</v>
      </c>
      <c r="C191" s="84" t="s">
        <v>661</v>
      </c>
      <c r="D191" s="84" t="s">
        <v>662</v>
      </c>
      <c r="E191" s="85">
        <v>3000</v>
      </c>
    </row>
    <row r="192" spans="1:5" x14ac:dyDescent="0.25">
      <c r="A192" s="84" t="s">
        <v>1011</v>
      </c>
      <c r="B192" s="84" t="s">
        <v>660</v>
      </c>
      <c r="C192" s="84" t="s">
        <v>665</v>
      </c>
      <c r="D192" s="84" t="s">
        <v>662</v>
      </c>
      <c r="E192" s="85">
        <v>342.85714285714283</v>
      </c>
    </row>
    <row r="193" spans="1:5" x14ac:dyDescent="0.25">
      <c r="A193" s="84" t="s">
        <v>1011</v>
      </c>
      <c r="B193" s="84" t="s">
        <v>660</v>
      </c>
      <c r="C193" s="84" t="s">
        <v>668</v>
      </c>
      <c r="D193" s="84" t="s">
        <v>662</v>
      </c>
      <c r="E193" s="85">
        <v>300</v>
      </c>
    </row>
    <row r="194" spans="1:5" x14ac:dyDescent="0.25">
      <c r="A194" s="84" t="s">
        <v>1011</v>
      </c>
      <c r="B194" s="84" t="s">
        <v>660</v>
      </c>
      <c r="C194" s="84" t="s">
        <v>84</v>
      </c>
      <c r="D194" s="84" t="s">
        <v>662</v>
      </c>
      <c r="E194" s="85">
        <v>300</v>
      </c>
    </row>
    <row r="195" spans="1:5" x14ac:dyDescent="0.25">
      <c r="A195" s="84" t="s">
        <v>1011</v>
      </c>
      <c r="B195" s="84" t="s">
        <v>660</v>
      </c>
      <c r="C195" s="84" t="s">
        <v>672</v>
      </c>
      <c r="D195" s="84" t="s">
        <v>662</v>
      </c>
      <c r="E195" s="85">
        <v>21.428571428571427</v>
      </c>
    </row>
    <row r="196" spans="1:5" x14ac:dyDescent="0.25">
      <c r="A196" s="84" t="s">
        <v>1011</v>
      </c>
      <c r="B196" s="84" t="s">
        <v>660</v>
      </c>
      <c r="C196" s="84" t="s">
        <v>675</v>
      </c>
      <c r="D196" s="84" t="s">
        <v>662</v>
      </c>
      <c r="E196" s="85">
        <v>192.85714285714286</v>
      </c>
    </row>
    <row r="197" spans="1:5" x14ac:dyDescent="0.25">
      <c r="A197" s="84" t="s">
        <v>1011</v>
      </c>
      <c r="B197" s="84" t="s">
        <v>660</v>
      </c>
      <c r="C197" s="84" t="s">
        <v>677</v>
      </c>
      <c r="D197" s="84" t="s">
        <v>662</v>
      </c>
      <c r="E197" s="85">
        <v>128.57142857142856</v>
      </c>
    </row>
    <row r="198" spans="1:5" x14ac:dyDescent="0.25">
      <c r="A198" s="84" t="s">
        <v>1011</v>
      </c>
      <c r="B198" s="84" t="s">
        <v>660</v>
      </c>
      <c r="C198" s="84" t="s">
        <v>1012</v>
      </c>
      <c r="D198" s="84" t="s">
        <v>662</v>
      </c>
      <c r="E198" s="85">
        <v>214.28571428571428</v>
      </c>
    </row>
    <row r="199" spans="1:5" x14ac:dyDescent="0.25">
      <c r="A199" s="86" t="s">
        <v>1013</v>
      </c>
      <c r="B199" s="88" t="s">
        <v>660</v>
      </c>
      <c r="C199" s="86" t="s">
        <v>661</v>
      </c>
      <c r="D199" s="88" t="s">
        <v>662</v>
      </c>
      <c r="E199" s="87">
        <v>676.19047619047615</v>
      </c>
    </row>
    <row r="200" spans="1:5" x14ac:dyDescent="0.25">
      <c r="A200" s="86" t="s">
        <v>1013</v>
      </c>
      <c r="B200" s="88" t="s">
        <v>660</v>
      </c>
      <c r="C200" s="86" t="s">
        <v>665</v>
      </c>
      <c r="D200" s="88" t="s">
        <v>662</v>
      </c>
      <c r="E200" s="87">
        <v>76.19047619047619</v>
      </c>
    </row>
    <row r="201" spans="1:5" x14ac:dyDescent="0.25">
      <c r="A201" s="86" t="s">
        <v>1013</v>
      </c>
      <c r="B201" s="88" t="s">
        <v>660</v>
      </c>
      <c r="C201" s="86" t="s">
        <v>668</v>
      </c>
      <c r="D201" s="88" t="s">
        <v>662</v>
      </c>
      <c r="E201" s="87">
        <v>76.19047619047619</v>
      </c>
    </row>
    <row r="202" spans="1:5" x14ac:dyDescent="0.25">
      <c r="A202" s="86" t="s">
        <v>1013</v>
      </c>
      <c r="B202" s="88" t="s">
        <v>660</v>
      </c>
      <c r="C202" s="86" t="s">
        <v>84</v>
      </c>
      <c r="D202" s="88" t="s">
        <v>662</v>
      </c>
      <c r="E202" s="87">
        <v>66.666666666666657</v>
      </c>
    </row>
    <row r="203" spans="1:5" x14ac:dyDescent="0.25">
      <c r="A203" s="86" t="s">
        <v>1013</v>
      </c>
      <c r="B203" s="88" t="s">
        <v>660</v>
      </c>
      <c r="C203" s="86" t="s">
        <v>672</v>
      </c>
      <c r="D203" s="88" t="s">
        <v>662</v>
      </c>
      <c r="E203" s="87">
        <v>4.7619047619047619</v>
      </c>
    </row>
    <row r="204" spans="1:5" x14ac:dyDescent="0.25">
      <c r="A204" s="86" t="s">
        <v>1013</v>
      </c>
      <c r="B204" s="88" t="s">
        <v>660</v>
      </c>
      <c r="C204" s="86" t="s">
        <v>675</v>
      </c>
      <c r="D204" s="88" t="s">
        <v>662</v>
      </c>
      <c r="E204" s="87">
        <v>42.857142857142854</v>
      </c>
    </row>
    <row r="205" spans="1:5" x14ac:dyDescent="0.25">
      <c r="A205" s="86" t="s">
        <v>1013</v>
      </c>
      <c r="B205" s="88" t="s">
        <v>660</v>
      </c>
      <c r="C205" s="86" t="s">
        <v>677</v>
      </c>
      <c r="D205" s="88" t="s">
        <v>662</v>
      </c>
      <c r="E205" s="87">
        <v>28.571428571428569</v>
      </c>
    </row>
    <row r="206" spans="1:5" x14ac:dyDescent="0.25">
      <c r="A206" s="86" t="s">
        <v>1013</v>
      </c>
      <c r="B206" s="88" t="s">
        <v>660</v>
      </c>
      <c r="C206" s="86" t="s">
        <v>1012</v>
      </c>
      <c r="D206" s="88" t="s">
        <v>662</v>
      </c>
      <c r="E206" s="87">
        <v>28.571428571428569</v>
      </c>
    </row>
    <row r="207" spans="1:5" x14ac:dyDescent="0.25">
      <c r="A207" s="86" t="s">
        <v>1013</v>
      </c>
      <c r="B207" s="88" t="s">
        <v>660</v>
      </c>
      <c r="C207" s="86" t="s">
        <v>727</v>
      </c>
      <c r="D207" s="88" t="s">
        <v>662</v>
      </c>
      <c r="E207" s="87">
        <v>100</v>
      </c>
    </row>
    <row r="208" spans="1:5" x14ac:dyDescent="0.25">
      <c r="A208" s="86" t="s">
        <v>1013</v>
      </c>
      <c r="B208" s="88" t="s">
        <v>660</v>
      </c>
      <c r="C208" s="86" t="s">
        <v>1014</v>
      </c>
      <c r="D208" s="88" t="s">
        <v>662</v>
      </c>
      <c r="E208" s="87">
        <v>100</v>
      </c>
    </row>
    <row r="209" spans="1:5" x14ac:dyDescent="0.25">
      <c r="A209" s="84" t="s">
        <v>1015</v>
      </c>
      <c r="B209" s="84" t="s">
        <v>660</v>
      </c>
      <c r="C209" s="84" t="s">
        <v>661</v>
      </c>
      <c r="D209" s="84" t="s">
        <v>662</v>
      </c>
      <c r="E209" s="85">
        <v>2933.3333333333335</v>
      </c>
    </row>
    <row r="210" spans="1:5" x14ac:dyDescent="0.25">
      <c r="A210" s="84" t="s">
        <v>1015</v>
      </c>
      <c r="B210" s="84" t="s">
        <v>660</v>
      </c>
      <c r="C210" s="84" t="s">
        <v>665</v>
      </c>
      <c r="D210" s="84" t="s">
        <v>662</v>
      </c>
      <c r="E210" s="85">
        <v>335.23809523809524</v>
      </c>
    </row>
    <row r="211" spans="1:5" x14ac:dyDescent="0.25">
      <c r="A211" s="84" t="s">
        <v>1015</v>
      </c>
      <c r="B211" s="84" t="s">
        <v>660</v>
      </c>
      <c r="C211" s="84" t="s">
        <v>668</v>
      </c>
      <c r="D211" s="84" t="s">
        <v>662</v>
      </c>
      <c r="E211" s="85">
        <v>293.33333333333337</v>
      </c>
    </row>
    <row r="212" spans="1:5" x14ac:dyDescent="0.25">
      <c r="A212" s="84" t="s">
        <v>1015</v>
      </c>
      <c r="B212" s="84" t="s">
        <v>660</v>
      </c>
      <c r="C212" s="84" t="s">
        <v>84</v>
      </c>
      <c r="D212" s="84" t="s">
        <v>662</v>
      </c>
      <c r="E212" s="85">
        <v>293.33333333333337</v>
      </c>
    </row>
    <row r="213" spans="1:5" x14ac:dyDescent="0.25">
      <c r="A213" s="84" t="s">
        <v>1015</v>
      </c>
      <c r="B213" s="84" t="s">
        <v>660</v>
      </c>
      <c r="C213" s="84" t="s">
        <v>672</v>
      </c>
      <c r="D213" s="84" t="s">
        <v>662</v>
      </c>
      <c r="E213" s="85">
        <v>20.952380952380953</v>
      </c>
    </row>
    <row r="214" spans="1:5" x14ac:dyDescent="0.25">
      <c r="A214" s="84" t="s">
        <v>1015</v>
      </c>
      <c r="B214" s="84" t="s">
        <v>660</v>
      </c>
      <c r="C214" s="84" t="s">
        <v>675</v>
      </c>
      <c r="D214" s="84" t="s">
        <v>662</v>
      </c>
      <c r="E214" s="85">
        <v>188.57142857142858</v>
      </c>
    </row>
    <row r="215" spans="1:5" x14ac:dyDescent="0.25">
      <c r="A215" s="84" t="s">
        <v>1015</v>
      </c>
      <c r="B215" s="84" t="s">
        <v>660</v>
      </c>
      <c r="C215" s="84" t="s">
        <v>677</v>
      </c>
      <c r="D215" s="84" t="s">
        <v>662</v>
      </c>
      <c r="E215" s="85">
        <v>125.71428571428572</v>
      </c>
    </row>
    <row r="216" spans="1:5" x14ac:dyDescent="0.25">
      <c r="A216" s="84" t="s">
        <v>1015</v>
      </c>
      <c r="B216" s="84" t="s">
        <v>660</v>
      </c>
      <c r="C216" s="84" t="s">
        <v>1016</v>
      </c>
      <c r="D216" s="84" t="s">
        <v>662</v>
      </c>
      <c r="E216" s="85">
        <v>209.52380952380955</v>
      </c>
    </row>
    <row r="217" spans="1:5" x14ac:dyDescent="0.25">
      <c r="A217" s="84" t="s">
        <v>1015</v>
      </c>
      <c r="B217" s="84" t="s">
        <v>660</v>
      </c>
      <c r="C217" s="84" t="s">
        <v>695</v>
      </c>
      <c r="D217" s="84" t="s">
        <v>662</v>
      </c>
      <c r="E217" s="85">
        <v>330</v>
      </c>
    </row>
    <row r="218" spans="1:5" x14ac:dyDescent="0.25">
      <c r="A218" s="84" t="s">
        <v>1015</v>
      </c>
      <c r="B218" s="84" t="s">
        <v>660</v>
      </c>
      <c r="C218" s="84" t="s">
        <v>1017</v>
      </c>
      <c r="D218" s="84" t="s">
        <v>662</v>
      </c>
      <c r="E218" s="85">
        <v>220</v>
      </c>
    </row>
    <row r="219" spans="1:5" x14ac:dyDescent="0.25">
      <c r="A219" s="86" t="s">
        <v>1018</v>
      </c>
      <c r="B219" s="88" t="s">
        <v>660</v>
      </c>
      <c r="C219" s="86" t="s">
        <v>661</v>
      </c>
      <c r="D219" s="88" t="s">
        <v>662</v>
      </c>
      <c r="E219" s="87">
        <v>2718.4466019417478</v>
      </c>
    </row>
    <row r="220" spans="1:5" x14ac:dyDescent="0.25">
      <c r="A220" s="86" t="s">
        <v>1018</v>
      </c>
      <c r="B220" s="88" t="s">
        <v>660</v>
      </c>
      <c r="C220" s="86" t="s">
        <v>665</v>
      </c>
      <c r="D220" s="88" t="s">
        <v>662</v>
      </c>
      <c r="E220" s="87">
        <v>310.67961165048541</v>
      </c>
    </row>
    <row r="221" spans="1:5" x14ac:dyDescent="0.25">
      <c r="A221" s="86" t="s">
        <v>1018</v>
      </c>
      <c r="B221" s="88" t="s">
        <v>660</v>
      </c>
      <c r="C221" s="86" t="s">
        <v>668</v>
      </c>
      <c r="D221" s="88" t="s">
        <v>662</v>
      </c>
      <c r="E221" s="87">
        <v>271.84466019417476</v>
      </c>
    </row>
    <row r="222" spans="1:5" x14ac:dyDescent="0.25">
      <c r="A222" s="86" t="s">
        <v>1018</v>
      </c>
      <c r="B222" s="88" t="s">
        <v>660</v>
      </c>
      <c r="C222" s="86" t="s">
        <v>84</v>
      </c>
      <c r="D222" s="88" t="s">
        <v>662</v>
      </c>
      <c r="E222" s="87">
        <v>271.84466019417476</v>
      </c>
    </row>
    <row r="223" spans="1:5" x14ac:dyDescent="0.25">
      <c r="A223" s="86" t="s">
        <v>1018</v>
      </c>
      <c r="B223" s="88" t="s">
        <v>660</v>
      </c>
      <c r="C223" s="86" t="s">
        <v>672</v>
      </c>
      <c r="D223" s="88" t="s">
        <v>662</v>
      </c>
      <c r="E223" s="87">
        <v>19.417475728155338</v>
      </c>
    </row>
    <row r="224" spans="1:5" x14ac:dyDescent="0.25">
      <c r="A224" s="86" t="s">
        <v>1018</v>
      </c>
      <c r="B224" s="88" t="s">
        <v>660</v>
      </c>
      <c r="C224" s="86" t="s">
        <v>675</v>
      </c>
      <c r="D224" s="88" t="s">
        <v>662</v>
      </c>
      <c r="E224" s="87">
        <v>174.75728155339806</v>
      </c>
    </row>
    <row r="225" spans="1:5" x14ac:dyDescent="0.25">
      <c r="A225" s="86" t="s">
        <v>1018</v>
      </c>
      <c r="B225" s="88" t="s">
        <v>660</v>
      </c>
      <c r="C225" s="86" t="s">
        <v>677</v>
      </c>
      <c r="D225" s="88" t="s">
        <v>662</v>
      </c>
      <c r="E225" s="87">
        <v>116.50485436893204</v>
      </c>
    </row>
    <row r="226" spans="1:5" x14ac:dyDescent="0.25">
      <c r="A226" s="86" t="s">
        <v>1018</v>
      </c>
      <c r="B226" s="88" t="s">
        <v>660</v>
      </c>
      <c r="C226" s="86" t="s">
        <v>1016</v>
      </c>
      <c r="D226" s="88" t="s">
        <v>662</v>
      </c>
      <c r="E226" s="87">
        <v>116.50485436893204</v>
      </c>
    </row>
    <row r="227" spans="1:5" x14ac:dyDescent="0.25">
      <c r="A227" s="86" t="s">
        <v>1018</v>
      </c>
      <c r="B227" s="88" t="s">
        <v>660</v>
      </c>
      <c r="C227" s="86" t="s">
        <v>165</v>
      </c>
      <c r="D227" s="88" t="s">
        <v>662</v>
      </c>
      <c r="E227" s="87">
        <v>400</v>
      </c>
    </row>
    <row r="228" spans="1:5" x14ac:dyDescent="0.25">
      <c r="A228" s="86" t="s">
        <v>1018</v>
      </c>
      <c r="B228" s="88" t="s">
        <v>660</v>
      </c>
      <c r="C228" s="86" t="s">
        <v>668</v>
      </c>
      <c r="D228" s="88" t="s">
        <v>662</v>
      </c>
      <c r="E228" s="87">
        <v>400</v>
      </c>
    </row>
    <row r="229" spans="1:5" x14ac:dyDescent="0.25">
      <c r="A229" s="84" t="s">
        <v>1019</v>
      </c>
      <c r="B229" s="84" t="s">
        <v>660</v>
      </c>
      <c r="C229" s="84" t="s">
        <v>661</v>
      </c>
      <c r="D229" s="84" t="s">
        <v>662</v>
      </c>
      <c r="E229" s="85">
        <v>2666.6666666666665</v>
      </c>
    </row>
    <row r="230" spans="1:5" x14ac:dyDescent="0.25">
      <c r="A230" s="84" t="s">
        <v>1019</v>
      </c>
      <c r="B230" s="84" t="s">
        <v>660</v>
      </c>
      <c r="C230" s="84" t="s">
        <v>665</v>
      </c>
      <c r="D230" s="84" t="s">
        <v>662</v>
      </c>
      <c r="E230" s="85">
        <v>304.76190476190476</v>
      </c>
    </row>
    <row r="231" spans="1:5" x14ac:dyDescent="0.25">
      <c r="A231" s="84" t="s">
        <v>1019</v>
      </c>
      <c r="B231" s="84" t="s">
        <v>660</v>
      </c>
      <c r="C231" s="84" t="s">
        <v>668</v>
      </c>
      <c r="D231" s="84" t="s">
        <v>662</v>
      </c>
      <c r="E231" s="85">
        <v>266.66666666666663</v>
      </c>
    </row>
    <row r="232" spans="1:5" x14ac:dyDescent="0.25">
      <c r="A232" s="84" t="s">
        <v>1019</v>
      </c>
      <c r="B232" s="84" t="s">
        <v>660</v>
      </c>
      <c r="C232" s="84" t="s">
        <v>84</v>
      </c>
      <c r="D232" s="84" t="s">
        <v>662</v>
      </c>
      <c r="E232" s="85">
        <v>266.66666666666663</v>
      </c>
    </row>
    <row r="233" spans="1:5" x14ac:dyDescent="0.25">
      <c r="A233" s="84" t="s">
        <v>1019</v>
      </c>
      <c r="B233" s="84" t="s">
        <v>660</v>
      </c>
      <c r="C233" s="84" t="s">
        <v>672</v>
      </c>
      <c r="D233" s="84" t="s">
        <v>662</v>
      </c>
      <c r="E233" s="85">
        <v>19.047619047619047</v>
      </c>
    </row>
    <row r="234" spans="1:5" x14ac:dyDescent="0.25">
      <c r="A234" s="84" t="s">
        <v>1019</v>
      </c>
      <c r="B234" s="84" t="s">
        <v>660</v>
      </c>
      <c r="C234" s="84" t="s">
        <v>675</v>
      </c>
      <c r="D234" s="84" t="s">
        <v>662</v>
      </c>
      <c r="E234" s="85">
        <v>171.42857142857142</v>
      </c>
    </row>
    <row r="235" spans="1:5" x14ac:dyDescent="0.25">
      <c r="A235" s="84" t="s">
        <v>1019</v>
      </c>
      <c r="B235" s="84" t="s">
        <v>660</v>
      </c>
      <c r="C235" s="84" t="s">
        <v>677</v>
      </c>
      <c r="D235" s="84" t="s">
        <v>662</v>
      </c>
      <c r="E235" s="85">
        <v>114.28571428571428</v>
      </c>
    </row>
    <row r="236" spans="1:5" x14ac:dyDescent="0.25">
      <c r="A236" s="84" t="s">
        <v>1019</v>
      </c>
      <c r="B236" s="84" t="s">
        <v>660</v>
      </c>
      <c r="C236" s="84" t="s">
        <v>1012</v>
      </c>
      <c r="D236" s="84" t="s">
        <v>662</v>
      </c>
      <c r="E236" s="85">
        <v>190.47619047619045</v>
      </c>
    </row>
    <row r="237" spans="1:5" x14ac:dyDescent="0.25">
      <c r="A237" s="84" t="s">
        <v>1019</v>
      </c>
      <c r="B237" s="84" t="s">
        <v>660</v>
      </c>
      <c r="C237" s="84" t="s">
        <v>692</v>
      </c>
      <c r="D237" s="84" t="s">
        <v>662</v>
      </c>
      <c r="E237" s="85">
        <v>300</v>
      </c>
    </row>
    <row r="238" spans="1:5" x14ac:dyDescent="0.25">
      <c r="A238" s="84" t="s">
        <v>1019</v>
      </c>
      <c r="B238" s="84" t="s">
        <v>660</v>
      </c>
      <c r="C238" s="84" t="s">
        <v>1020</v>
      </c>
      <c r="D238" s="84" t="s">
        <v>662</v>
      </c>
      <c r="E238" s="85">
        <v>160</v>
      </c>
    </row>
    <row r="239" spans="1:5" x14ac:dyDescent="0.25">
      <c r="A239" s="86" t="s">
        <v>1021</v>
      </c>
      <c r="B239" s="88" t="s">
        <v>660</v>
      </c>
      <c r="C239" s="86" t="s">
        <v>661</v>
      </c>
      <c r="D239" s="88" t="s">
        <v>662</v>
      </c>
      <c r="E239" s="87">
        <v>2816</v>
      </c>
    </row>
    <row r="240" spans="1:5" x14ac:dyDescent="0.25">
      <c r="A240" s="86" t="s">
        <v>1021</v>
      </c>
      <c r="B240" s="88" t="s">
        <v>660</v>
      </c>
      <c r="C240" s="86" t="s">
        <v>672</v>
      </c>
      <c r="D240" s="88" t="s">
        <v>662</v>
      </c>
      <c r="E240" s="87">
        <v>22</v>
      </c>
    </row>
    <row r="241" spans="1:5" x14ac:dyDescent="0.25">
      <c r="A241" s="86" t="s">
        <v>1021</v>
      </c>
      <c r="B241" s="88" t="s">
        <v>660</v>
      </c>
      <c r="C241" s="86" t="s">
        <v>675</v>
      </c>
      <c r="D241" s="88" t="s">
        <v>662</v>
      </c>
      <c r="E241" s="87">
        <v>198.00000000000003</v>
      </c>
    </row>
    <row r="242" spans="1:5" x14ac:dyDescent="0.25">
      <c r="A242" s="86" t="s">
        <v>1021</v>
      </c>
      <c r="B242" s="88" t="s">
        <v>660</v>
      </c>
      <c r="C242" s="86" t="s">
        <v>677</v>
      </c>
      <c r="D242" s="88" t="s">
        <v>662</v>
      </c>
      <c r="E242" s="87">
        <v>132</v>
      </c>
    </row>
    <row r="243" spans="1:5" x14ac:dyDescent="0.25">
      <c r="A243" s="86" t="s">
        <v>1021</v>
      </c>
      <c r="B243" s="88" t="s">
        <v>660</v>
      </c>
      <c r="C243" s="86" t="s">
        <v>159</v>
      </c>
      <c r="D243" s="88" t="s">
        <v>662</v>
      </c>
      <c r="E243" s="87">
        <v>1012.0000000000001</v>
      </c>
    </row>
    <row r="244" spans="1:5" x14ac:dyDescent="0.25">
      <c r="A244" s="86" t="s">
        <v>1021</v>
      </c>
      <c r="B244" s="88" t="s">
        <v>660</v>
      </c>
      <c r="C244" s="86" t="s">
        <v>668</v>
      </c>
      <c r="D244" s="88" t="s">
        <v>662</v>
      </c>
      <c r="E244" s="87">
        <v>220.00000000000003</v>
      </c>
    </row>
    <row r="245" spans="1:5" x14ac:dyDescent="0.25">
      <c r="A245" s="86" t="s">
        <v>1021</v>
      </c>
      <c r="B245" s="88" t="s">
        <v>660</v>
      </c>
      <c r="C245" s="86" t="s">
        <v>1022</v>
      </c>
      <c r="D245" s="88" t="s">
        <v>662</v>
      </c>
      <c r="E245" s="87">
        <v>176</v>
      </c>
    </row>
    <row r="246" spans="1:5" x14ac:dyDescent="0.25">
      <c r="A246" s="86" t="s">
        <v>1021</v>
      </c>
      <c r="B246" s="88" t="s">
        <v>660</v>
      </c>
      <c r="C246" s="86" t="s">
        <v>159</v>
      </c>
      <c r="D246" s="88" t="s">
        <v>662</v>
      </c>
      <c r="E246" s="87">
        <v>880</v>
      </c>
    </row>
    <row r="247" spans="1:5" x14ac:dyDescent="0.25">
      <c r="A247" s="86" t="s">
        <v>1021</v>
      </c>
      <c r="B247" s="88" t="s">
        <v>660</v>
      </c>
      <c r="C247" s="86" t="s">
        <v>103</v>
      </c>
      <c r="D247" s="88" t="s">
        <v>662</v>
      </c>
      <c r="E247" s="87">
        <v>220</v>
      </c>
    </row>
    <row r="248" spans="1:5" x14ac:dyDescent="0.25">
      <c r="A248" s="86" t="s">
        <v>1021</v>
      </c>
      <c r="B248" s="88" t="s">
        <v>660</v>
      </c>
      <c r="C248" s="86" t="s">
        <v>1023</v>
      </c>
      <c r="D248" s="88" t="s">
        <v>662</v>
      </c>
      <c r="E248" s="87">
        <v>330</v>
      </c>
    </row>
    <row r="249" spans="1:5" x14ac:dyDescent="0.25">
      <c r="A249" s="84" t="s">
        <v>1024</v>
      </c>
      <c r="B249" s="84" t="s">
        <v>660</v>
      </c>
      <c r="C249" s="84" t="s">
        <v>661</v>
      </c>
      <c r="D249" s="84" t="s">
        <v>662</v>
      </c>
      <c r="E249" s="85">
        <v>2080</v>
      </c>
    </row>
    <row r="250" spans="1:5" x14ac:dyDescent="0.25">
      <c r="A250" s="84" t="s">
        <v>1024</v>
      </c>
      <c r="B250" s="84" t="s">
        <v>660</v>
      </c>
      <c r="C250" s="84" t="s">
        <v>665</v>
      </c>
      <c r="D250" s="84" t="s">
        <v>662</v>
      </c>
      <c r="E250" s="85">
        <v>252</v>
      </c>
    </row>
    <row r="251" spans="1:5" x14ac:dyDescent="0.25">
      <c r="A251" s="84" t="s">
        <v>1024</v>
      </c>
      <c r="B251" s="84" t="s">
        <v>660</v>
      </c>
      <c r="C251" s="84" t="s">
        <v>668</v>
      </c>
      <c r="D251" s="84" t="s">
        <v>662</v>
      </c>
      <c r="E251" s="85">
        <v>512</v>
      </c>
    </row>
    <row r="252" spans="1:5" x14ac:dyDescent="0.25">
      <c r="A252" s="84" t="s">
        <v>1024</v>
      </c>
      <c r="B252" s="84" t="s">
        <v>660</v>
      </c>
      <c r="C252" s="84" t="s">
        <v>84</v>
      </c>
      <c r="D252" s="84" t="s">
        <v>662</v>
      </c>
      <c r="E252" s="85">
        <v>96</v>
      </c>
    </row>
    <row r="253" spans="1:5" x14ac:dyDescent="0.25">
      <c r="A253" s="84" t="s">
        <v>1024</v>
      </c>
      <c r="B253" s="84" t="s">
        <v>660</v>
      </c>
      <c r="C253" s="84" t="s">
        <v>672</v>
      </c>
      <c r="D253" s="84" t="s">
        <v>662</v>
      </c>
      <c r="E253" s="85">
        <v>20</v>
      </c>
    </row>
    <row r="254" spans="1:5" x14ac:dyDescent="0.25">
      <c r="A254" s="84" t="s">
        <v>1024</v>
      </c>
      <c r="B254" s="84" t="s">
        <v>660</v>
      </c>
      <c r="C254" s="84" t="s">
        <v>675</v>
      </c>
      <c r="D254" s="84" t="s">
        <v>662</v>
      </c>
      <c r="E254" s="85">
        <v>144</v>
      </c>
    </row>
    <row r="255" spans="1:5" x14ac:dyDescent="0.25">
      <c r="A255" s="84" t="s">
        <v>1024</v>
      </c>
      <c r="B255" s="84" t="s">
        <v>660</v>
      </c>
      <c r="C255" s="84" t="s">
        <v>677</v>
      </c>
      <c r="D255" s="84" t="s">
        <v>662</v>
      </c>
      <c r="E255" s="85">
        <v>96</v>
      </c>
    </row>
    <row r="256" spans="1:5" x14ac:dyDescent="0.25">
      <c r="A256" s="84" t="s">
        <v>1024</v>
      </c>
      <c r="B256" s="84" t="s">
        <v>660</v>
      </c>
      <c r="C256" s="84" t="s">
        <v>1025</v>
      </c>
      <c r="D256" s="84" t="s">
        <v>662</v>
      </c>
      <c r="E256" s="85">
        <v>800</v>
      </c>
    </row>
    <row r="257" spans="1:5" x14ac:dyDescent="0.25">
      <c r="A257" s="84" t="s">
        <v>1024</v>
      </c>
      <c r="B257" s="84" t="s">
        <v>660</v>
      </c>
      <c r="C257" s="84" t="s">
        <v>159</v>
      </c>
      <c r="D257" s="84" t="s">
        <v>662</v>
      </c>
      <c r="E257" s="85">
        <v>800</v>
      </c>
    </row>
    <row r="258" spans="1:5" x14ac:dyDescent="0.25">
      <c r="A258" s="84" t="s">
        <v>1024</v>
      </c>
      <c r="B258" s="84" t="s">
        <v>660</v>
      </c>
      <c r="C258" s="84" t="s">
        <v>1026</v>
      </c>
      <c r="D258" s="84" t="s">
        <v>662</v>
      </c>
      <c r="E258" s="85">
        <v>16</v>
      </c>
    </row>
    <row r="259" spans="1:5" x14ac:dyDescent="0.25">
      <c r="A259" s="84" t="s">
        <v>1024</v>
      </c>
      <c r="B259" s="84" t="s">
        <v>660</v>
      </c>
      <c r="C259" s="84" t="s">
        <v>1027</v>
      </c>
      <c r="D259" s="84" t="s">
        <v>662</v>
      </c>
      <c r="E259" s="85">
        <v>16</v>
      </c>
    </row>
    <row r="260" spans="1:5" x14ac:dyDescent="0.25">
      <c r="A260" s="86" t="s">
        <v>1028</v>
      </c>
      <c r="B260" s="88" t="s">
        <v>660</v>
      </c>
      <c r="C260" s="86" t="s">
        <v>661</v>
      </c>
      <c r="D260" s="88" t="s">
        <v>662</v>
      </c>
      <c r="E260" s="87">
        <v>2400</v>
      </c>
    </row>
    <row r="261" spans="1:5" x14ac:dyDescent="0.25">
      <c r="A261" s="86" t="s">
        <v>1028</v>
      </c>
      <c r="B261" s="88" t="s">
        <v>660</v>
      </c>
      <c r="C261" s="86" t="s">
        <v>665</v>
      </c>
      <c r="D261" s="88" t="s">
        <v>662</v>
      </c>
      <c r="E261" s="87">
        <v>160</v>
      </c>
    </row>
    <row r="262" spans="1:5" x14ac:dyDescent="0.25">
      <c r="A262" s="86" t="s">
        <v>1028</v>
      </c>
      <c r="B262" s="88" t="s">
        <v>660</v>
      </c>
      <c r="C262" s="86" t="s">
        <v>668</v>
      </c>
      <c r="D262" s="88" t="s">
        <v>662</v>
      </c>
      <c r="E262" s="87">
        <v>80</v>
      </c>
    </row>
    <row r="263" spans="1:5" x14ac:dyDescent="0.25">
      <c r="A263" s="86" t="s">
        <v>1028</v>
      </c>
      <c r="B263" s="88" t="s">
        <v>660</v>
      </c>
      <c r="C263" s="86" t="s">
        <v>84</v>
      </c>
      <c r="D263" s="88" t="s">
        <v>662</v>
      </c>
      <c r="E263" s="87">
        <v>160</v>
      </c>
    </row>
    <row r="264" spans="1:5" x14ac:dyDescent="0.25">
      <c r="A264" s="86" t="s">
        <v>1028</v>
      </c>
      <c r="B264" s="88" t="s">
        <v>660</v>
      </c>
      <c r="C264" s="86" t="s">
        <v>672</v>
      </c>
      <c r="D264" s="88" t="s">
        <v>662</v>
      </c>
      <c r="E264" s="87">
        <v>20</v>
      </c>
    </row>
    <row r="265" spans="1:5" x14ac:dyDescent="0.25">
      <c r="A265" s="86" t="s">
        <v>1028</v>
      </c>
      <c r="B265" s="88" t="s">
        <v>660</v>
      </c>
      <c r="C265" s="86" t="s">
        <v>675</v>
      </c>
      <c r="D265" s="88" t="s">
        <v>662</v>
      </c>
      <c r="E265" s="87">
        <v>180</v>
      </c>
    </row>
    <row r="266" spans="1:5" x14ac:dyDescent="0.25">
      <c r="A266" s="86" t="s">
        <v>1028</v>
      </c>
      <c r="B266" s="88" t="s">
        <v>660</v>
      </c>
      <c r="C266" s="86" t="s">
        <v>677</v>
      </c>
      <c r="D266" s="88" t="s">
        <v>662</v>
      </c>
      <c r="E266" s="87">
        <v>80</v>
      </c>
    </row>
    <row r="267" spans="1:5" x14ac:dyDescent="0.25">
      <c r="A267" s="86" t="s">
        <v>1028</v>
      </c>
      <c r="B267" s="88" t="s">
        <v>660</v>
      </c>
      <c r="C267" s="86" t="s">
        <v>993</v>
      </c>
      <c r="D267" s="88" t="s">
        <v>662</v>
      </c>
      <c r="E267" s="87">
        <v>120</v>
      </c>
    </row>
    <row r="268" spans="1:5" x14ac:dyDescent="0.25">
      <c r="A268" s="86" t="s">
        <v>1028</v>
      </c>
      <c r="B268" s="88" t="s">
        <v>660</v>
      </c>
      <c r="C268" s="86" t="s">
        <v>159</v>
      </c>
      <c r="D268" s="88" t="s">
        <v>662</v>
      </c>
      <c r="E268" s="87">
        <v>800</v>
      </c>
    </row>
    <row r="269" spans="1:5" x14ac:dyDescent="0.25">
      <c r="A269" s="86" t="s">
        <v>1028</v>
      </c>
      <c r="B269" s="88" t="s">
        <v>660</v>
      </c>
      <c r="C269" s="86" t="s">
        <v>159</v>
      </c>
      <c r="D269" s="88" t="s">
        <v>662</v>
      </c>
      <c r="E269" s="87">
        <v>800</v>
      </c>
    </row>
    <row r="270" spans="1:5" x14ac:dyDescent="0.25">
      <c r="A270" s="86" t="s">
        <v>1028</v>
      </c>
      <c r="B270" s="88" t="s">
        <v>660</v>
      </c>
      <c r="C270" s="86" t="s">
        <v>1026</v>
      </c>
      <c r="D270" s="88" t="s">
        <v>662</v>
      </c>
      <c r="E270" s="87">
        <v>16</v>
      </c>
    </row>
    <row r="271" spans="1:5" x14ac:dyDescent="0.25">
      <c r="A271" s="86" t="s">
        <v>1028</v>
      </c>
      <c r="B271" s="88" t="s">
        <v>660</v>
      </c>
      <c r="C271" s="86" t="s">
        <v>1027</v>
      </c>
      <c r="D271" s="88" t="s">
        <v>662</v>
      </c>
      <c r="E271" s="87">
        <v>16</v>
      </c>
    </row>
    <row r="272" spans="1:5" x14ac:dyDescent="0.25">
      <c r="A272" s="84" t="s">
        <v>1029</v>
      </c>
      <c r="B272" s="84" t="s">
        <v>660</v>
      </c>
      <c r="C272" s="84" t="s">
        <v>661</v>
      </c>
      <c r="D272" s="84" t="s">
        <v>662</v>
      </c>
      <c r="E272" s="85">
        <v>2580.5245196578003</v>
      </c>
    </row>
    <row r="273" spans="1:5" x14ac:dyDescent="0.25">
      <c r="A273" s="84" t="s">
        <v>1029</v>
      </c>
      <c r="B273" s="84" t="s">
        <v>660</v>
      </c>
      <c r="C273" s="84" t="s">
        <v>665</v>
      </c>
      <c r="D273" s="84" t="s">
        <v>662</v>
      </c>
      <c r="E273" s="85">
        <v>299.19124865597689</v>
      </c>
    </row>
    <row r="274" spans="1:5" x14ac:dyDescent="0.25">
      <c r="A274" s="84" t="s">
        <v>1029</v>
      </c>
      <c r="B274" s="84" t="s">
        <v>660</v>
      </c>
      <c r="C274" s="84" t="s">
        <v>668</v>
      </c>
      <c r="D274" s="84" t="s">
        <v>662</v>
      </c>
      <c r="E274" s="85">
        <v>448.78687298396528</v>
      </c>
    </row>
    <row r="275" spans="1:5" x14ac:dyDescent="0.25">
      <c r="A275" s="84" t="s">
        <v>1029</v>
      </c>
      <c r="B275" s="84" t="s">
        <v>660</v>
      </c>
      <c r="C275" s="84" t="s">
        <v>84</v>
      </c>
      <c r="D275" s="84" t="s">
        <v>662</v>
      </c>
      <c r="E275" s="85">
        <v>112.19671824599132</v>
      </c>
    </row>
    <row r="276" spans="1:5" x14ac:dyDescent="0.25">
      <c r="A276" s="84" t="s">
        <v>1029</v>
      </c>
      <c r="B276" s="84" t="s">
        <v>660</v>
      </c>
      <c r="C276" s="84" t="s">
        <v>672</v>
      </c>
      <c r="D276" s="84" t="s">
        <v>662</v>
      </c>
      <c r="E276" s="85">
        <v>18.699453040998556</v>
      </c>
    </row>
    <row r="277" spans="1:5" x14ac:dyDescent="0.25">
      <c r="A277" s="84" t="s">
        <v>1029</v>
      </c>
      <c r="B277" s="84" t="s">
        <v>660</v>
      </c>
      <c r="C277" s="84" t="s">
        <v>675</v>
      </c>
      <c r="D277" s="84" t="s">
        <v>662</v>
      </c>
      <c r="E277" s="85">
        <v>168.29507736898699</v>
      </c>
    </row>
    <row r="278" spans="1:5" x14ac:dyDescent="0.25">
      <c r="A278" s="84" t="s">
        <v>1029</v>
      </c>
      <c r="B278" s="84" t="s">
        <v>660</v>
      </c>
      <c r="C278" s="84" t="s">
        <v>677</v>
      </c>
      <c r="D278" s="84" t="s">
        <v>662</v>
      </c>
      <c r="E278" s="85">
        <v>112.19671824599132</v>
      </c>
    </row>
    <row r="279" spans="1:5" x14ac:dyDescent="0.25">
      <c r="A279" s="84" t="s">
        <v>1029</v>
      </c>
      <c r="B279" s="84" t="s">
        <v>660</v>
      </c>
      <c r="C279" s="84" t="s">
        <v>1030</v>
      </c>
      <c r="D279" s="84" t="s">
        <v>662</v>
      </c>
      <c r="E279" s="85">
        <v>260.10939180028987</v>
      </c>
    </row>
    <row r="280" spans="1:5" x14ac:dyDescent="0.25">
      <c r="A280" s="84" t="s">
        <v>1029</v>
      </c>
      <c r="B280" s="84" t="s">
        <v>660</v>
      </c>
      <c r="C280" s="84" t="s">
        <v>1031</v>
      </c>
      <c r="D280" s="84" t="s">
        <v>662</v>
      </c>
      <c r="E280" s="85">
        <v>320</v>
      </c>
    </row>
    <row r="281" spans="1:5" x14ac:dyDescent="0.25">
      <c r="A281" s="86" t="s">
        <v>1032</v>
      </c>
      <c r="B281" s="88" t="s">
        <v>660</v>
      </c>
      <c r="C281" s="86" t="s">
        <v>661</v>
      </c>
      <c r="D281" s="88" t="s">
        <v>662</v>
      </c>
      <c r="E281" s="87">
        <v>2579.9214806505888</v>
      </c>
    </row>
    <row r="282" spans="1:5" x14ac:dyDescent="0.25">
      <c r="A282" s="86" t="s">
        <v>1032</v>
      </c>
      <c r="B282" s="88" t="s">
        <v>660</v>
      </c>
      <c r="C282" s="86" t="s">
        <v>665</v>
      </c>
      <c r="D282" s="88" t="s">
        <v>662</v>
      </c>
      <c r="E282" s="87">
        <v>340.06356328285659</v>
      </c>
    </row>
    <row r="283" spans="1:5" x14ac:dyDescent="0.25">
      <c r="A283" s="86" t="s">
        <v>1032</v>
      </c>
      <c r="B283" s="88" t="s">
        <v>660</v>
      </c>
      <c r="C283" s="86" t="s">
        <v>668</v>
      </c>
      <c r="D283" s="88" t="s">
        <v>662</v>
      </c>
      <c r="E283" s="87">
        <v>448.68199663488502</v>
      </c>
    </row>
    <row r="284" spans="1:5" x14ac:dyDescent="0.25">
      <c r="A284" s="86" t="s">
        <v>1032</v>
      </c>
      <c r="B284" s="88" t="s">
        <v>660</v>
      </c>
      <c r="C284" s="86" t="s">
        <v>84</v>
      </c>
      <c r="D284" s="88" t="s">
        <v>662</v>
      </c>
      <c r="E284" s="87">
        <v>112.17049915872126</v>
      </c>
    </row>
    <row r="285" spans="1:5" x14ac:dyDescent="0.25">
      <c r="A285" s="86" t="s">
        <v>1032</v>
      </c>
      <c r="B285" s="88" t="s">
        <v>660</v>
      </c>
      <c r="C285" s="86" t="s">
        <v>672</v>
      </c>
      <c r="D285" s="88" t="s">
        <v>662</v>
      </c>
      <c r="E285" s="87">
        <v>18.695083193120208</v>
      </c>
    </row>
    <row r="286" spans="1:5" x14ac:dyDescent="0.25">
      <c r="A286" s="86" t="s">
        <v>1032</v>
      </c>
      <c r="B286" s="88" t="s">
        <v>660</v>
      </c>
      <c r="C286" s="86" t="s">
        <v>675</v>
      </c>
      <c r="D286" s="88" t="s">
        <v>662</v>
      </c>
      <c r="E286" s="87">
        <v>168.25574873808188</v>
      </c>
    </row>
    <row r="287" spans="1:5" x14ac:dyDescent="0.25">
      <c r="A287" s="86" t="s">
        <v>1032</v>
      </c>
      <c r="B287" s="88" t="s">
        <v>660</v>
      </c>
      <c r="C287" s="86" t="s">
        <v>677</v>
      </c>
      <c r="D287" s="88" t="s">
        <v>662</v>
      </c>
      <c r="E287" s="87">
        <v>112.17049915872126</v>
      </c>
    </row>
    <row r="288" spans="1:5" x14ac:dyDescent="0.25">
      <c r="A288" s="86" t="s">
        <v>1032</v>
      </c>
      <c r="B288" s="88" t="s">
        <v>660</v>
      </c>
      <c r="C288" s="86" t="s">
        <v>1030</v>
      </c>
      <c r="D288" s="88" t="s">
        <v>662</v>
      </c>
      <c r="E288" s="87">
        <v>200.03739016638625</v>
      </c>
    </row>
    <row r="289" spans="1:5" x14ac:dyDescent="0.25">
      <c r="A289" s="86" t="s">
        <v>1032</v>
      </c>
      <c r="B289" s="88" t="s">
        <v>660</v>
      </c>
      <c r="C289" s="86" t="s">
        <v>1033</v>
      </c>
      <c r="D289" s="88" t="s">
        <v>662</v>
      </c>
      <c r="E289" s="87">
        <v>20.003739016638626</v>
      </c>
    </row>
    <row r="290" spans="1:5" x14ac:dyDescent="0.25">
      <c r="A290" s="86" t="s">
        <v>1032</v>
      </c>
      <c r="B290" s="88" t="s">
        <v>660</v>
      </c>
      <c r="C290" s="86" t="s">
        <v>696</v>
      </c>
      <c r="D290" s="88" t="s">
        <v>662</v>
      </c>
      <c r="E290" s="87">
        <v>600</v>
      </c>
    </row>
    <row r="291" spans="1:5" x14ac:dyDescent="0.25">
      <c r="A291" s="84" t="s">
        <v>1034</v>
      </c>
      <c r="B291" s="84" t="s">
        <v>660</v>
      </c>
      <c r="C291" s="84" t="s">
        <v>661</v>
      </c>
      <c r="D291" s="84" t="s">
        <v>662</v>
      </c>
      <c r="E291" s="85">
        <v>2719.2118226600987</v>
      </c>
    </row>
    <row r="292" spans="1:5" x14ac:dyDescent="0.25">
      <c r="A292" s="84" t="s">
        <v>1034</v>
      </c>
      <c r="B292" s="84" t="s">
        <v>660</v>
      </c>
      <c r="C292" s="84" t="s">
        <v>665</v>
      </c>
      <c r="D292" s="84" t="s">
        <v>662</v>
      </c>
      <c r="E292" s="85">
        <v>315.27093596059115</v>
      </c>
    </row>
    <row r="293" spans="1:5" x14ac:dyDescent="0.25">
      <c r="A293" s="84" t="s">
        <v>1034</v>
      </c>
      <c r="B293" s="84" t="s">
        <v>660</v>
      </c>
      <c r="C293" s="84" t="s">
        <v>668</v>
      </c>
      <c r="D293" s="84" t="s">
        <v>662</v>
      </c>
      <c r="E293" s="85">
        <v>472.90640394088672</v>
      </c>
    </row>
    <row r="294" spans="1:5" x14ac:dyDescent="0.25">
      <c r="A294" s="84" t="s">
        <v>1034</v>
      </c>
      <c r="B294" s="84" t="s">
        <v>660</v>
      </c>
      <c r="C294" s="84" t="s">
        <v>84</v>
      </c>
      <c r="D294" s="84" t="s">
        <v>662</v>
      </c>
      <c r="E294" s="85">
        <v>118.22660098522168</v>
      </c>
    </row>
    <row r="295" spans="1:5" x14ac:dyDescent="0.25">
      <c r="A295" s="84" t="s">
        <v>1034</v>
      </c>
      <c r="B295" s="84" t="s">
        <v>660</v>
      </c>
      <c r="C295" s="84" t="s">
        <v>672</v>
      </c>
      <c r="D295" s="84" t="s">
        <v>662</v>
      </c>
      <c r="E295" s="85">
        <v>19.704433497536947</v>
      </c>
    </row>
    <row r="296" spans="1:5" x14ac:dyDescent="0.25">
      <c r="A296" s="84" t="s">
        <v>1034</v>
      </c>
      <c r="B296" s="84" t="s">
        <v>660</v>
      </c>
      <c r="C296" s="84" t="s">
        <v>675</v>
      </c>
      <c r="D296" s="84" t="s">
        <v>662</v>
      </c>
      <c r="E296" s="85">
        <v>177.33990147783251</v>
      </c>
    </row>
    <row r="297" spans="1:5" x14ac:dyDescent="0.25">
      <c r="A297" s="84" t="s">
        <v>1034</v>
      </c>
      <c r="B297" s="84" t="s">
        <v>660</v>
      </c>
      <c r="C297" s="84" t="s">
        <v>677</v>
      </c>
      <c r="D297" s="84" t="s">
        <v>662</v>
      </c>
      <c r="E297" s="85">
        <v>118.22660098522168</v>
      </c>
    </row>
    <row r="298" spans="1:5" x14ac:dyDescent="0.25">
      <c r="A298" s="84" t="s">
        <v>1034</v>
      </c>
      <c r="B298" s="84" t="s">
        <v>660</v>
      </c>
      <c r="C298" s="84" t="s">
        <v>1035</v>
      </c>
      <c r="D298" s="84" t="s">
        <v>662</v>
      </c>
      <c r="E298" s="85">
        <v>59.11330049261084</v>
      </c>
    </row>
    <row r="299" spans="1:5" x14ac:dyDescent="0.25">
      <c r="A299" s="84" t="s">
        <v>1034</v>
      </c>
      <c r="B299" s="84" t="s">
        <v>660</v>
      </c>
      <c r="C299" s="84" t="s">
        <v>695</v>
      </c>
      <c r="D299" s="84" t="s">
        <v>662</v>
      </c>
      <c r="E299" s="85">
        <v>320</v>
      </c>
    </row>
    <row r="300" spans="1:5" x14ac:dyDescent="0.25">
      <c r="A300" s="86" t="s">
        <v>749</v>
      </c>
      <c r="B300" s="88" t="s">
        <v>660</v>
      </c>
      <c r="C300" s="86" t="s">
        <v>661</v>
      </c>
      <c r="D300" s="88" t="s">
        <v>662</v>
      </c>
      <c r="E300" s="87">
        <v>3148.7846795973487</v>
      </c>
    </row>
    <row r="301" spans="1:5" x14ac:dyDescent="0.25">
      <c r="A301" s="86" t="s">
        <v>749</v>
      </c>
      <c r="B301" s="88" t="s">
        <v>660</v>
      </c>
      <c r="C301" s="86" t="s">
        <v>665</v>
      </c>
      <c r="D301" s="88" t="s">
        <v>662</v>
      </c>
      <c r="E301" s="87">
        <v>224.91319139981064</v>
      </c>
    </row>
    <row r="302" spans="1:5" x14ac:dyDescent="0.25">
      <c r="A302" s="86" t="s">
        <v>749</v>
      </c>
      <c r="B302" s="88" t="s">
        <v>660</v>
      </c>
      <c r="C302" s="86" t="s">
        <v>668</v>
      </c>
      <c r="D302" s="88" t="s">
        <v>662</v>
      </c>
      <c r="E302" s="87">
        <v>350.8645785837046</v>
      </c>
    </row>
    <row r="303" spans="1:5" x14ac:dyDescent="0.25">
      <c r="A303" s="86" t="s">
        <v>749</v>
      </c>
      <c r="B303" s="88" t="s">
        <v>660</v>
      </c>
      <c r="C303" s="86" t="s">
        <v>84</v>
      </c>
      <c r="D303" s="88" t="s">
        <v>662</v>
      </c>
      <c r="E303" s="87">
        <v>148.44270632387503</v>
      </c>
    </row>
    <row r="304" spans="1:5" x14ac:dyDescent="0.25">
      <c r="A304" s="86" t="s">
        <v>749</v>
      </c>
      <c r="B304" s="88" t="s">
        <v>660</v>
      </c>
      <c r="C304" s="86" t="s">
        <v>672</v>
      </c>
      <c r="D304" s="88" t="s">
        <v>662</v>
      </c>
      <c r="E304" s="87">
        <v>19.72922731577286</v>
      </c>
    </row>
    <row r="305" spans="1:5" x14ac:dyDescent="0.25">
      <c r="A305" s="86" t="s">
        <v>749</v>
      </c>
      <c r="B305" s="88" t="s">
        <v>660</v>
      </c>
      <c r="C305" s="86" t="s">
        <v>675</v>
      </c>
      <c r="D305" s="88" t="s">
        <v>662</v>
      </c>
      <c r="E305" s="87">
        <v>224.91319139981064</v>
      </c>
    </row>
    <row r="306" spans="1:5" x14ac:dyDescent="0.25">
      <c r="A306" s="86" t="s">
        <v>749</v>
      </c>
      <c r="B306" s="88" t="s">
        <v>660</v>
      </c>
      <c r="C306" s="86" t="s">
        <v>677</v>
      </c>
      <c r="D306" s="88" t="s">
        <v>662</v>
      </c>
      <c r="E306" s="87">
        <v>112.45659569990532</v>
      </c>
    </row>
    <row r="307" spans="1:5" x14ac:dyDescent="0.25">
      <c r="A307" s="86" t="s">
        <v>749</v>
      </c>
      <c r="B307" s="88" t="s">
        <v>660</v>
      </c>
      <c r="C307" s="86" t="s">
        <v>911</v>
      </c>
      <c r="D307" s="88" t="s">
        <v>662</v>
      </c>
      <c r="E307" s="87">
        <v>269.89582967977276</v>
      </c>
    </row>
    <row r="308" spans="1:5" x14ac:dyDescent="0.25">
      <c r="A308" s="84" t="s">
        <v>1036</v>
      </c>
      <c r="B308" s="84" t="s">
        <v>660</v>
      </c>
      <c r="C308" s="84" t="s">
        <v>661</v>
      </c>
      <c r="D308" s="84" t="s">
        <v>662</v>
      </c>
      <c r="E308" s="85">
        <v>3870</v>
      </c>
    </row>
    <row r="309" spans="1:5" x14ac:dyDescent="0.25">
      <c r="A309" s="84" t="s">
        <v>1036</v>
      </c>
      <c r="B309" s="84" t="s">
        <v>660</v>
      </c>
      <c r="C309" s="84" t="s">
        <v>665</v>
      </c>
      <c r="D309" s="84" t="s">
        <v>662</v>
      </c>
      <c r="E309" s="85">
        <v>540</v>
      </c>
    </row>
    <row r="310" spans="1:5" x14ac:dyDescent="0.25">
      <c r="A310" s="84" t="s">
        <v>1036</v>
      </c>
      <c r="B310" s="84" t="s">
        <v>660</v>
      </c>
      <c r="C310" s="84" t="s">
        <v>668</v>
      </c>
      <c r="D310" s="84" t="s">
        <v>662</v>
      </c>
      <c r="E310" s="85">
        <v>900</v>
      </c>
    </row>
    <row r="311" spans="1:5" x14ac:dyDescent="0.25">
      <c r="A311" s="84" t="s">
        <v>1036</v>
      </c>
      <c r="B311" s="84" t="s">
        <v>660</v>
      </c>
      <c r="C311" s="84" t="s">
        <v>672</v>
      </c>
      <c r="D311" s="84" t="s">
        <v>662</v>
      </c>
      <c r="E311" s="85">
        <v>45</v>
      </c>
    </row>
    <row r="312" spans="1:5" x14ac:dyDescent="0.25">
      <c r="A312" s="84" t="s">
        <v>1036</v>
      </c>
      <c r="B312" s="84" t="s">
        <v>660</v>
      </c>
      <c r="C312" s="84" t="s">
        <v>675</v>
      </c>
      <c r="D312" s="84" t="s">
        <v>662</v>
      </c>
      <c r="E312" s="85">
        <v>405</v>
      </c>
    </row>
    <row r="313" spans="1:5" x14ac:dyDescent="0.25">
      <c r="A313" s="84" t="s">
        <v>1036</v>
      </c>
      <c r="B313" s="84" t="s">
        <v>660</v>
      </c>
      <c r="C313" s="84" t="s">
        <v>677</v>
      </c>
      <c r="D313" s="84" t="s">
        <v>662</v>
      </c>
      <c r="E313" s="85">
        <v>270</v>
      </c>
    </row>
    <row r="314" spans="1:5" x14ac:dyDescent="0.25">
      <c r="A314" s="84" t="s">
        <v>1036</v>
      </c>
      <c r="B314" s="84" t="s">
        <v>660</v>
      </c>
      <c r="C314" s="84" t="s">
        <v>994</v>
      </c>
      <c r="D314" s="84" t="s">
        <v>662</v>
      </c>
      <c r="E314" s="85">
        <v>720</v>
      </c>
    </row>
    <row r="315" spans="1:5" x14ac:dyDescent="0.25">
      <c r="A315" s="84" t="s">
        <v>1036</v>
      </c>
      <c r="B315" s="84" t="s">
        <v>660</v>
      </c>
      <c r="C315" s="84" t="s">
        <v>993</v>
      </c>
      <c r="D315" s="84" t="s">
        <v>662</v>
      </c>
      <c r="E315" s="85">
        <v>630</v>
      </c>
    </row>
    <row r="316" spans="1:5" x14ac:dyDescent="0.25">
      <c r="A316" s="84" t="s">
        <v>1036</v>
      </c>
      <c r="B316" s="84" t="s">
        <v>660</v>
      </c>
      <c r="C316" s="84" t="s">
        <v>1037</v>
      </c>
      <c r="D316" s="84" t="s">
        <v>662</v>
      </c>
      <c r="E316" s="85">
        <v>450</v>
      </c>
    </row>
    <row r="317" spans="1:5" x14ac:dyDescent="0.25">
      <c r="A317" s="84" t="s">
        <v>1036</v>
      </c>
      <c r="B317" s="84" t="s">
        <v>660</v>
      </c>
      <c r="C317" s="84" t="s">
        <v>1038</v>
      </c>
      <c r="D317" s="84" t="s">
        <v>662</v>
      </c>
      <c r="E317" s="85">
        <v>1170</v>
      </c>
    </row>
    <row r="318" spans="1:5" x14ac:dyDescent="0.25">
      <c r="A318" s="86" t="s">
        <v>1039</v>
      </c>
      <c r="B318" s="88" t="s">
        <v>660</v>
      </c>
      <c r="C318" s="86" t="s">
        <v>661</v>
      </c>
      <c r="D318" s="88" t="s">
        <v>662</v>
      </c>
      <c r="E318" s="87">
        <v>2751</v>
      </c>
    </row>
    <row r="319" spans="1:5" x14ac:dyDescent="0.25">
      <c r="A319" s="86" t="s">
        <v>1039</v>
      </c>
      <c r="B319" s="88" t="s">
        <v>660</v>
      </c>
      <c r="C319" s="86" t="s">
        <v>665</v>
      </c>
      <c r="D319" s="88" t="s">
        <v>662</v>
      </c>
      <c r="E319" s="87">
        <v>117.60000000000001</v>
      </c>
    </row>
    <row r="320" spans="1:5" x14ac:dyDescent="0.25">
      <c r="A320" s="86" t="s">
        <v>1039</v>
      </c>
      <c r="B320" s="88" t="s">
        <v>660</v>
      </c>
      <c r="C320" s="86" t="s">
        <v>668</v>
      </c>
      <c r="D320" s="88" t="s">
        <v>662</v>
      </c>
      <c r="E320" s="87">
        <v>210</v>
      </c>
    </row>
    <row r="321" spans="1:5" x14ac:dyDescent="0.25">
      <c r="A321" s="86" t="s">
        <v>1039</v>
      </c>
      <c r="B321" s="88" t="s">
        <v>660</v>
      </c>
      <c r="C321" s="86" t="s">
        <v>84</v>
      </c>
      <c r="D321" s="88" t="s">
        <v>662</v>
      </c>
      <c r="E321" s="87">
        <v>252</v>
      </c>
    </row>
    <row r="322" spans="1:5" x14ac:dyDescent="0.25">
      <c r="A322" s="86" t="s">
        <v>1039</v>
      </c>
      <c r="B322" s="88" t="s">
        <v>660</v>
      </c>
      <c r="C322" s="86" t="s">
        <v>672</v>
      </c>
      <c r="D322" s="88" t="s">
        <v>662</v>
      </c>
      <c r="E322" s="87">
        <v>21</v>
      </c>
    </row>
    <row r="323" spans="1:5" x14ac:dyDescent="0.25">
      <c r="A323" s="86" t="s">
        <v>1039</v>
      </c>
      <c r="B323" s="88" t="s">
        <v>660</v>
      </c>
      <c r="C323" s="86" t="s">
        <v>675</v>
      </c>
      <c r="D323" s="88" t="s">
        <v>662</v>
      </c>
      <c r="E323" s="87">
        <v>168</v>
      </c>
    </row>
    <row r="324" spans="1:5" x14ac:dyDescent="0.25">
      <c r="A324" s="86" t="s">
        <v>1039</v>
      </c>
      <c r="B324" s="88" t="s">
        <v>660</v>
      </c>
      <c r="C324" s="86" t="s">
        <v>677</v>
      </c>
      <c r="D324" s="88" t="s">
        <v>662</v>
      </c>
      <c r="E324" s="87">
        <v>126</v>
      </c>
    </row>
    <row r="325" spans="1:5" x14ac:dyDescent="0.25">
      <c r="A325" s="86" t="s">
        <v>1039</v>
      </c>
      <c r="B325" s="88" t="s">
        <v>660</v>
      </c>
      <c r="C325" s="86" t="s">
        <v>137</v>
      </c>
      <c r="D325" s="88" t="s">
        <v>662</v>
      </c>
      <c r="E325" s="87">
        <v>546</v>
      </c>
    </row>
    <row r="326" spans="1:5" x14ac:dyDescent="0.25">
      <c r="A326" s="86" t="s">
        <v>1039</v>
      </c>
      <c r="B326" s="88" t="s">
        <v>660</v>
      </c>
      <c r="C326" s="86" t="s">
        <v>137</v>
      </c>
      <c r="D326" s="88" t="s">
        <v>662</v>
      </c>
      <c r="E326" s="87">
        <v>84</v>
      </c>
    </row>
    <row r="327" spans="1:5" x14ac:dyDescent="0.25">
      <c r="A327" s="84" t="s">
        <v>1040</v>
      </c>
      <c r="B327" s="84" t="s">
        <v>660</v>
      </c>
      <c r="C327" s="84" t="s">
        <v>661</v>
      </c>
      <c r="D327" s="84" t="s">
        <v>662</v>
      </c>
      <c r="E327" s="85">
        <v>4690</v>
      </c>
    </row>
    <row r="328" spans="1:5" x14ac:dyDescent="0.25">
      <c r="A328" s="84" t="s">
        <v>1040</v>
      </c>
      <c r="B328" s="84" t="s">
        <v>660</v>
      </c>
      <c r="C328" s="84" t="s">
        <v>665</v>
      </c>
      <c r="D328" s="84" t="s">
        <v>662</v>
      </c>
      <c r="E328" s="85">
        <v>560</v>
      </c>
    </row>
    <row r="329" spans="1:5" x14ac:dyDescent="0.25">
      <c r="A329" s="84" t="s">
        <v>1040</v>
      </c>
      <c r="B329" s="84" t="s">
        <v>660</v>
      </c>
      <c r="C329" s="84" t="s">
        <v>668</v>
      </c>
      <c r="D329" s="84" t="s">
        <v>662</v>
      </c>
      <c r="E329" s="85">
        <v>630</v>
      </c>
    </row>
    <row r="330" spans="1:5" x14ac:dyDescent="0.25">
      <c r="A330" s="84" t="s">
        <v>1040</v>
      </c>
      <c r="B330" s="84" t="s">
        <v>660</v>
      </c>
      <c r="C330" s="84" t="s">
        <v>672</v>
      </c>
      <c r="D330" s="84" t="s">
        <v>662</v>
      </c>
      <c r="E330" s="85">
        <v>35</v>
      </c>
    </row>
    <row r="331" spans="1:5" x14ac:dyDescent="0.25">
      <c r="A331" s="84" t="s">
        <v>1040</v>
      </c>
      <c r="B331" s="84" t="s">
        <v>660</v>
      </c>
      <c r="C331" s="84" t="s">
        <v>675</v>
      </c>
      <c r="D331" s="84" t="s">
        <v>662</v>
      </c>
      <c r="E331" s="85">
        <v>315</v>
      </c>
    </row>
    <row r="332" spans="1:5" x14ac:dyDescent="0.25">
      <c r="A332" s="84" t="s">
        <v>1040</v>
      </c>
      <c r="B332" s="84" t="s">
        <v>660</v>
      </c>
      <c r="C332" s="84" t="s">
        <v>677</v>
      </c>
      <c r="D332" s="84" t="s">
        <v>662</v>
      </c>
      <c r="E332" s="85">
        <v>210</v>
      </c>
    </row>
    <row r="333" spans="1:5" x14ac:dyDescent="0.25">
      <c r="A333" s="84" t="s">
        <v>1040</v>
      </c>
      <c r="B333" s="84" t="s">
        <v>660</v>
      </c>
      <c r="C333" s="84" t="s">
        <v>1041</v>
      </c>
      <c r="D333" s="84" t="s">
        <v>662</v>
      </c>
      <c r="E333" s="85">
        <v>560</v>
      </c>
    </row>
    <row r="334" spans="1:5" x14ac:dyDescent="0.25">
      <c r="A334" s="86" t="s">
        <v>748</v>
      </c>
      <c r="B334" s="88" t="s">
        <v>660</v>
      </c>
      <c r="C334" s="86" t="s">
        <v>661</v>
      </c>
      <c r="D334" s="88" t="s">
        <v>662</v>
      </c>
      <c r="E334" s="87">
        <v>2780</v>
      </c>
    </row>
    <row r="335" spans="1:5" x14ac:dyDescent="0.25">
      <c r="A335" s="86" t="s">
        <v>748</v>
      </c>
      <c r="B335" s="88" t="s">
        <v>660</v>
      </c>
      <c r="C335" s="86" t="s">
        <v>665</v>
      </c>
      <c r="D335" s="88" t="s">
        <v>662</v>
      </c>
      <c r="E335" s="87">
        <v>40</v>
      </c>
    </row>
    <row r="336" spans="1:5" x14ac:dyDescent="0.25">
      <c r="A336" s="86" t="s">
        <v>748</v>
      </c>
      <c r="B336" s="88" t="s">
        <v>660</v>
      </c>
      <c r="C336" s="86" t="s">
        <v>668</v>
      </c>
      <c r="D336" s="88" t="s">
        <v>662</v>
      </c>
      <c r="E336" s="87">
        <v>320</v>
      </c>
    </row>
    <row r="337" spans="1:5" x14ac:dyDescent="0.25">
      <c r="A337" s="86" t="s">
        <v>748</v>
      </c>
      <c r="B337" s="88" t="s">
        <v>660</v>
      </c>
      <c r="C337" s="86" t="s">
        <v>84</v>
      </c>
      <c r="D337" s="88" t="s">
        <v>662</v>
      </c>
      <c r="E337" s="87">
        <v>200</v>
      </c>
    </row>
    <row r="338" spans="1:5" x14ac:dyDescent="0.25">
      <c r="A338" s="86" t="s">
        <v>748</v>
      </c>
      <c r="B338" s="88" t="s">
        <v>660</v>
      </c>
      <c r="C338" s="86" t="s">
        <v>672</v>
      </c>
      <c r="D338" s="88" t="s">
        <v>662</v>
      </c>
      <c r="E338" s="87">
        <v>20</v>
      </c>
    </row>
    <row r="339" spans="1:5" x14ac:dyDescent="0.25">
      <c r="A339" s="86" t="s">
        <v>748</v>
      </c>
      <c r="B339" s="88" t="s">
        <v>660</v>
      </c>
      <c r="C339" s="86" t="s">
        <v>675</v>
      </c>
      <c r="D339" s="88" t="s">
        <v>662</v>
      </c>
      <c r="E339" s="87">
        <v>120</v>
      </c>
    </row>
    <row r="340" spans="1:5" x14ac:dyDescent="0.25">
      <c r="A340" s="86" t="s">
        <v>748</v>
      </c>
      <c r="B340" s="88" t="s">
        <v>660</v>
      </c>
      <c r="C340" s="86" t="s">
        <v>677</v>
      </c>
      <c r="D340" s="88" t="s">
        <v>662</v>
      </c>
      <c r="E340" s="87">
        <v>120</v>
      </c>
    </row>
    <row r="341" spans="1:5" x14ac:dyDescent="0.25">
      <c r="A341" s="86" t="s">
        <v>748</v>
      </c>
      <c r="B341" s="88" t="s">
        <v>660</v>
      </c>
      <c r="C341" s="86" t="s">
        <v>1006</v>
      </c>
      <c r="D341" s="88" t="s">
        <v>662</v>
      </c>
      <c r="E341" s="87">
        <v>400</v>
      </c>
    </row>
    <row r="342" spans="1:5" x14ac:dyDescent="0.25">
      <c r="A342" s="86" t="s">
        <v>748</v>
      </c>
      <c r="B342" s="88" t="s">
        <v>660</v>
      </c>
      <c r="C342" s="86" t="s">
        <v>148</v>
      </c>
      <c r="D342" s="88" t="s">
        <v>662</v>
      </c>
      <c r="E342" s="87">
        <v>600</v>
      </c>
    </row>
    <row r="343" spans="1:5" x14ac:dyDescent="0.25">
      <c r="A343" s="86" t="s">
        <v>748</v>
      </c>
      <c r="B343" s="88" t="s">
        <v>660</v>
      </c>
      <c r="C343" s="86" t="s">
        <v>213</v>
      </c>
      <c r="D343" s="88" t="s">
        <v>662</v>
      </c>
      <c r="E343" s="87">
        <v>240</v>
      </c>
    </row>
    <row r="344" spans="1:5" x14ac:dyDescent="0.25">
      <c r="A344" s="86" t="s">
        <v>748</v>
      </c>
      <c r="B344" s="88" t="s">
        <v>660</v>
      </c>
      <c r="C344" s="86" t="s">
        <v>1031</v>
      </c>
      <c r="D344" s="88" t="s">
        <v>662</v>
      </c>
      <c r="E344" s="87">
        <v>60</v>
      </c>
    </row>
    <row r="345" spans="1:5" x14ac:dyDescent="0.25">
      <c r="A345" s="84" t="s">
        <v>1042</v>
      </c>
      <c r="B345" s="84" t="s">
        <v>660</v>
      </c>
      <c r="C345" s="84" t="s">
        <v>661</v>
      </c>
      <c r="D345" s="84" t="s">
        <v>662</v>
      </c>
      <c r="E345" s="85">
        <v>2859.727644986192</v>
      </c>
    </row>
    <row r="346" spans="1:5" x14ac:dyDescent="0.25">
      <c r="A346" s="84" t="s">
        <v>1042</v>
      </c>
      <c r="B346" s="84" t="s">
        <v>660</v>
      </c>
      <c r="C346" s="84" t="s">
        <v>665</v>
      </c>
      <c r="D346" s="84" t="s">
        <v>662</v>
      </c>
      <c r="E346" s="85">
        <v>152.36644129130559</v>
      </c>
    </row>
    <row r="347" spans="1:5" x14ac:dyDescent="0.25">
      <c r="A347" s="84" t="s">
        <v>1042</v>
      </c>
      <c r="B347" s="84" t="s">
        <v>660</v>
      </c>
      <c r="C347" s="84" t="s">
        <v>668</v>
      </c>
      <c r="D347" s="84" t="s">
        <v>662</v>
      </c>
      <c r="E347" s="85">
        <v>380.91610322826392</v>
      </c>
    </row>
    <row r="348" spans="1:5" x14ac:dyDescent="0.25">
      <c r="A348" s="84" t="s">
        <v>1042</v>
      </c>
      <c r="B348" s="84" t="s">
        <v>660</v>
      </c>
      <c r="C348" s="84" t="s">
        <v>84</v>
      </c>
      <c r="D348" s="84" t="s">
        <v>662</v>
      </c>
      <c r="E348" s="85">
        <v>114.27483096847918</v>
      </c>
    </row>
    <row r="349" spans="1:5" x14ac:dyDescent="0.25">
      <c r="A349" s="84" t="s">
        <v>1042</v>
      </c>
      <c r="B349" s="84" t="s">
        <v>660</v>
      </c>
      <c r="C349" s="84" t="s">
        <v>672</v>
      </c>
      <c r="D349" s="84" t="s">
        <v>662</v>
      </c>
      <c r="E349" s="85">
        <v>19.045805161413199</v>
      </c>
    </row>
    <row r="350" spans="1:5" x14ac:dyDescent="0.25">
      <c r="A350" s="84" t="s">
        <v>1042</v>
      </c>
      <c r="B350" s="84" t="s">
        <v>660</v>
      </c>
      <c r="C350" s="84" t="s">
        <v>675</v>
      </c>
      <c r="D350" s="84" t="s">
        <v>662</v>
      </c>
      <c r="E350" s="85">
        <v>171.41224645271879</v>
      </c>
    </row>
    <row r="351" spans="1:5" x14ac:dyDescent="0.25">
      <c r="A351" s="84" t="s">
        <v>1042</v>
      </c>
      <c r="B351" s="84" t="s">
        <v>660</v>
      </c>
      <c r="C351" s="84" t="s">
        <v>677</v>
      </c>
      <c r="D351" s="84" t="s">
        <v>662</v>
      </c>
      <c r="E351" s="85">
        <v>114.27483096847918</v>
      </c>
    </row>
    <row r="352" spans="1:5" x14ac:dyDescent="0.25">
      <c r="A352" s="84" t="s">
        <v>1042</v>
      </c>
      <c r="B352" s="84" t="s">
        <v>660</v>
      </c>
      <c r="C352" s="84" t="s">
        <v>694</v>
      </c>
      <c r="D352" s="84" t="s">
        <v>662</v>
      </c>
      <c r="E352" s="85">
        <v>187.98209694314826</v>
      </c>
    </row>
    <row r="353" spans="1:5" x14ac:dyDescent="0.25">
      <c r="A353" s="84" t="s">
        <v>1042</v>
      </c>
      <c r="B353" s="84" t="s">
        <v>660</v>
      </c>
      <c r="C353" s="84" t="s">
        <v>152</v>
      </c>
      <c r="D353" s="84" t="s">
        <v>662</v>
      </c>
      <c r="E353" s="85">
        <v>300</v>
      </c>
    </row>
    <row r="354" spans="1:5" x14ac:dyDescent="0.25">
      <c r="A354" s="84" t="s">
        <v>1042</v>
      </c>
      <c r="B354" s="84" t="s">
        <v>660</v>
      </c>
      <c r="C354" s="84" t="s">
        <v>137</v>
      </c>
      <c r="D354" s="84" t="s">
        <v>662</v>
      </c>
      <c r="E354" s="85">
        <v>90</v>
      </c>
    </row>
    <row r="355" spans="1:5" x14ac:dyDescent="0.25">
      <c r="A355" s="86" t="s">
        <v>705</v>
      </c>
      <c r="B355" s="88" t="s">
        <v>660</v>
      </c>
      <c r="C355" s="86" t="s">
        <v>661</v>
      </c>
      <c r="D355" s="88" t="s">
        <v>662</v>
      </c>
      <c r="E355" s="87">
        <v>2073.3025426149893</v>
      </c>
    </row>
    <row r="356" spans="1:5" x14ac:dyDescent="0.25">
      <c r="A356" s="86" t="s">
        <v>705</v>
      </c>
      <c r="B356" s="88" t="s">
        <v>660</v>
      </c>
      <c r="C356" s="86" t="s">
        <v>665</v>
      </c>
      <c r="D356" s="88" t="s">
        <v>662</v>
      </c>
      <c r="E356" s="87">
        <v>110.46566993619655</v>
      </c>
    </row>
    <row r="357" spans="1:5" x14ac:dyDescent="0.25">
      <c r="A357" s="86" t="s">
        <v>705</v>
      </c>
      <c r="B357" s="88" t="s">
        <v>660</v>
      </c>
      <c r="C357" s="86" t="s">
        <v>668</v>
      </c>
      <c r="D357" s="88" t="s">
        <v>662</v>
      </c>
      <c r="E357" s="87">
        <v>276.16417484049134</v>
      </c>
    </row>
    <row r="358" spans="1:5" x14ac:dyDescent="0.25">
      <c r="A358" s="86" t="s">
        <v>705</v>
      </c>
      <c r="B358" s="88" t="s">
        <v>660</v>
      </c>
      <c r="C358" s="86" t="s">
        <v>84</v>
      </c>
      <c r="D358" s="88" t="s">
        <v>662</v>
      </c>
      <c r="E358" s="87">
        <v>82.849252452147411</v>
      </c>
    </row>
    <row r="359" spans="1:5" x14ac:dyDescent="0.25">
      <c r="A359" s="86" t="s">
        <v>705</v>
      </c>
      <c r="B359" s="88" t="s">
        <v>660</v>
      </c>
      <c r="C359" s="86" t="s">
        <v>672</v>
      </c>
      <c r="D359" s="88" t="s">
        <v>662</v>
      </c>
      <c r="E359" s="87">
        <v>13.808208742024568</v>
      </c>
    </row>
    <row r="360" spans="1:5" x14ac:dyDescent="0.25">
      <c r="A360" s="86" t="s">
        <v>705</v>
      </c>
      <c r="B360" s="88" t="s">
        <v>660</v>
      </c>
      <c r="C360" s="86" t="s">
        <v>675</v>
      </c>
      <c r="D360" s="88" t="s">
        <v>662</v>
      </c>
      <c r="E360" s="87">
        <v>124.27387867822111</v>
      </c>
    </row>
    <row r="361" spans="1:5" x14ac:dyDescent="0.25">
      <c r="A361" s="86" t="s">
        <v>705</v>
      </c>
      <c r="B361" s="88" t="s">
        <v>660</v>
      </c>
      <c r="C361" s="86" t="s">
        <v>677</v>
      </c>
      <c r="D361" s="88" t="s">
        <v>662</v>
      </c>
      <c r="E361" s="87">
        <v>82.849252452147411</v>
      </c>
    </row>
    <row r="362" spans="1:5" x14ac:dyDescent="0.25">
      <c r="A362" s="86" t="s">
        <v>705</v>
      </c>
      <c r="B362" s="88" t="s">
        <v>660</v>
      </c>
      <c r="C362" s="86" t="s">
        <v>694</v>
      </c>
      <c r="D362" s="88" t="s">
        <v>662</v>
      </c>
      <c r="E362" s="87">
        <v>136.28702028378251</v>
      </c>
    </row>
    <row r="363" spans="1:5" x14ac:dyDescent="0.25">
      <c r="A363" s="86" t="s">
        <v>705</v>
      </c>
      <c r="B363" s="88" t="s">
        <v>660</v>
      </c>
      <c r="C363" s="86" t="s">
        <v>695</v>
      </c>
      <c r="D363" s="88" t="s">
        <v>662</v>
      </c>
      <c r="E363" s="87">
        <v>217.5</v>
      </c>
    </row>
    <row r="364" spans="1:5" x14ac:dyDescent="0.25">
      <c r="A364" s="86" t="s">
        <v>705</v>
      </c>
      <c r="B364" s="88" t="s">
        <v>660</v>
      </c>
      <c r="C364" s="86" t="s">
        <v>137</v>
      </c>
      <c r="D364" s="88" t="s">
        <v>662</v>
      </c>
      <c r="E364" s="87">
        <v>65.25</v>
      </c>
    </row>
    <row r="365" spans="1:5" x14ac:dyDescent="0.25">
      <c r="A365" s="84" t="s">
        <v>1043</v>
      </c>
      <c r="B365" s="84" t="s">
        <v>660</v>
      </c>
      <c r="C365" s="84" t="s">
        <v>661</v>
      </c>
      <c r="D365" s="84" t="s">
        <v>662</v>
      </c>
      <c r="E365" s="85">
        <v>2859.727644986192</v>
      </c>
    </row>
    <row r="366" spans="1:5" x14ac:dyDescent="0.25">
      <c r="A366" s="84" t="s">
        <v>1043</v>
      </c>
      <c r="B366" s="84" t="s">
        <v>660</v>
      </c>
      <c r="C366" s="84" t="s">
        <v>665</v>
      </c>
      <c r="D366" s="84" t="s">
        <v>662</v>
      </c>
      <c r="E366" s="85">
        <v>152.36644129130559</v>
      </c>
    </row>
    <row r="367" spans="1:5" x14ac:dyDescent="0.25">
      <c r="A367" s="84" t="s">
        <v>1043</v>
      </c>
      <c r="B367" s="84" t="s">
        <v>660</v>
      </c>
      <c r="C367" s="84" t="s">
        <v>668</v>
      </c>
      <c r="D367" s="84" t="s">
        <v>662</v>
      </c>
      <c r="E367" s="85">
        <v>380.91610322826392</v>
      </c>
    </row>
    <row r="368" spans="1:5" x14ac:dyDescent="0.25">
      <c r="A368" s="84" t="s">
        <v>1043</v>
      </c>
      <c r="B368" s="84" t="s">
        <v>660</v>
      </c>
      <c r="C368" s="84" t="s">
        <v>84</v>
      </c>
      <c r="D368" s="84" t="s">
        <v>662</v>
      </c>
      <c r="E368" s="85">
        <v>114.27483096847918</v>
      </c>
    </row>
    <row r="369" spans="1:5" x14ac:dyDescent="0.25">
      <c r="A369" s="84" t="s">
        <v>1043</v>
      </c>
      <c r="B369" s="84" t="s">
        <v>660</v>
      </c>
      <c r="C369" s="84" t="s">
        <v>672</v>
      </c>
      <c r="D369" s="84" t="s">
        <v>662</v>
      </c>
      <c r="E369" s="85">
        <v>19.045805161413199</v>
      </c>
    </row>
    <row r="370" spans="1:5" x14ac:dyDescent="0.25">
      <c r="A370" s="84" t="s">
        <v>1043</v>
      </c>
      <c r="B370" s="84" t="s">
        <v>660</v>
      </c>
      <c r="C370" s="84" t="s">
        <v>675</v>
      </c>
      <c r="D370" s="84" t="s">
        <v>662</v>
      </c>
      <c r="E370" s="85">
        <v>171.41224645271879</v>
      </c>
    </row>
    <row r="371" spans="1:5" x14ac:dyDescent="0.25">
      <c r="A371" s="84" t="s">
        <v>1043</v>
      </c>
      <c r="B371" s="84" t="s">
        <v>660</v>
      </c>
      <c r="C371" s="84" t="s">
        <v>677</v>
      </c>
      <c r="D371" s="84" t="s">
        <v>662</v>
      </c>
      <c r="E371" s="85">
        <v>114.27483096847918</v>
      </c>
    </row>
    <row r="372" spans="1:5" x14ac:dyDescent="0.25">
      <c r="A372" s="84" t="s">
        <v>1043</v>
      </c>
      <c r="B372" s="84" t="s">
        <v>660</v>
      </c>
      <c r="C372" s="84" t="s">
        <v>694</v>
      </c>
      <c r="D372" s="84" t="s">
        <v>662</v>
      </c>
      <c r="E372" s="85">
        <v>187.98209694314826</v>
      </c>
    </row>
    <row r="373" spans="1:5" x14ac:dyDescent="0.25">
      <c r="A373" s="84" t="s">
        <v>1043</v>
      </c>
      <c r="B373" s="84" t="s">
        <v>660</v>
      </c>
      <c r="C373" s="84" t="s">
        <v>1044</v>
      </c>
      <c r="D373" s="84" t="s">
        <v>662</v>
      </c>
      <c r="E373" s="85">
        <v>300</v>
      </c>
    </row>
    <row r="374" spans="1:5" x14ac:dyDescent="0.25">
      <c r="A374" s="84" t="s">
        <v>1043</v>
      </c>
      <c r="B374" s="84" t="s">
        <v>660</v>
      </c>
      <c r="C374" s="84" t="s">
        <v>137</v>
      </c>
      <c r="D374" s="84" t="s">
        <v>662</v>
      </c>
      <c r="E374" s="85">
        <v>90</v>
      </c>
    </row>
    <row r="375" spans="1:5" x14ac:dyDescent="0.25">
      <c r="A375" s="86" t="s">
        <v>1045</v>
      </c>
      <c r="B375" s="88" t="s">
        <v>660</v>
      </c>
      <c r="C375" s="86" t="s">
        <v>661</v>
      </c>
      <c r="D375" s="88" t="s">
        <v>662</v>
      </c>
      <c r="E375" s="87">
        <v>2859.727644986192</v>
      </c>
    </row>
    <row r="376" spans="1:5" x14ac:dyDescent="0.25">
      <c r="A376" s="86" t="s">
        <v>1045</v>
      </c>
      <c r="B376" s="88" t="s">
        <v>660</v>
      </c>
      <c r="C376" s="86" t="s">
        <v>665</v>
      </c>
      <c r="D376" s="88" t="s">
        <v>662</v>
      </c>
      <c r="E376" s="87">
        <v>152.36644129130559</v>
      </c>
    </row>
    <row r="377" spans="1:5" x14ac:dyDescent="0.25">
      <c r="A377" s="86" t="s">
        <v>1045</v>
      </c>
      <c r="B377" s="88" t="s">
        <v>660</v>
      </c>
      <c r="C377" s="86" t="s">
        <v>668</v>
      </c>
      <c r="D377" s="88" t="s">
        <v>662</v>
      </c>
      <c r="E377" s="87">
        <v>380.91610322826392</v>
      </c>
    </row>
    <row r="378" spans="1:5" x14ac:dyDescent="0.25">
      <c r="A378" s="86" t="s">
        <v>1045</v>
      </c>
      <c r="B378" s="88" t="s">
        <v>660</v>
      </c>
      <c r="C378" s="86" t="s">
        <v>84</v>
      </c>
      <c r="D378" s="88" t="s">
        <v>662</v>
      </c>
      <c r="E378" s="87">
        <v>114.27483096847918</v>
      </c>
    </row>
    <row r="379" spans="1:5" x14ac:dyDescent="0.25">
      <c r="A379" s="86" t="s">
        <v>1045</v>
      </c>
      <c r="B379" s="88" t="s">
        <v>660</v>
      </c>
      <c r="C379" s="86" t="s">
        <v>672</v>
      </c>
      <c r="D379" s="88" t="s">
        <v>662</v>
      </c>
      <c r="E379" s="87">
        <v>19.045805161413199</v>
      </c>
    </row>
    <row r="380" spans="1:5" x14ac:dyDescent="0.25">
      <c r="A380" s="86" t="s">
        <v>1045</v>
      </c>
      <c r="B380" s="88" t="s">
        <v>660</v>
      </c>
      <c r="C380" s="86" t="s">
        <v>675</v>
      </c>
      <c r="D380" s="88" t="s">
        <v>662</v>
      </c>
      <c r="E380" s="87">
        <v>171.41224645271879</v>
      </c>
    </row>
    <row r="381" spans="1:5" x14ac:dyDescent="0.25">
      <c r="A381" s="86" t="s">
        <v>1045</v>
      </c>
      <c r="B381" s="88" t="s">
        <v>660</v>
      </c>
      <c r="C381" s="86" t="s">
        <v>677</v>
      </c>
      <c r="D381" s="88" t="s">
        <v>662</v>
      </c>
      <c r="E381" s="87">
        <v>114.27483096847918</v>
      </c>
    </row>
    <row r="382" spans="1:5" x14ac:dyDescent="0.25">
      <c r="A382" s="86" t="s">
        <v>1045</v>
      </c>
      <c r="B382" s="88" t="s">
        <v>660</v>
      </c>
      <c r="C382" s="86" t="s">
        <v>694</v>
      </c>
      <c r="D382" s="88" t="s">
        <v>662</v>
      </c>
      <c r="E382" s="87">
        <v>187.98209694314826</v>
      </c>
    </row>
    <row r="383" spans="1:5" x14ac:dyDescent="0.25">
      <c r="A383" s="86" t="s">
        <v>1045</v>
      </c>
      <c r="B383" s="88" t="s">
        <v>660</v>
      </c>
      <c r="C383" s="86" t="s">
        <v>1046</v>
      </c>
      <c r="D383" s="88" t="s">
        <v>662</v>
      </c>
      <c r="E383" s="87">
        <v>300</v>
      </c>
    </row>
    <row r="384" spans="1:5" x14ac:dyDescent="0.25">
      <c r="A384" s="86" t="s">
        <v>1045</v>
      </c>
      <c r="B384" s="88" t="s">
        <v>660</v>
      </c>
      <c r="C384" s="86" t="s">
        <v>137</v>
      </c>
      <c r="D384" s="88" t="s">
        <v>662</v>
      </c>
      <c r="E384" s="87">
        <v>90</v>
      </c>
    </row>
    <row r="385" spans="1:5" x14ac:dyDescent="0.25">
      <c r="A385" s="84" t="s">
        <v>1047</v>
      </c>
      <c r="B385" s="84" t="s">
        <v>660</v>
      </c>
      <c r="C385" s="84" t="s">
        <v>661</v>
      </c>
      <c r="D385" s="84" t="s">
        <v>662</v>
      </c>
      <c r="E385" s="85">
        <v>2653.8461538461538</v>
      </c>
    </row>
    <row r="386" spans="1:5" x14ac:dyDescent="0.25">
      <c r="A386" s="84" t="s">
        <v>1047</v>
      </c>
      <c r="B386" s="84" t="s">
        <v>660</v>
      </c>
      <c r="C386" s="84" t="s">
        <v>665</v>
      </c>
      <c r="D386" s="84" t="s">
        <v>662</v>
      </c>
      <c r="E386" s="85">
        <v>307.69230769230768</v>
      </c>
    </row>
    <row r="387" spans="1:5" x14ac:dyDescent="0.25">
      <c r="A387" s="84" t="s">
        <v>1047</v>
      </c>
      <c r="B387" s="84" t="s">
        <v>660</v>
      </c>
      <c r="C387" s="84" t="s">
        <v>668</v>
      </c>
      <c r="D387" s="84" t="s">
        <v>662</v>
      </c>
      <c r="E387" s="85">
        <v>461.53846153846155</v>
      </c>
    </row>
    <row r="388" spans="1:5" x14ac:dyDescent="0.25">
      <c r="A388" s="84" t="s">
        <v>1047</v>
      </c>
      <c r="B388" s="84" t="s">
        <v>660</v>
      </c>
      <c r="C388" s="84" t="s">
        <v>84</v>
      </c>
      <c r="D388" s="84" t="s">
        <v>662</v>
      </c>
      <c r="E388" s="85">
        <v>115.38461538461539</v>
      </c>
    </row>
    <row r="389" spans="1:5" x14ac:dyDescent="0.25">
      <c r="A389" s="84" t="s">
        <v>1047</v>
      </c>
      <c r="B389" s="84" t="s">
        <v>660</v>
      </c>
      <c r="C389" s="84" t="s">
        <v>672</v>
      </c>
      <c r="D389" s="84" t="s">
        <v>662</v>
      </c>
      <c r="E389" s="85">
        <v>19.23076923076923</v>
      </c>
    </row>
    <row r="390" spans="1:5" x14ac:dyDescent="0.25">
      <c r="A390" s="84" t="s">
        <v>1047</v>
      </c>
      <c r="B390" s="84" t="s">
        <v>660</v>
      </c>
      <c r="C390" s="84" t="s">
        <v>675</v>
      </c>
      <c r="D390" s="84" t="s">
        <v>662</v>
      </c>
      <c r="E390" s="85">
        <v>173.07692307692309</v>
      </c>
    </row>
    <row r="391" spans="1:5" x14ac:dyDescent="0.25">
      <c r="A391" s="84" t="s">
        <v>1047</v>
      </c>
      <c r="B391" s="84" t="s">
        <v>660</v>
      </c>
      <c r="C391" s="84" t="s">
        <v>677</v>
      </c>
      <c r="D391" s="84" t="s">
        <v>662</v>
      </c>
      <c r="E391" s="85">
        <v>115.38461538461539</v>
      </c>
    </row>
    <row r="392" spans="1:5" x14ac:dyDescent="0.25">
      <c r="A392" s="84" t="s">
        <v>1047</v>
      </c>
      <c r="B392" s="84" t="s">
        <v>660</v>
      </c>
      <c r="C392" s="84" t="s">
        <v>1016</v>
      </c>
      <c r="D392" s="84" t="s">
        <v>662</v>
      </c>
      <c r="E392" s="85">
        <v>153.84615384615384</v>
      </c>
    </row>
    <row r="393" spans="1:5" x14ac:dyDescent="0.25">
      <c r="A393" s="84" t="s">
        <v>1047</v>
      </c>
      <c r="B393" s="84" t="s">
        <v>660</v>
      </c>
      <c r="C393" s="84" t="s">
        <v>692</v>
      </c>
      <c r="D393" s="84" t="s">
        <v>662</v>
      </c>
      <c r="E393" s="85">
        <v>700</v>
      </c>
    </row>
    <row r="394" spans="1:5" x14ac:dyDescent="0.25">
      <c r="A394" s="84" t="s">
        <v>1047</v>
      </c>
      <c r="B394" s="84" t="s">
        <v>660</v>
      </c>
      <c r="C394" s="84" t="s">
        <v>1048</v>
      </c>
      <c r="D394" s="84" t="s">
        <v>662</v>
      </c>
      <c r="E394" s="85">
        <v>250</v>
      </c>
    </row>
    <row r="395" spans="1:5" x14ac:dyDescent="0.25">
      <c r="A395" s="84" t="s">
        <v>1047</v>
      </c>
      <c r="B395" s="84" t="s">
        <v>660</v>
      </c>
      <c r="C395" s="84" t="s">
        <v>148</v>
      </c>
      <c r="D395" s="84" t="s">
        <v>662</v>
      </c>
      <c r="E395" s="85">
        <v>500</v>
      </c>
    </row>
    <row r="396" spans="1:5" x14ac:dyDescent="0.25">
      <c r="A396" s="86" t="s">
        <v>766</v>
      </c>
      <c r="B396" s="88" t="s">
        <v>660</v>
      </c>
      <c r="C396" s="86" t="s">
        <v>661</v>
      </c>
      <c r="D396" s="88" t="s">
        <v>662</v>
      </c>
      <c r="E396" s="87">
        <v>2608</v>
      </c>
    </row>
    <row r="397" spans="1:5" x14ac:dyDescent="0.25">
      <c r="A397" s="86" t="s">
        <v>766</v>
      </c>
      <c r="B397" s="88" t="s">
        <v>660</v>
      </c>
      <c r="C397" s="86" t="s">
        <v>665</v>
      </c>
      <c r="D397" s="88" t="s">
        <v>662</v>
      </c>
      <c r="E397" s="87">
        <v>160</v>
      </c>
    </row>
    <row r="398" spans="1:5" x14ac:dyDescent="0.25">
      <c r="A398" s="86" t="s">
        <v>766</v>
      </c>
      <c r="B398" s="88" t="s">
        <v>660</v>
      </c>
      <c r="C398" s="86" t="s">
        <v>668</v>
      </c>
      <c r="D398" s="88" t="s">
        <v>662</v>
      </c>
      <c r="E398" s="87">
        <v>40</v>
      </c>
    </row>
    <row r="399" spans="1:5" x14ac:dyDescent="0.25">
      <c r="A399" s="86" t="s">
        <v>766</v>
      </c>
      <c r="B399" s="88" t="s">
        <v>660</v>
      </c>
      <c r="C399" s="86" t="s">
        <v>84</v>
      </c>
      <c r="D399" s="88" t="s">
        <v>662</v>
      </c>
      <c r="E399" s="87">
        <v>620</v>
      </c>
    </row>
    <row r="400" spans="1:5" x14ac:dyDescent="0.25">
      <c r="A400" s="86" t="s">
        <v>766</v>
      </c>
      <c r="B400" s="88" t="s">
        <v>660</v>
      </c>
      <c r="C400" s="86" t="s">
        <v>672</v>
      </c>
      <c r="D400" s="88" t="s">
        <v>662</v>
      </c>
      <c r="E400" s="87">
        <v>20</v>
      </c>
    </row>
    <row r="401" spans="1:5" x14ac:dyDescent="0.25">
      <c r="A401" s="86" t="s">
        <v>766</v>
      </c>
      <c r="B401" s="88" t="s">
        <v>660</v>
      </c>
      <c r="C401" s="86" t="s">
        <v>675</v>
      </c>
      <c r="D401" s="88" t="s">
        <v>662</v>
      </c>
      <c r="E401" s="87">
        <v>180</v>
      </c>
    </row>
    <row r="402" spans="1:5" x14ac:dyDescent="0.25">
      <c r="A402" s="86" t="s">
        <v>766</v>
      </c>
      <c r="B402" s="88" t="s">
        <v>660</v>
      </c>
      <c r="C402" s="86" t="s">
        <v>677</v>
      </c>
      <c r="D402" s="88" t="s">
        <v>662</v>
      </c>
      <c r="E402" s="87">
        <v>72</v>
      </c>
    </row>
    <row r="403" spans="1:5" x14ac:dyDescent="0.25">
      <c r="A403" s="86" t="s">
        <v>766</v>
      </c>
      <c r="B403" s="88" t="s">
        <v>660</v>
      </c>
      <c r="C403" s="86" t="s">
        <v>993</v>
      </c>
      <c r="D403" s="88" t="s">
        <v>662</v>
      </c>
      <c r="E403" s="87">
        <v>300</v>
      </c>
    </row>
    <row r="404" spans="1:5" x14ac:dyDescent="0.25">
      <c r="A404" s="86" t="s">
        <v>766</v>
      </c>
      <c r="B404" s="88" t="s">
        <v>660</v>
      </c>
      <c r="C404" s="86" t="s">
        <v>1049</v>
      </c>
      <c r="D404" s="88" t="s">
        <v>662</v>
      </c>
      <c r="E404" s="87">
        <v>60</v>
      </c>
    </row>
    <row r="405" spans="1:5" x14ac:dyDescent="0.25">
      <c r="A405" s="84" t="s">
        <v>1050</v>
      </c>
      <c r="B405" s="84" t="s">
        <v>660</v>
      </c>
      <c r="C405" s="84" t="s">
        <v>661</v>
      </c>
      <c r="D405" s="84" t="s">
        <v>662</v>
      </c>
      <c r="E405" s="85">
        <v>2368</v>
      </c>
    </row>
    <row r="406" spans="1:5" x14ac:dyDescent="0.25">
      <c r="A406" s="84" t="s">
        <v>1050</v>
      </c>
      <c r="B406" s="84" t="s">
        <v>660</v>
      </c>
      <c r="C406" s="84" t="s">
        <v>665</v>
      </c>
      <c r="D406" s="84" t="s">
        <v>662</v>
      </c>
      <c r="E406" s="85">
        <v>200</v>
      </c>
    </row>
    <row r="407" spans="1:5" x14ac:dyDescent="0.25">
      <c r="A407" s="84" t="s">
        <v>1050</v>
      </c>
      <c r="B407" s="84" t="s">
        <v>660</v>
      </c>
      <c r="C407" s="84" t="s">
        <v>668</v>
      </c>
      <c r="D407" s="84" t="s">
        <v>662</v>
      </c>
      <c r="E407" s="85">
        <v>40</v>
      </c>
    </row>
    <row r="408" spans="1:5" x14ac:dyDescent="0.25">
      <c r="A408" s="84" t="s">
        <v>1050</v>
      </c>
      <c r="B408" s="84" t="s">
        <v>660</v>
      </c>
      <c r="C408" s="84" t="s">
        <v>84</v>
      </c>
      <c r="D408" s="84" t="s">
        <v>662</v>
      </c>
      <c r="E408" s="85">
        <v>520</v>
      </c>
    </row>
    <row r="409" spans="1:5" x14ac:dyDescent="0.25">
      <c r="A409" s="84" t="s">
        <v>1050</v>
      </c>
      <c r="B409" s="84" t="s">
        <v>660</v>
      </c>
      <c r="C409" s="84" t="s">
        <v>672</v>
      </c>
      <c r="D409" s="84" t="s">
        <v>662</v>
      </c>
      <c r="E409" s="85">
        <v>20</v>
      </c>
    </row>
    <row r="410" spans="1:5" x14ac:dyDescent="0.25">
      <c r="A410" s="84" t="s">
        <v>1050</v>
      </c>
      <c r="B410" s="84" t="s">
        <v>660</v>
      </c>
      <c r="C410" s="84" t="s">
        <v>675</v>
      </c>
      <c r="D410" s="84" t="s">
        <v>662</v>
      </c>
      <c r="E410" s="85">
        <v>180</v>
      </c>
    </row>
    <row r="411" spans="1:5" x14ac:dyDescent="0.25">
      <c r="A411" s="84" t="s">
        <v>1050</v>
      </c>
      <c r="B411" s="84" t="s">
        <v>660</v>
      </c>
      <c r="C411" s="84" t="s">
        <v>677</v>
      </c>
      <c r="D411" s="84" t="s">
        <v>662</v>
      </c>
      <c r="E411" s="85">
        <v>72</v>
      </c>
    </row>
    <row r="412" spans="1:5" x14ac:dyDescent="0.25">
      <c r="A412" s="84" t="s">
        <v>1050</v>
      </c>
      <c r="B412" s="84" t="s">
        <v>660</v>
      </c>
      <c r="C412" s="84" t="s">
        <v>993</v>
      </c>
      <c r="D412" s="84" t="s">
        <v>662</v>
      </c>
      <c r="E412" s="85">
        <v>200</v>
      </c>
    </row>
    <row r="413" spans="1:5" x14ac:dyDescent="0.25">
      <c r="A413" s="84" t="s">
        <v>1050</v>
      </c>
      <c r="B413" s="84" t="s">
        <v>660</v>
      </c>
      <c r="C413" s="84" t="s">
        <v>994</v>
      </c>
      <c r="D413" s="84" t="s">
        <v>662</v>
      </c>
      <c r="E413" s="85">
        <v>400</v>
      </c>
    </row>
    <row r="414" spans="1:5" x14ac:dyDescent="0.25">
      <c r="A414" s="84" t="s">
        <v>1050</v>
      </c>
      <c r="B414" s="84" t="s">
        <v>660</v>
      </c>
      <c r="C414" s="84" t="s">
        <v>692</v>
      </c>
      <c r="D414" s="84" t="s">
        <v>662</v>
      </c>
      <c r="E414" s="85">
        <v>300</v>
      </c>
    </row>
    <row r="415" spans="1:5" x14ac:dyDescent="0.25">
      <c r="A415" s="84" t="s">
        <v>1050</v>
      </c>
      <c r="B415" s="84" t="s">
        <v>660</v>
      </c>
      <c r="C415" s="84" t="s">
        <v>1051</v>
      </c>
      <c r="D415" s="84" t="s">
        <v>662</v>
      </c>
      <c r="E415" s="85">
        <v>80</v>
      </c>
    </row>
    <row r="416" spans="1:5" x14ac:dyDescent="0.25">
      <c r="A416" s="84" t="s">
        <v>1050</v>
      </c>
      <c r="B416" s="84" t="s">
        <v>660</v>
      </c>
      <c r="C416" s="84" t="s">
        <v>687</v>
      </c>
      <c r="D416" s="84" t="s">
        <v>662</v>
      </c>
      <c r="E416" s="85">
        <v>80</v>
      </c>
    </row>
    <row r="417" spans="1:5" x14ac:dyDescent="0.25">
      <c r="A417" s="86" t="s">
        <v>714</v>
      </c>
      <c r="B417" s="88" t="s">
        <v>660</v>
      </c>
      <c r="C417" s="86" t="s">
        <v>661</v>
      </c>
      <c r="D417" s="88" t="s">
        <v>662</v>
      </c>
      <c r="E417" s="87">
        <v>2580</v>
      </c>
    </row>
    <row r="418" spans="1:5" x14ac:dyDescent="0.25">
      <c r="A418" s="86" t="s">
        <v>714</v>
      </c>
      <c r="B418" s="88" t="s">
        <v>660</v>
      </c>
      <c r="C418" s="86" t="s">
        <v>665</v>
      </c>
      <c r="D418" s="88" t="s">
        <v>662</v>
      </c>
      <c r="E418" s="87">
        <v>80</v>
      </c>
    </row>
    <row r="419" spans="1:5" x14ac:dyDescent="0.25">
      <c r="A419" s="86" t="s">
        <v>714</v>
      </c>
      <c r="B419" s="88" t="s">
        <v>660</v>
      </c>
      <c r="C419" s="86" t="s">
        <v>668</v>
      </c>
      <c r="D419" s="88" t="s">
        <v>662</v>
      </c>
      <c r="E419" s="87">
        <v>0</v>
      </c>
    </row>
    <row r="420" spans="1:5" x14ac:dyDescent="0.25">
      <c r="A420" s="86" t="s">
        <v>714</v>
      </c>
      <c r="B420" s="88" t="s">
        <v>660</v>
      </c>
      <c r="C420" s="86" t="s">
        <v>84</v>
      </c>
      <c r="D420" s="88" t="s">
        <v>662</v>
      </c>
      <c r="E420" s="87">
        <v>120</v>
      </c>
    </row>
    <row r="421" spans="1:5" x14ac:dyDescent="0.25">
      <c r="A421" s="86" t="s">
        <v>714</v>
      </c>
      <c r="B421" s="88" t="s">
        <v>660</v>
      </c>
      <c r="C421" s="86" t="s">
        <v>672</v>
      </c>
      <c r="D421" s="88" t="s">
        <v>662</v>
      </c>
      <c r="E421" s="87">
        <v>20</v>
      </c>
    </row>
    <row r="422" spans="1:5" x14ac:dyDescent="0.25">
      <c r="A422" s="86" t="s">
        <v>714</v>
      </c>
      <c r="B422" s="88" t="s">
        <v>660</v>
      </c>
      <c r="C422" s="86" t="s">
        <v>675</v>
      </c>
      <c r="D422" s="88" t="s">
        <v>662</v>
      </c>
      <c r="E422" s="87">
        <v>140</v>
      </c>
    </row>
    <row r="423" spans="1:5" x14ac:dyDescent="0.25">
      <c r="A423" s="86" t="s">
        <v>714</v>
      </c>
      <c r="B423" s="88" t="s">
        <v>660</v>
      </c>
      <c r="C423" s="86" t="s">
        <v>677</v>
      </c>
      <c r="D423" s="88" t="s">
        <v>662</v>
      </c>
      <c r="E423" s="87">
        <v>100</v>
      </c>
    </row>
    <row r="424" spans="1:5" x14ac:dyDescent="0.25">
      <c r="A424" s="86" t="s">
        <v>714</v>
      </c>
      <c r="B424" s="88" t="s">
        <v>660</v>
      </c>
      <c r="C424" s="86" t="s">
        <v>698</v>
      </c>
      <c r="D424" s="88" t="s">
        <v>662</v>
      </c>
      <c r="E424" s="87">
        <v>800</v>
      </c>
    </row>
    <row r="425" spans="1:5" x14ac:dyDescent="0.25">
      <c r="A425" s="86" t="s">
        <v>714</v>
      </c>
      <c r="B425" s="88" t="s">
        <v>660</v>
      </c>
      <c r="C425" s="86" t="s">
        <v>686</v>
      </c>
      <c r="D425" s="88" t="s">
        <v>662</v>
      </c>
      <c r="E425" s="87">
        <v>160</v>
      </c>
    </row>
    <row r="426" spans="1:5" x14ac:dyDescent="0.25">
      <c r="A426" s="84" t="s">
        <v>1052</v>
      </c>
      <c r="B426" s="84" t="s">
        <v>660</v>
      </c>
      <c r="C426" s="84" t="s">
        <v>661</v>
      </c>
      <c r="D426" s="84" t="s">
        <v>662</v>
      </c>
      <c r="E426" s="85">
        <v>2639.4454946439823</v>
      </c>
    </row>
    <row r="427" spans="1:5" x14ac:dyDescent="0.25">
      <c r="A427" s="84" t="s">
        <v>1052</v>
      </c>
      <c r="B427" s="84" t="s">
        <v>660</v>
      </c>
      <c r="C427" s="84" t="s">
        <v>668</v>
      </c>
      <c r="D427" s="84" t="s">
        <v>662</v>
      </c>
      <c r="E427" s="85">
        <v>199.95799201848351</v>
      </c>
    </row>
    <row r="428" spans="1:5" x14ac:dyDescent="0.25">
      <c r="A428" s="84" t="s">
        <v>1052</v>
      </c>
      <c r="B428" s="84" t="s">
        <v>660</v>
      </c>
      <c r="C428" s="84" t="s">
        <v>672</v>
      </c>
      <c r="D428" s="84" t="s">
        <v>662</v>
      </c>
      <c r="E428" s="85">
        <v>19.995799201848349</v>
      </c>
    </row>
    <row r="429" spans="1:5" x14ac:dyDescent="0.25">
      <c r="A429" s="84" t="s">
        <v>1052</v>
      </c>
      <c r="B429" s="84" t="s">
        <v>660</v>
      </c>
      <c r="C429" s="84" t="s">
        <v>675</v>
      </c>
      <c r="D429" s="84" t="s">
        <v>662</v>
      </c>
      <c r="E429" s="85">
        <v>159.9663936147868</v>
      </c>
    </row>
    <row r="430" spans="1:5" x14ac:dyDescent="0.25">
      <c r="A430" s="84" t="s">
        <v>1052</v>
      </c>
      <c r="B430" s="84" t="s">
        <v>660</v>
      </c>
      <c r="C430" s="84" t="s">
        <v>677</v>
      </c>
      <c r="D430" s="84" t="s">
        <v>662</v>
      </c>
      <c r="E430" s="85">
        <v>100.81915563957151</v>
      </c>
    </row>
    <row r="431" spans="1:5" x14ac:dyDescent="0.25">
      <c r="A431" s="84" t="s">
        <v>1052</v>
      </c>
      <c r="B431" s="84" t="s">
        <v>660</v>
      </c>
      <c r="C431" s="84" t="s">
        <v>1052</v>
      </c>
      <c r="D431" s="84" t="s">
        <v>662</v>
      </c>
      <c r="E431" s="85">
        <v>879.81516488132741</v>
      </c>
    </row>
    <row r="432" spans="1:5" x14ac:dyDescent="0.25">
      <c r="A432" s="86" t="s">
        <v>1053</v>
      </c>
      <c r="B432" s="88" t="s">
        <v>660</v>
      </c>
      <c r="C432" s="86" t="s">
        <v>661</v>
      </c>
      <c r="D432" s="88" t="s">
        <v>662</v>
      </c>
      <c r="E432" s="87">
        <v>1319.7227473219912</v>
      </c>
    </row>
    <row r="433" spans="1:5" x14ac:dyDescent="0.25">
      <c r="A433" s="86" t="s">
        <v>1053</v>
      </c>
      <c r="B433" s="88" t="s">
        <v>660</v>
      </c>
      <c r="C433" s="86" t="s">
        <v>668</v>
      </c>
      <c r="D433" s="88" t="s">
        <v>662</v>
      </c>
      <c r="E433" s="87">
        <v>99.978996009241754</v>
      </c>
    </row>
    <row r="434" spans="1:5" x14ac:dyDescent="0.25">
      <c r="A434" s="86" t="s">
        <v>1053</v>
      </c>
      <c r="B434" s="88" t="s">
        <v>660</v>
      </c>
      <c r="C434" s="86" t="s">
        <v>672</v>
      </c>
      <c r="D434" s="88" t="s">
        <v>662</v>
      </c>
      <c r="E434" s="87">
        <v>9.9978996009241747</v>
      </c>
    </row>
    <row r="435" spans="1:5" x14ac:dyDescent="0.25">
      <c r="A435" s="86" t="s">
        <v>1053</v>
      </c>
      <c r="B435" s="88" t="s">
        <v>660</v>
      </c>
      <c r="C435" s="86" t="s">
        <v>675</v>
      </c>
      <c r="D435" s="88" t="s">
        <v>662</v>
      </c>
      <c r="E435" s="87">
        <v>79.983196807393398</v>
      </c>
    </row>
    <row r="436" spans="1:5" x14ac:dyDescent="0.25">
      <c r="A436" s="86" t="s">
        <v>1053</v>
      </c>
      <c r="B436" s="88" t="s">
        <v>660</v>
      </c>
      <c r="C436" s="86" t="s">
        <v>677</v>
      </c>
      <c r="D436" s="88" t="s">
        <v>662</v>
      </c>
      <c r="E436" s="87">
        <v>50.409577819785753</v>
      </c>
    </row>
    <row r="437" spans="1:5" x14ac:dyDescent="0.25">
      <c r="A437" s="86" t="s">
        <v>1053</v>
      </c>
      <c r="B437" s="88" t="s">
        <v>660</v>
      </c>
      <c r="C437" s="86" t="s">
        <v>1052</v>
      </c>
      <c r="D437" s="88" t="s">
        <v>662</v>
      </c>
      <c r="E437" s="87">
        <v>439.9075824406637</v>
      </c>
    </row>
    <row r="438" spans="1:5" x14ac:dyDescent="0.25">
      <c r="A438" s="86" t="s">
        <v>1053</v>
      </c>
      <c r="B438" s="88" t="s">
        <v>660</v>
      </c>
      <c r="C438" s="86" t="s">
        <v>1054</v>
      </c>
      <c r="D438" s="88" t="s">
        <v>662</v>
      </c>
      <c r="E438" s="87">
        <v>300</v>
      </c>
    </row>
    <row r="439" spans="1:5" x14ac:dyDescent="0.25">
      <c r="A439" s="84" t="s">
        <v>1055</v>
      </c>
      <c r="B439" s="84" t="s">
        <v>660</v>
      </c>
      <c r="C439" s="84" t="s">
        <v>661</v>
      </c>
      <c r="D439" s="84" t="s">
        <v>662</v>
      </c>
      <c r="E439" s="85">
        <v>5080</v>
      </c>
    </row>
    <row r="440" spans="1:5" x14ac:dyDescent="0.25">
      <c r="A440" s="84" t="s">
        <v>1055</v>
      </c>
      <c r="B440" s="84" t="s">
        <v>660</v>
      </c>
      <c r="C440" s="84" t="s">
        <v>665</v>
      </c>
      <c r="D440" s="84" t="s">
        <v>662</v>
      </c>
      <c r="E440" s="85">
        <v>320</v>
      </c>
    </row>
    <row r="441" spans="1:5" x14ac:dyDescent="0.25">
      <c r="A441" s="84" t="s">
        <v>1055</v>
      </c>
      <c r="B441" s="84" t="s">
        <v>660</v>
      </c>
      <c r="C441" s="84" t="s">
        <v>668</v>
      </c>
      <c r="D441" s="84" t="s">
        <v>662</v>
      </c>
      <c r="E441" s="85">
        <v>880</v>
      </c>
    </row>
    <row r="442" spans="1:5" x14ac:dyDescent="0.25">
      <c r="A442" s="84" t="s">
        <v>1055</v>
      </c>
      <c r="B442" s="84" t="s">
        <v>660</v>
      </c>
      <c r="C442" s="84" t="s">
        <v>84</v>
      </c>
      <c r="D442" s="84" t="s">
        <v>662</v>
      </c>
      <c r="E442" s="85">
        <v>0</v>
      </c>
    </row>
    <row r="443" spans="1:5" x14ac:dyDescent="0.25">
      <c r="A443" s="84" t="s">
        <v>1055</v>
      </c>
      <c r="B443" s="84" t="s">
        <v>660</v>
      </c>
      <c r="C443" s="84" t="s">
        <v>672</v>
      </c>
      <c r="D443" s="84" t="s">
        <v>662</v>
      </c>
      <c r="E443" s="85">
        <v>40</v>
      </c>
    </row>
    <row r="444" spans="1:5" x14ac:dyDescent="0.25">
      <c r="A444" s="84" t="s">
        <v>1055</v>
      </c>
      <c r="B444" s="84" t="s">
        <v>660</v>
      </c>
      <c r="C444" s="84" t="s">
        <v>675</v>
      </c>
      <c r="D444" s="84" t="s">
        <v>662</v>
      </c>
      <c r="E444" s="85">
        <v>360</v>
      </c>
    </row>
    <row r="445" spans="1:5" x14ac:dyDescent="0.25">
      <c r="A445" s="84" t="s">
        <v>1055</v>
      </c>
      <c r="B445" s="84" t="s">
        <v>660</v>
      </c>
      <c r="C445" s="84" t="s">
        <v>677</v>
      </c>
      <c r="D445" s="84" t="s">
        <v>662</v>
      </c>
      <c r="E445" s="85">
        <v>280</v>
      </c>
    </row>
    <row r="446" spans="1:5" x14ac:dyDescent="0.25">
      <c r="A446" s="84" t="s">
        <v>1055</v>
      </c>
      <c r="B446" s="84" t="s">
        <v>660</v>
      </c>
      <c r="C446" s="84" t="s">
        <v>993</v>
      </c>
      <c r="D446" s="84" t="s">
        <v>662</v>
      </c>
      <c r="E446" s="85">
        <v>400</v>
      </c>
    </row>
    <row r="447" spans="1:5" x14ac:dyDescent="0.25">
      <c r="A447" s="84" t="s">
        <v>1055</v>
      </c>
      <c r="B447" s="84" t="s">
        <v>660</v>
      </c>
      <c r="C447" s="84" t="s">
        <v>1056</v>
      </c>
      <c r="D447" s="84" t="s">
        <v>662</v>
      </c>
      <c r="E447" s="85">
        <v>640</v>
      </c>
    </row>
    <row r="448" spans="1:5" x14ac:dyDescent="0.25">
      <c r="A448" s="86" t="s">
        <v>1057</v>
      </c>
      <c r="B448" s="88" t="s">
        <v>660</v>
      </c>
      <c r="C448" s="86" t="s">
        <v>661</v>
      </c>
      <c r="D448" s="88" t="s">
        <v>662</v>
      </c>
      <c r="E448" s="87">
        <v>2520</v>
      </c>
    </row>
    <row r="449" spans="1:5" x14ac:dyDescent="0.25">
      <c r="A449" s="86" t="s">
        <v>1057</v>
      </c>
      <c r="B449" s="88" t="s">
        <v>660</v>
      </c>
      <c r="C449" s="86" t="s">
        <v>665</v>
      </c>
      <c r="D449" s="88" t="s">
        <v>662</v>
      </c>
      <c r="E449" s="87">
        <v>160</v>
      </c>
    </row>
    <row r="450" spans="1:5" x14ac:dyDescent="0.25">
      <c r="A450" s="86" t="s">
        <v>1057</v>
      </c>
      <c r="B450" s="88" t="s">
        <v>660</v>
      </c>
      <c r="C450" s="86" t="s">
        <v>668</v>
      </c>
      <c r="D450" s="88" t="s">
        <v>662</v>
      </c>
      <c r="E450" s="87">
        <v>0</v>
      </c>
    </row>
    <row r="451" spans="1:5" x14ac:dyDescent="0.25">
      <c r="A451" s="86" t="s">
        <v>1057</v>
      </c>
      <c r="B451" s="88" t="s">
        <v>660</v>
      </c>
      <c r="C451" s="86" t="s">
        <v>84</v>
      </c>
      <c r="D451" s="88" t="s">
        <v>662</v>
      </c>
      <c r="E451" s="87">
        <v>748</v>
      </c>
    </row>
    <row r="452" spans="1:5" x14ac:dyDescent="0.25">
      <c r="A452" s="86" t="s">
        <v>1057</v>
      </c>
      <c r="B452" s="88" t="s">
        <v>660</v>
      </c>
      <c r="C452" s="86" t="s">
        <v>672</v>
      </c>
      <c r="D452" s="88" t="s">
        <v>662</v>
      </c>
      <c r="E452" s="87">
        <v>20</v>
      </c>
    </row>
    <row r="453" spans="1:5" x14ac:dyDescent="0.25">
      <c r="A453" s="86" t="s">
        <v>1057</v>
      </c>
      <c r="B453" s="88" t="s">
        <v>660</v>
      </c>
      <c r="C453" s="86" t="s">
        <v>675</v>
      </c>
      <c r="D453" s="88" t="s">
        <v>662</v>
      </c>
      <c r="E453" s="87">
        <v>180</v>
      </c>
    </row>
    <row r="454" spans="1:5" x14ac:dyDescent="0.25">
      <c r="A454" s="86" t="s">
        <v>1057</v>
      </c>
      <c r="B454" s="88" t="s">
        <v>660</v>
      </c>
      <c r="C454" s="86" t="s">
        <v>677</v>
      </c>
      <c r="D454" s="88" t="s">
        <v>662</v>
      </c>
      <c r="E454" s="87">
        <v>72</v>
      </c>
    </row>
    <row r="455" spans="1:5" x14ac:dyDescent="0.25">
      <c r="A455" s="86" t="s">
        <v>1057</v>
      </c>
      <c r="B455" s="88" t="s">
        <v>660</v>
      </c>
      <c r="C455" s="86" t="s">
        <v>993</v>
      </c>
      <c r="D455" s="88" t="s">
        <v>662</v>
      </c>
      <c r="E455" s="87">
        <v>300</v>
      </c>
    </row>
    <row r="456" spans="1:5" x14ac:dyDescent="0.25">
      <c r="A456" s="86" t="s">
        <v>1057</v>
      </c>
      <c r="B456" s="88" t="s">
        <v>660</v>
      </c>
      <c r="C456" s="86" t="s">
        <v>92</v>
      </c>
      <c r="D456" s="88" t="s">
        <v>662</v>
      </c>
      <c r="E456" s="87">
        <v>300</v>
      </c>
    </row>
    <row r="457" spans="1:5" x14ac:dyDescent="0.25">
      <c r="A457" s="86" t="s">
        <v>1057</v>
      </c>
      <c r="B457" s="88" t="s">
        <v>660</v>
      </c>
      <c r="C457" s="86" t="s">
        <v>103</v>
      </c>
      <c r="D457" s="88" t="s">
        <v>662</v>
      </c>
      <c r="E457" s="87">
        <v>150</v>
      </c>
    </row>
    <row r="458" spans="1:5" x14ac:dyDescent="0.25">
      <c r="A458" s="86" t="s">
        <v>1057</v>
      </c>
      <c r="B458" s="88" t="s">
        <v>660</v>
      </c>
      <c r="C458" s="86" t="s">
        <v>692</v>
      </c>
      <c r="D458" s="88" t="s">
        <v>662</v>
      </c>
      <c r="E458" s="87">
        <v>240</v>
      </c>
    </row>
    <row r="459" spans="1:5" x14ac:dyDescent="0.25">
      <c r="A459" s="86" t="s">
        <v>1057</v>
      </c>
      <c r="B459" s="88" t="s">
        <v>660</v>
      </c>
      <c r="C459" s="86" t="s">
        <v>1058</v>
      </c>
      <c r="D459" s="88" t="s">
        <v>662</v>
      </c>
      <c r="E459" s="87">
        <v>240</v>
      </c>
    </row>
    <row r="460" spans="1:5" x14ac:dyDescent="0.25">
      <c r="A460" s="84" t="s">
        <v>1059</v>
      </c>
      <c r="B460" s="84" t="s">
        <v>660</v>
      </c>
      <c r="C460" s="84" t="s">
        <v>661</v>
      </c>
      <c r="D460" s="84" t="s">
        <v>662</v>
      </c>
      <c r="E460" s="85">
        <v>2520</v>
      </c>
    </row>
    <row r="461" spans="1:5" x14ac:dyDescent="0.25">
      <c r="A461" s="84" t="s">
        <v>1059</v>
      </c>
      <c r="B461" s="84" t="s">
        <v>660</v>
      </c>
      <c r="C461" s="84" t="s">
        <v>665</v>
      </c>
      <c r="D461" s="84" t="s">
        <v>662</v>
      </c>
      <c r="E461" s="85">
        <v>160</v>
      </c>
    </row>
    <row r="462" spans="1:5" x14ac:dyDescent="0.25">
      <c r="A462" s="84" t="s">
        <v>1059</v>
      </c>
      <c r="B462" s="84" t="s">
        <v>660</v>
      </c>
      <c r="C462" s="84" t="s">
        <v>668</v>
      </c>
      <c r="D462" s="84" t="s">
        <v>662</v>
      </c>
      <c r="E462" s="85">
        <v>0</v>
      </c>
    </row>
    <row r="463" spans="1:5" x14ac:dyDescent="0.25">
      <c r="A463" s="84" t="s">
        <v>1059</v>
      </c>
      <c r="B463" s="84" t="s">
        <v>660</v>
      </c>
      <c r="C463" s="84" t="s">
        <v>84</v>
      </c>
      <c r="D463" s="84" t="s">
        <v>662</v>
      </c>
      <c r="E463" s="85">
        <v>748</v>
      </c>
    </row>
    <row r="464" spans="1:5" x14ac:dyDescent="0.25">
      <c r="A464" s="84" t="s">
        <v>1059</v>
      </c>
      <c r="B464" s="84" t="s">
        <v>660</v>
      </c>
      <c r="C464" s="84" t="s">
        <v>672</v>
      </c>
      <c r="D464" s="84" t="s">
        <v>662</v>
      </c>
      <c r="E464" s="85">
        <v>20</v>
      </c>
    </row>
    <row r="465" spans="1:5" x14ac:dyDescent="0.25">
      <c r="A465" s="84" t="s">
        <v>1059</v>
      </c>
      <c r="B465" s="84" t="s">
        <v>660</v>
      </c>
      <c r="C465" s="84" t="s">
        <v>675</v>
      </c>
      <c r="D465" s="84" t="s">
        <v>662</v>
      </c>
      <c r="E465" s="85">
        <v>180</v>
      </c>
    </row>
    <row r="466" spans="1:5" x14ac:dyDescent="0.25">
      <c r="A466" s="84" t="s">
        <v>1059</v>
      </c>
      <c r="B466" s="84" t="s">
        <v>660</v>
      </c>
      <c r="C466" s="84" t="s">
        <v>677</v>
      </c>
      <c r="D466" s="84" t="s">
        <v>662</v>
      </c>
      <c r="E466" s="85">
        <v>72</v>
      </c>
    </row>
    <row r="467" spans="1:5" x14ac:dyDescent="0.25">
      <c r="A467" s="84" t="s">
        <v>1059</v>
      </c>
      <c r="B467" s="84" t="s">
        <v>660</v>
      </c>
      <c r="C467" s="84" t="s">
        <v>993</v>
      </c>
      <c r="D467" s="84" t="s">
        <v>662</v>
      </c>
      <c r="E467" s="85">
        <v>300</v>
      </c>
    </row>
    <row r="468" spans="1:5" x14ac:dyDescent="0.25">
      <c r="A468" s="84" t="s">
        <v>1059</v>
      </c>
      <c r="B468" s="84" t="s">
        <v>660</v>
      </c>
      <c r="C468" s="84" t="s">
        <v>567</v>
      </c>
      <c r="D468" s="84" t="s">
        <v>662</v>
      </c>
      <c r="E468" s="85">
        <v>250</v>
      </c>
    </row>
    <row r="469" spans="1:5" x14ac:dyDescent="0.25">
      <c r="A469" s="84" t="s">
        <v>1059</v>
      </c>
      <c r="B469" s="84" t="s">
        <v>660</v>
      </c>
      <c r="C469" s="84" t="s">
        <v>1060</v>
      </c>
      <c r="D469" s="84" t="s">
        <v>662</v>
      </c>
      <c r="E469" s="85">
        <v>400</v>
      </c>
    </row>
    <row r="470" spans="1:5" x14ac:dyDescent="0.25">
      <c r="A470" s="84" t="s">
        <v>1059</v>
      </c>
      <c r="B470" s="84" t="s">
        <v>660</v>
      </c>
      <c r="C470" s="84" t="s">
        <v>668</v>
      </c>
      <c r="D470" s="84" t="s">
        <v>662</v>
      </c>
      <c r="E470" s="85">
        <v>250</v>
      </c>
    </row>
    <row r="471" spans="1:5" x14ac:dyDescent="0.25">
      <c r="A471" s="86" t="s">
        <v>1061</v>
      </c>
      <c r="B471" s="88" t="s">
        <v>660</v>
      </c>
      <c r="C471" s="86" t="s">
        <v>661</v>
      </c>
      <c r="D471" s="88" t="s">
        <v>662</v>
      </c>
      <c r="E471" s="87">
        <v>3000</v>
      </c>
    </row>
    <row r="472" spans="1:5" x14ac:dyDescent="0.25">
      <c r="A472" s="86" t="s">
        <v>1061</v>
      </c>
      <c r="B472" s="88" t="s">
        <v>660</v>
      </c>
      <c r="C472" s="86" t="s">
        <v>993</v>
      </c>
      <c r="D472" s="88" t="s">
        <v>662</v>
      </c>
      <c r="E472" s="87">
        <v>150</v>
      </c>
    </row>
    <row r="473" spans="1:5" x14ac:dyDescent="0.25">
      <c r="A473" s="86" t="s">
        <v>1061</v>
      </c>
      <c r="B473" s="88" t="s">
        <v>660</v>
      </c>
      <c r="C473" s="86" t="s">
        <v>1062</v>
      </c>
      <c r="D473" s="88" t="s">
        <v>662</v>
      </c>
      <c r="E473" s="87">
        <v>900</v>
      </c>
    </row>
    <row r="474" spans="1:5" x14ac:dyDescent="0.25">
      <c r="A474" s="86" t="s">
        <v>1061</v>
      </c>
      <c r="B474" s="88" t="s">
        <v>660</v>
      </c>
      <c r="C474" s="86" t="s">
        <v>113</v>
      </c>
      <c r="D474" s="88" t="s">
        <v>662</v>
      </c>
      <c r="E474" s="87">
        <v>5</v>
      </c>
    </row>
    <row r="475" spans="1:5" x14ac:dyDescent="0.25">
      <c r="A475" s="86" t="s">
        <v>1061</v>
      </c>
      <c r="B475" s="88" t="s">
        <v>660</v>
      </c>
      <c r="C475" s="86" t="s">
        <v>1063</v>
      </c>
      <c r="D475" s="88" t="s">
        <v>662</v>
      </c>
      <c r="E475" s="87">
        <v>405.5</v>
      </c>
    </row>
    <row r="476" spans="1:5" x14ac:dyDescent="0.25">
      <c r="A476" s="84" t="s">
        <v>1064</v>
      </c>
      <c r="B476" s="84" t="s">
        <v>660</v>
      </c>
      <c r="C476" s="84" t="s">
        <v>661</v>
      </c>
      <c r="D476" s="84" t="s">
        <v>662</v>
      </c>
      <c r="E476" s="85">
        <v>2360</v>
      </c>
    </row>
    <row r="477" spans="1:5" x14ac:dyDescent="0.25">
      <c r="A477" s="84" t="s">
        <v>1064</v>
      </c>
      <c r="B477" s="84" t="s">
        <v>660</v>
      </c>
      <c r="C477" s="84" t="s">
        <v>665</v>
      </c>
      <c r="D477" s="84" t="s">
        <v>662</v>
      </c>
      <c r="E477" s="85">
        <v>240</v>
      </c>
    </row>
    <row r="478" spans="1:5" x14ac:dyDescent="0.25">
      <c r="A478" s="84" t="s">
        <v>1064</v>
      </c>
      <c r="B478" s="84" t="s">
        <v>660</v>
      </c>
      <c r="C478" s="84" t="s">
        <v>668</v>
      </c>
      <c r="D478" s="84" t="s">
        <v>662</v>
      </c>
      <c r="E478" s="85">
        <v>400</v>
      </c>
    </row>
    <row r="479" spans="1:5" x14ac:dyDescent="0.25">
      <c r="A479" s="84" t="s">
        <v>1064</v>
      </c>
      <c r="B479" s="84" t="s">
        <v>660</v>
      </c>
      <c r="C479" s="84" t="s">
        <v>672</v>
      </c>
      <c r="D479" s="84" t="s">
        <v>662</v>
      </c>
      <c r="E479" s="85">
        <v>20</v>
      </c>
    </row>
    <row r="480" spans="1:5" x14ac:dyDescent="0.25">
      <c r="A480" s="84" t="s">
        <v>1064</v>
      </c>
      <c r="B480" s="84" t="s">
        <v>660</v>
      </c>
      <c r="C480" s="84" t="s">
        <v>675</v>
      </c>
      <c r="D480" s="84" t="s">
        <v>662</v>
      </c>
      <c r="E480" s="85">
        <v>180</v>
      </c>
    </row>
    <row r="481" spans="1:5" x14ac:dyDescent="0.25">
      <c r="A481" s="84" t="s">
        <v>1064</v>
      </c>
      <c r="B481" s="84" t="s">
        <v>660</v>
      </c>
      <c r="C481" s="84" t="s">
        <v>677</v>
      </c>
      <c r="D481" s="84" t="s">
        <v>662</v>
      </c>
      <c r="E481" s="85">
        <v>120</v>
      </c>
    </row>
    <row r="482" spans="1:5" x14ac:dyDescent="0.25">
      <c r="A482" s="84" t="s">
        <v>1064</v>
      </c>
      <c r="B482" s="84" t="s">
        <v>660</v>
      </c>
      <c r="C482" s="84" t="s">
        <v>1065</v>
      </c>
      <c r="D482" s="84" t="s">
        <v>662</v>
      </c>
      <c r="E482" s="85">
        <v>320</v>
      </c>
    </row>
    <row r="483" spans="1:5" x14ac:dyDescent="0.25">
      <c r="A483" s="84" t="s">
        <v>1064</v>
      </c>
      <c r="B483" s="84" t="s">
        <v>660</v>
      </c>
      <c r="C483" s="84" t="s">
        <v>993</v>
      </c>
      <c r="D483" s="84" t="s">
        <v>662</v>
      </c>
      <c r="E483" s="85">
        <v>360</v>
      </c>
    </row>
    <row r="484" spans="1:5" x14ac:dyDescent="0.25">
      <c r="A484" s="86" t="s">
        <v>1066</v>
      </c>
      <c r="B484" s="88" t="s">
        <v>660</v>
      </c>
      <c r="C484" s="86" t="s">
        <v>661</v>
      </c>
      <c r="D484" s="88" t="s">
        <v>662</v>
      </c>
      <c r="E484" s="87">
        <v>2460</v>
      </c>
    </row>
    <row r="485" spans="1:5" x14ac:dyDescent="0.25">
      <c r="A485" s="86" t="s">
        <v>1066</v>
      </c>
      <c r="B485" s="88" t="s">
        <v>660</v>
      </c>
      <c r="C485" s="86" t="s">
        <v>665</v>
      </c>
      <c r="D485" s="88" t="s">
        <v>662</v>
      </c>
      <c r="E485" s="87">
        <v>0</v>
      </c>
    </row>
    <row r="486" spans="1:5" x14ac:dyDescent="0.25">
      <c r="A486" s="86" t="s">
        <v>1066</v>
      </c>
      <c r="B486" s="88" t="s">
        <v>660</v>
      </c>
      <c r="C486" s="86" t="s">
        <v>668</v>
      </c>
      <c r="D486" s="88" t="s">
        <v>662</v>
      </c>
      <c r="E486" s="87">
        <v>0</v>
      </c>
    </row>
    <row r="487" spans="1:5" x14ac:dyDescent="0.25">
      <c r="A487" s="86" t="s">
        <v>1066</v>
      </c>
      <c r="B487" s="88" t="s">
        <v>660</v>
      </c>
      <c r="C487" s="86" t="s">
        <v>84</v>
      </c>
      <c r="D487" s="88" t="s">
        <v>662</v>
      </c>
      <c r="E487" s="87">
        <v>240</v>
      </c>
    </row>
    <row r="488" spans="1:5" x14ac:dyDescent="0.25">
      <c r="A488" s="86" t="s">
        <v>1066</v>
      </c>
      <c r="B488" s="88" t="s">
        <v>660</v>
      </c>
      <c r="C488" s="86" t="s">
        <v>672</v>
      </c>
      <c r="D488" s="88" t="s">
        <v>662</v>
      </c>
      <c r="E488" s="87">
        <v>20</v>
      </c>
    </row>
    <row r="489" spans="1:5" x14ac:dyDescent="0.25">
      <c r="A489" s="86" t="s">
        <v>1066</v>
      </c>
      <c r="B489" s="88" t="s">
        <v>660</v>
      </c>
      <c r="C489" s="86" t="s">
        <v>675</v>
      </c>
      <c r="D489" s="88" t="s">
        <v>662</v>
      </c>
      <c r="E489" s="87">
        <v>140</v>
      </c>
    </row>
    <row r="490" spans="1:5" x14ac:dyDescent="0.25">
      <c r="A490" s="86" t="s">
        <v>1066</v>
      </c>
      <c r="B490" s="88" t="s">
        <v>660</v>
      </c>
      <c r="C490" s="86" t="s">
        <v>677</v>
      </c>
      <c r="D490" s="88" t="s">
        <v>662</v>
      </c>
      <c r="E490" s="87">
        <v>100</v>
      </c>
    </row>
    <row r="491" spans="1:5" x14ac:dyDescent="0.25">
      <c r="A491" s="86" t="s">
        <v>1066</v>
      </c>
      <c r="B491" s="88" t="s">
        <v>660</v>
      </c>
      <c r="C491" s="86" t="s">
        <v>698</v>
      </c>
      <c r="D491" s="88" t="s">
        <v>662</v>
      </c>
      <c r="E491" s="87">
        <v>800</v>
      </c>
    </row>
    <row r="492" spans="1:5" x14ac:dyDescent="0.25">
      <c r="A492" s="86" t="s">
        <v>1066</v>
      </c>
      <c r="B492" s="88" t="s">
        <v>660</v>
      </c>
      <c r="C492" s="86" t="s">
        <v>1067</v>
      </c>
      <c r="D492" s="88" t="s">
        <v>662</v>
      </c>
      <c r="E492" s="87">
        <v>240</v>
      </c>
    </row>
    <row r="493" spans="1:5" x14ac:dyDescent="0.25">
      <c r="A493" s="86" t="s">
        <v>1066</v>
      </c>
      <c r="B493" s="88" t="s">
        <v>660</v>
      </c>
      <c r="C493" s="86" t="s">
        <v>1068</v>
      </c>
      <c r="D493" s="88" t="s">
        <v>662</v>
      </c>
      <c r="E493" s="87">
        <v>0</v>
      </c>
    </row>
    <row r="494" spans="1:5" x14ac:dyDescent="0.25">
      <c r="A494" s="84" t="s">
        <v>802</v>
      </c>
      <c r="B494" s="84" t="s">
        <v>660</v>
      </c>
      <c r="C494" s="84" t="s">
        <v>661</v>
      </c>
      <c r="D494" s="84" t="s">
        <v>662</v>
      </c>
      <c r="E494" s="85">
        <v>2657.1428571428573</v>
      </c>
    </row>
    <row r="495" spans="1:5" x14ac:dyDescent="0.25">
      <c r="A495" s="84" t="s">
        <v>802</v>
      </c>
      <c r="B495" s="84" t="s">
        <v>660</v>
      </c>
      <c r="C495" s="84" t="s">
        <v>665</v>
      </c>
      <c r="D495" s="84" t="s">
        <v>662</v>
      </c>
      <c r="E495" s="85">
        <v>285.71428571428572</v>
      </c>
    </row>
    <row r="496" spans="1:5" x14ac:dyDescent="0.25">
      <c r="A496" s="84" t="s">
        <v>802</v>
      </c>
      <c r="B496" s="84" t="s">
        <v>660</v>
      </c>
      <c r="C496" s="84" t="s">
        <v>668</v>
      </c>
      <c r="D496" s="84" t="s">
        <v>662</v>
      </c>
      <c r="E496" s="85">
        <v>410.71428571428572</v>
      </c>
    </row>
    <row r="497" spans="1:5" x14ac:dyDescent="0.25">
      <c r="A497" s="84" t="s">
        <v>802</v>
      </c>
      <c r="B497" s="84" t="s">
        <v>660</v>
      </c>
      <c r="C497" s="84" t="s">
        <v>672</v>
      </c>
      <c r="D497" s="84" t="s">
        <v>662</v>
      </c>
      <c r="E497" s="85">
        <v>17.857142857142858</v>
      </c>
    </row>
    <row r="498" spans="1:5" x14ac:dyDescent="0.25">
      <c r="A498" s="84" t="s">
        <v>802</v>
      </c>
      <c r="B498" s="84" t="s">
        <v>660</v>
      </c>
      <c r="C498" s="84" t="s">
        <v>675</v>
      </c>
      <c r="D498" s="84" t="s">
        <v>662</v>
      </c>
      <c r="E498" s="85">
        <v>92.857142857142861</v>
      </c>
    </row>
    <row r="499" spans="1:5" x14ac:dyDescent="0.25">
      <c r="A499" s="84" t="s">
        <v>802</v>
      </c>
      <c r="B499" s="84" t="s">
        <v>660</v>
      </c>
      <c r="C499" s="84" t="s">
        <v>677</v>
      </c>
      <c r="D499" s="84" t="s">
        <v>662</v>
      </c>
      <c r="E499" s="85">
        <v>107.14285714285715</v>
      </c>
    </row>
    <row r="500" spans="1:5" x14ac:dyDescent="0.25">
      <c r="A500" s="84" t="s">
        <v>802</v>
      </c>
      <c r="B500" s="84" t="s">
        <v>660</v>
      </c>
      <c r="C500" s="84" t="s">
        <v>1069</v>
      </c>
      <c r="D500" s="84" t="s">
        <v>662</v>
      </c>
      <c r="E500" s="85">
        <v>428.57142857142861</v>
      </c>
    </row>
    <row r="501" spans="1:5" x14ac:dyDescent="0.25">
      <c r="A501" s="84" t="s">
        <v>802</v>
      </c>
      <c r="B501" s="84" t="s">
        <v>660</v>
      </c>
      <c r="C501" s="84" t="s">
        <v>692</v>
      </c>
      <c r="D501" s="84" t="s">
        <v>662</v>
      </c>
      <c r="E501" s="85">
        <v>250</v>
      </c>
    </row>
    <row r="502" spans="1:5" x14ac:dyDescent="0.25">
      <c r="A502" s="84" t="s">
        <v>802</v>
      </c>
      <c r="B502" s="84" t="s">
        <v>660</v>
      </c>
      <c r="C502" s="84" t="s">
        <v>1004</v>
      </c>
      <c r="D502" s="84" t="s">
        <v>662</v>
      </c>
      <c r="E502" s="85">
        <v>500</v>
      </c>
    </row>
    <row r="503" spans="1:5" x14ac:dyDescent="0.25">
      <c r="A503" s="84" t="s">
        <v>802</v>
      </c>
      <c r="B503" s="84" t="s">
        <v>660</v>
      </c>
      <c r="C503" s="84" t="s">
        <v>802</v>
      </c>
      <c r="D503" s="84" t="s">
        <v>662</v>
      </c>
      <c r="E503" s="85">
        <v>250</v>
      </c>
    </row>
    <row r="504" spans="1:5" x14ac:dyDescent="0.25">
      <c r="A504" s="86" t="s">
        <v>1070</v>
      </c>
      <c r="B504" s="88" t="s">
        <v>660</v>
      </c>
      <c r="C504" s="86" t="s">
        <v>661</v>
      </c>
      <c r="D504" s="88" t="s">
        <v>662</v>
      </c>
      <c r="E504" s="87">
        <v>2719.2118226600987</v>
      </c>
    </row>
    <row r="505" spans="1:5" x14ac:dyDescent="0.25">
      <c r="A505" s="86" t="s">
        <v>1070</v>
      </c>
      <c r="B505" s="88" t="s">
        <v>660</v>
      </c>
      <c r="C505" s="86" t="s">
        <v>665</v>
      </c>
      <c r="D505" s="88" t="s">
        <v>662</v>
      </c>
      <c r="E505" s="87">
        <v>315.27093596059115</v>
      </c>
    </row>
    <row r="506" spans="1:5" x14ac:dyDescent="0.25">
      <c r="A506" s="86" t="s">
        <v>1070</v>
      </c>
      <c r="B506" s="88" t="s">
        <v>660</v>
      </c>
      <c r="C506" s="86" t="s">
        <v>668</v>
      </c>
      <c r="D506" s="88" t="s">
        <v>662</v>
      </c>
      <c r="E506" s="87">
        <v>472.90640394088672</v>
      </c>
    </row>
    <row r="507" spans="1:5" x14ac:dyDescent="0.25">
      <c r="A507" s="86" t="s">
        <v>1070</v>
      </c>
      <c r="B507" s="88" t="s">
        <v>660</v>
      </c>
      <c r="C507" s="86" t="s">
        <v>84</v>
      </c>
      <c r="D507" s="88" t="s">
        <v>662</v>
      </c>
      <c r="E507" s="87">
        <v>118.22660098522168</v>
      </c>
    </row>
    <row r="508" spans="1:5" x14ac:dyDescent="0.25">
      <c r="A508" s="86" t="s">
        <v>1070</v>
      </c>
      <c r="B508" s="88" t="s">
        <v>660</v>
      </c>
      <c r="C508" s="86" t="s">
        <v>672</v>
      </c>
      <c r="D508" s="88" t="s">
        <v>662</v>
      </c>
      <c r="E508" s="87">
        <v>19.704433497536947</v>
      </c>
    </row>
    <row r="509" spans="1:5" x14ac:dyDescent="0.25">
      <c r="A509" s="86" t="s">
        <v>1070</v>
      </c>
      <c r="B509" s="88" t="s">
        <v>660</v>
      </c>
      <c r="C509" s="86" t="s">
        <v>675</v>
      </c>
      <c r="D509" s="88" t="s">
        <v>662</v>
      </c>
      <c r="E509" s="87">
        <v>177.33990147783251</v>
      </c>
    </row>
    <row r="510" spans="1:5" x14ac:dyDescent="0.25">
      <c r="A510" s="86" t="s">
        <v>1070</v>
      </c>
      <c r="B510" s="88" t="s">
        <v>660</v>
      </c>
      <c r="C510" s="86" t="s">
        <v>677</v>
      </c>
      <c r="D510" s="88" t="s">
        <v>662</v>
      </c>
      <c r="E510" s="87">
        <v>118.22660098522168</v>
      </c>
    </row>
    <row r="511" spans="1:5" x14ac:dyDescent="0.25">
      <c r="A511" s="86" t="s">
        <v>1070</v>
      </c>
      <c r="B511" s="88" t="s">
        <v>660</v>
      </c>
      <c r="C511" s="86" t="s">
        <v>1035</v>
      </c>
      <c r="D511" s="88" t="s">
        <v>662</v>
      </c>
      <c r="E511" s="87">
        <v>59.11330049261084</v>
      </c>
    </row>
    <row r="512" spans="1:5" x14ac:dyDescent="0.25">
      <c r="A512" s="86" t="s">
        <v>1070</v>
      </c>
      <c r="B512" s="88" t="s">
        <v>660</v>
      </c>
      <c r="C512" s="86" t="s">
        <v>148</v>
      </c>
      <c r="D512" s="88" t="s">
        <v>662</v>
      </c>
      <c r="E512" s="87">
        <v>480</v>
      </c>
    </row>
    <row r="513" spans="1:5" x14ac:dyDescent="0.25">
      <c r="A513" s="84" t="s">
        <v>1071</v>
      </c>
      <c r="B513" s="84" t="s">
        <v>660</v>
      </c>
      <c r="C513" s="84" t="s">
        <v>661</v>
      </c>
      <c r="D513" s="84" t="s">
        <v>662</v>
      </c>
      <c r="E513" s="85">
        <v>1475.3892802589883</v>
      </c>
    </row>
    <row r="514" spans="1:5" x14ac:dyDescent="0.25">
      <c r="A514" s="84" t="s">
        <v>1071</v>
      </c>
      <c r="B514" s="84" t="s">
        <v>660</v>
      </c>
      <c r="C514" s="84" t="s">
        <v>106</v>
      </c>
      <c r="D514" s="84" t="s">
        <v>662</v>
      </c>
      <c r="E514" s="85">
        <v>1302.5579645715068</v>
      </c>
    </row>
    <row r="515" spans="1:5" x14ac:dyDescent="0.25">
      <c r="A515" s="84" t="s">
        <v>1071</v>
      </c>
      <c r="B515" s="84" t="s">
        <v>660</v>
      </c>
      <c r="C515" s="84" t="s">
        <v>665</v>
      </c>
      <c r="D515" s="84" t="s">
        <v>662</v>
      </c>
      <c r="E515" s="85">
        <v>196.06502063242368</v>
      </c>
    </row>
    <row r="516" spans="1:5" x14ac:dyDescent="0.25">
      <c r="A516" s="84" t="s">
        <v>1071</v>
      </c>
      <c r="B516" s="84" t="s">
        <v>660</v>
      </c>
      <c r="C516" s="84" t="s">
        <v>668</v>
      </c>
      <c r="D516" s="84" t="s">
        <v>662</v>
      </c>
      <c r="E516" s="85">
        <v>311.9394478261861</v>
      </c>
    </row>
    <row r="517" spans="1:5" x14ac:dyDescent="0.25">
      <c r="A517" s="84" t="s">
        <v>1071</v>
      </c>
      <c r="B517" s="84" t="s">
        <v>660</v>
      </c>
      <c r="C517" s="84" t="s">
        <v>84</v>
      </c>
      <c r="D517" s="84" t="s">
        <v>662</v>
      </c>
      <c r="E517" s="85">
        <v>421.53979435971092</v>
      </c>
    </row>
    <row r="518" spans="1:5" x14ac:dyDescent="0.25">
      <c r="A518" s="84" t="s">
        <v>1071</v>
      </c>
      <c r="B518" s="84" t="s">
        <v>660</v>
      </c>
      <c r="C518" s="84" t="s">
        <v>672</v>
      </c>
      <c r="D518" s="84" t="s">
        <v>662</v>
      </c>
      <c r="E518" s="85">
        <v>19.60650206324237</v>
      </c>
    </row>
    <row r="519" spans="1:5" x14ac:dyDescent="0.25">
      <c r="A519" s="84" t="s">
        <v>1071</v>
      </c>
      <c r="B519" s="84" t="s">
        <v>660</v>
      </c>
      <c r="C519" s="84" t="s">
        <v>675</v>
      </c>
      <c r="D519" s="84" t="s">
        <v>662</v>
      </c>
      <c r="E519" s="85">
        <v>160.7733169185874</v>
      </c>
    </row>
    <row r="520" spans="1:5" x14ac:dyDescent="0.25">
      <c r="A520" s="84" t="s">
        <v>1071</v>
      </c>
      <c r="B520" s="84" t="s">
        <v>660</v>
      </c>
      <c r="C520" s="84" t="s">
        <v>677</v>
      </c>
      <c r="D520" s="84" t="s">
        <v>662</v>
      </c>
      <c r="E520" s="85">
        <v>118.03114242071905</v>
      </c>
    </row>
    <row r="521" spans="1:5" x14ac:dyDescent="0.25">
      <c r="A521" s="84" t="s">
        <v>1071</v>
      </c>
      <c r="B521" s="84" t="s">
        <v>660</v>
      </c>
      <c r="C521" s="84" t="s">
        <v>1023</v>
      </c>
      <c r="D521" s="84" t="s">
        <v>662</v>
      </c>
      <c r="E521" s="85">
        <v>294.09753094863549</v>
      </c>
    </row>
    <row r="522" spans="1:5" x14ac:dyDescent="0.25">
      <c r="A522" s="86" t="s">
        <v>1072</v>
      </c>
      <c r="B522" s="88" t="s">
        <v>660</v>
      </c>
      <c r="C522" s="86" t="s">
        <v>661</v>
      </c>
      <c r="D522" s="88" t="s">
        <v>662</v>
      </c>
      <c r="E522" s="87">
        <v>1372.4551444269657</v>
      </c>
    </row>
    <row r="523" spans="1:5" x14ac:dyDescent="0.25">
      <c r="A523" s="86" t="s">
        <v>1072</v>
      </c>
      <c r="B523" s="88" t="s">
        <v>660</v>
      </c>
      <c r="C523" s="86" t="s">
        <v>106</v>
      </c>
      <c r="D523" s="88" t="s">
        <v>662</v>
      </c>
      <c r="E523" s="87">
        <v>1211.6818275083783</v>
      </c>
    </row>
    <row r="524" spans="1:5" x14ac:dyDescent="0.25">
      <c r="A524" s="86" t="s">
        <v>1072</v>
      </c>
      <c r="B524" s="88" t="s">
        <v>660</v>
      </c>
      <c r="C524" s="86" t="s">
        <v>665</v>
      </c>
      <c r="D524" s="88" t="s">
        <v>662</v>
      </c>
      <c r="E524" s="87">
        <v>182.38606570458015</v>
      </c>
    </row>
    <row r="525" spans="1:5" x14ac:dyDescent="0.25">
      <c r="A525" s="86" t="s">
        <v>1072</v>
      </c>
      <c r="B525" s="88" t="s">
        <v>660</v>
      </c>
      <c r="C525" s="86" t="s">
        <v>668</v>
      </c>
      <c r="D525" s="88" t="s">
        <v>662</v>
      </c>
      <c r="E525" s="87">
        <v>290.17623053598703</v>
      </c>
    </row>
    <row r="526" spans="1:5" x14ac:dyDescent="0.25">
      <c r="A526" s="86" t="s">
        <v>1072</v>
      </c>
      <c r="B526" s="88" t="s">
        <v>660</v>
      </c>
      <c r="C526" s="86" t="s">
        <v>84</v>
      </c>
      <c r="D526" s="88" t="s">
        <v>662</v>
      </c>
      <c r="E526" s="87">
        <v>392.13004126484736</v>
      </c>
    </row>
    <row r="527" spans="1:5" x14ac:dyDescent="0.25">
      <c r="A527" s="86" t="s">
        <v>1072</v>
      </c>
      <c r="B527" s="88" t="s">
        <v>660</v>
      </c>
      <c r="C527" s="86" t="s">
        <v>672</v>
      </c>
      <c r="D527" s="88" t="s">
        <v>662</v>
      </c>
      <c r="E527" s="87">
        <v>18.238606570458018</v>
      </c>
    </row>
    <row r="528" spans="1:5" x14ac:dyDescent="0.25">
      <c r="A528" s="86" t="s">
        <v>1072</v>
      </c>
      <c r="B528" s="88" t="s">
        <v>660</v>
      </c>
      <c r="C528" s="86" t="s">
        <v>675</v>
      </c>
      <c r="D528" s="88" t="s">
        <v>662</v>
      </c>
      <c r="E528" s="87">
        <v>149.55657387775574</v>
      </c>
    </row>
    <row r="529" spans="1:5" x14ac:dyDescent="0.25">
      <c r="A529" s="86" t="s">
        <v>1072</v>
      </c>
      <c r="B529" s="88" t="s">
        <v>660</v>
      </c>
      <c r="C529" s="86" t="s">
        <v>677</v>
      </c>
      <c r="D529" s="88" t="s">
        <v>662</v>
      </c>
      <c r="E529" s="87">
        <v>109.79641155415726</v>
      </c>
    </row>
    <row r="530" spans="1:5" x14ac:dyDescent="0.25">
      <c r="A530" s="86" t="s">
        <v>1072</v>
      </c>
      <c r="B530" s="88" t="s">
        <v>660</v>
      </c>
      <c r="C530" s="86" t="s">
        <v>1023</v>
      </c>
      <c r="D530" s="88" t="s">
        <v>662</v>
      </c>
      <c r="E530" s="87">
        <v>273.57909855687024</v>
      </c>
    </row>
    <row r="531" spans="1:5" x14ac:dyDescent="0.25">
      <c r="A531" s="86" t="s">
        <v>1072</v>
      </c>
      <c r="B531" s="88" t="s">
        <v>660</v>
      </c>
      <c r="C531" s="86" t="s">
        <v>1073</v>
      </c>
      <c r="D531" s="88" t="s">
        <v>662</v>
      </c>
      <c r="E531" s="87">
        <v>400</v>
      </c>
    </row>
    <row r="532" spans="1:5" x14ac:dyDescent="0.25">
      <c r="A532" s="86" t="s">
        <v>1072</v>
      </c>
      <c r="B532" s="88" t="s">
        <v>660</v>
      </c>
      <c r="C532" s="86" t="s">
        <v>696</v>
      </c>
      <c r="D532" s="88" t="s">
        <v>662</v>
      </c>
      <c r="E532" s="87">
        <v>500</v>
      </c>
    </row>
    <row r="533" spans="1:5" x14ac:dyDescent="0.25">
      <c r="A533" s="84" t="s">
        <v>1074</v>
      </c>
      <c r="B533" s="84" t="s">
        <v>660</v>
      </c>
      <c r="C533" s="84" t="s">
        <v>1075</v>
      </c>
      <c r="D533" s="84" t="s">
        <v>662</v>
      </c>
      <c r="E533" s="85">
        <v>2500</v>
      </c>
    </row>
    <row r="534" spans="1:5" x14ac:dyDescent="0.25">
      <c r="A534" s="84" t="s">
        <v>1074</v>
      </c>
      <c r="B534" s="84" t="s">
        <v>660</v>
      </c>
      <c r="C534" s="84" t="s">
        <v>1076</v>
      </c>
      <c r="D534" s="84" t="s">
        <v>662</v>
      </c>
      <c r="E534" s="85">
        <v>900</v>
      </c>
    </row>
    <row r="535" spans="1:5" x14ac:dyDescent="0.25">
      <c r="A535" s="84" t="s">
        <v>1074</v>
      </c>
      <c r="B535" s="84" t="s">
        <v>660</v>
      </c>
      <c r="C535" s="84" t="s">
        <v>1023</v>
      </c>
      <c r="D535" s="84" t="s">
        <v>662</v>
      </c>
      <c r="E535" s="85">
        <v>300</v>
      </c>
    </row>
    <row r="536" spans="1:5" x14ac:dyDescent="0.25">
      <c r="A536" s="84" t="s">
        <v>1074</v>
      </c>
      <c r="B536" s="84" t="s">
        <v>660</v>
      </c>
      <c r="C536" s="84" t="s">
        <v>106</v>
      </c>
      <c r="D536" s="84" t="s">
        <v>662</v>
      </c>
      <c r="E536" s="85">
        <v>500</v>
      </c>
    </row>
    <row r="537" spans="1:5" x14ac:dyDescent="0.25">
      <c r="A537" s="86" t="s">
        <v>1077</v>
      </c>
      <c r="B537" s="88" t="s">
        <v>660</v>
      </c>
      <c r="C537" s="86" t="s">
        <v>661</v>
      </c>
      <c r="D537" s="88" t="s">
        <v>662</v>
      </c>
      <c r="E537" s="87">
        <v>690</v>
      </c>
    </row>
    <row r="538" spans="1:5" x14ac:dyDescent="0.25">
      <c r="A538" s="86" t="s">
        <v>1077</v>
      </c>
      <c r="B538" s="88" t="s">
        <v>660</v>
      </c>
      <c r="C538" s="86" t="s">
        <v>665</v>
      </c>
      <c r="D538" s="88" t="s">
        <v>662</v>
      </c>
      <c r="E538" s="87">
        <v>80</v>
      </c>
    </row>
    <row r="539" spans="1:5" x14ac:dyDescent="0.25">
      <c r="A539" s="86" t="s">
        <v>1077</v>
      </c>
      <c r="B539" s="88" t="s">
        <v>660</v>
      </c>
      <c r="C539" s="86" t="s">
        <v>668</v>
      </c>
      <c r="D539" s="88" t="s">
        <v>662</v>
      </c>
      <c r="E539" s="87">
        <v>120</v>
      </c>
    </row>
    <row r="540" spans="1:5" x14ac:dyDescent="0.25">
      <c r="A540" s="86" t="s">
        <v>1077</v>
      </c>
      <c r="B540" s="88" t="s">
        <v>660</v>
      </c>
      <c r="C540" s="86" t="s">
        <v>84</v>
      </c>
      <c r="D540" s="88" t="s">
        <v>662</v>
      </c>
      <c r="E540" s="87">
        <v>30</v>
      </c>
    </row>
    <row r="541" spans="1:5" x14ac:dyDescent="0.25">
      <c r="A541" s="86" t="s">
        <v>1077</v>
      </c>
      <c r="B541" s="88" t="s">
        <v>660</v>
      </c>
      <c r="C541" s="86" t="s">
        <v>672</v>
      </c>
      <c r="D541" s="88" t="s">
        <v>662</v>
      </c>
      <c r="E541" s="87">
        <v>5</v>
      </c>
    </row>
    <row r="542" spans="1:5" x14ac:dyDescent="0.25">
      <c r="A542" s="86" t="s">
        <v>1077</v>
      </c>
      <c r="B542" s="88" t="s">
        <v>660</v>
      </c>
      <c r="C542" s="86" t="s">
        <v>675</v>
      </c>
      <c r="D542" s="88" t="s">
        <v>662</v>
      </c>
      <c r="E542" s="87">
        <v>45</v>
      </c>
    </row>
    <row r="543" spans="1:5" x14ac:dyDescent="0.25">
      <c r="A543" s="86" t="s">
        <v>1077</v>
      </c>
      <c r="B543" s="88" t="s">
        <v>660</v>
      </c>
      <c r="C543" s="86" t="s">
        <v>677</v>
      </c>
      <c r="D543" s="88" t="s">
        <v>662</v>
      </c>
      <c r="E543" s="87">
        <v>30</v>
      </c>
    </row>
    <row r="544" spans="1:5" x14ac:dyDescent="0.25">
      <c r="A544" s="86" t="s">
        <v>1077</v>
      </c>
      <c r="B544" s="88" t="s">
        <v>660</v>
      </c>
      <c r="C544" s="86" t="s">
        <v>692</v>
      </c>
      <c r="D544" s="88" t="s">
        <v>662</v>
      </c>
      <c r="E544" s="87">
        <v>100</v>
      </c>
    </row>
    <row r="545" spans="1:5" x14ac:dyDescent="0.25">
      <c r="A545" s="84" t="s">
        <v>1078</v>
      </c>
      <c r="B545" s="84" t="s">
        <v>660</v>
      </c>
      <c r="C545" s="84" t="s">
        <v>661</v>
      </c>
      <c r="D545" s="84" t="s">
        <v>662</v>
      </c>
      <c r="E545" s="85">
        <v>2760</v>
      </c>
    </row>
    <row r="546" spans="1:5" x14ac:dyDescent="0.25">
      <c r="A546" s="84" t="s">
        <v>1078</v>
      </c>
      <c r="B546" s="84" t="s">
        <v>660</v>
      </c>
      <c r="C546" s="84" t="s">
        <v>665</v>
      </c>
      <c r="D546" s="84" t="s">
        <v>662</v>
      </c>
      <c r="E546" s="85">
        <v>320</v>
      </c>
    </row>
    <row r="547" spans="1:5" x14ac:dyDescent="0.25">
      <c r="A547" s="84" t="s">
        <v>1078</v>
      </c>
      <c r="B547" s="84" t="s">
        <v>660</v>
      </c>
      <c r="C547" s="84" t="s">
        <v>668</v>
      </c>
      <c r="D547" s="84" t="s">
        <v>662</v>
      </c>
      <c r="E547" s="85">
        <v>480</v>
      </c>
    </row>
    <row r="548" spans="1:5" x14ac:dyDescent="0.25">
      <c r="A548" s="84" t="s">
        <v>1078</v>
      </c>
      <c r="B548" s="84" t="s">
        <v>660</v>
      </c>
      <c r="C548" s="84" t="s">
        <v>84</v>
      </c>
      <c r="D548" s="84" t="s">
        <v>662</v>
      </c>
      <c r="E548" s="85">
        <v>120</v>
      </c>
    </row>
    <row r="549" spans="1:5" x14ac:dyDescent="0.25">
      <c r="A549" s="84" t="s">
        <v>1078</v>
      </c>
      <c r="B549" s="84" t="s">
        <v>660</v>
      </c>
      <c r="C549" s="84" t="s">
        <v>672</v>
      </c>
      <c r="D549" s="84" t="s">
        <v>662</v>
      </c>
      <c r="E549" s="85">
        <v>20</v>
      </c>
    </row>
    <row r="550" spans="1:5" x14ac:dyDescent="0.25">
      <c r="A550" s="84" t="s">
        <v>1078</v>
      </c>
      <c r="B550" s="84" t="s">
        <v>660</v>
      </c>
      <c r="C550" s="84" t="s">
        <v>675</v>
      </c>
      <c r="D550" s="84" t="s">
        <v>662</v>
      </c>
      <c r="E550" s="85">
        <v>180</v>
      </c>
    </row>
    <row r="551" spans="1:5" x14ac:dyDescent="0.25">
      <c r="A551" s="84" t="s">
        <v>1078</v>
      </c>
      <c r="B551" s="84" t="s">
        <v>660</v>
      </c>
      <c r="C551" s="84" t="s">
        <v>677</v>
      </c>
      <c r="D551" s="84" t="s">
        <v>662</v>
      </c>
      <c r="E551" s="85">
        <v>120</v>
      </c>
    </row>
    <row r="552" spans="1:5" x14ac:dyDescent="0.25">
      <c r="A552" s="84" t="s">
        <v>1078</v>
      </c>
      <c r="B552" s="84" t="s">
        <v>660</v>
      </c>
      <c r="C552" s="84" t="s">
        <v>1079</v>
      </c>
      <c r="D552" s="84" t="s">
        <v>662</v>
      </c>
      <c r="E552" s="85">
        <v>400</v>
      </c>
    </row>
    <row r="553" spans="1:5" x14ac:dyDescent="0.25">
      <c r="A553" s="84" t="s">
        <v>1078</v>
      </c>
      <c r="B553" s="84" t="s">
        <v>660</v>
      </c>
      <c r="C553" s="84" t="s">
        <v>684</v>
      </c>
      <c r="D553" s="84" t="s">
        <v>662</v>
      </c>
      <c r="E553" s="85">
        <v>100</v>
      </c>
    </row>
    <row r="554" spans="1:5" x14ac:dyDescent="0.25">
      <c r="A554" s="86" t="s">
        <v>892</v>
      </c>
      <c r="B554" s="88" t="s">
        <v>660</v>
      </c>
      <c r="C554" s="86" t="s">
        <v>661</v>
      </c>
      <c r="D554" s="88" t="s">
        <v>662</v>
      </c>
      <c r="E554" s="87">
        <v>2611.1111111111113</v>
      </c>
    </row>
    <row r="555" spans="1:5" x14ac:dyDescent="0.25">
      <c r="A555" s="86" t="s">
        <v>892</v>
      </c>
      <c r="B555" s="88" t="s">
        <v>660</v>
      </c>
      <c r="C555" s="86" t="s">
        <v>665</v>
      </c>
      <c r="D555" s="88" t="s">
        <v>662</v>
      </c>
      <c r="E555" s="87">
        <v>296.2962962962963</v>
      </c>
    </row>
    <row r="556" spans="1:5" x14ac:dyDescent="0.25">
      <c r="A556" s="86" t="s">
        <v>892</v>
      </c>
      <c r="B556" s="88" t="s">
        <v>660</v>
      </c>
      <c r="C556" s="86" t="s">
        <v>668</v>
      </c>
      <c r="D556" s="88" t="s">
        <v>662</v>
      </c>
      <c r="E556" s="87">
        <v>444.44444444444446</v>
      </c>
    </row>
    <row r="557" spans="1:5" x14ac:dyDescent="0.25">
      <c r="A557" s="86" t="s">
        <v>892</v>
      </c>
      <c r="B557" s="88" t="s">
        <v>660</v>
      </c>
      <c r="C557" s="86" t="s">
        <v>84</v>
      </c>
      <c r="D557" s="88" t="s">
        <v>662</v>
      </c>
      <c r="E557" s="87">
        <v>55.555555555555557</v>
      </c>
    </row>
    <row r="558" spans="1:5" x14ac:dyDescent="0.25">
      <c r="A558" s="86" t="s">
        <v>892</v>
      </c>
      <c r="B558" s="88" t="s">
        <v>660</v>
      </c>
      <c r="C558" s="86" t="s">
        <v>672</v>
      </c>
      <c r="D558" s="88" t="s">
        <v>662</v>
      </c>
      <c r="E558" s="87">
        <v>18.518518518518519</v>
      </c>
    </row>
    <row r="559" spans="1:5" x14ac:dyDescent="0.25">
      <c r="A559" s="86" t="s">
        <v>892</v>
      </c>
      <c r="B559" s="88" t="s">
        <v>660</v>
      </c>
      <c r="C559" s="86" t="s">
        <v>675</v>
      </c>
      <c r="D559" s="88" t="s">
        <v>662</v>
      </c>
      <c r="E559" s="87">
        <v>166.66666666666666</v>
      </c>
    </row>
    <row r="560" spans="1:5" x14ac:dyDescent="0.25">
      <c r="A560" s="86" t="s">
        <v>892</v>
      </c>
      <c r="B560" s="88" t="s">
        <v>660</v>
      </c>
      <c r="C560" s="86" t="s">
        <v>677</v>
      </c>
      <c r="D560" s="88" t="s">
        <v>662</v>
      </c>
      <c r="E560" s="87">
        <v>111.11111111111111</v>
      </c>
    </row>
    <row r="561" spans="1:5" x14ac:dyDescent="0.25">
      <c r="A561" s="86" t="s">
        <v>892</v>
      </c>
      <c r="B561" s="88" t="s">
        <v>660</v>
      </c>
      <c r="C561" s="86" t="s">
        <v>1080</v>
      </c>
      <c r="D561" s="88" t="s">
        <v>662</v>
      </c>
      <c r="E561" s="87">
        <v>111.11111111111111</v>
      </c>
    </row>
    <row r="562" spans="1:5" x14ac:dyDescent="0.25">
      <c r="A562" s="86" t="s">
        <v>892</v>
      </c>
      <c r="B562" s="88" t="s">
        <v>660</v>
      </c>
      <c r="C562" s="86" t="s">
        <v>700</v>
      </c>
      <c r="D562" s="88" t="s">
        <v>662</v>
      </c>
      <c r="E562" s="87">
        <v>185.18518518518519</v>
      </c>
    </row>
    <row r="563" spans="1:5" x14ac:dyDescent="0.25">
      <c r="A563" s="84" t="s">
        <v>1081</v>
      </c>
      <c r="B563" s="84" t="s">
        <v>660</v>
      </c>
      <c r="C563" s="84" t="s">
        <v>661</v>
      </c>
      <c r="D563" s="84" t="s">
        <v>662</v>
      </c>
      <c r="E563" s="85">
        <v>3075</v>
      </c>
    </row>
    <row r="564" spans="1:5" x14ac:dyDescent="0.25">
      <c r="A564" s="84" t="s">
        <v>1081</v>
      </c>
      <c r="B564" s="84" t="s">
        <v>660</v>
      </c>
      <c r="C564" s="84" t="s">
        <v>665</v>
      </c>
      <c r="D564" s="84" t="s">
        <v>662</v>
      </c>
      <c r="E564" s="85">
        <v>100</v>
      </c>
    </row>
    <row r="565" spans="1:5" x14ac:dyDescent="0.25">
      <c r="A565" s="84" t="s">
        <v>1081</v>
      </c>
      <c r="B565" s="84" t="s">
        <v>660</v>
      </c>
      <c r="C565" s="84" t="s">
        <v>668</v>
      </c>
      <c r="D565" s="84" t="s">
        <v>662</v>
      </c>
      <c r="E565" s="85">
        <v>0</v>
      </c>
    </row>
    <row r="566" spans="1:5" x14ac:dyDescent="0.25">
      <c r="A566" s="84" t="s">
        <v>1081</v>
      </c>
      <c r="B566" s="84" t="s">
        <v>660</v>
      </c>
      <c r="C566" s="84" t="s">
        <v>84</v>
      </c>
      <c r="D566" s="84" t="s">
        <v>662</v>
      </c>
      <c r="E566" s="85">
        <v>300</v>
      </c>
    </row>
    <row r="567" spans="1:5" x14ac:dyDescent="0.25">
      <c r="A567" s="84" t="s">
        <v>1081</v>
      </c>
      <c r="B567" s="84" t="s">
        <v>660</v>
      </c>
      <c r="C567" s="84" t="s">
        <v>672</v>
      </c>
      <c r="D567" s="84" t="s">
        <v>662</v>
      </c>
      <c r="E567" s="85">
        <v>25</v>
      </c>
    </row>
    <row r="568" spans="1:5" x14ac:dyDescent="0.25">
      <c r="A568" s="84" t="s">
        <v>1081</v>
      </c>
      <c r="B568" s="84" t="s">
        <v>660</v>
      </c>
      <c r="C568" s="84" t="s">
        <v>675</v>
      </c>
      <c r="D568" s="84" t="s">
        <v>662</v>
      </c>
      <c r="E568" s="85">
        <v>175</v>
      </c>
    </row>
    <row r="569" spans="1:5" x14ac:dyDescent="0.25">
      <c r="A569" s="84" t="s">
        <v>1081</v>
      </c>
      <c r="B569" s="84" t="s">
        <v>660</v>
      </c>
      <c r="C569" s="84" t="s">
        <v>677</v>
      </c>
      <c r="D569" s="84" t="s">
        <v>662</v>
      </c>
      <c r="E569" s="85">
        <v>125</v>
      </c>
    </row>
    <row r="570" spans="1:5" x14ac:dyDescent="0.25">
      <c r="A570" s="84" t="s">
        <v>1081</v>
      </c>
      <c r="B570" s="84" t="s">
        <v>660</v>
      </c>
      <c r="C570" s="84" t="s">
        <v>698</v>
      </c>
      <c r="D570" s="84" t="s">
        <v>662</v>
      </c>
      <c r="E570" s="85">
        <v>1000</v>
      </c>
    </row>
    <row r="571" spans="1:5" x14ac:dyDescent="0.25">
      <c r="A571" s="84" t="s">
        <v>1081</v>
      </c>
      <c r="B571" s="84" t="s">
        <v>660</v>
      </c>
      <c r="C571" s="84" t="s">
        <v>1027</v>
      </c>
      <c r="D571" s="84" t="s">
        <v>662</v>
      </c>
      <c r="E571" s="85">
        <v>200</v>
      </c>
    </row>
    <row r="572" spans="1:5" x14ac:dyDescent="0.25">
      <c r="A572" s="84" t="s">
        <v>1081</v>
      </c>
      <c r="B572" s="84" t="s">
        <v>660</v>
      </c>
      <c r="C572" s="84" t="s">
        <v>1031</v>
      </c>
      <c r="D572" s="84" t="s">
        <v>662</v>
      </c>
      <c r="E572" s="85">
        <v>250</v>
      </c>
    </row>
    <row r="573" spans="1:5" x14ac:dyDescent="0.25">
      <c r="A573" s="84" t="s">
        <v>1081</v>
      </c>
      <c r="B573" s="84" t="s">
        <v>660</v>
      </c>
      <c r="C573" s="84" t="s">
        <v>1082</v>
      </c>
      <c r="D573" s="84" t="s">
        <v>662</v>
      </c>
      <c r="E573" s="85">
        <v>350</v>
      </c>
    </row>
    <row r="574" spans="1:5" x14ac:dyDescent="0.25">
      <c r="A574" s="86" t="s">
        <v>696</v>
      </c>
      <c r="B574" s="88" t="s">
        <v>660</v>
      </c>
      <c r="C574" s="86" t="s">
        <v>661</v>
      </c>
      <c r="D574" s="88" t="s">
        <v>662</v>
      </c>
      <c r="E574" s="87">
        <v>648</v>
      </c>
    </row>
    <row r="575" spans="1:5" x14ac:dyDescent="0.25">
      <c r="A575" s="86" t="s">
        <v>696</v>
      </c>
      <c r="B575" s="88" t="s">
        <v>660</v>
      </c>
      <c r="C575" s="86" t="s">
        <v>665</v>
      </c>
      <c r="D575" s="88" t="s">
        <v>662</v>
      </c>
      <c r="E575" s="87">
        <v>202.5</v>
      </c>
    </row>
    <row r="576" spans="1:5" x14ac:dyDescent="0.25">
      <c r="A576" s="86" t="s">
        <v>696</v>
      </c>
      <c r="B576" s="88" t="s">
        <v>660</v>
      </c>
      <c r="C576" s="86" t="s">
        <v>668</v>
      </c>
      <c r="D576" s="88" t="s">
        <v>662</v>
      </c>
      <c r="E576" s="87">
        <v>0</v>
      </c>
    </row>
    <row r="577" spans="1:5" x14ac:dyDescent="0.25">
      <c r="A577" s="86" t="s">
        <v>696</v>
      </c>
      <c r="B577" s="88" t="s">
        <v>660</v>
      </c>
      <c r="C577" s="86" t="s">
        <v>84</v>
      </c>
      <c r="D577" s="88" t="s">
        <v>662</v>
      </c>
      <c r="E577" s="87">
        <v>20.25</v>
      </c>
    </row>
    <row r="578" spans="1:5" x14ac:dyDescent="0.25">
      <c r="A578" s="86" t="s">
        <v>696</v>
      </c>
      <c r="B578" s="88" t="s">
        <v>660</v>
      </c>
      <c r="C578" s="86" t="s">
        <v>675</v>
      </c>
      <c r="D578" s="88" t="s">
        <v>662</v>
      </c>
      <c r="E578" s="87">
        <v>180</v>
      </c>
    </row>
    <row r="579" spans="1:5" x14ac:dyDescent="0.25">
      <c r="A579" s="86" t="s">
        <v>696</v>
      </c>
      <c r="B579" s="88" t="s">
        <v>660</v>
      </c>
      <c r="C579" s="86" t="s">
        <v>712</v>
      </c>
      <c r="D579" s="88" t="s">
        <v>662</v>
      </c>
      <c r="E579" s="87">
        <v>270</v>
      </c>
    </row>
    <row r="580" spans="1:5" x14ac:dyDescent="0.25">
      <c r="A580" s="86" t="s">
        <v>696</v>
      </c>
      <c r="B580" s="88" t="s">
        <v>660</v>
      </c>
      <c r="C580" s="86" t="s">
        <v>672</v>
      </c>
      <c r="D580" s="88" t="s">
        <v>662</v>
      </c>
      <c r="E580" s="87">
        <v>22.5</v>
      </c>
    </row>
    <row r="581" spans="1:5" x14ac:dyDescent="0.25">
      <c r="A581" s="86" t="s">
        <v>696</v>
      </c>
      <c r="B581" s="88" t="s">
        <v>660</v>
      </c>
      <c r="C581" s="86" t="s">
        <v>696</v>
      </c>
      <c r="D581" s="88" t="s">
        <v>662</v>
      </c>
      <c r="E581" s="87">
        <v>1575</v>
      </c>
    </row>
    <row r="582" spans="1:5" x14ac:dyDescent="0.25">
      <c r="A582" s="86" t="s">
        <v>696</v>
      </c>
      <c r="B582" s="88" t="s">
        <v>660</v>
      </c>
      <c r="C582" s="86" t="s">
        <v>713</v>
      </c>
      <c r="D582" s="88" t="s">
        <v>662</v>
      </c>
      <c r="E582" s="87">
        <v>1575</v>
      </c>
    </row>
    <row r="583" spans="1:5" x14ac:dyDescent="0.25">
      <c r="A583" s="86" t="s">
        <v>696</v>
      </c>
      <c r="B583" s="88" t="s">
        <v>660</v>
      </c>
      <c r="C583" s="86" t="s">
        <v>113</v>
      </c>
      <c r="D583" s="88" t="s">
        <v>662</v>
      </c>
      <c r="E583" s="87">
        <v>6.75</v>
      </c>
    </row>
    <row r="584" spans="1:5" x14ac:dyDescent="0.25">
      <c r="A584" s="86" t="s">
        <v>696</v>
      </c>
      <c r="B584" s="88" t="s">
        <v>660</v>
      </c>
      <c r="C584" s="86" t="s">
        <v>148</v>
      </c>
      <c r="D584" s="88" t="s">
        <v>662</v>
      </c>
      <c r="E584" s="87">
        <v>180</v>
      </c>
    </row>
    <row r="585" spans="1:5" x14ac:dyDescent="0.25">
      <c r="A585" s="84" t="s">
        <v>1083</v>
      </c>
      <c r="B585" s="84" t="s">
        <v>660</v>
      </c>
      <c r="C585" s="84" t="s">
        <v>661</v>
      </c>
      <c r="D585" s="84" t="s">
        <v>662</v>
      </c>
      <c r="E585" s="85">
        <v>2760.3384365381685</v>
      </c>
    </row>
    <row r="586" spans="1:5" x14ac:dyDescent="0.25">
      <c r="A586" s="84" t="s">
        <v>1083</v>
      </c>
      <c r="B586" s="84" t="s">
        <v>660</v>
      </c>
      <c r="C586" s="84" t="s">
        <v>665</v>
      </c>
      <c r="D586" s="84" t="s">
        <v>662</v>
      </c>
      <c r="E586" s="85">
        <v>80.681768054857883</v>
      </c>
    </row>
    <row r="587" spans="1:5" x14ac:dyDescent="0.25">
      <c r="A587" s="84" t="s">
        <v>1083</v>
      </c>
      <c r="B587" s="84" t="s">
        <v>660</v>
      </c>
      <c r="C587" s="84" t="s">
        <v>668</v>
      </c>
      <c r="D587" s="84" t="s">
        <v>662</v>
      </c>
      <c r="E587" s="85">
        <v>322.72707221943153</v>
      </c>
    </row>
    <row r="588" spans="1:5" x14ac:dyDescent="0.25">
      <c r="A588" s="84" t="s">
        <v>1083</v>
      </c>
      <c r="B588" s="84" t="s">
        <v>660</v>
      </c>
      <c r="C588" s="84" t="s">
        <v>84</v>
      </c>
      <c r="D588" s="84" t="s">
        <v>662</v>
      </c>
      <c r="E588" s="85">
        <v>363.06795624686049</v>
      </c>
    </row>
    <row r="589" spans="1:5" x14ac:dyDescent="0.25">
      <c r="A589" s="84" t="s">
        <v>1083</v>
      </c>
      <c r="B589" s="84" t="s">
        <v>660</v>
      </c>
      <c r="C589" s="84" t="s">
        <v>672</v>
      </c>
      <c r="D589" s="84" t="s">
        <v>662</v>
      </c>
      <c r="E589" s="85">
        <v>21.00714183057967</v>
      </c>
    </row>
    <row r="590" spans="1:5" x14ac:dyDescent="0.25">
      <c r="A590" s="84" t="s">
        <v>1083</v>
      </c>
      <c r="B590" s="84" t="s">
        <v>660</v>
      </c>
      <c r="C590" s="84" t="s">
        <v>675</v>
      </c>
      <c r="D590" s="84" t="s">
        <v>662</v>
      </c>
      <c r="E590" s="85">
        <v>164.35174974137718</v>
      </c>
    </row>
    <row r="591" spans="1:5" x14ac:dyDescent="0.25">
      <c r="A591" s="84" t="s">
        <v>1083</v>
      </c>
      <c r="B591" s="84" t="s">
        <v>660</v>
      </c>
      <c r="C591" s="84" t="s">
        <v>677</v>
      </c>
      <c r="D591" s="84" t="s">
        <v>662</v>
      </c>
      <c r="E591" s="85">
        <v>104.5874771081491</v>
      </c>
    </row>
    <row r="592" spans="1:5" x14ac:dyDescent="0.25">
      <c r="A592" s="84" t="s">
        <v>1083</v>
      </c>
      <c r="B592" s="84" t="s">
        <v>660</v>
      </c>
      <c r="C592" s="84" t="s">
        <v>1084</v>
      </c>
      <c r="D592" s="84" t="s">
        <v>662</v>
      </c>
      <c r="E592" s="85">
        <v>201.70442013714472</v>
      </c>
    </row>
    <row r="593" spans="1:5" x14ac:dyDescent="0.25">
      <c r="A593" s="84" t="s">
        <v>1083</v>
      </c>
      <c r="B593" s="84" t="s">
        <v>660</v>
      </c>
      <c r="C593" s="84" t="s">
        <v>993</v>
      </c>
      <c r="D593" s="84" t="s">
        <v>662</v>
      </c>
      <c r="E593" s="85">
        <v>181.53397812343024</v>
      </c>
    </row>
    <row r="594" spans="1:5" x14ac:dyDescent="0.25">
      <c r="A594" s="84" t="s">
        <v>1083</v>
      </c>
      <c r="B594" s="84" t="s">
        <v>660</v>
      </c>
      <c r="C594" s="84" t="s">
        <v>692</v>
      </c>
      <c r="D594" s="84" t="s">
        <v>662</v>
      </c>
      <c r="E594" s="85">
        <v>315</v>
      </c>
    </row>
    <row r="595" spans="1:5" x14ac:dyDescent="0.25">
      <c r="A595" s="84" t="s">
        <v>1083</v>
      </c>
      <c r="B595" s="84" t="s">
        <v>660</v>
      </c>
      <c r="C595" s="84" t="s">
        <v>687</v>
      </c>
      <c r="D595" s="84" t="s">
        <v>662</v>
      </c>
      <c r="E595" s="85">
        <v>105</v>
      </c>
    </row>
    <row r="596" spans="1:5" x14ac:dyDescent="0.25">
      <c r="A596" s="86" t="s">
        <v>906</v>
      </c>
      <c r="B596" s="88" t="s">
        <v>660</v>
      </c>
      <c r="C596" s="86" t="s">
        <v>661</v>
      </c>
      <c r="D596" s="88" t="s">
        <v>662</v>
      </c>
      <c r="E596" s="87">
        <v>2740.9437736128602</v>
      </c>
    </row>
    <row r="597" spans="1:5" x14ac:dyDescent="0.25">
      <c r="A597" s="86" t="s">
        <v>906</v>
      </c>
      <c r="B597" s="88" t="s">
        <v>660</v>
      </c>
      <c r="C597" s="86" t="s">
        <v>665</v>
      </c>
      <c r="D597" s="88" t="s">
        <v>662</v>
      </c>
      <c r="E597" s="87">
        <v>200.01481591228978</v>
      </c>
    </row>
    <row r="598" spans="1:5" x14ac:dyDescent="0.25">
      <c r="A598" s="86" t="s">
        <v>906</v>
      </c>
      <c r="B598" s="88" t="s">
        <v>660</v>
      </c>
      <c r="C598" s="86" t="s">
        <v>668</v>
      </c>
      <c r="D598" s="88" t="s">
        <v>662</v>
      </c>
      <c r="E598" s="87">
        <v>274.09437736128598</v>
      </c>
    </row>
    <row r="599" spans="1:5" x14ac:dyDescent="0.25">
      <c r="A599" s="86" t="s">
        <v>906</v>
      </c>
      <c r="B599" s="88" t="s">
        <v>660</v>
      </c>
      <c r="C599" s="86" t="s">
        <v>84</v>
      </c>
      <c r="D599" s="88" t="s">
        <v>662</v>
      </c>
      <c r="E599" s="87">
        <v>203.71879398473959</v>
      </c>
    </row>
    <row r="600" spans="1:5" x14ac:dyDescent="0.25">
      <c r="A600" s="86" t="s">
        <v>906</v>
      </c>
      <c r="B600" s="88" t="s">
        <v>660</v>
      </c>
      <c r="C600" s="86" t="s">
        <v>672</v>
      </c>
      <c r="D600" s="88" t="s">
        <v>662</v>
      </c>
      <c r="E600" s="87">
        <v>18.519890362249054</v>
      </c>
    </row>
    <row r="601" spans="1:5" x14ac:dyDescent="0.25">
      <c r="A601" s="86" t="s">
        <v>906</v>
      </c>
      <c r="B601" s="88" t="s">
        <v>660</v>
      </c>
      <c r="C601" s="86" t="s">
        <v>675</v>
      </c>
      <c r="D601" s="88" t="s">
        <v>662</v>
      </c>
      <c r="E601" s="87">
        <v>162.97503518779166</v>
      </c>
    </row>
    <row r="602" spans="1:5" x14ac:dyDescent="0.25">
      <c r="A602" s="86" t="s">
        <v>906</v>
      </c>
      <c r="B602" s="88" t="s">
        <v>660</v>
      </c>
      <c r="C602" s="86" t="s">
        <v>677</v>
      </c>
      <c r="D602" s="88" t="s">
        <v>662</v>
      </c>
      <c r="E602" s="87">
        <v>103.7113860285947</v>
      </c>
    </row>
    <row r="603" spans="1:5" x14ac:dyDescent="0.25">
      <c r="A603" s="86" t="s">
        <v>906</v>
      </c>
      <c r="B603" s="88" t="s">
        <v>660</v>
      </c>
      <c r="C603" s="86" t="s">
        <v>1085</v>
      </c>
      <c r="D603" s="88" t="s">
        <v>662</v>
      </c>
      <c r="E603" s="87">
        <v>296.02192755018888</v>
      </c>
    </row>
    <row r="604" spans="1:5" x14ac:dyDescent="0.25">
      <c r="A604" s="86" t="s">
        <v>906</v>
      </c>
      <c r="B604" s="88" t="s">
        <v>660</v>
      </c>
      <c r="C604" s="86" t="s">
        <v>1086</v>
      </c>
      <c r="D604" s="88" t="s">
        <v>662</v>
      </c>
      <c r="E604" s="87">
        <v>300</v>
      </c>
    </row>
    <row r="605" spans="1:5" x14ac:dyDescent="0.25">
      <c r="A605" s="84" t="s">
        <v>715</v>
      </c>
      <c r="B605" s="84" t="s">
        <v>660</v>
      </c>
      <c r="C605" s="84" t="s">
        <v>661</v>
      </c>
      <c r="D605" s="84" t="s">
        <v>662</v>
      </c>
      <c r="E605" s="85">
        <v>470</v>
      </c>
    </row>
    <row r="606" spans="1:5" x14ac:dyDescent="0.25">
      <c r="A606" s="84" t="s">
        <v>715</v>
      </c>
      <c r="B606" s="84" t="s">
        <v>660</v>
      </c>
      <c r="C606" s="84" t="s">
        <v>1087</v>
      </c>
      <c r="D606" s="84" t="s">
        <v>662</v>
      </c>
      <c r="E606" s="85">
        <v>300</v>
      </c>
    </row>
    <row r="607" spans="1:5" x14ac:dyDescent="0.25">
      <c r="A607" s="84" t="s">
        <v>715</v>
      </c>
      <c r="B607" s="84" t="s">
        <v>660</v>
      </c>
      <c r="C607" s="84" t="s">
        <v>673</v>
      </c>
      <c r="D607" s="84" t="s">
        <v>662</v>
      </c>
      <c r="E607" s="85">
        <v>120</v>
      </c>
    </row>
    <row r="608" spans="1:5" x14ac:dyDescent="0.25">
      <c r="A608" s="84" t="s">
        <v>715</v>
      </c>
      <c r="B608" s="84" t="s">
        <v>660</v>
      </c>
      <c r="C608" s="84" t="s">
        <v>84</v>
      </c>
      <c r="D608" s="84" t="s">
        <v>662</v>
      </c>
      <c r="E608" s="85">
        <v>30</v>
      </c>
    </row>
    <row r="609" spans="1:5" x14ac:dyDescent="0.25">
      <c r="A609" s="84" t="s">
        <v>715</v>
      </c>
      <c r="B609" s="84" t="s">
        <v>660</v>
      </c>
      <c r="C609" s="84" t="s">
        <v>672</v>
      </c>
      <c r="D609" s="84" t="s">
        <v>662</v>
      </c>
      <c r="E609" s="85">
        <v>5</v>
      </c>
    </row>
    <row r="610" spans="1:5" x14ac:dyDescent="0.25">
      <c r="A610" s="84" t="s">
        <v>715</v>
      </c>
      <c r="B610" s="84" t="s">
        <v>660</v>
      </c>
      <c r="C610" s="84" t="s">
        <v>675</v>
      </c>
      <c r="D610" s="84" t="s">
        <v>662</v>
      </c>
      <c r="E610" s="85">
        <v>45</v>
      </c>
    </row>
    <row r="611" spans="1:5" x14ac:dyDescent="0.25">
      <c r="A611" s="84" t="s">
        <v>715</v>
      </c>
      <c r="B611" s="84" t="s">
        <v>660</v>
      </c>
      <c r="C611" s="84" t="s">
        <v>677</v>
      </c>
      <c r="D611" s="84" t="s">
        <v>662</v>
      </c>
      <c r="E611" s="85">
        <v>30</v>
      </c>
    </row>
    <row r="612" spans="1:5" x14ac:dyDescent="0.25">
      <c r="A612" s="86" t="s">
        <v>756</v>
      </c>
      <c r="B612" s="88" t="s">
        <v>660</v>
      </c>
      <c r="C612" s="86" t="s">
        <v>661</v>
      </c>
      <c r="D612" s="88" t="s">
        <v>662</v>
      </c>
      <c r="E612" s="87">
        <v>2679.6116504854367</v>
      </c>
    </row>
    <row r="613" spans="1:5" x14ac:dyDescent="0.25">
      <c r="A613" s="86" t="s">
        <v>756</v>
      </c>
      <c r="B613" s="88" t="s">
        <v>660</v>
      </c>
      <c r="C613" s="86" t="s">
        <v>665</v>
      </c>
      <c r="D613" s="88" t="s">
        <v>662</v>
      </c>
      <c r="E613" s="87">
        <v>310.67961165048541</v>
      </c>
    </row>
    <row r="614" spans="1:5" x14ac:dyDescent="0.25">
      <c r="A614" s="86" t="s">
        <v>756</v>
      </c>
      <c r="B614" s="88" t="s">
        <v>660</v>
      </c>
      <c r="C614" s="86" t="s">
        <v>668</v>
      </c>
      <c r="D614" s="88" t="s">
        <v>662</v>
      </c>
      <c r="E614" s="87">
        <v>466.01941747572818</v>
      </c>
    </row>
    <row r="615" spans="1:5" x14ac:dyDescent="0.25">
      <c r="A615" s="86" t="s">
        <v>756</v>
      </c>
      <c r="B615" s="88" t="s">
        <v>660</v>
      </c>
      <c r="C615" s="86" t="s">
        <v>84</v>
      </c>
      <c r="D615" s="88" t="s">
        <v>662</v>
      </c>
      <c r="E615" s="87">
        <v>116.50485436893204</v>
      </c>
    </row>
    <row r="616" spans="1:5" x14ac:dyDescent="0.25">
      <c r="A616" s="86" t="s">
        <v>756</v>
      </c>
      <c r="B616" s="88" t="s">
        <v>660</v>
      </c>
      <c r="C616" s="86" t="s">
        <v>672</v>
      </c>
      <c r="D616" s="88" t="s">
        <v>662</v>
      </c>
      <c r="E616" s="87">
        <v>19.417475728155338</v>
      </c>
    </row>
    <row r="617" spans="1:5" x14ac:dyDescent="0.25">
      <c r="A617" s="86" t="s">
        <v>756</v>
      </c>
      <c r="B617" s="88" t="s">
        <v>660</v>
      </c>
      <c r="C617" s="86" t="s">
        <v>675</v>
      </c>
      <c r="D617" s="88" t="s">
        <v>662</v>
      </c>
      <c r="E617" s="87">
        <v>174.75728155339806</v>
      </c>
    </row>
    <row r="618" spans="1:5" x14ac:dyDescent="0.25">
      <c r="A618" s="86" t="s">
        <v>756</v>
      </c>
      <c r="B618" s="88" t="s">
        <v>660</v>
      </c>
      <c r="C618" s="86" t="s">
        <v>677</v>
      </c>
      <c r="D618" s="88" t="s">
        <v>662</v>
      </c>
      <c r="E618" s="87">
        <v>116.50485436893204</v>
      </c>
    </row>
    <row r="619" spans="1:5" x14ac:dyDescent="0.25">
      <c r="A619" s="86" t="s">
        <v>756</v>
      </c>
      <c r="B619" s="88" t="s">
        <v>660</v>
      </c>
      <c r="C619" s="86" t="s">
        <v>1012</v>
      </c>
      <c r="D619" s="88" t="s">
        <v>662</v>
      </c>
      <c r="E619" s="87">
        <v>116.50485436893204</v>
      </c>
    </row>
    <row r="620" spans="1:5" x14ac:dyDescent="0.25">
      <c r="A620" s="86" t="s">
        <v>756</v>
      </c>
      <c r="B620" s="88" t="s">
        <v>660</v>
      </c>
      <c r="C620" s="86" t="s">
        <v>1088</v>
      </c>
      <c r="D620" s="88" t="s">
        <v>662</v>
      </c>
      <c r="E620" s="87">
        <v>200</v>
      </c>
    </row>
    <row r="621" spans="1:5" x14ac:dyDescent="0.25">
      <c r="A621" s="86" t="s">
        <v>756</v>
      </c>
      <c r="B621" s="88" t="s">
        <v>660</v>
      </c>
      <c r="C621" s="86" t="s">
        <v>92</v>
      </c>
      <c r="D621" s="88" t="s">
        <v>662</v>
      </c>
      <c r="E621" s="87">
        <v>300</v>
      </c>
    </row>
    <row r="622" spans="1:5" x14ac:dyDescent="0.25">
      <c r="A622" s="84" t="s">
        <v>1089</v>
      </c>
      <c r="B622" s="84" t="s">
        <v>660</v>
      </c>
      <c r="C622" s="84" t="s">
        <v>661</v>
      </c>
      <c r="D622" s="84" t="s">
        <v>662</v>
      </c>
      <c r="E622" s="85">
        <v>3997.5</v>
      </c>
    </row>
    <row r="623" spans="1:5" x14ac:dyDescent="0.25">
      <c r="A623" s="84" t="s">
        <v>1089</v>
      </c>
      <c r="B623" s="84" t="s">
        <v>660</v>
      </c>
      <c r="C623" s="84" t="s">
        <v>665</v>
      </c>
      <c r="D623" s="84" t="s">
        <v>662</v>
      </c>
      <c r="E623" s="85">
        <v>130</v>
      </c>
    </row>
    <row r="624" spans="1:5" x14ac:dyDescent="0.25">
      <c r="A624" s="84" t="s">
        <v>1089</v>
      </c>
      <c r="B624" s="84" t="s">
        <v>660</v>
      </c>
      <c r="C624" s="84" t="s">
        <v>668</v>
      </c>
      <c r="D624" s="84" t="s">
        <v>662</v>
      </c>
      <c r="E624" s="85">
        <v>0</v>
      </c>
    </row>
    <row r="625" spans="1:5" x14ac:dyDescent="0.25">
      <c r="A625" s="84" t="s">
        <v>1089</v>
      </c>
      <c r="B625" s="84" t="s">
        <v>660</v>
      </c>
      <c r="C625" s="84" t="s">
        <v>84</v>
      </c>
      <c r="D625" s="84" t="s">
        <v>662</v>
      </c>
      <c r="E625" s="85">
        <v>390</v>
      </c>
    </row>
    <row r="626" spans="1:5" x14ac:dyDescent="0.25">
      <c r="A626" s="84" t="s">
        <v>1089</v>
      </c>
      <c r="B626" s="84" t="s">
        <v>660</v>
      </c>
      <c r="C626" s="84" t="s">
        <v>672</v>
      </c>
      <c r="D626" s="84" t="s">
        <v>662</v>
      </c>
      <c r="E626" s="85">
        <v>32.5</v>
      </c>
    </row>
    <row r="627" spans="1:5" x14ac:dyDescent="0.25">
      <c r="A627" s="84" t="s">
        <v>1089</v>
      </c>
      <c r="B627" s="84" t="s">
        <v>660</v>
      </c>
      <c r="C627" s="84" t="s">
        <v>675</v>
      </c>
      <c r="D627" s="84" t="s">
        <v>662</v>
      </c>
      <c r="E627" s="85">
        <v>227.5</v>
      </c>
    </row>
    <row r="628" spans="1:5" x14ac:dyDescent="0.25">
      <c r="A628" s="84" t="s">
        <v>1089</v>
      </c>
      <c r="B628" s="84" t="s">
        <v>660</v>
      </c>
      <c r="C628" s="84" t="s">
        <v>677</v>
      </c>
      <c r="D628" s="84" t="s">
        <v>662</v>
      </c>
      <c r="E628" s="85">
        <v>162.5</v>
      </c>
    </row>
    <row r="629" spans="1:5" x14ac:dyDescent="0.25">
      <c r="A629" s="84" t="s">
        <v>1089</v>
      </c>
      <c r="B629" s="84" t="s">
        <v>660</v>
      </c>
      <c r="C629" s="84" t="s">
        <v>698</v>
      </c>
      <c r="D629" s="84" t="s">
        <v>662</v>
      </c>
      <c r="E629" s="85">
        <v>1300</v>
      </c>
    </row>
    <row r="630" spans="1:5" x14ac:dyDescent="0.25">
      <c r="A630" s="84" t="s">
        <v>1089</v>
      </c>
      <c r="B630" s="84" t="s">
        <v>660</v>
      </c>
      <c r="C630" s="84" t="s">
        <v>1027</v>
      </c>
      <c r="D630" s="84" t="s">
        <v>662</v>
      </c>
      <c r="E630" s="85">
        <v>260</v>
      </c>
    </row>
    <row r="631" spans="1:5" x14ac:dyDescent="0.25">
      <c r="A631" s="84" t="s">
        <v>1089</v>
      </c>
      <c r="B631" s="84" t="s">
        <v>660</v>
      </c>
      <c r="C631" s="84" t="s">
        <v>92</v>
      </c>
      <c r="D631" s="84" t="s">
        <v>662</v>
      </c>
      <c r="E631" s="85">
        <v>487.5</v>
      </c>
    </row>
    <row r="632" spans="1:5" x14ac:dyDescent="0.25">
      <c r="A632" s="84" t="s">
        <v>1089</v>
      </c>
      <c r="B632" s="84" t="s">
        <v>660</v>
      </c>
      <c r="C632" s="84" t="s">
        <v>1004</v>
      </c>
      <c r="D632" s="84" t="s">
        <v>662</v>
      </c>
      <c r="E632" s="85">
        <v>325</v>
      </c>
    </row>
    <row r="633" spans="1:5" x14ac:dyDescent="0.25">
      <c r="A633" s="86" t="s">
        <v>1090</v>
      </c>
      <c r="B633" s="88" t="s">
        <v>660</v>
      </c>
      <c r="C633" s="86" t="s">
        <v>713</v>
      </c>
      <c r="D633" s="88" t="s">
        <v>662</v>
      </c>
      <c r="E633" s="87">
        <v>2530.8414204328469</v>
      </c>
    </row>
    <row r="634" spans="1:5" x14ac:dyDescent="0.25">
      <c r="A634" s="86" t="s">
        <v>1090</v>
      </c>
      <c r="B634" s="88" t="s">
        <v>660</v>
      </c>
      <c r="C634" s="86" t="s">
        <v>668</v>
      </c>
      <c r="D634" s="88" t="s">
        <v>662</v>
      </c>
      <c r="E634" s="87">
        <v>1333.7801040701597</v>
      </c>
    </row>
    <row r="635" spans="1:5" x14ac:dyDescent="0.25">
      <c r="A635" s="86" t="s">
        <v>1090</v>
      </c>
      <c r="B635" s="88" t="s">
        <v>660</v>
      </c>
      <c r="C635" s="86" t="s">
        <v>978</v>
      </c>
      <c r="D635" s="88" t="s">
        <v>662</v>
      </c>
      <c r="E635" s="87">
        <v>333.45753004971516</v>
      </c>
    </row>
    <row r="636" spans="1:5" x14ac:dyDescent="0.25">
      <c r="A636" s="86" t="s">
        <v>1090</v>
      </c>
      <c r="B636" s="88" t="s">
        <v>660</v>
      </c>
      <c r="C636" s="86" t="s">
        <v>84</v>
      </c>
      <c r="D636" s="88" t="s">
        <v>662</v>
      </c>
      <c r="E636" s="87">
        <v>0</v>
      </c>
    </row>
    <row r="637" spans="1:5" x14ac:dyDescent="0.25">
      <c r="A637" s="86" t="s">
        <v>1090</v>
      </c>
      <c r="B637" s="88" t="s">
        <v>660</v>
      </c>
      <c r="C637" s="86" t="s">
        <v>675</v>
      </c>
      <c r="D637" s="88" t="s">
        <v>662</v>
      </c>
      <c r="E637" s="87">
        <v>800.25805921635549</v>
      </c>
    </row>
    <row r="638" spans="1:5" x14ac:dyDescent="0.25">
      <c r="A638" s="86" t="s">
        <v>1090</v>
      </c>
      <c r="B638" s="88" t="s">
        <v>660</v>
      </c>
      <c r="C638" s="86" t="s">
        <v>982</v>
      </c>
      <c r="D638" s="88" t="s">
        <v>662</v>
      </c>
      <c r="E638" s="87">
        <v>5001.6628862309226</v>
      </c>
    </row>
    <row r="639" spans="1:5" x14ac:dyDescent="0.25">
      <c r="A639" s="84" t="s">
        <v>1091</v>
      </c>
      <c r="B639" s="84" t="s">
        <v>660</v>
      </c>
      <c r="C639" s="84" t="s">
        <v>713</v>
      </c>
      <c r="D639" s="84" t="s">
        <v>662</v>
      </c>
      <c r="E639" s="85">
        <v>759.25242612985414</v>
      </c>
    </row>
    <row r="640" spans="1:5" x14ac:dyDescent="0.25">
      <c r="A640" s="84" t="s">
        <v>1091</v>
      </c>
      <c r="B640" s="84" t="s">
        <v>660</v>
      </c>
      <c r="C640" s="84" t="s">
        <v>668</v>
      </c>
      <c r="D640" s="84" t="s">
        <v>662</v>
      </c>
      <c r="E640" s="85">
        <v>400.13403122104796</v>
      </c>
    </row>
    <row r="641" spans="1:5" x14ac:dyDescent="0.25">
      <c r="A641" s="84" t="s">
        <v>1091</v>
      </c>
      <c r="B641" s="84" t="s">
        <v>660</v>
      </c>
      <c r="C641" s="84" t="s">
        <v>978</v>
      </c>
      <c r="D641" s="84" t="s">
        <v>662</v>
      </c>
      <c r="E641" s="85">
        <v>100.03725901491457</v>
      </c>
    </row>
    <row r="642" spans="1:5" x14ac:dyDescent="0.25">
      <c r="A642" s="84" t="s">
        <v>1091</v>
      </c>
      <c r="B642" s="84" t="s">
        <v>660</v>
      </c>
      <c r="C642" s="84" t="s">
        <v>84</v>
      </c>
      <c r="D642" s="84" t="s">
        <v>662</v>
      </c>
      <c r="E642" s="85">
        <v>0</v>
      </c>
    </row>
    <row r="643" spans="1:5" x14ac:dyDescent="0.25">
      <c r="A643" s="84" t="s">
        <v>1091</v>
      </c>
      <c r="B643" s="84" t="s">
        <v>660</v>
      </c>
      <c r="C643" s="84" t="s">
        <v>675</v>
      </c>
      <c r="D643" s="84" t="s">
        <v>662</v>
      </c>
      <c r="E643" s="85">
        <v>240.07741776490667</v>
      </c>
    </row>
    <row r="644" spans="1:5" x14ac:dyDescent="0.25">
      <c r="A644" s="84" t="s">
        <v>1091</v>
      </c>
      <c r="B644" s="84" t="s">
        <v>660</v>
      </c>
      <c r="C644" s="84" t="s">
        <v>982</v>
      </c>
      <c r="D644" s="84" t="s">
        <v>662</v>
      </c>
      <c r="E644" s="85">
        <v>1500.4988658692771</v>
      </c>
    </row>
    <row r="645" spans="1:5" x14ac:dyDescent="0.25">
      <c r="A645" s="84" t="s">
        <v>1091</v>
      </c>
      <c r="B645" s="84" t="s">
        <v>660</v>
      </c>
      <c r="C645" s="84" t="s">
        <v>1054</v>
      </c>
      <c r="D645" s="84" t="s">
        <v>662</v>
      </c>
      <c r="E645" s="85">
        <v>225</v>
      </c>
    </row>
    <row r="646" spans="1:5" x14ac:dyDescent="0.25">
      <c r="A646" s="86" t="s">
        <v>1092</v>
      </c>
      <c r="B646" s="88" t="s">
        <v>660</v>
      </c>
      <c r="C646" s="86" t="s">
        <v>713</v>
      </c>
      <c r="D646" s="88" t="s">
        <v>662</v>
      </c>
      <c r="E646" s="87">
        <v>1012.3365681731389</v>
      </c>
    </row>
    <row r="647" spans="1:5" x14ac:dyDescent="0.25">
      <c r="A647" s="86" t="s">
        <v>1092</v>
      </c>
      <c r="B647" s="88" t="s">
        <v>660</v>
      </c>
      <c r="C647" s="86" t="s">
        <v>668</v>
      </c>
      <c r="D647" s="88" t="s">
        <v>662</v>
      </c>
      <c r="E647" s="87">
        <v>533.51204162806391</v>
      </c>
    </row>
    <row r="648" spans="1:5" x14ac:dyDescent="0.25">
      <c r="A648" s="86" t="s">
        <v>1092</v>
      </c>
      <c r="B648" s="88" t="s">
        <v>660</v>
      </c>
      <c r="C648" s="86" t="s">
        <v>978</v>
      </c>
      <c r="D648" s="88" t="s">
        <v>662</v>
      </c>
      <c r="E648" s="87">
        <v>133.38301201988608</v>
      </c>
    </row>
    <row r="649" spans="1:5" x14ac:dyDescent="0.25">
      <c r="A649" s="86" t="s">
        <v>1092</v>
      </c>
      <c r="B649" s="88" t="s">
        <v>660</v>
      </c>
      <c r="C649" s="86" t="s">
        <v>84</v>
      </c>
      <c r="D649" s="88" t="s">
        <v>662</v>
      </c>
      <c r="E649" s="87">
        <v>0</v>
      </c>
    </row>
    <row r="650" spans="1:5" x14ac:dyDescent="0.25">
      <c r="A650" s="86" t="s">
        <v>1092</v>
      </c>
      <c r="B650" s="88" t="s">
        <v>660</v>
      </c>
      <c r="C650" s="86" t="s">
        <v>675</v>
      </c>
      <c r="D650" s="88" t="s">
        <v>662</v>
      </c>
      <c r="E650" s="87">
        <v>320.10322368654221</v>
      </c>
    </row>
    <row r="651" spans="1:5" x14ac:dyDescent="0.25">
      <c r="A651" s="86" t="s">
        <v>1092</v>
      </c>
      <c r="B651" s="88" t="s">
        <v>660</v>
      </c>
      <c r="C651" s="86" t="s">
        <v>982</v>
      </c>
      <c r="D651" s="88" t="s">
        <v>662</v>
      </c>
      <c r="E651" s="87">
        <v>2000.6651544923693</v>
      </c>
    </row>
    <row r="652" spans="1:5" x14ac:dyDescent="0.25">
      <c r="A652" s="86" t="s">
        <v>1092</v>
      </c>
      <c r="B652" s="88" t="s">
        <v>660</v>
      </c>
      <c r="C652" s="86" t="s">
        <v>182</v>
      </c>
      <c r="D652" s="88" t="s">
        <v>662</v>
      </c>
      <c r="E652" s="87">
        <v>225</v>
      </c>
    </row>
    <row r="653" spans="1:5" x14ac:dyDescent="0.25">
      <c r="A653" s="86" t="s">
        <v>1092</v>
      </c>
      <c r="B653" s="88" t="s">
        <v>660</v>
      </c>
      <c r="C653" s="86" t="s">
        <v>692</v>
      </c>
      <c r="D653" s="88" t="s">
        <v>662</v>
      </c>
      <c r="E653" s="87">
        <v>225</v>
      </c>
    </row>
    <row r="654" spans="1:5" x14ac:dyDescent="0.25">
      <c r="A654" s="86" t="s">
        <v>1092</v>
      </c>
      <c r="B654" s="88" t="s">
        <v>660</v>
      </c>
      <c r="C654" s="86" t="s">
        <v>698</v>
      </c>
      <c r="D654" s="88" t="s">
        <v>662</v>
      </c>
      <c r="E654" s="87">
        <v>225</v>
      </c>
    </row>
    <row r="655" spans="1:5" x14ac:dyDescent="0.25">
      <c r="A655" s="86" t="s">
        <v>1092</v>
      </c>
      <c r="B655" s="88" t="s">
        <v>660</v>
      </c>
      <c r="C655" s="86" t="s">
        <v>1052</v>
      </c>
      <c r="D655" s="88" t="s">
        <v>662</v>
      </c>
      <c r="E655" s="87">
        <v>225</v>
      </c>
    </row>
    <row r="656" spans="1:5" x14ac:dyDescent="0.25">
      <c r="A656" s="84" t="s">
        <v>1093</v>
      </c>
      <c r="B656" s="84" t="s">
        <v>660</v>
      </c>
      <c r="C656" s="84" t="s">
        <v>1075</v>
      </c>
      <c r="D656" s="84" t="s">
        <v>662</v>
      </c>
      <c r="E656" s="85">
        <v>3000</v>
      </c>
    </row>
    <row r="657" spans="1:5" x14ac:dyDescent="0.25">
      <c r="A657" s="84" t="s">
        <v>1093</v>
      </c>
      <c r="B657" s="84" t="s">
        <v>660</v>
      </c>
      <c r="C657" s="84" t="s">
        <v>1062</v>
      </c>
      <c r="D657" s="84" t="s">
        <v>662</v>
      </c>
      <c r="E657" s="85">
        <v>900</v>
      </c>
    </row>
    <row r="658" spans="1:5" x14ac:dyDescent="0.25">
      <c r="A658" s="84" t="s">
        <v>1093</v>
      </c>
      <c r="B658" s="84" t="s">
        <v>660</v>
      </c>
      <c r="C658" s="84" t="s">
        <v>1027</v>
      </c>
      <c r="D658" s="84" t="s">
        <v>662</v>
      </c>
      <c r="E658" s="85">
        <v>120</v>
      </c>
    </row>
    <row r="659" spans="1:5" x14ac:dyDescent="0.25">
      <c r="A659" s="84" t="s">
        <v>1093</v>
      </c>
      <c r="B659" s="84" t="s">
        <v>660</v>
      </c>
      <c r="C659" s="84" t="s">
        <v>113</v>
      </c>
      <c r="D659" s="84" t="s">
        <v>662</v>
      </c>
      <c r="E659" s="85">
        <v>5</v>
      </c>
    </row>
    <row r="660" spans="1:5" x14ac:dyDescent="0.25">
      <c r="A660" s="84" t="s">
        <v>1093</v>
      </c>
      <c r="B660" s="84" t="s">
        <v>660</v>
      </c>
      <c r="C660" s="84" t="s">
        <v>691</v>
      </c>
      <c r="D660" s="84" t="s">
        <v>662</v>
      </c>
      <c r="E660" s="85">
        <v>150</v>
      </c>
    </row>
    <row r="661" spans="1:5" x14ac:dyDescent="0.25">
      <c r="A661" s="84" t="s">
        <v>1093</v>
      </c>
      <c r="B661" s="84" t="s">
        <v>660</v>
      </c>
      <c r="C661" s="84" t="s">
        <v>687</v>
      </c>
      <c r="D661" s="84" t="s">
        <v>662</v>
      </c>
      <c r="E661" s="85">
        <v>62.625</v>
      </c>
    </row>
    <row r="662" spans="1:5" x14ac:dyDescent="0.25">
      <c r="A662" s="86" t="s">
        <v>1094</v>
      </c>
      <c r="B662" s="88" t="s">
        <v>660</v>
      </c>
      <c r="C662" s="86" t="s">
        <v>713</v>
      </c>
      <c r="D662" s="88" t="s">
        <v>662</v>
      </c>
      <c r="E662" s="87">
        <v>971.67558991489602</v>
      </c>
    </row>
    <row r="663" spans="1:5" x14ac:dyDescent="0.25">
      <c r="A663" s="86" t="s">
        <v>1094</v>
      </c>
      <c r="B663" s="88" t="s">
        <v>660</v>
      </c>
      <c r="C663" s="86" t="s">
        <v>668</v>
      </c>
      <c r="D663" s="88" t="s">
        <v>662</v>
      </c>
      <c r="E663" s="87">
        <v>89.969962029157031</v>
      </c>
    </row>
    <row r="664" spans="1:5" x14ac:dyDescent="0.25">
      <c r="A664" s="86" t="s">
        <v>1094</v>
      </c>
      <c r="B664" s="88" t="s">
        <v>660</v>
      </c>
      <c r="C664" s="86" t="s">
        <v>978</v>
      </c>
      <c r="D664" s="88" t="s">
        <v>662</v>
      </c>
      <c r="E664" s="87">
        <v>119.96474772220078</v>
      </c>
    </row>
    <row r="665" spans="1:5" x14ac:dyDescent="0.25">
      <c r="A665" s="86" t="s">
        <v>1094</v>
      </c>
      <c r="B665" s="88" t="s">
        <v>660</v>
      </c>
      <c r="C665" s="86" t="s">
        <v>84</v>
      </c>
      <c r="D665" s="88" t="s">
        <v>662</v>
      </c>
      <c r="E665" s="87">
        <v>107.96395443498844</v>
      </c>
    </row>
    <row r="666" spans="1:5" x14ac:dyDescent="0.25">
      <c r="A666" s="86" t="s">
        <v>1094</v>
      </c>
      <c r="B666" s="88" t="s">
        <v>660</v>
      </c>
      <c r="C666" s="86" t="s">
        <v>675</v>
      </c>
      <c r="D666" s="88" t="s">
        <v>662</v>
      </c>
      <c r="E666" s="87">
        <v>287.90099948330766</v>
      </c>
    </row>
    <row r="667" spans="1:5" x14ac:dyDescent="0.25">
      <c r="A667" s="86" t="s">
        <v>1094</v>
      </c>
      <c r="B667" s="88" t="s">
        <v>660</v>
      </c>
      <c r="C667" s="86" t="s">
        <v>983</v>
      </c>
      <c r="D667" s="88" t="s">
        <v>662</v>
      </c>
      <c r="E667" s="87">
        <v>1439.5193924665125</v>
      </c>
    </row>
    <row r="668" spans="1:5" x14ac:dyDescent="0.25">
      <c r="A668" s="86" t="s">
        <v>1094</v>
      </c>
      <c r="B668" s="88" t="s">
        <v>660</v>
      </c>
      <c r="C668" s="86" t="s">
        <v>984</v>
      </c>
      <c r="D668" s="88" t="s">
        <v>662</v>
      </c>
      <c r="E668" s="87">
        <v>583.00535394893757</v>
      </c>
    </row>
    <row r="669" spans="1:5" x14ac:dyDescent="0.25">
      <c r="A669" s="84" t="s">
        <v>1095</v>
      </c>
      <c r="B669" s="84" t="s">
        <v>660</v>
      </c>
      <c r="C669" s="84" t="s">
        <v>713</v>
      </c>
      <c r="D669" s="84" t="s">
        <v>662</v>
      </c>
      <c r="E669" s="85">
        <v>999.99999999999989</v>
      </c>
    </row>
    <row r="670" spans="1:5" x14ac:dyDescent="0.25">
      <c r="A670" s="84" t="s">
        <v>1095</v>
      </c>
      <c r="B670" s="84" t="s">
        <v>660</v>
      </c>
      <c r="C670" s="84" t="s">
        <v>1096</v>
      </c>
      <c r="D670" s="84" t="s">
        <v>662</v>
      </c>
      <c r="E670" s="85">
        <v>1049.9999999999998</v>
      </c>
    </row>
    <row r="671" spans="1:5" x14ac:dyDescent="0.25">
      <c r="A671" s="84" t="s">
        <v>1095</v>
      </c>
      <c r="B671" s="84" t="s">
        <v>660</v>
      </c>
      <c r="C671" s="84" t="s">
        <v>983</v>
      </c>
      <c r="D671" s="84" t="s">
        <v>662</v>
      </c>
      <c r="E671" s="85">
        <v>1999.9999999999998</v>
      </c>
    </row>
    <row r="672" spans="1:5" x14ac:dyDescent="0.25">
      <c r="A672" s="86" t="s">
        <v>1097</v>
      </c>
      <c r="B672" s="88" t="s">
        <v>660</v>
      </c>
      <c r="C672" s="86" t="s">
        <v>661</v>
      </c>
      <c r="D672" s="88" t="s">
        <v>662</v>
      </c>
      <c r="E672" s="87">
        <v>1057.5</v>
      </c>
    </row>
    <row r="673" spans="1:5" x14ac:dyDescent="0.25">
      <c r="A673" s="86" t="s">
        <v>1097</v>
      </c>
      <c r="B673" s="88" t="s">
        <v>660</v>
      </c>
      <c r="C673" s="86" t="s">
        <v>665</v>
      </c>
      <c r="D673" s="88" t="s">
        <v>662</v>
      </c>
      <c r="E673" s="87">
        <v>45</v>
      </c>
    </row>
    <row r="674" spans="1:5" x14ac:dyDescent="0.25">
      <c r="A674" s="86" t="s">
        <v>1097</v>
      </c>
      <c r="B674" s="88" t="s">
        <v>660</v>
      </c>
      <c r="C674" s="86" t="s">
        <v>668</v>
      </c>
      <c r="D674" s="88" t="s">
        <v>662</v>
      </c>
      <c r="E674" s="87">
        <v>60</v>
      </c>
    </row>
    <row r="675" spans="1:5" x14ac:dyDescent="0.25">
      <c r="A675" s="86" t="s">
        <v>1097</v>
      </c>
      <c r="B675" s="88" t="s">
        <v>660</v>
      </c>
      <c r="C675" s="86" t="s">
        <v>84</v>
      </c>
      <c r="D675" s="88" t="s">
        <v>662</v>
      </c>
      <c r="E675" s="87">
        <v>90</v>
      </c>
    </row>
    <row r="676" spans="1:5" x14ac:dyDescent="0.25">
      <c r="A676" s="86" t="s">
        <v>1097</v>
      </c>
      <c r="B676" s="88" t="s">
        <v>660</v>
      </c>
      <c r="C676" s="86" t="s">
        <v>672</v>
      </c>
      <c r="D676" s="88" t="s">
        <v>662</v>
      </c>
      <c r="E676" s="87">
        <v>7.5</v>
      </c>
    </row>
    <row r="677" spans="1:5" x14ac:dyDescent="0.25">
      <c r="A677" s="86" t="s">
        <v>1097</v>
      </c>
      <c r="B677" s="88" t="s">
        <v>660</v>
      </c>
      <c r="C677" s="86" t="s">
        <v>675</v>
      </c>
      <c r="D677" s="88" t="s">
        <v>662</v>
      </c>
      <c r="E677" s="87">
        <v>75</v>
      </c>
    </row>
    <row r="678" spans="1:5" x14ac:dyDescent="0.25">
      <c r="A678" s="86" t="s">
        <v>1097</v>
      </c>
      <c r="B678" s="88" t="s">
        <v>660</v>
      </c>
      <c r="C678" s="86" t="s">
        <v>677</v>
      </c>
      <c r="D678" s="88" t="s">
        <v>662</v>
      </c>
      <c r="E678" s="87">
        <v>45</v>
      </c>
    </row>
    <row r="679" spans="1:5" x14ac:dyDescent="0.25">
      <c r="A679" s="86" t="s">
        <v>1097</v>
      </c>
      <c r="B679" s="88" t="s">
        <v>660</v>
      </c>
      <c r="C679" s="86" t="s">
        <v>113</v>
      </c>
      <c r="D679" s="88" t="s">
        <v>662</v>
      </c>
      <c r="E679" s="87">
        <v>0</v>
      </c>
    </row>
    <row r="680" spans="1:5" x14ac:dyDescent="0.25">
      <c r="A680" s="86" t="s">
        <v>1097</v>
      </c>
      <c r="B680" s="88" t="s">
        <v>660</v>
      </c>
      <c r="C680" s="86" t="s">
        <v>1097</v>
      </c>
      <c r="D680" s="88" t="s">
        <v>662</v>
      </c>
      <c r="E680" s="87">
        <v>120</v>
      </c>
    </row>
    <row r="681" spans="1:5" x14ac:dyDescent="0.25">
      <c r="A681" s="86" t="s">
        <v>1097</v>
      </c>
      <c r="B681" s="88" t="s">
        <v>660</v>
      </c>
      <c r="C681" s="86" t="s">
        <v>692</v>
      </c>
      <c r="D681" s="88" t="s">
        <v>662</v>
      </c>
      <c r="E681" s="87">
        <v>75</v>
      </c>
    </row>
    <row r="682" spans="1:5" x14ac:dyDescent="0.25">
      <c r="A682" s="86" t="s">
        <v>1097</v>
      </c>
      <c r="B682" s="88" t="s">
        <v>660</v>
      </c>
      <c r="C682" s="86" t="s">
        <v>687</v>
      </c>
      <c r="D682" s="88" t="s">
        <v>662</v>
      </c>
      <c r="E682" s="87">
        <v>15</v>
      </c>
    </row>
    <row r="683" spans="1:5" x14ac:dyDescent="0.25">
      <c r="A683" s="84" t="s">
        <v>716</v>
      </c>
      <c r="B683" s="84" t="s">
        <v>660</v>
      </c>
      <c r="C683" s="84" t="s">
        <v>661</v>
      </c>
      <c r="D683" s="84" t="s">
        <v>662</v>
      </c>
      <c r="E683" s="85">
        <v>1662.5</v>
      </c>
    </row>
    <row r="684" spans="1:5" x14ac:dyDescent="0.25">
      <c r="A684" s="84" t="s">
        <v>716</v>
      </c>
      <c r="B684" s="84" t="s">
        <v>660</v>
      </c>
      <c r="C684" s="84" t="s">
        <v>665</v>
      </c>
      <c r="D684" s="84" t="s">
        <v>662</v>
      </c>
      <c r="E684" s="85">
        <v>150</v>
      </c>
    </row>
    <row r="685" spans="1:5" x14ac:dyDescent="0.25">
      <c r="A685" s="84" t="s">
        <v>716</v>
      </c>
      <c r="B685" s="84" t="s">
        <v>660</v>
      </c>
      <c r="C685" s="84" t="s">
        <v>668</v>
      </c>
      <c r="D685" s="84" t="s">
        <v>662</v>
      </c>
      <c r="E685" s="85">
        <v>275</v>
      </c>
    </row>
    <row r="686" spans="1:5" x14ac:dyDescent="0.25">
      <c r="A686" s="84" t="s">
        <v>716</v>
      </c>
      <c r="B686" s="84" t="s">
        <v>660</v>
      </c>
      <c r="C686" s="84" t="s">
        <v>84</v>
      </c>
      <c r="D686" s="84" t="s">
        <v>662</v>
      </c>
      <c r="E686" s="85">
        <v>125</v>
      </c>
    </row>
    <row r="687" spans="1:5" x14ac:dyDescent="0.25">
      <c r="A687" s="84" t="s">
        <v>716</v>
      </c>
      <c r="B687" s="84" t="s">
        <v>660</v>
      </c>
      <c r="C687" s="84" t="s">
        <v>672</v>
      </c>
      <c r="D687" s="84" t="s">
        <v>662</v>
      </c>
      <c r="E687" s="85">
        <v>12.5</v>
      </c>
    </row>
    <row r="688" spans="1:5" x14ac:dyDescent="0.25">
      <c r="A688" s="84" t="s">
        <v>716</v>
      </c>
      <c r="B688" s="84" t="s">
        <v>660</v>
      </c>
      <c r="C688" s="84" t="s">
        <v>675</v>
      </c>
      <c r="D688" s="84" t="s">
        <v>662</v>
      </c>
      <c r="E688" s="85">
        <v>100</v>
      </c>
    </row>
    <row r="689" spans="1:5" x14ac:dyDescent="0.25">
      <c r="A689" s="84" t="s">
        <v>716</v>
      </c>
      <c r="B689" s="84" t="s">
        <v>660</v>
      </c>
      <c r="C689" s="84" t="s">
        <v>677</v>
      </c>
      <c r="D689" s="84" t="s">
        <v>662</v>
      </c>
      <c r="E689" s="85">
        <v>50</v>
      </c>
    </row>
    <row r="690" spans="1:5" x14ac:dyDescent="0.25">
      <c r="A690" s="84" t="s">
        <v>716</v>
      </c>
      <c r="B690" s="84" t="s">
        <v>660</v>
      </c>
      <c r="C690" s="84" t="s">
        <v>700</v>
      </c>
      <c r="D690" s="84" t="s">
        <v>662</v>
      </c>
      <c r="E690" s="85">
        <v>125</v>
      </c>
    </row>
    <row r="691" spans="1:5" x14ac:dyDescent="0.25">
      <c r="A691" s="84" t="s">
        <v>716</v>
      </c>
      <c r="B691" s="84" t="s">
        <v>660</v>
      </c>
      <c r="C691" s="84" t="s">
        <v>92</v>
      </c>
      <c r="D691" s="84" t="s">
        <v>662</v>
      </c>
      <c r="E691" s="85">
        <v>187.5</v>
      </c>
    </row>
    <row r="692" spans="1:5" x14ac:dyDescent="0.25">
      <c r="A692" s="86" t="s">
        <v>1098</v>
      </c>
      <c r="B692" s="88" t="s">
        <v>660</v>
      </c>
      <c r="C692" s="86" t="s">
        <v>661</v>
      </c>
      <c r="D692" s="88" t="s">
        <v>662</v>
      </c>
      <c r="E692" s="87">
        <v>1762.5</v>
      </c>
    </row>
    <row r="693" spans="1:5" x14ac:dyDescent="0.25">
      <c r="A693" s="86" t="s">
        <v>1098</v>
      </c>
      <c r="B693" s="88" t="s">
        <v>660</v>
      </c>
      <c r="C693" s="86" t="s">
        <v>665</v>
      </c>
      <c r="D693" s="88" t="s">
        <v>662</v>
      </c>
      <c r="E693" s="87">
        <v>150</v>
      </c>
    </row>
    <row r="694" spans="1:5" x14ac:dyDescent="0.25">
      <c r="A694" s="86" t="s">
        <v>1098</v>
      </c>
      <c r="B694" s="88" t="s">
        <v>660</v>
      </c>
      <c r="C694" s="86" t="s">
        <v>668</v>
      </c>
      <c r="D694" s="88" t="s">
        <v>662</v>
      </c>
      <c r="E694" s="87">
        <v>200</v>
      </c>
    </row>
    <row r="695" spans="1:5" x14ac:dyDescent="0.25">
      <c r="A695" s="86" t="s">
        <v>1098</v>
      </c>
      <c r="B695" s="88" t="s">
        <v>660</v>
      </c>
      <c r="C695" s="86" t="s">
        <v>84</v>
      </c>
      <c r="D695" s="88" t="s">
        <v>662</v>
      </c>
      <c r="E695" s="87">
        <v>100</v>
      </c>
    </row>
    <row r="696" spans="1:5" x14ac:dyDescent="0.25">
      <c r="A696" s="86" t="s">
        <v>1098</v>
      </c>
      <c r="B696" s="88" t="s">
        <v>660</v>
      </c>
      <c r="C696" s="86" t="s">
        <v>672</v>
      </c>
      <c r="D696" s="88" t="s">
        <v>662</v>
      </c>
      <c r="E696" s="87">
        <v>12.5</v>
      </c>
    </row>
    <row r="697" spans="1:5" x14ac:dyDescent="0.25">
      <c r="A697" s="86" t="s">
        <v>1098</v>
      </c>
      <c r="B697" s="88" t="s">
        <v>660</v>
      </c>
      <c r="C697" s="86" t="s">
        <v>675</v>
      </c>
      <c r="D697" s="88" t="s">
        <v>662</v>
      </c>
      <c r="E697" s="87">
        <v>100</v>
      </c>
    </row>
    <row r="698" spans="1:5" x14ac:dyDescent="0.25">
      <c r="A698" s="86" t="s">
        <v>1098</v>
      </c>
      <c r="B698" s="88" t="s">
        <v>660</v>
      </c>
      <c r="C698" s="86" t="s">
        <v>677</v>
      </c>
      <c r="D698" s="88" t="s">
        <v>662</v>
      </c>
      <c r="E698" s="87">
        <v>50</v>
      </c>
    </row>
    <row r="699" spans="1:5" x14ac:dyDescent="0.25">
      <c r="A699" s="86" t="s">
        <v>1098</v>
      </c>
      <c r="B699" s="88" t="s">
        <v>660</v>
      </c>
      <c r="C699" s="86" t="s">
        <v>700</v>
      </c>
      <c r="D699" s="88" t="s">
        <v>662</v>
      </c>
      <c r="E699" s="87">
        <v>125</v>
      </c>
    </row>
    <row r="700" spans="1:5" x14ac:dyDescent="0.25">
      <c r="A700" s="86" t="s">
        <v>1098</v>
      </c>
      <c r="B700" s="88" t="s">
        <v>660</v>
      </c>
      <c r="C700" s="86" t="s">
        <v>1099</v>
      </c>
      <c r="D700" s="88" t="s">
        <v>662</v>
      </c>
      <c r="E700" s="87">
        <v>187.5</v>
      </c>
    </row>
    <row r="701" spans="1:5" x14ac:dyDescent="0.25">
      <c r="A701" s="84" t="s">
        <v>689</v>
      </c>
      <c r="B701" s="84" t="s">
        <v>660</v>
      </c>
      <c r="C701" s="84" t="s">
        <v>661</v>
      </c>
      <c r="D701" s="84" t="s">
        <v>662</v>
      </c>
      <c r="E701" s="85">
        <v>7938.45</v>
      </c>
    </row>
    <row r="702" spans="1:5" x14ac:dyDescent="0.25">
      <c r="A702" s="84" t="s">
        <v>689</v>
      </c>
      <c r="B702" s="84" t="s">
        <v>660</v>
      </c>
      <c r="C702" s="84" t="s">
        <v>665</v>
      </c>
      <c r="D702" s="84" t="s">
        <v>662</v>
      </c>
      <c r="E702" s="85">
        <v>351</v>
      </c>
    </row>
    <row r="703" spans="1:5" x14ac:dyDescent="0.25">
      <c r="A703" s="84" t="s">
        <v>689</v>
      </c>
      <c r="B703" s="84" t="s">
        <v>660</v>
      </c>
      <c r="C703" s="84" t="s">
        <v>668</v>
      </c>
      <c r="D703" s="84" t="s">
        <v>662</v>
      </c>
      <c r="E703" s="85">
        <v>1053</v>
      </c>
    </row>
    <row r="704" spans="1:5" x14ac:dyDescent="0.25">
      <c r="A704" s="84" t="s">
        <v>689</v>
      </c>
      <c r="B704" s="84" t="s">
        <v>660</v>
      </c>
      <c r="C704" s="84" t="s">
        <v>84</v>
      </c>
      <c r="D704" s="84" t="s">
        <v>662</v>
      </c>
      <c r="E704" s="85">
        <v>468</v>
      </c>
    </row>
    <row r="705" spans="1:5" x14ac:dyDescent="0.25">
      <c r="A705" s="84" t="s">
        <v>689</v>
      </c>
      <c r="B705" s="84" t="s">
        <v>660</v>
      </c>
      <c r="C705" s="84" t="s">
        <v>672</v>
      </c>
      <c r="D705" s="84" t="s">
        <v>662</v>
      </c>
      <c r="E705" s="85">
        <v>58.5</v>
      </c>
    </row>
    <row r="706" spans="1:5" x14ac:dyDescent="0.25">
      <c r="A706" s="84" t="s">
        <v>689</v>
      </c>
      <c r="B706" s="84" t="s">
        <v>660</v>
      </c>
      <c r="C706" s="84" t="s">
        <v>675</v>
      </c>
      <c r="D706" s="84" t="s">
        <v>662</v>
      </c>
      <c r="E706" s="85">
        <v>702</v>
      </c>
    </row>
    <row r="707" spans="1:5" x14ac:dyDescent="0.25">
      <c r="A707" s="84" t="s">
        <v>689</v>
      </c>
      <c r="B707" s="84" t="s">
        <v>660</v>
      </c>
      <c r="C707" s="84" t="s">
        <v>677</v>
      </c>
      <c r="D707" s="84" t="s">
        <v>662</v>
      </c>
      <c r="E707" s="85">
        <v>351</v>
      </c>
    </row>
    <row r="708" spans="1:5" x14ac:dyDescent="0.25">
      <c r="A708" s="84" t="s">
        <v>689</v>
      </c>
      <c r="B708" s="84" t="s">
        <v>660</v>
      </c>
      <c r="C708" s="84" t="s">
        <v>691</v>
      </c>
      <c r="D708" s="84" t="s">
        <v>662</v>
      </c>
      <c r="E708" s="85">
        <v>760.5</v>
      </c>
    </row>
    <row r="709" spans="1:5" x14ac:dyDescent="0.25">
      <c r="A709" s="84" t="s">
        <v>689</v>
      </c>
      <c r="B709" s="84" t="s">
        <v>660</v>
      </c>
      <c r="C709" s="84" t="s">
        <v>113</v>
      </c>
      <c r="D709" s="84" t="s">
        <v>662</v>
      </c>
      <c r="E709" s="85">
        <v>17.549999999999997</v>
      </c>
    </row>
    <row r="710" spans="1:5" x14ac:dyDescent="0.25">
      <c r="A710" s="84" t="s">
        <v>689</v>
      </c>
      <c r="B710" s="84" t="s">
        <v>660</v>
      </c>
      <c r="C710" s="84" t="s">
        <v>692</v>
      </c>
      <c r="D710" s="84" t="s">
        <v>662</v>
      </c>
      <c r="E710" s="85">
        <v>877.5</v>
      </c>
    </row>
    <row r="711" spans="1:5" x14ac:dyDescent="0.25">
      <c r="A711" s="84" t="s">
        <v>689</v>
      </c>
      <c r="B711" s="84" t="s">
        <v>660</v>
      </c>
      <c r="C711" s="84" t="s">
        <v>687</v>
      </c>
      <c r="D711" s="84" t="s">
        <v>662</v>
      </c>
      <c r="E711" s="85">
        <v>146.25</v>
      </c>
    </row>
    <row r="712" spans="1:5" x14ac:dyDescent="0.25">
      <c r="A712" s="86" t="s">
        <v>1100</v>
      </c>
      <c r="B712" s="88" t="s">
        <v>660</v>
      </c>
      <c r="C712" s="86" t="s">
        <v>661</v>
      </c>
      <c r="D712" s="88" t="s">
        <v>662</v>
      </c>
      <c r="E712" s="87">
        <v>1637.5</v>
      </c>
    </row>
    <row r="713" spans="1:5" x14ac:dyDescent="0.25">
      <c r="A713" s="86" t="s">
        <v>1100</v>
      </c>
      <c r="B713" s="88" t="s">
        <v>660</v>
      </c>
      <c r="C713" s="86" t="s">
        <v>665</v>
      </c>
      <c r="D713" s="88" t="s">
        <v>662</v>
      </c>
      <c r="E713" s="87">
        <v>50</v>
      </c>
    </row>
    <row r="714" spans="1:5" x14ac:dyDescent="0.25">
      <c r="A714" s="86" t="s">
        <v>1100</v>
      </c>
      <c r="B714" s="88" t="s">
        <v>660</v>
      </c>
      <c r="C714" s="86" t="s">
        <v>668</v>
      </c>
      <c r="D714" s="88" t="s">
        <v>662</v>
      </c>
      <c r="E714" s="87">
        <v>0</v>
      </c>
    </row>
    <row r="715" spans="1:5" x14ac:dyDescent="0.25">
      <c r="A715" s="86" t="s">
        <v>1100</v>
      </c>
      <c r="B715" s="88" t="s">
        <v>660</v>
      </c>
      <c r="C715" s="86" t="s">
        <v>84</v>
      </c>
      <c r="D715" s="88" t="s">
        <v>662</v>
      </c>
      <c r="E715" s="87">
        <v>100</v>
      </c>
    </row>
    <row r="716" spans="1:5" x14ac:dyDescent="0.25">
      <c r="A716" s="86" t="s">
        <v>1100</v>
      </c>
      <c r="B716" s="88" t="s">
        <v>660</v>
      </c>
      <c r="C716" s="86" t="s">
        <v>672</v>
      </c>
      <c r="D716" s="88" t="s">
        <v>662</v>
      </c>
      <c r="E716" s="87">
        <v>12.5</v>
      </c>
    </row>
    <row r="717" spans="1:5" x14ac:dyDescent="0.25">
      <c r="A717" s="86" t="s">
        <v>1100</v>
      </c>
      <c r="B717" s="88" t="s">
        <v>660</v>
      </c>
      <c r="C717" s="86" t="s">
        <v>675</v>
      </c>
      <c r="D717" s="88" t="s">
        <v>662</v>
      </c>
      <c r="E717" s="87">
        <v>87.5</v>
      </c>
    </row>
    <row r="718" spans="1:5" x14ac:dyDescent="0.25">
      <c r="A718" s="86" t="s">
        <v>1100</v>
      </c>
      <c r="B718" s="88" t="s">
        <v>660</v>
      </c>
      <c r="C718" s="86" t="s">
        <v>677</v>
      </c>
      <c r="D718" s="88" t="s">
        <v>662</v>
      </c>
      <c r="E718" s="87">
        <v>62.5</v>
      </c>
    </row>
    <row r="719" spans="1:5" x14ac:dyDescent="0.25">
      <c r="A719" s="86" t="s">
        <v>1100</v>
      </c>
      <c r="B719" s="88" t="s">
        <v>660</v>
      </c>
      <c r="C719" s="86" t="s">
        <v>698</v>
      </c>
      <c r="D719" s="88" t="s">
        <v>662</v>
      </c>
      <c r="E719" s="87">
        <v>500</v>
      </c>
    </row>
    <row r="720" spans="1:5" x14ac:dyDescent="0.25">
      <c r="A720" s="86" t="s">
        <v>1100</v>
      </c>
      <c r="B720" s="88" t="s">
        <v>660</v>
      </c>
      <c r="C720" s="86" t="s">
        <v>993</v>
      </c>
      <c r="D720" s="88" t="s">
        <v>662</v>
      </c>
      <c r="E720" s="87">
        <v>50</v>
      </c>
    </row>
    <row r="721" spans="1:5" x14ac:dyDescent="0.25">
      <c r="A721" s="86" t="s">
        <v>1100</v>
      </c>
      <c r="B721" s="88" t="s">
        <v>660</v>
      </c>
      <c r="C721" s="86" t="s">
        <v>692</v>
      </c>
      <c r="D721" s="88" t="s">
        <v>662</v>
      </c>
      <c r="E721" s="87">
        <v>187.5</v>
      </c>
    </row>
    <row r="722" spans="1:5" x14ac:dyDescent="0.25">
      <c r="A722" s="86" t="s">
        <v>1100</v>
      </c>
      <c r="B722" s="88" t="s">
        <v>660</v>
      </c>
      <c r="C722" s="86" t="s">
        <v>1017</v>
      </c>
      <c r="D722" s="88" t="s">
        <v>662</v>
      </c>
      <c r="E722" s="87">
        <v>125</v>
      </c>
    </row>
    <row r="723" spans="1:5" x14ac:dyDescent="0.25">
      <c r="A723" s="84" t="s">
        <v>1101</v>
      </c>
      <c r="B723" s="84" t="s">
        <v>660</v>
      </c>
      <c r="C723" s="84" t="s">
        <v>661</v>
      </c>
      <c r="D723" s="84" t="s">
        <v>662</v>
      </c>
      <c r="E723" s="85">
        <v>2641.1483253588517</v>
      </c>
    </row>
    <row r="724" spans="1:5" x14ac:dyDescent="0.25">
      <c r="A724" s="84" t="s">
        <v>1101</v>
      </c>
      <c r="B724" s="84" t="s">
        <v>660</v>
      </c>
      <c r="C724" s="84" t="s">
        <v>665</v>
      </c>
      <c r="D724" s="84" t="s">
        <v>662</v>
      </c>
      <c r="E724" s="85">
        <v>0</v>
      </c>
    </row>
    <row r="725" spans="1:5" x14ac:dyDescent="0.25">
      <c r="A725" s="84" t="s">
        <v>1101</v>
      </c>
      <c r="B725" s="84" t="s">
        <v>660</v>
      </c>
      <c r="C725" s="84" t="s">
        <v>668</v>
      </c>
      <c r="D725" s="84" t="s">
        <v>662</v>
      </c>
      <c r="E725" s="85">
        <v>306.22009569377991</v>
      </c>
    </row>
    <row r="726" spans="1:5" x14ac:dyDescent="0.25">
      <c r="A726" s="84" t="s">
        <v>1101</v>
      </c>
      <c r="B726" s="84" t="s">
        <v>660</v>
      </c>
      <c r="C726" s="84" t="s">
        <v>672</v>
      </c>
      <c r="D726" s="84" t="s">
        <v>662</v>
      </c>
      <c r="E726" s="85">
        <v>19.138755980861244</v>
      </c>
    </row>
    <row r="727" spans="1:5" x14ac:dyDescent="0.25">
      <c r="A727" s="84" t="s">
        <v>1101</v>
      </c>
      <c r="B727" s="84" t="s">
        <v>660</v>
      </c>
      <c r="C727" s="84" t="s">
        <v>675</v>
      </c>
      <c r="D727" s="84" t="s">
        <v>662</v>
      </c>
      <c r="E727" s="85">
        <v>153.11004784688996</v>
      </c>
    </row>
    <row r="728" spans="1:5" x14ac:dyDescent="0.25">
      <c r="A728" s="84" t="s">
        <v>1101</v>
      </c>
      <c r="B728" s="84" t="s">
        <v>660</v>
      </c>
      <c r="C728" s="84" t="s">
        <v>677</v>
      </c>
      <c r="D728" s="84" t="s">
        <v>662</v>
      </c>
      <c r="E728" s="85">
        <v>114.83253588516746</v>
      </c>
    </row>
    <row r="729" spans="1:5" x14ac:dyDescent="0.25">
      <c r="A729" s="84" t="s">
        <v>1101</v>
      </c>
      <c r="B729" s="84" t="s">
        <v>660</v>
      </c>
      <c r="C729" s="84" t="s">
        <v>1102</v>
      </c>
      <c r="D729" s="84" t="s">
        <v>662</v>
      </c>
      <c r="E729" s="85">
        <v>765.5502392344498</v>
      </c>
    </row>
    <row r="730" spans="1:5" x14ac:dyDescent="0.25">
      <c r="A730" s="84" t="s">
        <v>1101</v>
      </c>
      <c r="B730" s="84" t="s">
        <v>660</v>
      </c>
      <c r="C730" s="84" t="s">
        <v>1102</v>
      </c>
      <c r="D730" s="84" t="s">
        <v>662</v>
      </c>
      <c r="E730" s="85">
        <v>400</v>
      </c>
    </row>
    <row r="731" spans="1:5" x14ac:dyDescent="0.25">
      <c r="A731" s="86" t="s">
        <v>1103</v>
      </c>
      <c r="B731" s="88" t="s">
        <v>660</v>
      </c>
      <c r="C731" s="86" t="s">
        <v>661</v>
      </c>
      <c r="D731" s="88" t="s">
        <v>662</v>
      </c>
      <c r="E731" s="87">
        <v>8713.636363636364</v>
      </c>
    </row>
    <row r="732" spans="1:5" x14ac:dyDescent="0.25">
      <c r="A732" s="86" t="s">
        <v>1103</v>
      </c>
      <c r="B732" s="88" t="s">
        <v>660</v>
      </c>
      <c r="C732" s="86" t="s">
        <v>665</v>
      </c>
      <c r="D732" s="88" t="s">
        <v>662</v>
      </c>
      <c r="E732" s="87">
        <v>981.81818181818187</v>
      </c>
    </row>
    <row r="733" spans="1:5" x14ac:dyDescent="0.25">
      <c r="A733" s="86" t="s">
        <v>1103</v>
      </c>
      <c r="B733" s="88" t="s">
        <v>660</v>
      </c>
      <c r="C733" s="86" t="s">
        <v>668</v>
      </c>
      <c r="D733" s="88" t="s">
        <v>662</v>
      </c>
      <c r="E733" s="87">
        <v>1472.7272727272727</v>
      </c>
    </row>
    <row r="734" spans="1:5" x14ac:dyDescent="0.25">
      <c r="A734" s="86" t="s">
        <v>1103</v>
      </c>
      <c r="B734" s="88" t="s">
        <v>660</v>
      </c>
      <c r="C734" s="86" t="s">
        <v>84</v>
      </c>
      <c r="D734" s="88" t="s">
        <v>662</v>
      </c>
      <c r="E734" s="87">
        <v>122.72727272727273</v>
      </c>
    </row>
    <row r="735" spans="1:5" x14ac:dyDescent="0.25">
      <c r="A735" s="86" t="s">
        <v>1103</v>
      </c>
      <c r="B735" s="88" t="s">
        <v>660</v>
      </c>
      <c r="C735" s="86" t="s">
        <v>672</v>
      </c>
      <c r="D735" s="88" t="s">
        <v>662</v>
      </c>
      <c r="E735" s="87">
        <v>61.363636363636367</v>
      </c>
    </row>
    <row r="736" spans="1:5" x14ac:dyDescent="0.25">
      <c r="A736" s="86" t="s">
        <v>1103</v>
      </c>
      <c r="B736" s="88" t="s">
        <v>660</v>
      </c>
      <c r="C736" s="86" t="s">
        <v>675</v>
      </c>
      <c r="D736" s="88" t="s">
        <v>662</v>
      </c>
      <c r="E736" s="87">
        <v>552.27272727272725</v>
      </c>
    </row>
    <row r="737" spans="1:5" x14ac:dyDescent="0.25">
      <c r="A737" s="86" t="s">
        <v>1103</v>
      </c>
      <c r="B737" s="88" t="s">
        <v>660</v>
      </c>
      <c r="C737" s="86" t="s">
        <v>677</v>
      </c>
      <c r="D737" s="88" t="s">
        <v>662</v>
      </c>
      <c r="E737" s="87">
        <v>368.18181818181819</v>
      </c>
    </row>
    <row r="738" spans="1:5" x14ac:dyDescent="0.25">
      <c r="A738" s="86" t="s">
        <v>1103</v>
      </c>
      <c r="B738" s="88" t="s">
        <v>660</v>
      </c>
      <c r="C738" s="86" t="s">
        <v>1104</v>
      </c>
      <c r="D738" s="88" t="s">
        <v>662</v>
      </c>
      <c r="E738" s="87">
        <v>1227.2727272727273</v>
      </c>
    </row>
    <row r="739" spans="1:5" x14ac:dyDescent="0.25">
      <c r="A739" s="86" t="s">
        <v>1103</v>
      </c>
      <c r="B739" s="88" t="s">
        <v>660</v>
      </c>
      <c r="C739" s="86" t="s">
        <v>1105</v>
      </c>
      <c r="D739" s="88" t="s">
        <v>662</v>
      </c>
      <c r="E739" s="87">
        <v>1350</v>
      </c>
    </row>
    <row r="740" spans="1:5" x14ac:dyDescent="0.25">
      <c r="A740" s="84" t="s">
        <v>1106</v>
      </c>
      <c r="B740" s="84" t="s">
        <v>660</v>
      </c>
      <c r="C740" s="84" t="s">
        <v>661</v>
      </c>
      <c r="D740" s="84" t="s">
        <v>662</v>
      </c>
      <c r="E740" s="85">
        <v>4038</v>
      </c>
    </row>
    <row r="741" spans="1:5" x14ac:dyDescent="0.25">
      <c r="A741" s="84" t="s">
        <v>1106</v>
      </c>
      <c r="B741" s="84" t="s">
        <v>660</v>
      </c>
      <c r="C741" s="84" t="s">
        <v>84</v>
      </c>
      <c r="D741" s="84" t="s">
        <v>662</v>
      </c>
      <c r="E741" s="85">
        <v>798</v>
      </c>
    </row>
    <row r="742" spans="1:5" x14ac:dyDescent="0.25">
      <c r="A742" s="84" t="s">
        <v>1106</v>
      </c>
      <c r="B742" s="84" t="s">
        <v>660</v>
      </c>
      <c r="C742" s="84" t="s">
        <v>672</v>
      </c>
      <c r="D742" s="84" t="s">
        <v>662</v>
      </c>
      <c r="E742" s="85">
        <v>30</v>
      </c>
    </row>
    <row r="743" spans="1:5" x14ac:dyDescent="0.25">
      <c r="A743" s="84" t="s">
        <v>1106</v>
      </c>
      <c r="B743" s="84" t="s">
        <v>660</v>
      </c>
      <c r="C743" s="84" t="s">
        <v>675</v>
      </c>
      <c r="D743" s="84" t="s">
        <v>662</v>
      </c>
      <c r="E743" s="85">
        <v>198</v>
      </c>
    </row>
    <row r="744" spans="1:5" x14ac:dyDescent="0.25">
      <c r="A744" s="84" t="s">
        <v>1106</v>
      </c>
      <c r="B744" s="84" t="s">
        <v>660</v>
      </c>
      <c r="C744" s="84" t="s">
        <v>677</v>
      </c>
      <c r="D744" s="84" t="s">
        <v>662</v>
      </c>
      <c r="E744" s="85">
        <v>156</v>
      </c>
    </row>
    <row r="745" spans="1:5" x14ac:dyDescent="0.25">
      <c r="A745" s="84" t="s">
        <v>1106</v>
      </c>
      <c r="B745" s="84" t="s">
        <v>660</v>
      </c>
      <c r="C745" s="84" t="s">
        <v>1106</v>
      </c>
      <c r="D745" s="84" t="s">
        <v>662</v>
      </c>
      <c r="E745" s="85">
        <v>780</v>
      </c>
    </row>
    <row r="746" spans="1:5" x14ac:dyDescent="0.25">
      <c r="A746" s="84" t="s">
        <v>1106</v>
      </c>
      <c r="B746" s="84" t="s">
        <v>660</v>
      </c>
      <c r="C746" s="84" t="s">
        <v>692</v>
      </c>
      <c r="D746" s="84" t="s">
        <v>662</v>
      </c>
      <c r="E746" s="85">
        <v>450</v>
      </c>
    </row>
    <row r="747" spans="1:5" x14ac:dyDescent="0.25">
      <c r="A747" s="84" t="s">
        <v>1106</v>
      </c>
      <c r="B747" s="84" t="s">
        <v>660</v>
      </c>
      <c r="C747" s="84" t="s">
        <v>687</v>
      </c>
      <c r="D747" s="84" t="s">
        <v>662</v>
      </c>
      <c r="E747" s="85">
        <v>150</v>
      </c>
    </row>
    <row r="748" spans="1:5" x14ac:dyDescent="0.25">
      <c r="A748" s="86" t="s">
        <v>775</v>
      </c>
      <c r="B748" s="88" t="s">
        <v>660</v>
      </c>
      <c r="C748" s="86" t="s">
        <v>661</v>
      </c>
      <c r="D748" s="88" t="s">
        <v>662</v>
      </c>
      <c r="E748" s="87">
        <v>3959.1682419659733</v>
      </c>
    </row>
    <row r="749" spans="1:5" x14ac:dyDescent="0.25">
      <c r="A749" s="86" t="s">
        <v>775</v>
      </c>
      <c r="B749" s="88" t="s">
        <v>660</v>
      </c>
      <c r="C749" s="86" t="s">
        <v>668</v>
      </c>
      <c r="D749" s="88" t="s">
        <v>662</v>
      </c>
      <c r="E749" s="87">
        <v>299.93698802772525</v>
      </c>
    </row>
    <row r="750" spans="1:5" x14ac:dyDescent="0.25">
      <c r="A750" s="86" t="s">
        <v>775</v>
      </c>
      <c r="B750" s="88" t="s">
        <v>660</v>
      </c>
      <c r="C750" s="86" t="s">
        <v>672</v>
      </c>
      <c r="D750" s="88" t="s">
        <v>662</v>
      </c>
      <c r="E750" s="87">
        <v>29.993698802772528</v>
      </c>
    </row>
    <row r="751" spans="1:5" x14ac:dyDescent="0.25">
      <c r="A751" s="86" t="s">
        <v>775</v>
      </c>
      <c r="B751" s="88" t="s">
        <v>660</v>
      </c>
      <c r="C751" s="86" t="s">
        <v>675</v>
      </c>
      <c r="D751" s="88" t="s">
        <v>662</v>
      </c>
      <c r="E751" s="87">
        <v>239.94959042218022</v>
      </c>
    </row>
    <row r="752" spans="1:5" x14ac:dyDescent="0.25">
      <c r="A752" s="86" t="s">
        <v>775</v>
      </c>
      <c r="B752" s="88" t="s">
        <v>660</v>
      </c>
      <c r="C752" s="86" t="s">
        <v>677</v>
      </c>
      <c r="D752" s="88" t="s">
        <v>662</v>
      </c>
      <c r="E752" s="87">
        <v>151.22873345935727</v>
      </c>
    </row>
    <row r="753" spans="1:5" x14ac:dyDescent="0.25">
      <c r="A753" s="86" t="s">
        <v>775</v>
      </c>
      <c r="B753" s="88" t="s">
        <v>660</v>
      </c>
      <c r="C753" s="86" t="s">
        <v>1052</v>
      </c>
      <c r="D753" s="88" t="s">
        <v>662</v>
      </c>
      <c r="E753" s="87">
        <v>1319.7227473219912</v>
      </c>
    </row>
    <row r="754" spans="1:5" x14ac:dyDescent="0.25">
      <c r="A754" s="86" t="s">
        <v>775</v>
      </c>
      <c r="B754" s="88" t="s">
        <v>660</v>
      </c>
      <c r="C754" s="86" t="s">
        <v>1107</v>
      </c>
      <c r="D754" s="88" t="s">
        <v>662</v>
      </c>
      <c r="E754" s="87">
        <v>450</v>
      </c>
    </row>
    <row r="755" spans="1:5" x14ac:dyDescent="0.25">
      <c r="A755" s="86" t="s">
        <v>775</v>
      </c>
      <c r="B755" s="88" t="s">
        <v>660</v>
      </c>
      <c r="C755" s="86" t="s">
        <v>1088</v>
      </c>
      <c r="D755" s="88" t="s">
        <v>662</v>
      </c>
      <c r="E755" s="87">
        <v>300</v>
      </c>
    </row>
    <row r="756" spans="1:5" x14ac:dyDescent="0.25">
      <c r="A756" s="86" t="s">
        <v>775</v>
      </c>
      <c r="B756" s="88" t="s">
        <v>660</v>
      </c>
      <c r="C756" s="86" t="s">
        <v>1108</v>
      </c>
      <c r="D756" s="88" t="s">
        <v>662</v>
      </c>
      <c r="E756" s="87">
        <v>396</v>
      </c>
    </row>
    <row r="757" spans="1:5" x14ac:dyDescent="0.25">
      <c r="A757" s="84" t="s">
        <v>1109</v>
      </c>
      <c r="B757" s="84" t="s">
        <v>660</v>
      </c>
      <c r="C757" s="84" t="s">
        <v>985</v>
      </c>
      <c r="D757" s="84" t="s">
        <v>662</v>
      </c>
      <c r="E757" s="85">
        <v>2669</v>
      </c>
    </row>
    <row r="758" spans="1:5" x14ac:dyDescent="0.25">
      <c r="A758" s="84" t="s">
        <v>1109</v>
      </c>
      <c r="B758" s="84" t="s">
        <v>660</v>
      </c>
      <c r="C758" s="84" t="s">
        <v>668</v>
      </c>
      <c r="D758" s="84" t="s">
        <v>662</v>
      </c>
      <c r="E758" s="85">
        <v>176.79999999999998</v>
      </c>
    </row>
    <row r="759" spans="1:5" x14ac:dyDescent="0.25">
      <c r="A759" s="84" t="s">
        <v>1109</v>
      </c>
      <c r="B759" s="84" t="s">
        <v>660</v>
      </c>
      <c r="C759" s="84" t="s">
        <v>978</v>
      </c>
      <c r="D759" s="84" t="s">
        <v>662</v>
      </c>
      <c r="E759" s="85">
        <v>119</v>
      </c>
    </row>
    <row r="760" spans="1:5" x14ac:dyDescent="0.25">
      <c r="A760" s="84" t="s">
        <v>1109</v>
      </c>
      <c r="B760" s="84" t="s">
        <v>660</v>
      </c>
      <c r="C760" s="84" t="s">
        <v>84</v>
      </c>
      <c r="D760" s="84" t="s">
        <v>662</v>
      </c>
      <c r="E760" s="85">
        <v>78.2</v>
      </c>
    </row>
    <row r="761" spans="1:5" x14ac:dyDescent="0.25">
      <c r="A761" s="84" t="s">
        <v>1109</v>
      </c>
      <c r="B761" s="84" t="s">
        <v>660</v>
      </c>
      <c r="C761" s="84" t="s">
        <v>675</v>
      </c>
      <c r="D761" s="84" t="s">
        <v>662</v>
      </c>
      <c r="E761" s="85">
        <v>306</v>
      </c>
    </row>
    <row r="762" spans="1:5" x14ac:dyDescent="0.25">
      <c r="A762" s="84" t="s">
        <v>1109</v>
      </c>
      <c r="B762" s="84" t="s">
        <v>660</v>
      </c>
      <c r="C762" s="84" t="s">
        <v>979</v>
      </c>
      <c r="D762" s="84" t="s">
        <v>662</v>
      </c>
      <c r="E762" s="85">
        <v>51</v>
      </c>
    </row>
    <row r="763" spans="1:5" x14ac:dyDescent="0.25">
      <c r="A763" s="84" t="s">
        <v>1109</v>
      </c>
      <c r="B763" s="84" t="s">
        <v>660</v>
      </c>
      <c r="C763" s="84" t="s">
        <v>152</v>
      </c>
      <c r="D763" s="84" t="s">
        <v>662</v>
      </c>
      <c r="E763" s="85">
        <v>255</v>
      </c>
    </row>
    <row r="764" spans="1:5" x14ac:dyDescent="0.25">
      <c r="A764" s="86" t="s">
        <v>1110</v>
      </c>
      <c r="B764" s="88" t="s">
        <v>660</v>
      </c>
      <c r="C764" s="86" t="s">
        <v>661</v>
      </c>
      <c r="D764" s="88" t="s">
        <v>662</v>
      </c>
      <c r="E764" s="87">
        <v>2560</v>
      </c>
    </row>
    <row r="765" spans="1:5" x14ac:dyDescent="0.25">
      <c r="A765" s="86" t="s">
        <v>1110</v>
      </c>
      <c r="B765" s="88" t="s">
        <v>660</v>
      </c>
      <c r="C765" s="86" t="s">
        <v>672</v>
      </c>
      <c r="D765" s="88" t="s">
        <v>662</v>
      </c>
      <c r="E765" s="87">
        <v>20</v>
      </c>
    </row>
    <row r="766" spans="1:5" x14ac:dyDescent="0.25">
      <c r="A766" s="86" t="s">
        <v>1110</v>
      </c>
      <c r="B766" s="88" t="s">
        <v>660</v>
      </c>
      <c r="C766" s="86" t="s">
        <v>675</v>
      </c>
      <c r="D766" s="88" t="s">
        <v>662</v>
      </c>
      <c r="E766" s="87">
        <v>180</v>
      </c>
    </row>
    <row r="767" spans="1:5" x14ac:dyDescent="0.25">
      <c r="A767" s="86" t="s">
        <v>1110</v>
      </c>
      <c r="B767" s="88" t="s">
        <v>660</v>
      </c>
      <c r="C767" s="86" t="s">
        <v>677</v>
      </c>
      <c r="D767" s="88" t="s">
        <v>662</v>
      </c>
      <c r="E767" s="87">
        <v>120</v>
      </c>
    </row>
    <row r="768" spans="1:5" x14ac:dyDescent="0.25">
      <c r="A768" s="86" t="s">
        <v>1110</v>
      </c>
      <c r="B768" s="88" t="s">
        <v>660</v>
      </c>
      <c r="C768" s="86" t="s">
        <v>159</v>
      </c>
      <c r="D768" s="88" t="s">
        <v>662</v>
      </c>
      <c r="E768" s="87">
        <v>1120</v>
      </c>
    </row>
    <row r="769" spans="1:5" x14ac:dyDescent="0.25">
      <c r="A769" s="84" t="s">
        <v>1111</v>
      </c>
      <c r="B769" s="84" t="s">
        <v>660</v>
      </c>
      <c r="C769" s="84" t="s">
        <v>661</v>
      </c>
      <c r="D769" s="84" t="s">
        <v>662</v>
      </c>
      <c r="E769" s="85">
        <v>3000</v>
      </c>
    </row>
    <row r="770" spans="1:5" x14ac:dyDescent="0.25">
      <c r="A770" s="84" t="s">
        <v>1111</v>
      </c>
      <c r="B770" s="84" t="s">
        <v>660</v>
      </c>
      <c r="C770" s="84" t="s">
        <v>677</v>
      </c>
      <c r="D770" s="84" t="s">
        <v>662</v>
      </c>
      <c r="E770" s="85">
        <v>400</v>
      </c>
    </row>
    <row r="771" spans="1:5" x14ac:dyDescent="0.25">
      <c r="A771" s="84" t="s">
        <v>1111</v>
      </c>
      <c r="B771" s="84" t="s">
        <v>660</v>
      </c>
      <c r="C771" s="84" t="s">
        <v>1062</v>
      </c>
      <c r="D771" s="84" t="s">
        <v>662</v>
      </c>
      <c r="E771" s="85">
        <v>900</v>
      </c>
    </row>
    <row r="772" spans="1:5" x14ac:dyDescent="0.25">
      <c r="A772" s="86" t="s">
        <v>1112</v>
      </c>
      <c r="B772" s="88" t="s">
        <v>660</v>
      </c>
      <c r="C772" s="86" t="s">
        <v>661</v>
      </c>
      <c r="D772" s="88" t="s">
        <v>662</v>
      </c>
      <c r="E772" s="87">
        <v>2500</v>
      </c>
    </row>
    <row r="773" spans="1:5" x14ac:dyDescent="0.25">
      <c r="A773" s="86" t="s">
        <v>1112</v>
      </c>
      <c r="B773" s="88" t="s">
        <v>660</v>
      </c>
      <c r="C773" s="86" t="s">
        <v>677</v>
      </c>
      <c r="D773" s="88" t="s">
        <v>662</v>
      </c>
      <c r="E773" s="87">
        <v>400</v>
      </c>
    </row>
    <row r="774" spans="1:5" x14ac:dyDescent="0.25">
      <c r="A774" s="86" t="s">
        <v>1112</v>
      </c>
      <c r="B774" s="88" t="s">
        <v>660</v>
      </c>
      <c r="C774" s="86" t="s">
        <v>1062</v>
      </c>
      <c r="D774" s="88" t="s">
        <v>662</v>
      </c>
      <c r="E774" s="87">
        <v>900</v>
      </c>
    </row>
    <row r="775" spans="1:5" x14ac:dyDescent="0.25">
      <c r="A775" s="86" t="s">
        <v>1112</v>
      </c>
      <c r="B775" s="88" t="s">
        <v>660</v>
      </c>
      <c r="C775" s="86" t="s">
        <v>1007</v>
      </c>
      <c r="D775" s="88" t="s">
        <v>662</v>
      </c>
      <c r="E775" s="87">
        <v>500</v>
      </c>
    </row>
    <row r="776" spans="1:5" x14ac:dyDescent="0.25">
      <c r="A776" s="86" t="s">
        <v>1113</v>
      </c>
      <c r="B776" s="88" t="s">
        <v>660</v>
      </c>
      <c r="C776" s="86" t="s">
        <v>661</v>
      </c>
      <c r="D776" s="88" t="s">
        <v>662</v>
      </c>
      <c r="E776" s="87">
        <v>2500</v>
      </c>
    </row>
    <row r="777" spans="1:5" x14ac:dyDescent="0.25">
      <c r="A777" s="86" t="s">
        <v>1113</v>
      </c>
      <c r="B777" s="88" t="s">
        <v>660</v>
      </c>
      <c r="C777" s="86" t="s">
        <v>677</v>
      </c>
      <c r="D777" s="88" t="s">
        <v>662</v>
      </c>
      <c r="E777" s="87">
        <v>400</v>
      </c>
    </row>
    <row r="778" spans="1:5" x14ac:dyDescent="0.25">
      <c r="A778" s="86" t="s">
        <v>1113</v>
      </c>
      <c r="B778" s="88" t="s">
        <v>660</v>
      </c>
      <c r="C778" s="86" t="s">
        <v>1062</v>
      </c>
      <c r="D778" s="88" t="s">
        <v>662</v>
      </c>
      <c r="E778" s="87">
        <v>900</v>
      </c>
    </row>
    <row r="779" spans="1:5" x14ac:dyDescent="0.25">
      <c r="A779" s="86" t="s">
        <v>1113</v>
      </c>
      <c r="B779" s="88" t="s">
        <v>660</v>
      </c>
      <c r="C779" s="86" t="s">
        <v>987</v>
      </c>
      <c r="D779" s="88" t="s">
        <v>662</v>
      </c>
      <c r="E779" s="87">
        <v>1000</v>
      </c>
    </row>
    <row r="780" spans="1:5" x14ac:dyDescent="0.25">
      <c r="A780" s="84" t="s">
        <v>1114</v>
      </c>
      <c r="B780" s="84" t="s">
        <v>660</v>
      </c>
      <c r="C780" s="84" t="s">
        <v>661</v>
      </c>
      <c r="D780" s="84" t="s">
        <v>662</v>
      </c>
      <c r="E780" s="85">
        <v>2500</v>
      </c>
    </row>
    <row r="781" spans="1:5" x14ac:dyDescent="0.25">
      <c r="A781" s="84" t="s">
        <v>1114</v>
      </c>
      <c r="B781" s="84" t="s">
        <v>660</v>
      </c>
      <c r="C781" s="84" t="s">
        <v>677</v>
      </c>
      <c r="D781" s="84" t="s">
        <v>662</v>
      </c>
      <c r="E781" s="85">
        <v>400</v>
      </c>
    </row>
    <row r="782" spans="1:5" x14ac:dyDescent="0.25">
      <c r="A782" s="84" t="s">
        <v>1114</v>
      </c>
      <c r="B782" s="84" t="s">
        <v>660</v>
      </c>
      <c r="C782" s="84" t="s">
        <v>1062</v>
      </c>
      <c r="D782" s="84" t="s">
        <v>662</v>
      </c>
      <c r="E782" s="85">
        <v>900</v>
      </c>
    </row>
    <row r="783" spans="1:5" x14ac:dyDescent="0.25">
      <c r="A783" s="84" t="s">
        <v>1114</v>
      </c>
      <c r="B783" s="84" t="s">
        <v>660</v>
      </c>
      <c r="C783" s="84" t="s">
        <v>615</v>
      </c>
      <c r="D783" s="84" t="s">
        <v>662</v>
      </c>
      <c r="E783" s="85">
        <v>1000</v>
      </c>
    </row>
    <row r="784" spans="1:5" x14ac:dyDescent="0.25">
      <c r="A784" s="84" t="s">
        <v>1115</v>
      </c>
      <c r="B784" s="84" t="s">
        <v>660</v>
      </c>
      <c r="C784" s="84" t="s">
        <v>661</v>
      </c>
      <c r="D784" s="84" t="s">
        <v>662</v>
      </c>
      <c r="E784" s="85">
        <v>2500</v>
      </c>
    </row>
    <row r="785" spans="1:5" x14ac:dyDescent="0.25">
      <c r="A785" s="84" t="s">
        <v>1115</v>
      </c>
      <c r="B785" s="84" t="s">
        <v>660</v>
      </c>
      <c r="C785" s="84" t="s">
        <v>677</v>
      </c>
      <c r="D785" s="84" t="s">
        <v>662</v>
      </c>
      <c r="E785" s="85">
        <v>400</v>
      </c>
    </row>
    <row r="786" spans="1:5" x14ac:dyDescent="0.25">
      <c r="A786" s="84" t="s">
        <v>1115</v>
      </c>
      <c r="B786" s="84" t="s">
        <v>660</v>
      </c>
      <c r="C786" s="84" t="s">
        <v>1062</v>
      </c>
      <c r="D786" s="84" t="s">
        <v>662</v>
      </c>
      <c r="E786" s="85">
        <v>900</v>
      </c>
    </row>
    <row r="787" spans="1:5" x14ac:dyDescent="0.25">
      <c r="A787" s="84" t="s">
        <v>1115</v>
      </c>
      <c r="B787" s="84" t="s">
        <v>660</v>
      </c>
      <c r="C787" s="84" t="s">
        <v>294</v>
      </c>
      <c r="D787" s="84" t="s">
        <v>662</v>
      </c>
      <c r="E787" s="85">
        <v>1000</v>
      </c>
    </row>
    <row r="788" spans="1:5" x14ac:dyDescent="0.25">
      <c r="A788" s="86" t="s">
        <v>1116</v>
      </c>
      <c r="B788" s="88" t="s">
        <v>660</v>
      </c>
      <c r="C788" s="86" t="s">
        <v>661</v>
      </c>
      <c r="D788" s="88" t="s">
        <v>662</v>
      </c>
      <c r="E788" s="87">
        <v>3000</v>
      </c>
    </row>
    <row r="789" spans="1:5" x14ac:dyDescent="0.25">
      <c r="A789" s="86" t="s">
        <v>1116</v>
      </c>
      <c r="B789" s="88" t="s">
        <v>660</v>
      </c>
      <c r="C789" s="86" t="s">
        <v>677</v>
      </c>
      <c r="D789" s="88" t="s">
        <v>662</v>
      </c>
      <c r="E789" s="87">
        <v>400</v>
      </c>
    </row>
    <row r="790" spans="1:5" x14ac:dyDescent="0.25">
      <c r="A790" s="86" t="s">
        <v>1116</v>
      </c>
      <c r="B790" s="88" t="s">
        <v>660</v>
      </c>
      <c r="C790" s="86" t="s">
        <v>1062</v>
      </c>
      <c r="D790" s="88" t="s">
        <v>662</v>
      </c>
      <c r="E790" s="87">
        <v>900</v>
      </c>
    </row>
    <row r="791" spans="1:5" x14ac:dyDescent="0.25">
      <c r="A791" s="86" t="s">
        <v>1116</v>
      </c>
      <c r="B791" s="88" t="s">
        <v>660</v>
      </c>
      <c r="C791" s="86" t="s">
        <v>1117</v>
      </c>
      <c r="D791" s="88" t="s">
        <v>662</v>
      </c>
      <c r="E791" s="87">
        <v>430</v>
      </c>
    </row>
    <row r="792" spans="1:5" x14ac:dyDescent="0.25">
      <c r="A792" s="84" t="s">
        <v>1118</v>
      </c>
      <c r="B792" s="84" t="s">
        <v>660</v>
      </c>
      <c r="C792" s="84" t="s">
        <v>661</v>
      </c>
      <c r="D792" s="84" t="s">
        <v>662</v>
      </c>
      <c r="E792" s="85">
        <v>2860</v>
      </c>
    </row>
    <row r="793" spans="1:5" x14ac:dyDescent="0.25">
      <c r="A793" s="84" t="s">
        <v>1118</v>
      </c>
      <c r="B793" s="84" t="s">
        <v>660</v>
      </c>
      <c r="C793" s="84" t="s">
        <v>668</v>
      </c>
      <c r="D793" s="84" t="s">
        <v>662</v>
      </c>
      <c r="E793" s="85">
        <v>320</v>
      </c>
    </row>
    <row r="794" spans="1:5" x14ac:dyDescent="0.25">
      <c r="A794" s="84" t="s">
        <v>1118</v>
      </c>
      <c r="B794" s="84" t="s">
        <v>660</v>
      </c>
      <c r="C794" s="84" t="s">
        <v>672</v>
      </c>
      <c r="D794" s="84" t="s">
        <v>662</v>
      </c>
      <c r="E794" s="85">
        <v>20</v>
      </c>
    </row>
    <row r="795" spans="1:5" x14ac:dyDescent="0.25">
      <c r="A795" s="84" t="s">
        <v>1118</v>
      </c>
      <c r="B795" s="84" t="s">
        <v>660</v>
      </c>
      <c r="C795" s="84" t="s">
        <v>675</v>
      </c>
      <c r="D795" s="84" t="s">
        <v>662</v>
      </c>
      <c r="E795" s="85">
        <v>80</v>
      </c>
    </row>
    <row r="796" spans="1:5" x14ac:dyDescent="0.25">
      <c r="A796" s="84" t="s">
        <v>1118</v>
      </c>
      <c r="B796" s="84" t="s">
        <v>660</v>
      </c>
      <c r="C796" s="84" t="s">
        <v>677</v>
      </c>
      <c r="D796" s="84" t="s">
        <v>662</v>
      </c>
      <c r="E796" s="85">
        <v>720</v>
      </c>
    </row>
    <row r="797" spans="1:5" x14ac:dyDescent="0.25">
      <c r="A797" s="84" t="s">
        <v>1118</v>
      </c>
      <c r="B797" s="84" t="s">
        <v>660</v>
      </c>
      <c r="C797" s="84" t="s">
        <v>1060</v>
      </c>
      <c r="D797" s="84" t="s">
        <v>662</v>
      </c>
      <c r="E797" s="85">
        <v>600</v>
      </c>
    </row>
    <row r="798" spans="1:5" x14ac:dyDescent="0.25">
      <c r="A798" s="86" t="s">
        <v>1119</v>
      </c>
      <c r="B798" s="88" t="s">
        <v>660</v>
      </c>
      <c r="C798" s="86" t="s">
        <v>661</v>
      </c>
      <c r="D798" s="88" t="s">
        <v>662</v>
      </c>
      <c r="E798" s="87">
        <v>2860</v>
      </c>
    </row>
    <row r="799" spans="1:5" x14ac:dyDescent="0.25">
      <c r="A799" s="86" t="s">
        <v>1119</v>
      </c>
      <c r="B799" s="88" t="s">
        <v>660</v>
      </c>
      <c r="C799" s="86" t="s">
        <v>668</v>
      </c>
      <c r="D799" s="88" t="s">
        <v>662</v>
      </c>
      <c r="E799" s="87">
        <v>320</v>
      </c>
    </row>
    <row r="800" spans="1:5" x14ac:dyDescent="0.25">
      <c r="A800" s="86" t="s">
        <v>1119</v>
      </c>
      <c r="B800" s="88" t="s">
        <v>660</v>
      </c>
      <c r="C800" s="86" t="s">
        <v>672</v>
      </c>
      <c r="D800" s="88" t="s">
        <v>662</v>
      </c>
      <c r="E800" s="87">
        <v>20</v>
      </c>
    </row>
    <row r="801" spans="1:5" x14ac:dyDescent="0.25">
      <c r="A801" s="86" t="s">
        <v>1119</v>
      </c>
      <c r="B801" s="88" t="s">
        <v>660</v>
      </c>
      <c r="C801" s="86" t="s">
        <v>675</v>
      </c>
      <c r="D801" s="88" t="s">
        <v>662</v>
      </c>
      <c r="E801" s="87">
        <v>80</v>
      </c>
    </row>
    <row r="802" spans="1:5" x14ac:dyDescent="0.25">
      <c r="A802" s="86" t="s">
        <v>1119</v>
      </c>
      <c r="B802" s="88" t="s">
        <v>660</v>
      </c>
      <c r="C802" s="86" t="s">
        <v>677</v>
      </c>
      <c r="D802" s="88" t="s">
        <v>662</v>
      </c>
      <c r="E802" s="87">
        <v>720</v>
      </c>
    </row>
    <row r="803" spans="1:5" x14ac:dyDescent="0.25">
      <c r="A803" s="86" t="s">
        <v>1119</v>
      </c>
      <c r="B803" s="88" t="s">
        <v>660</v>
      </c>
      <c r="C803" s="86" t="s">
        <v>692</v>
      </c>
      <c r="D803" s="88" t="s">
        <v>662</v>
      </c>
      <c r="E803" s="87">
        <v>300</v>
      </c>
    </row>
    <row r="804" spans="1:5" x14ac:dyDescent="0.25">
      <c r="A804" s="84" t="s">
        <v>1120</v>
      </c>
      <c r="B804" s="84" t="s">
        <v>660</v>
      </c>
      <c r="C804" s="84" t="s">
        <v>661</v>
      </c>
      <c r="D804" s="84" t="s">
        <v>662</v>
      </c>
      <c r="E804" s="85">
        <v>2500</v>
      </c>
    </row>
    <row r="805" spans="1:5" x14ac:dyDescent="0.25">
      <c r="A805" s="84" t="s">
        <v>1120</v>
      </c>
      <c r="B805" s="84" t="s">
        <v>660</v>
      </c>
      <c r="C805" s="84" t="s">
        <v>677</v>
      </c>
      <c r="D805" s="84" t="s">
        <v>662</v>
      </c>
      <c r="E805" s="85">
        <v>400</v>
      </c>
    </row>
    <row r="806" spans="1:5" x14ac:dyDescent="0.25">
      <c r="A806" s="84" t="s">
        <v>1120</v>
      </c>
      <c r="B806" s="84" t="s">
        <v>660</v>
      </c>
      <c r="C806" s="84" t="s">
        <v>1062</v>
      </c>
      <c r="D806" s="84" t="s">
        <v>662</v>
      </c>
      <c r="E806" s="85">
        <v>900</v>
      </c>
    </row>
    <row r="807" spans="1:5" x14ac:dyDescent="0.25">
      <c r="A807" s="84" t="s">
        <v>1120</v>
      </c>
      <c r="B807" s="84" t="s">
        <v>660</v>
      </c>
      <c r="C807" s="84" t="s">
        <v>1007</v>
      </c>
      <c r="D807" s="84" t="s">
        <v>662</v>
      </c>
      <c r="E807" s="85">
        <v>500</v>
      </c>
    </row>
    <row r="808" spans="1:5" x14ac:dyDescent="0.25">
      <c r="A808" s="84" t="s">
        <v>1120</v>
      </c>
      <c r="B808" s="84" t="s">
        <v>660</v>
      </c>
      <c r="C808" s="84" t="s">
        <v>1121</v>
      </c>
      <c r="D808" s="84" t="s">
        <v>662</v>
      </c>
      <c r="E808" s="85">
        <v>322.5</v>
      </c>
    </row>
    <row r="809" spans="1:5" x14ac:dyDescent="0.25">
      <c r="A809" s="86" t="s">
        <v>1014</v>
      </c>
      <c r="B809" s="88" t="s">
        <v>660</v>
      </c>
      <c r="C809" s="86" t="s">
        <v>661</v>
      </c>
      <c r="D809" s="88" t="s">
        <v>662</v>
      </c>
      <c r="E809" s="87">
        <v>2920.6190713929104</v>
      </c>
    </row>
    <row r="810" spans="1:5" x14ac:dyDescent="0.25">
      <c r="A810" s="86" t="s">
        <v>1014</v>
      </c>
      <c r="B810" s="88" t="s">
        <v>660</v>
      </c>
      <c r="C810" s="86" t="s">
        <v>1122</v>
      </c>
      <c r="D810" s="88" t="s">
        <v>662</v>
      </c>
      <c r="E810" s="87">
        <v>269.59560659011481</v>
      </c>
    </row>
    <row r="811" spans="1:5" x14ac:dyDescent="0.25">
      <c r="A811" s="86" t="s">
        <v>1014</v>
      </c>
      <c r="B811" s="88" t="s">
        <v>660</v>
      </c>
      <c r="C811" s="86" t="s">
        <v>668</v>
      </c>
      <c r="D811" s="88" t="s">
        <v>662</v>
      </c>
      <c r="E811" s="87">
        <v>269.59560659011481</v>
      </c>
    </row>
    <row r="812" spans="1:5" x14ac:dyDescent="0.25">
      <c r="A812" s="86" t="s">
        <v>1014</v>
      </c>
      <c r="B812" s="88" t="s">
        <v>660</v>
      </c>
      <c r="C812" s="86" t="s">
        <v>84</v>
      </c>
      <c r="D812" s="88" t="s">
        <v>662</v>
      </c>
      <c r="E812" s="87">
        <v>224.66300549176233</v>
      </c>
    </row>
    <row r="813" spans="1:5" x14ac:dyDescent="0.25">
      <c r="A813" s="86" t="s">
        <v>1014</v>
      </c>
      <c r="B813" s="88" t="s">
        <v>660</v>
      </c>
      <c r="C813" s="86" t="s">
        <v>672</v>
      </c>
      <c r="D813" s="88" t="s">
        <v>662</v>
      </c>
      <c r="E813" s="87">
        <v>22.466300549176236</v>
      </c>
    </row>
    <row r="814" spans="1:5" x14ac:dyDescent="0.25">
      <c r="A814" s="86" t="s">
        <v>1014</v>
      </c>
      <c r="B814" s="88" t="s">
        <v>660</v>
      </c>
      <c r="C814" s="86" t="s">
        <v>675</v>
      </c>
      <c r="D814" s="88" t="s">
        <v>662</v>
      </c>
      <c r="E814" s="87">
        <v>202.19670494258611</v>
      </c>
    </row>
    <row r="815" spans="1:5" x14ac:dyDescent="0.25">
      <c r="A815" s="86" t="s">
        <v>1014</v>
      </c>
      <c r="B815" s="88" t="s">
        <v>660</v>
      </c>
      <c r="C815" s="86" t="s">
        <v>677</v>
      </c>
      <c r="D815" s="88" t="s">
        <v>662</v>
      </c>
      <c r="E815" s="87">
        <v>134.79780329505741</v>
      </c>
    </row>
    <row r="816" spans="1:5" x14ac:dyDescent="0.25">
      <c r="A816" s="86" t="s">
        <v>1014</v>
      </c>
      <c r="B816" s="88" t="s">
        <v>660</v>
      </c>
      <c r="C816" s="86" t="s">
        <v>1123</v>
      </c>
      <c r="D816" s="88" t="s">
        <v>662</v>
      </c>
      <c r="E816" s="87">
        <v>449.32601098352467</v>
      </c>
    </row>
    <row r="817" spans="1:5" x14ac:dyDescent="0.25">
      <c r="A817" s="86" t="s">
        <v>1014</v>
      </c>
      <c r="B817" s="88" t="s">
        <v>660</v>
      </c>
      <c r="C817" s="86" t="s">
        <v>113</v>
      </c>
      <c r="D817" s="88" t="s">
        <v>662</v>
      </c>
      <c r="E817" s="87">
        <v>6.7398901647528699</v>
      </c>
    </row>
    <row r="818" spans="1:5" x14ac:dyDescent="0.25">
      <c r="A818" s="86" t="s">
        <v>1014</v>
      </c>
      <c r="B818" s="88" t="s">
        <v>660</v>
      </c>
      <c r="C818" s="86" t="s">
        <v>1124</v>
      </c>
      <c r="D818" s="88" t="s">
        <v>662</v>
      </c>
      <c r="E818" s="87">
        <v>405</v>
      </c>
    </row>
    <row r="819" spans="1:5" x14ac:dyDescent="0.25">
      <c r="A819" s="84" t="s">
        <v>1125</v>
      </c>
      <c r="B819" s="84" t="s">
        <v>660</v>
      </c>
      <c r="C819" s="84" t="s">
        <v>661</v>
      </c>
      <c r="D819" s="84" t="s">
        <v>662</v>
      </c>
      <c r="E819" s="85">
        <v>2142</v>
      </c>
    </row>
    <row r="820" spans="1:5" x14ac:dyDescent="0.25">
      <c r="A820" s="84" t="s">
        <v>1125</v>
      </c>
      <c r="B820" s="84" t="s">
        <v>660</v>
      </c>
      <c r="C820" s="84" t="s">
        <v>665</v>
      </c>
      <c r="D820" s="84" t="s">
        <v>662</v>
      </c>
      <c r="E820" s="85">
        <v>189</v>
      </c>
    </row>
    <row r="821" spans="1:5" x14ac:dyDescent="0.25">
      <c r="A821" s="84" t="s">
        <v>1125</v>
      </c>
      <c r="B821" s="84" t="s">
        <v>660</v>
      </c>
      <c r="C821" s="84" t="s">
        <v>668</v>
      </c>
      <c r="D821" s="84" t="s">
        <v>662</v>
      </c>
      <c r="E821" s="85">
        <v>504</v>
      </c>
    </row>
    <row r="822" spans="1:5" x14ac:dyDescent="0.25">
      <c r="A822" s="84" t="s">
        <v>1125</v>
      </c>
      <c r="B822" s="84" t="s">
        <v>660</v>
      </c>
      <c r="C822" s="84" t="s">
        <v>84</v>
      </c>
      <c r="D822" s="84" t="s">
        <v>662</v>
      </c>
      <c r="E822" s="85">
        <v>0</v>
      </c>
    </row>
    <row r="823" spans="1:5" x14ac:dyDescent="0.25">
      <c r="A823" s="84" t="s">
        <v>1125</v>
      </c>
      <c r="B823" s="84" t="s">
        <v>660</v>
      </c>
      <c r="C823" s="84" t="s">
        <v>672</v>
      </c>
      <c r="D823" s="84" t="s">
        <v>662</v>
      </c>
      <c r="E823" s="85">
        <v>21</v>
      </c>
    </row>
    <row r="824" spans="1:5" x14ac:dyDescent="0.25">
      <c r="A824" s="84" t="s">
        <v>1125</v>
      </c>
      <c r="B824" s="84" t="s">
        <v>660</v>
      </c>
      <c r="C824" s="84" t="s">
        <v>675</v>
      </c>
      <c r="D824" s="84" t="s">
        <v>662</v>
      </c>
      <c r="E824" s="85">
        <v>168</v>
      </c>
    </row>
    <row r="825" spans="1:5" x14ac:dyDescent="0.25">
      <c r="A825" s="84" t="s">
        <v>1125</v>
      </c>
      <c r="B825" s="84" t="s">
        <v>660</v>
      </c>
      <c r="C825" s="84" t="s">
        <v>677</v>
      </c>
      <c r="D825" s="84" t="s">
        <v>662</v>
      </c>
      <c r="E825" s="85">
        <v>126</v>
      </c>
    </row>
    <row r="826" spans="1:5" x14ac:dyDescent="0.25">
      <c r="A826" s="84" t="s">
        <v>1125</v>
      </c>
      <c r="B826" s="84" t="s">
        <v>660</v>
      </c>
      <c r="C826" s="84" t="s">
        <v>1126</v>
      </c>
      <c r="D826" s="84" t="s">
        <v>662</v>
      </c>
      <c r="E826" s="85">
        <v>840</v>
      </c>
    </row>
    <row r="827" spans="1:5" x14ac:dyDescent="0.25">
      <c r="A827" s="84" t="s">
        <v>1125</v>
      </c>
      <c r="B827" s="84" t="s">
        <v>660</v>
      </c>
      <c r="C827" s="84" t="s">
        <v>1127</v>
      </c>
      <c r="D827" s="84" t="s">
        <v>662</v>
      </c>
      <c r="E827" s="85">
        <v>210</v>
      </c>
    </row>
    <row r="828" spans="1:5" x14ac:dyDescent="0.25">
      <c r="A828" s="86" t="s">
        <v>1128</v>
      </c>
      <c r="B828" s="88" t="s">
        <v>660</v>
      </c>
      <c r="C828" s="86" t="s">
        <v>713</v>
      </c>
      <c r="D828" s="88" t="s">
        <v>662</v>
      </c>
      <c r="E828" s="87">
        <v>999.99999999999989</v>
      </c>
    </row>
    <row r="829" spans="1:5" x14ac:dyDescent="0.25">
      <c r="A829" s="86" t="s">
        <v>1128</v>
      </c>
      <c r="B829" s="88" t="s">
        <v>660</v>
      </c>
      <c r="C829" s="86" t="s">
        <v>1096</v>
      </c>
      <c r="D829" s="88" t="s">
        <v>662</v>
      </c>
      <c r="E829" s="87">
        <v>1049.9999999999998</v>
      </c>
    </row>
    <row r="830" spans="1:5" x14ac:dyDescent="0.25">
      <c r="A830" s="86" t="s">
        <v>1128</v>
      </c>
      <c r="B830" s="88" t="s">
        <v>660</v>
      </c>
      <c r="C830" s="86" t="s">
        <v>987</v>
      </c>
      <c r="D830" s="88" t="s">
        <v>662</v>
      </c>
      <c r="E830" s="87">
        <v>1999.9999999999998</v>
      </c>
    </row>
    <row r="831" spans="1:5" x14ac:dyDescent="0.25">
      <c r="A831" s="84" t="s">
        <v>1129</v>
      </c>
      <c r="B831" s="84" t="s">
        <v>660</v>
      </c>
      <c r="C831" s="84" t="s">
        <v>661</v>
      </c>
      <c r="D831" s="84" t="s">
        <v>662</v>
      </c>
      <c r="E831" s="85">
        <v>2050</v>
      </c>
    </row>
    <row r="832" spans="1:5" x14ac:dyDescent="0.25">
      <c r="A832" s="84" t="s">
        <v>1129</v>
      </c>
      <c r="B832" s="84" t="s">
        <v>660</v>
      </c>
      <c r="C832" s="84" t="s">
        <v>665</v>
      </c>
      <c r="D832" s="84" t="s">
        <v>662</v>
      </c>
      <c r="E832" s="85">
        <v>250</v>
      </c>
    </row>
    <row r="833" spans="1:5" x14ac:dyDescent="0.25">
      <c r="A833" s="84" t="s">
        <v>1129</v>
      </c>
      <c r="B833" s="84" t="s">
        <v>660</v>
      </c>
      <c r="C833" s="84" t="s">
        <v>668</v>
      </c>
      <c r="D833" s="84" t="s">
        <v>662</v>
      </c>
      <c r="E833" s="85">
        <v>300</v>
      </c>
    </row>
    <row r="834" spans="1:5" x14ac:dyDescent="0.25">
      <c r="A834" s="84" t="s">
        <v>1129</v>
      </c>
      <c r="B834" s="84" t="s">
        <v>660</v>
      </c>
      <c r="C834" s="84" t="s">
        <v>672</v>
      </c>
      <c r="D834" s="84" t="s">
        <v>662</v>
      </c>
      <c r="E834" s="85">
        <v>25</v>
      </c>
    </row>
    <row r="835" spans="1:5" x14ac:dyDescent="0.25">
      <c r="A835" s="84" t="s">
        <v>1129</v>
      </c>
      <c r="B835" s="84" t="s">
        <v>660</v>
      </c>
      <c r="C835" s="84" t="s">
        <v>675</v>
      </c>
      <c r="D835" s="84" t="s">
        <v>662</v>
      </c>
      <c r="E835" s="85">
        <v>225</v>
      </c>
    </row>
    <row r="836" spans="1:5" x14ac:dyDescent="0.25">
      <c r="A836" s="84" t="s">
        <v>1129</v>
      </c>
      <c r="B836" s="84" t="s">
        <v>660</v>
      </c>
      <c r="C836" s="84" t="s">
        <v>677</v>
      </c>
      <c r="D836" s="84" t="s">
        <v>662</v>
      </c>
      <c r="E836" s="85">
        <v>150</v>
      </c>
    </row>
    <row r="837" spans="1:5" x14ac:dyDescent="0.25">
      <c r="A837" s="84" t="s">
        <v>1129</v>
      </c>
      <c r="B837" s="84" t="s">
        <v>660</v>
      </c>
      <c r="C837" s="84" t="s">
        <v>615</v>
      </c>
      <c r="D837" s="84" t="s">
        <v>662</v>
      </c>
      <c r="E837" s="85">
        <v>1000</v>
      </c>
    </row>
    <row r="838" spans="1:5" x14ac:dyDescent="0.25">
      <c r="A838" s="84" t="s">
        <v>1129</v>
      </c>
      <c r="B838" s="84" t="s">
        <v>660</v>
      </c>
      <c r="C838" s="84" t="s">
        <v>159</v>
      </c>
      <c r="D838" s="84" t="s">
        <v>662</v>
      </c>
      <c r="E838" s="85">
        <v>1000</v>
      </c>
    </row>
    <row r="839" spans="1:5" x14ac:dyDescent="0.25">
      <c r="A839" s="84" t="s">
        <v>1129</v>
      </c>
      <c r="B839" s="84" t="s">
        <v>660</v>
      </c>
      <c r="C839" s="84" t="s">
        <v>123</v>
      </c>
      <c r="D839" s="84" t="s">
        <v>662</v>
      </c>
      <c r="E839" s="85">
        <v>500</v>
      </c>
    </row>
    <row r="840" spans="1:5" x14ac:dyDescent="0.25">
      <c r="A840" s="86" t="s">
        <v>1130</v>
      </c>
      <c r="B840" s="88" t="s">
        <v>660</v>
      </c>
      <c r="C840" s="86" t="s">
        <v>661</v>
      </c>
      <c r="D840" s="88" t="s">
        <v>662</v>
      </c>
      <c r="E840" s="87">
        <v>3895.161290322581</v>
      </c>
    </row>
    <row r="841" spans="1:5" x14ac:dyDescent="0.25">
      <c r="A841" s="86" t="s">
        <v>1130</v>
      </c>
      <c r="B841" s="88" t="s">
        <v>660</v>
      </c>
      <c r="C841" s="86" t="s">
        <v>665</v>
      </c>
      <c r="D841" s="88" t="s">
        <v>662</v>
      </c>
      <c r="E841" s="87">
        <v>451.61290322580646</v>
      </c>
    </row>
    <row r="842" spans="1:5" x14ac:dyDescent="0.25">
      <c r="A842" s="86" t="s">
        <v>1130</v>
      </c>
      <c r="B842" s="88" t="s">
        <v>660</v>
      </c>
      <c r="C842" s="86" t="s">
        <v>668</v>
      </c>
      <c r="D842" s="88" t="s">
        <v>662</v>
      </c>
      <c r="E842" s="87">
        <v>677.41935483870975</v>
      </c>
    </row>
    <row r="843" spans="1:5" x14ac:dyDescent="0.25">
      <c r="A843" s="86" t="s">
        <v>1130</v>
      </c>
      <c r="B843" s="88" t="s">
        <v>660</v>
      </c>
      <c r="C843" s="86" t="s">
        <v>84</v>
      </c>
      <c r="D843" s="88" t="s">
        <v>662</v>
      </c>
      <c r="E843" s="87">
        <v>169.35483870967744</v>
      </c>
    </row>
    <row r="844" spans="1:5" x14ac:dyDescent="0.25">
      <c r="A844" s="86" t="s">
        <v>1130</v>
      </c>
      <c r="B844" s="88" t="s">
        <v>660</v>
      </c>
      <c r="C844" s="86" t="s">
        <v>672</v>
      </c>
      <c r="D844" s="88" t="s">
        <v>662</v>
      </c>
      <c r="E844" s="87">
        <v>28.225806451612904</v>
      </c>
    </row>
    <row r="845" spans="1:5" x14ac:dyDescent="0.25">
      <c r="A845" s="86" t="s">
        <v>1130</v>
      </c>
      <c r="B845" s="88" t="s">
        <v>660</v>
      </c>
      <c r="C845" s="86" t="s">
        <v>675</v>
      </c>
      <c r="D845" s="88" t="s">
        <v>662</v>
      </c>
      <c r="E845" s="87">
        <v>254.03225806451616</v>
      </c>
    </row>
    <row r="846" spans="1:5" x14ac:dyDescent="0.25">
      <c r="A846" s="86" t="s">
        <v>1130</v>
      </c>
      <c r="B846" s="88" t="s">
        <v>660</v>
      </c>
      <c r="C846" s="86" t="s">
        <v>677</v>
      </c>
      <c r="D846" s="88" t="s">
        <v>662</v>
      </c>
      <c r="E846" s="87">
        <v>169.35483870967744</v>
      </c>
    </row>
    <row r="847" spans="1:5" x14ac:dyDescent="0.25">
      <c r="A847" s="86" t="s">
        <v>1130</v>
      </c>
      <c r="B847" s="88" t="s">
        <v>660</v>
      </c>
      <c r="C847" s="86" t="s">
        <v>1130</v>
      </c>
      <c r="D847" s="88" t="s">
        <v>662</v>
      </c>
      <c r="E847" s="87">
        <v>1354.8387096774195</v>
      </c>
    </row>
    <row r="848" spans="1:5" x14ac:dyDescent="0.25">
      <c r="A848" s="84" t="s">
        <v>1131</v>
      </c>
      <c r="B848" s="84" t="s">
        <v>660</v>
      </c>
      <c r="C848" s="84" t="s">
        <v>661</v>
      </c>
      <c r="D848" s="84" t="s">
        <v>662</v>
      </c>
      <c r="E848" s="85">
        <v>2655.0715714945359</v>
      </c>
    </row>
    <row r="849" spans="1:5" x14ac:dyDescent="0.25">
      <c r="A849" s="84" t="s">
        <v>1131</v>
      </c>
      <c r="B849" s="84" t="s">
        <v>660</v>
      </c>
      <c r="C849" s="84" t="s">
        <v>665</v>
      </c>
      <c r="D849" s="84" t="s">
        <v>662</v>
      </c>
      <c r="E849" s="85">
        <v>307.83438510081578</v>
      </c>
    </row>
    <row r="850" spans="1:5" x14ac:dyDescent="0.25">
      <c r="A850" s="84" t="s">
        <v>1131</v>
      </c>
      <c r="B850" s="84" t="s">
        <v>660</v>
      </c>
      <c r="C850" s="84" t="s">
        <v>668</v>
      </c>
      <c r="D850" s="84" t="s">
        <v>662</v>
      </c>
      <c r="E850" s="85">
        <v>461.75157765122367</v>
      </c>
    </row>
    <row r="851" spans="1:5" x14ac:dyDescent="0.25">
      <c r="A851" s="84" t="s">
        <v>1131</v>
      </c>
      <c r="B851" s="84" t="s">
        <v>660</v>
      </c>
      <c r="C851" s="84" t="s">
        <v>84</v>
      </c>
      <c r="D851" s="84" t="s">
        <v>662</v>
      </c>
      <c r="E851" s="85">
        <v>115.43789441280592</v>
      </c>
    </row>
    <row r="852" spans="1:5" x14ac:dyDescent="0.25">
      <c r="A852" s="84" t="s">
        <v>1131</v>
      </c>
      <c r="B852" s="84" t="s">
        <v>660</v>
      </c>
      <c r="C852" s="84" t="s">
        <v>672</v>
      </c>
      <c r="D852" s="84" t="s">
        <v>662</v>
      </c>
      <c r="E852" s="85">
        <v>19.239649068800986</v>
      </c>
    </row>
    <row r="853" spans="1:5" x14ac:dyDescent="0.25">
      <c r="A853" s="84" t="s">
        <v>1131</v>
      </c>
      <c r="B853" s="84" t="s">
        <v>660</v>
      </c>
      <c r="C853" s="84" t="s">
        <v>675</v>
      </c>
      <c r="D853" s="84" t="s">
        <v>662</v>
      </c>
      <c r="E853" s="85">
        <v>173.1568416192089</v>
      </c>
    </row>
    <row r="854" spans="1:5" x14ac:dyDescent="0.25">
      <c r="A854" s="84" t="s">
        <v>1131</v>
      </c>
      <c r="B854" s="84" t="s">
        <v>660</v>
      </c>
      <c r="C854" s="84" t="s">
        <v>677</v>
      </c>
      <c r="D854" s="84" t="s">
        <v>662</v>
      </c>
      <c r="E854" s="85">
        <v>115.43789441280592</v>
      </c>
    </row>
    <row r="855" spans="1:5" x14ac:dyDescent="0.25">
      <c r="A855" s="84" t="s">
        <v>1131</v>
      </c>
      <c r="B855" s="84" t="s">
        <v>660</v>
      </c>
      <c r="C855" s="84" t="s">
        <v>1132</v>
      </c>
      <c r="D855" s="84" t="s">
        <v>662</v>
      </c>
      <c r="E855" s="85">
        <v>152.07018623980298</v>
      </c>
    </row>
    <row r="856" spans="1:5" x14ac:dyDescent="0.25">
      <c r="A856" s="84" t="s">
        <v>1131</v>
      </c>
      <c r="B856" s="84" t="s">
        <v>660</v>
      </c>
      <c r="C856" s="84" t="s">
        <v>151</v>
      </c>
      <c r="D856" s="84" t="s">
        <v>662</v>
      </c>
      <c r="E856" s="85">
        <v>300</v>
      </c>
    </row>
    <row r="857" spans="1:5" x14ac:dyDescent="0.25">
      <c r="A857" s="86" t="s">
        <v>1133</v>
      </c>
      <c r="B857" s="88" t="s">
        <v>660</v>
      </c>
      <c r="C857" s="86" t="s">
        <v>661</v>
      </c>
      <c r="D857" s="88" t="s">
        <v>662</v>
      </c>
      <c r="E857" s="87">
        <v>2655.0715714945359</v>
      </c>
    </row>
    <row r="858" spans="1:5" x14ac:dyDescent="0.25">
      <c r="A858" s="86" t="s">
        <v>1133</v>
      </c>
      <c r="B858" s="88" t="s">
        <v>660</v>
      </c>
      <c r="C858" s="86" t="s">
        <v>665</v>
      </c>
      <c r="D858" s="88" t="s">
        <v>662</v>
      </c>
      <c r="E858" s="87">
        <v>307.83438510081578</v>
      </c>
    </row>
    <row r="859" spans="1:5" x14ac:dyDescent="0.25">
      <c r="A859" s="86" t="s">
        <v>1133</v>
      </c>
      <c r="B859" s="88" t="s">
        <v>660</v>
      </c>
      <c r="C859" s="86" t="s">
        <v>668</v>
      </c>
      <c r="D859" s="88" t="s">
        <v>662</v>
      </c>
      <c r="E859" s="87">
        <v>461.75157765122367</v>
      </c>
    </row>
    <row r="860" spans="1:5" x14ac:dyDescent="0.25">
      <c r="A860" s="86" t="s">
        <v>1133</v>
      </c>
      <c r="B860" s="88" t="s">
        <v>660</v>
      </c>
      <c r="C860" s="86" t="s">
        <v>84</v>
      </c>
      <c r="D860" s="88" t="s">
        <v>662</v>
      </c>
      <c r="E860" s="87">
        <v>115.43789441280592</v>
      </c>
    </row>
    <row r="861" spans="1:5" x14ac:dyDescent="0.25">
      <c r="A861" s="86" t="s">
        <v>1133</v>
      </c>
      <c r="B861" s="88" t="s">
        <v>660</v>
      </c>
      <c r="C861" s="86" t="s">
        <v>672</v>
      </c>
      <c r="D861" s="88" t="s">
        <v>662</v>
      </c>
      <c r="E861" s="87">
        <v>19.239649068800986</v>
      </c>
    </row>
    <row r="862" spans="1:5" x14ac:dyDescent="0.25">
      <c r="A862" s="86" t="s">
        <v>1133</v>
      </c>
      <c r="B862" s="88" t="s">
        <v>660</v>
      </c>
      <c r="C862" s="86" t="s">
        <v>675</v>
      </c>
      <c r="D862" s="88" t="s">
        <v>662</v>
      </c>
      <c r="E862" s="87">
        <v>173.1568416192089</v>
      </c>
    </row>
    <row r="863" spans="1:5" x14ac:dyDescent="0.25">
      <c r="A863" s="86" t="s">
        <v>1133</v>
      </c>
      <c r="B863" s="88" t="s">
        <v>660</v>
      </c>
      <c r="C863" s="86" t="s">
        <v>677</v>
      </c>
      <c r="D863" s="88" t="s">
        <v>662</v>
      </c>
      <c r="E863" s="87">
        <v>115.43789441280592</v>
      </c>
    </row>
    <row r="864" spans="1:5" x14ac:dyDescent="0.25">
      <c r="A864" s="86" t="s">
        <v>1133</v>
      </c>
      <c r="B864" s="88" t="s">
        <v>660</v>
      </c>
      <c r="C864" s="86" t="s">
        <v>1132</v>
      </c>
      <c r="D864" s="88" t="s">
        <v>662</v>
      </c>
      <c r="E864" s="87">
        <v>152.07018623980298</v>
      </c>
    </row>
    <row r="865" spans="1:5" x14ac:dyDescent="0.25">
      <c r="A865" s="86" t="s">
        <v>1133</v>
      </c>
      <c r="B865" s="88" t="s">
        <v>660</v>
      </c>
      <c r="C865" s="86" t="s">
        <v>984</v>
      </c>
      <c r="D865" s="88" t="s">
        <v>662</v>
      </c>
      <c r="E865" s="87">
        <v>400</v>
      </c>
    </row>
    <row r="866" spans="1:5" x14ac:dyDescent="0.25">
      <c r="A866" s="84" t="s">
        <v>1134</v>
      </c>
      <c r="B866" s="84" t="s">
        <v>660</v>
      </c>
      <c r="C866" s="84" t="s">
        <v>661</v>
      </c>
      <c r="D866" s="84" t="s">
        <v>662</v>
      </c>
      <c r="E866" s="85">
        <v>2655.0715714945359</v>
      </c>
    </row>
    <row r="867" spans="1:5" x14ac:dyDescent="0.25">
      <c r="A867" s="84" t="s">
        <v>1134</v>
      </c>
      <c r="B867" s="84" t="s">
        <v>660</v>
      </c>
      <c r="C867" s="84" t="s">
        <v>665</v>
      </c>
      <c r="D867" s="84" t="s">
        <v>662</v>
      </c>
      <c r="E867" s="85">
        <v>307.83438510081578</v>
      </c>
    </row>
    <row r="868" spans="1:5" x14ac:dyDescent="0.25">
      <c r="A868" s="84" t="s">
        <v>1134</v>
      </c>
      <c r="B868" s="84" t="s">
        <v>660</v>
      </c>
      <c r="C868" s="84" t="s">
        <v>668</v>
      </c>
      <c r="D868" s="84" t="s">
        <v>662</v>
      </c>
      <c r="E868" s="85">
        <v>461.75157765122367</v>
      </c>
    </row>
    <row r="869" spans="1:5" x14ac:dyDescent="0.25">
      <c r="A869" s="84" t="s">
        <v>1134</v>
      </c>
      <c r="B869" s="84" t="s">
        <v>660</v>
      </c>
      <c r="C869" s="84" t="s">
        <v>84</v>
      </c>
      <c r="D869" s="84" t="s">
        <v>662</v>
      </c>
      <c r="E869" s="85">
        <v>115.43789441280592</v>
      </c>
    </row>
    <row r="870" spans="1:5" x14ac:dyDescent="0.25">
      <c r="A870" s="84" t="s">
        <v>1134</v>
      </c>
      <c r="B870" s="84" t="s">
        <v>660</v>
      </c>
      <c r="C870" s="84" t="s">
        <v>672</v>
      </c>
      <c r="D870" s="84" t="s">
        <v>662</v>
      </c>
      <c r="E870" s="85">
        <v>19.239649068800986</v>
      </c>
    </row>
    <row r="871" spans="1:5" x14ac:dyDescent="0.25">
      <c r="A871" s="84" t="s">
        <v>1134</v>
      </c>
      <c r="B871" s="84" t="s">
        <v>660</v>
      </c>
      <c r="C871" s="84" t="s">
        <v>675</v>
      </c>
      <c r="D871" s="84" t="s">
        <v>662</v>
      </c>
      <c r="E871" s="85">
        <v>173.1568416192089</v>
      </c>
    </row>
    <row r="872" spans="1:5" x14ac:dyDescent="0.25">
      <c r="A872" s="84" t="s">
        <v>1134</v>
      </c>
      <c r="B872" s="84" t="s">
        <v>660</v>
      </c>
      <c r="C872" s="84" t="s">
        <v>677</v>
      </c>
      <c r="D872" s="84" t="s">
        <v>662</v>
      </c>
      <c r="E872" s="85">
        <v>115.43789441280592</v>
      </c>
    </row>
    <row r="873" spans="1:5" x14ac:dyDescent="0.25">
      <c r="A873" s="84" t="s">
        <v>1134</v>
      </c>
      <c r="B873" s="84" t="s">
        <v>660</v>
      </c>
      <c r="C873" s="84" t="s">
        <v>1132</v>
      </c>
      <c r="D873" s="84" t="s">
        <v>662</v>
      </c>
      <c r="E873" s="85">
        <v>152.07018623980298</v>
      </c>
    </row>
    <row r="874" spans="1:5" x14ac:dyDescent="0.25">
      <c r="A874" s="84" t="s">
        <v>1134</v>
      </c>
      <c r="B874" s="84" t="s">
        <v>660</v>
      </c>
      <c r="C874" s="84" t="s">
        <v>152</v>
      </c>
      <c r="D874" s="84" t="s">
        <v>662</v>
      </c>
      <c r="E874" s="85">
        <v>300</v>
      </c>
    </row>
    <row r="875" spans="1:5" x14ac:dyDescent="0.25">
      <c r="A875" s="84" t="s">
        <v>1134</v>
      </c>
      <c r="B875" s="84" t="s">
        <v>660</v>
      </c>
      <c r="C875" s="84" t="s">
        <v>684</v>
      </c>
      <c r="D875" s="84" t="s">
        <v>662</v>
      </c>
      <c r="E875" s="85">
        <v>80</v>
      </c>
    </row>
    <row r="876" spans="1:5" x14ac:dyDescent="0.25">
      <c r="A876" s="86" t="s">
        <v>1135</v>
      </c>
      <c r="B876" s="88" t="s">
        <v>660</v>
      </c>
      <c r="C876" s="86" t="s">
        <v>661</v>
      </c>
      <c r="D876" s="88" t="s">
        <v>662</v>
      </c>
      <c r="E876" s="87">
        <v>2884.2105263157891</v>
      </c>
    </row>
    <row r="877" spans="1:5" x14ac:dyDescent="0.25">
      <c r="A877" s="86" t="s">
        <v>1135</v>
      </c>
      <c r="B877" s="88" t="s">
        <v>660</v>
      </c>
      <c r="C877" s="86" t="s">
        <v>665</v>
      </c>
      <c r="D877" s="88" t="s">
        <v>662</v>
      </c>
      <c r="E877" s="87">
        <v>294.73684210526312</v>
      </c>
    </row>
    <row r="878" spans="1:5" x14ac:dyDescent="0.25">
      <c r="A878" s="86" t="s">
        <v>1135</v>
      </c>
      <c r="B878" s="88" t="s">
        <v>660</v>
      </c>
      <c r="C878" s="86" t="s">
        <v>582</v>
      </c>
      <c r="D878" s="88" t="s">
        <v>662</v>
      </c>
      <c r="E878" s="87">
        <v>421.05263157894734</v>
      </c>
    </row>
    <row r="879" spans="1:5" x14ac:dyDescent="0.25">
      <c r="A879" s="86" t="s">
        <v>1135</v>
      </c>
      <c r="B879" s="88" t="s">
        <v>660</v>
      </c>
      <c r="C879" s="86" t="s">
        <v>672</v>
      </c>
      <c r="D879" s="88" t="s">
        <v>662</v>
      </c>
      <c r="E879" s="87">
        <v>21.052631578947366</v>
      </c>
    </row>
    <row r="880" spans="1:5" x14ac:dyDescent="0.25">
      <c r="A880" s="86" t="s">
        <v>1135</v>
      </c>
      <c r="B880" s="88" t="s">
        <v>660</v>
      </c>
      <c r="C880" s="86" t="s">
        <v>675</v>
      </c>
      <c r="D880" s="88" t="s">
        <v>662</v>
      </c>
      <c r="E880" s="87">
        <v>189.4736842105263</v>
      </c>
    </row>
    <row r="881" spans="1:5" x14ac:dyDescent="0.25">
      <c r="A881" s="86" t="s">
        <v>1135</v>
      </c>
      <c r="B881" s="88" t="s">
        <v>660</v>
      </c>
      <c r="C881" s="86" t="s">
        <v>677</v>
      </c>
      <c r="D881" s="88" t="s">
        <v>662</v>
      </c>
      <c r="E881" s="87">
        <v>126.31578947368421</v>
      </c>
    </row>
    <row r="882" spans="1:5" x14ac:dyDescent="0.25">
      <c r="A882" s="86" t="s">
        <v>1135</v>
      </c>
      <c r="B882" s="88" t="s">
        <v>660</v>
      </c>
      <c r="C882" s="86" t="s">
        <v>1136</v>
      </c>
      <c r="D882" s="88" t="s">
        <v>662</v>
      </c>
      <c r="E882" s="87">
        <v>63.157894736842103</v>
      </c>
    </row>
    <row r="883" spans="1:5" x14ac:dyDescent="0.25">
      <c r="A883" s="84" t="s">
        <v>1137</v>
      </c>
      <c r="B883" s="84" t="s">
        <v>660</v>
      </c>
      <c r="C883" s="84" t="s">
        <v>661</v>
      </c>
      <c r="D883" s="84" t="s">
        <v>662</v>
      </c>
      <c r="E883" s="85">
        <v>2760</v>
      </c>
    </row>
    <row r="884" spans="1:5" x14ac:dyDescent="0.25">
      <c r="A884" s="84" t="s">
        <v>1137</v>
      </c>
      <c r="B884" s="84" t="s">
        <v>660</v>
      </c>
      <c r="C884" s="84" t="s">
        <v>665</v>
      </c>
      <c r="D884" s="84" t="s">
        <v>662</v>
      </c>
      <c r="E884" s="85">
        <v>280</v>
      </c>
    </row>
    <row r="885" spans="1:5" x14ac:dyDescent="0.25">
      <c r="A885" s="84" t="s">
        <v>1137</v>
      </c>
      <c r="B885" s="84" t="s">
        <v>660</v>
      </c>
      <c r="C885" s="84" t="s">
        <v>668</v>
      </c>
      <c r="D885" s="84" t="s">
        <v>662</v>
      </c>
      <c r="E885" s="85">
        <v>400</v>
      </c>
    </row>
    <row r="886" spans="1:5" x14ac:dyDescent="0.25">
      <c r="A886" s="84" t="s">
        <v>1137</v>
      </c>
      <c r="B886" s="84" t="s">
        <v>660</v>
      </c>
      <c r="C886" s="84" t="s">
        <v>84</v>
      </c>
      <c r="D886" s="84" t="s">
        <v>662</v>
      </c>
      <c r="E886" s="85">
        <v>100</v>
      </c>
    </row>
    <row r="887" spans="1:5" x14ac:dyDescent="0.25">
      <c r="A887" s="84" t="s">
        <v>1137</v>
      </c>
      <c r="B887" s="84" t="s">
        <v>660</v>
      </c>
      <c r="C887" s="84" t="s">
        <v>672</v>
      </c>
      <c r="D887" s="84" t="s">
        <v>662</v>
      </c>
      <c r="E887" s="85">
        <v>20</v>
      </c>
    </row>
    <row r="888" spans="1:5" x14ac:dyDescent="0.25">
      <c r="A888" s="84" t="s">
        <v>1137</v>
      </c>
      <c r="B888" s="84" t="s">
        <v>660</v>
      </c>
      <c r="C888" s="84" t="s">
        <v>675</v>
      </c>
      <c r="D888" s="84" t="s">
        <v>662</v>
      </c>
      <c r="E888" s="85">
        <v>180</v>
      </c>
    </row>
    <row r="889" spans="1:5" x14ac:dyDescent="0.25">
      <c r="A889" s="84" t="s">
        <v>1137</v>
      </c>
      <c r="B889" s="84" t="s">
        <v>660</v>
      </c>
      <c r="C889" s="84" t="s">
        <v>677</v>
      </c>
      <c r="D889" s="84" t="s">
        <v>662</v>
      </c>
      <c r="E889" s="85">
        <v>120</v>
      </c>
    </row>
    <row r="890" spans="1:5" x14ac:dyDescent="0.25">
      <c r="A890" s="84" t="s">
        <v>1137</v>
      </c>
      <c r="B890" s="84" t="s">
        <v>660</v>
      </c>
      <c r="C890" s="84" t="s">
        <v>1138</v>
      </c>
      <c r="D890" s="84" t="s">
        <v>662</v>
      </c>
      <c r="E890" s="85">
        <v>140</v>
      </c>
    </row>
    <row r="891" spans="1:5" x14ac:dyDescent="0.25">
      <c r="A891" s="84" t="s">
        <v>1137</v>
      </c>
      <c r="B891" s="84" t="s">
        <v>660</v>
      </c>
      <c r="C891" s="84" t="s">
        <v>1031</v>
      </c>
      <c r="D891" s="84" t="s">
        <v>662</v>
      </c>
      <c r="E891" s="85">
        <v>400</v>
      </c>
    </row>
    <row r="892" spans="1:5" x14ac:dyDescent="0.25">
      <c r="A892" s="86" t="s">
        <v>1139</v>
      </c>
      <c r="B892" s="88" t="s">
        <v>660</v>
      </c>
      <c r="C892" s="86" t="s">
        <v>713</v>
      </c>
      <c r="D892" s="88" t="s">
        <v>662</v>
      </c>
      <c r="E892" s="87">
        <v>1200</v>
      </c>
    </row>
    <row r="893" spans="1:5" x14ac:dyDescent="0.25">
      <c r="A893" s="86" t="s">
        <v>1139</v>
      </c>
      <c r="B893" s="88" t="s">
        <v>660</v>
      </c>
      <c r="C893" s="86" t="s">
        <v>1096</v>
      </c>
      <c r="D893" s="88" t="s">
        <v>662</v>
      </c>
      <c r="E893" s="87">
        <v>1050</v>
      </c>
    </row>
    <row r="894" spans="1:5" x14ac:dyDescent="0.25">
      <c r="A894" s="86" t="s">
        <v>1139</v>
      </c>
      <c r="B894" s="88" t="s">
        <v>660</v>
      </c>
      <c r="C894" s="86" t="s">
        <v>294</v>
      </c>
      <c r="D894" s="88" t="s">
        <v>662</v>
      </c>
      <c r="E894" s="87">
        <v>1000</v>
      </c>
    </row>
    <row r="895" spans="1:5" x14ac:dyDescent="0.25">
      <c r="A895" s="86" t="s">
        <v>1139</v>
      </c>
      <c r="B895" s="88" t="s">
        <v>660</v>
      </c>
      <c r="C895" s="86" t="s">
        <v>615</v>
      </c>
      <c r="D895" s="88" t="s">
        <v>662</v>
      </c>
      <c r="E895" s="87">
        <v>1000</v>
      </c>
    </row>
    <row r="896" spans="1:5" x14ac:dyDescent="0.25">
      <c r="A896" s="84" t="s">
        <v>1140</v>
      </c>
      <c r="B896" s="84" t="s">
        <v>660</v>
      </c>
      <c r="C896" s="84" t="s">
        <v>661</v>
      </c>
      <c r="D896" s="84" t="s">
        <v>662</v>
      </c>
      <c r="E896" s="85">
        <v>312.5</v>
      </c>
    </row>
    <row r="897" spans="1:5" x14ac:dyDescent="0.25">
      <c r="A897" s="84" t="s">
        <v>1140</v>
      </c>
      <c r="B897" s="84" t="s">
        <v>660</v>
      </c>
      <c r="C897" s="84" t="s">
        <v>665</v>
      </c>
      <c r="D897" s="84" t="s">
        <v>662</v>
      </c>
      <c r="E897" s="85">
        <v>112.5</v>
      </c>
    </row>
    <row r="898" spans="1:5" x14ac:dyDescent="0.25">
      <c r="A898" s="84" t="s">
        <v>1140</v>
      </c>
      <c r="B898" s="84" t="s">
        <v>660</v>
      </c>
      <c r="C898" s="84" t="s">
        <v>668</v>
      </c>
      <c r="D898" s="84" t="s">
        <v>662</v>
      </c>
      <c r="E898" s="85">
        <v>150</v>
      </c>
    </row>
    <row r="899" spans="1:5" x14ac:dyDescent="0.25">
      <c r="A899" s="84" t="s">
        <v>1140</v>
      </c>
      <c r="B899" s="84" t="s">
        <v>660</v>
      </c>
      <c r="C899" s="84" t="s">
        <v>84</v>
      </c>
      <c r="D899" s="84" t="s">
        <v>662</v>
      </c>
      <c r="E899" s="85">
        <v>75</v>
      </c>
    </row>
    <row r="900" spans="1:5" x14ac:dyDescent="0.25">
      <c r="A900" s="84" t="s">
        <v>1140</v>
      </c>
      <c r="B900" s="84" t="s">
        <v>660</v>
      </c>
      <c r="C900" s="84" t="s">
        <v>672</v>
      </c>
      <c r="D900" s="84" t="s">
        <v>662</v>
      </c>
      <c r="E900" s="85">
        <v>6.25</v>
      </c>
    </row>
    <row r="901" spans="1:5" x14ac:dyDescent="0.25">
      <c r="A901" s="84" t="s">
        <v>1140</v>
      </c>
      <c r="B901" s="84" t="s">
        <v>660</v>
      </c>
      <c r="C901" s="84" t="s">
        <v>675</v>
      </c>
      <c r="D901" s="84" t="s">
        <v>662</v>
      </c>
      <c r="E901" s="85">
        <v>56.25</v>
      </c>
    </row>
    <row r="902" spans="1:5" x14ac:dyDescent="0.25">
      <c r="A902" s="84" t="s">
        <v>1140</v>
      </c>
      <c r="B902" s="84" t="s">
        <v>660</v>
      </c>
      <c r="C902" s="84" t="s">
        <v>677</v>
      </c>
      <c r="D902" s="84" t="s">
        <v>662</v>
      </c>
      <c r="E902" s="85">
        <v>37.5</v>
      </c>
    </row>
    <row r="903" spans="1:5" x14ac:dyDescent="0.25">
      <c r="A903" s="84" t="s">
        <v>1140</v>
      </c>
      <c r="B903" s="84" t="s">
        <v>660</v>
      </c>
      <c r="C903" s="84" t="s">
        <v>1141</v>
      </c>
      <c r="D903" s="84" t="s">
        <v>662</v>
      </c>
      <c r="E903" s="85">
        <v>500</v>
      </c>
    </row>
    <row r="904" spans="1:5" x14ac:dyDescent="0.25">
      <c r="A904" s="86" t="s">
        <v>1142</v>
      </c>
      <c r="B904" s="88" t="s">
        <v>660</v>
      </c>
      <c r="C904" s="86" t="s">
        <v>661</v>
      </c>
      <c r="D904" s="88" t="s">
        <v>662</v>
      </c>
      <c r="E904" s="87">
        <v>2545.6310679611652</v>
      </c>
    </row>
    <row r="905" spans="1:5" x14ac:dyDescent="0.25">
      <c r="A905" s="86" t="s">
        <v>1142</v>
      </c>
      <c r="B905" s="88" t="s">
        <v>660</v>
      </c>
      <c r="C905" s="86" t="s">
        <v>665</v>
      </c>
      <c r="D905" s="88" t="s">
        <v>662</v>
      </c>
      <c r="E905" s="87">
        <v>295.14563106796118</v>
      </c>
    </row>
    <row r="906" spans="1:5" x14ac:dyDescent="0.25">
      <c r="A906" s="86" t="s">
        <v>1142</v>
      </c>
      <c r="B906" s="88" t="s">
        <v>660</v>
      </c>
      <c r="C906" s="86" t="s">
        <v>668</v>
      </c>
      <c r="D906" s="88" t="s">
        <v>662</v>
      </c>
      <c r="E906" s="87">
        <v>442.71844660194176</v>
      </c>
    </row>
    <row r="907" spans="1:5" x14ac:dyDescent="0.25">
      <c r="A907" s="86" t="s">
        <v>1142</v>
      </c>
      <c r="B907" s="88" t="s">
        <v>660</v>
      </c>
      <c r="C907" s="86" t="s">
        <v>84</v>
      </c>
      <c r="D907" s="88" t="s">
        <v>662</v>
      </c>
      <c r="E907" s="87">
        <v>110.67961165048544</v>
      </c>
    </row>
    <row r="908" spans="1:5" x14ac:dyDescent="0.25">
      <c r="A908" s="86" t="s">
        <v>1142</v>
      </c>
      <c r="B908" s="88" t="s">
        <v>660</v>
      </c>
      <c r="C908" s="86" t="s">
        <v>672</v>
      </c>
      <c r="D908" s="88" t="s">
        <v>662</v>
      </c>
      <c r="E908" s="87">
        <v>18.446601941747574</v>
      </c>
    </row>
    <row r="909" spans="1:5" x14ac:dyDescent="0.25">
      <c r="A909" s="86" t="s">
        <v>1142</v>
      </c>
      <c r="B909" s="88" t="s">
        <v>660</v>
      </c>
      <c r="C909" s="86" t="s">
        <v>675</v>
      </c>
      <c r="D909" s="88" t="s">
        <v>662</v>
      </c>
      <c r="E909" s="87">
        <v>166.01941747572818</v>
      </c>
    </row>
    <row r="910" spans="1:5" x14ac:dyDescent="0.25">
      <c r="A910" s="86" t="s">
        <v>1142</v>
      </c>
      <c r="B910" s="88" t="s">
        <v>660</v>
      </c>
      <c r="C910" s="86" t="s">
        <v>677</v>
      </c>
      <c r="D910" s="88" t="s">
        <v>662</v>
      </c>
      <c r="E910" s="87">
        <v>110.67961165048544</v>
      </c>
    </row>
    <row r="911" spans="1:5" x14ac:dyDescent="0.25">
      <c r="A911" s="86" t="s">
        <v>1142</v>
      </c>
      <c r="B911" s="88" t="s">
        <v>660</v>
      </c>
      <c r="C911" s="86" t="s">
        <v>1143</v>
      </c>
      <c r="D911" s="88" t="s">
        <v>662</v>
      </c>
      <c r="E911" s="87">
        <v>110.67961165048544</v>
      </c>
    </row>
    <row r="912" spans="1:5" x14ac:dyDescent="0.25">
      <c r="A912" s="86" t="s">
        <v>1142</v>
      </c>
      <c r="B912" s="88" t="s">
        <v>660</v>
      </c>
      <c r="C912" s="86" t="s">
        <v>1144</v>
      </c>
      <c r="D912" s="88" t="s">
        <v>662</v>
      </c>
      <c r="E912" s="87">
        <v>380</v>
      </c>
    </row>
    <row r="913" spans="1:5" x14ac:dyDescent="0.25">
      <c r="A913" s="84" t="s">
        <v>1145</v>
      </c>
      <c r="B913" s="84" t="s">
        <v>660</v>
      </c>
      <c r="C913" s="84" t="s">
        <v>661</v>
      </c>
      <c r="D913" s="84" t="s">
        <v>662</v>
      </c>
      <c r="E913" s="85">
        <v>3014.5631067961162</v>
      </c>
    </row>
    <row r="914" spans="1:5" x14ac:dyDescent="0.25">
      <c r="A914" s="84" t="s">
        <v>1145</v>
      </c>
      <c r="B914" s="84" t="s">
        <v>660</v>
      </c>
      <c r="C914" s="84" t="s">
        <v>665</v>
      </c>
      <c r="D914" s="84" t="s">
        <v>662</v>
      </c>
      <c r="E914" s="85">
        <v>349.51456310679612</v>
      </c>
    </row>
    <row r="915" spans="1:5" x14ac:dyDescent="0.25">
      <c r="A915" s="84" t="s">
        <v>1145</v>
      </c>
      <c r="B915" s="84" t="s">
        <v>660</v>
      </c>
      <c r="C915" s="84" t="s">
        <v>668</v>
      </c>
      <c r="D915" s="84" t="s">
        <v>662</v>
      </c>
      <c r="E915" s="85">
        <v>524.27184466019412</v>
      </c>
    </row>
    <row r="916" spans="1:5" x14ac:dyDescent="0.25">
      <c r="A916" s="84" t="s">
        <v>1145</v>
      </c>
      <c r="B916" s="84" t="s">
        <v>660</v>
      </c>
      <c r="C916" s="84" t="s">
        <v>84</v>
      </c>
      <c r="D916" s="84" t="s">
        <v>662</v>
      </c>
      <c r="E916" s="85">
        <v>131.06796116504853</v>
      </c>
    </row>
    <row r="917" spans="1:5" x14ac:dyDescent="0.25">
      <c r="A917" s="84" t="s">
        <v>1145</v>
      </c>
      <c r="B917" s="84" t="s">
        <v>660</v>
      </c>
      <c r="C917" s="84" t="s">
        <v>672</v>
      </c>
      <c r="D917" s="84" t="s">
        <v>662</v>
      </c>
      <c r="E917" s="85">
        <v>21.844660194174757</v>
      </c>
    </row>
    <row r="918" spans="1:5" x14ac:dyDescent="0.25">
      <c r="A918" s="84" t="s">
        <v>1145</v>
      </c>
      <c r="B918" s="84" t="s">
        <v>660</v>
      </c>
      <c r="C918" s="84" t="s">
        <v>675</v>
      </c>
      <c r="D918" s="84" t="s">
        <v>662</v>
      </c>
      <c r="E918" s="85">
        <v>196.60194174757279</v>
      </c>
    </row>
    <row r="919" spans="1:5" x14ac:dyDescent="0.25">
      <c r="A919" s="84" t="s">
        <v>1145</v>
      </c>
      <c r="B919" s="84" t="s">
        <v>660</v>
      </c>
      <c r="C919" s="84" t="s">
        <v>677</v>
      </c>
      <c r="D919" s="84" t="s">
        <v>662</v>
      </c>
      <c r="E919" s="85">
        <v>131.06796116504853</v>
      </c>
    </row>
    <row r="920" spans="1:5" x14ac:dyDescent="0.25">
      <c r="A920" s="84" t="s">
        <v>1145</v>
      </c>
      <c r="B920" s="84" t="s">
        <v>660</v>
      </c>
      <c r="C920" s="84" t="s">
        <v>1143</v>
      </c>
      <c r="D920" s="84" t="s">
        <v>662</v>
      </c>
      <c r="E920" s="85">
        <v>131.06796116504853</v>
      </c>
    </row>
    <row r="921" spans="1:5" x14ac:dyDescent="0.25">
      <c r="A921" s="84" t="s">
        <v>1145</v>
      </c>
      <c r="B921" s="84" t="s">
        <v>660</v>
      </c>
      <c r="C921" s="84" t="s">
        <v>123</v>
      </c>
      <c r="D921" s="84" t="s">
        <v>662</v>
      </c>
      <c r="E921" s="85">
        <v>450</v>
      </c>
    </row>
    <row r="922" spans="1:5" x14ac:dyDescent="0.25">
      <c r="A922" s="86" t="s">
        <v>1146</v>
      </c>
      <c r="B922" s="88" t="s">
        <v>660</v>
      </c>
      <c r="C922" s="86" t="s">
        <v>713</v>
      </c>
      <c r="D922" s="88" t="s">
        <v>662</v>
      </c>
      <c r="E922" s="87">
        <v>2333.3266667333328</v>
      </c>
    </row>
    <row r="923" spans="1:5" x14ac:dyDescent="0.25">
      <c r="A923" s="86" t="s">
        <v>1146</v>
      </c>
      <c r="B923" s="88" t="s">
        <v>660</v>
      </c>
      <c r="C923" s="86" t="s">
        <v>668</v>
      </c>
      <c r="D923" s="88" t="s">
        <v>662</v>
      </c>
      <c r="E923" s="87">
        <v>1333.3366666333338</v>
      </c>
    </row>
    <row r="924" spans="1:5" x14ac:dyDescent="0.25">
      <c r="A924" s="86" t="s">
        <v>1146</v>
      </c>
      <c r="B924" s="88" t="s">
        <v>660</v>
      </c>
      <c r="C924" s="86" t="s">
        <v>978</v>
      </c>
      <c r="D924" s="88" t="s">
        <v>662</v>
      </c>
      <c r="E924" s="87">
        <v>333.34666653333471</v>
      </c>
    </row>
    <row r="925" spans="1:5" x14ac:dyDescent="0.25">
      <c r="A925" s="86" t="s">
        <v>1146</v>
      </c>
      <c r="B925" s="88" t="s">
        <v>660</v>
      </c>
      <c r="C925" s="86" t="s">
        <v>84</v>
      </c>
      <c r="D925" s="88" t="s">
        <v>662</v>
      </c>
      <c r="E925" s="87">
        <v>199.99800001999978</v>
      </c>
    </row>
    <row r="926" spans="1:5" x14ac:dyDescent="0.25">
      <c r="A926" s="86" t="s">
        <v>1146</v>
      </c>
      <c r="B926" s="88" t="s">
        <v>660</v>
      </c>
      <c r="C926" s="86" t="s">
        <v>675</v>
      </c>
      <c r="D926" s="88" t="s">
        <v>662</v>
      </c>
      <c r="E926" s="87">
        <v>799.99200007999912</v>
      </c>
    </row>
    <row r="927" spans="1:5" x14ac:dyDescent="0.25">
      <c r="A927" s="86" t="s">
        <v>1146</v>
      </c>
      <c r="B927" s="88" t="s">
        <v>660</v>
      </c>
      <c r="C927" s="86" t="s">
        <v>294</v>
      </c>
      <c r="D927" s="88" t="s">
        <v>662</v>
      </c>
      <c r="E927" s="87">
        <v>5000</v>
      </c>
    </row>
    <row r="928" spans="1:5" x14ac:dyDescent="0.25">
      <c r="A928" s="84" t="s">
        <v>1147</v>
      </c>
      <c r="B928" s="84" t="s">
        <v>660</v>
      </c>
      <c r="C928" s="84" t="s">
        <v>713</v>
      </c>
      <c r="D928" s="84" t="s">
        <v>662</v>
      </c>
      <c r="E928" s="85">
        <v>1200</v>
      </c>
    </row>
    <row r="929" spans="1:5" x14ac:dyDescent="0.25">
      <c r="A929" s="84" t="s">
        <v>1147</v>
      </c>
      <c r="B929" s="84" t="s">
        <v>660</v>
      </c>
      <c r="C929" s="84" t="s">
        <v>1096</v>
      </c>
      <c r="D929" s="84" t="s">
        <v>662</v>
      </c>
      <c r="E929" s="85">
        <v>1050</v>
      </c>
    </row>
    <row r="930" spans="1:5" x14ac:dyDescent="0.25">
      <c r="A930" s="84" t="s">
        <v>1147</v>
      </c>
      <c r="B930" s="84" t="s">
        <v>660</v>
      </c>
      <c r="C930" s="84" t="s">
        <v>294</v>
      </c>
      <c r="D930" s="84" t="s">
        <v>662</v>
      </c>
      <c r="E930" s="85">
        <v>2000</v>
      </c>
    </row>
    <row r="931" spans="1:5" x14ac:dyDescent="0.25">
      <c r="A931" s="86" t="s">
        <v>1148</v>
      </c>
      <c r="B931" s="88" t="s">
        <v>660</v>
      </c>
      <c r="C931" s="86" t="s">
        <v>661</v>
      </c>
      <c r="D931" s="88" t="s">
        <v>662</v>
      </c>
      <c r="E931" s="87">
        <v>2344.6601941747572</v>
      </c>
    </row>
    <row r="932" spans="1:5" x14ac:dyDescent="0.25">
      <c r="A932" s="86" t="s">
        <v>1148</v>
      </c>
      <c r="B932" s="88" t="s">
        <v>660</v>
      </c>
      <c r="C932" s="86" t="s">
        <v>665</v>
      </c>
      <c r="D932" s="88" t="s">
        <v>662</v>
      </c>
      <c r="E932" s="87">
        <v>271.84466019417476</v>
      </c>
    </row>
    <row r="933" spans="1:5" x14ac:dyDescent="0.25">
      <c r="A933" s="86" t="s">
        <v>1148</v>
      </c>
      <c r="B933" s="88" t="s">
        <v>660</v>
      </c>
      <c r="C933" s="86" t="s">
        <v>668</v>
      </c>
      <c r="D933" s="88" t="s">
        <v>662</v>
      </c>
      <c r="E933" s="87">
        <v>407.76699029126212</v>
      </c>
    </row>
    <row r="934" spans="1:5" x14ac:dyDescent="0.25">
      <c r="A934" s="86" t="s">
        <v>1148</v>
      </c>
      <c r="B934" s="88" t="s">
        <v>660</v>
      </c>
      <c r="C934" s="86" t="s">
        <v>84</v>
      </c>
      <c r="D934" s="88" t="s">
        <v>662</v>
      </c>
      <c r="E934" s="87">
        <v>101.94174757281553</v>
      </c>
    </row>
    <row r="935" spans="1:5" x14ac:dyDescent="0.25">
      <c r="A935" s="86" t="s">
        <v>1148</v>
      </c>
      <c r="B935" s="88" t="s">
        <v>660</v>
      </c>
      <c r="C935" s="86" t="s">
        <v>672</v>
      </c>
      <c r="D935" s="88" t="s">
        <v>662</v>
      </c>
      <c r="E935" s="87">
        <v>16.990291262135923</v>
      </c>
    </row>
    <row r="936" spans="1:5" x14ac:dyDescent="0.25">
      <c r="A936" s="86" t="s">
        <v>1148</v>
      </c>
      <c r="B936" s="88" t="s">
        <v>660</v>
      </c>
      <c r="C936" s="86" t="s">
        <v>675</v>
      </c>
      <c r="D936" s="88" t="s">
        <v>662</v>
      </c>
      <c r="E936" s="87">
        <v>152.91262135922329</v>
      </c>
    </row>
    <row r="937" spans="1:5" x14ac:dyDescent="0.25">
      <c r="A937" s="86" t="s">
        <v>1148</v>
      </c>
      <c r="B937" s="88" t="s">
        <v>660</v>
      </c>
      <c r="C937" s="86" t="s">
        <v>677</v>
      </c>
      <c r="D937" s="88" t="s">
        <v>662</v>
      </c>
      <c r="E937" s="87">
        <v>101.94174757281553</v>
      </c>
    </row>
    <row r="938" spans="1:5" x14ac:dyDescent="0.25">
      <c r="A938" s="86" t="s">
        <v>1148</v>
      </c>
      <c r="B938" s="88" t="s">
        <v>660</v>
      </c>
      <c r="C938" s="86" t="s">
        <v>1149</v>
      </c>
      <c r="D938" s="88" t="s">
        <v>662</v>
      </c>
      <c r="E938" s="87">
        <v>101.94174757281553</v>
      </c>
    </row>
    <row r="939" spans="1:5" x14ac:dyDescent="0.25">
      <c r="A939" s="86" t="s">
        <v>1148</v>
      </c>
      <c r="B939" s="88" t="s">
        <v>660</v>
      </c>
      <c r="C939" s="86" t="s">
        <v>1052</v>
      </c>
      <c r="D939" s="88" t="s">
        <v>662</v>
      </c>
      <c r="E939" s="87">
        <v>420</v>
      </c>
    </row>
    <row r="940" spans="1:5" x14ac:dyDescent="0.25">
      <c r="A940" s="84" t="s">
        <v>1150</v>
      </c>
      <c r="B940" s="84" t="s">
        <v>660</v>
      </c>
      <c r="C940" s="84" t="s">
        <v>661</v>
      </c>
      <c r="D940" s="84" t="s">
        <v>662</v>
      </c>
      <c r="E940" s="85">
        <v>9439.0243902439033</v>
      </c>
    </row>
    <row r="941" spans="1:5" x14ac:dyDescent="0.25">
      <c r="A941" s="84" t="s">
        <v>1150</v>
      </c>
      <c r="B941" s="84" t="s">
        <v>660</v>
      </c>
      <c r="C941" s="84" t="s">
        <v>665</v>
      </c>
      <c r="D941" s="84" t="s">
        <v>662</v>
      </c>
      <c r="E941" s="85">
        <v>1097.5609756097563</v>
      </c>
    </row>
    <row r="942" spans="1:5" x14ac:dyDescent="0.25">
      <c r="A942" s="84" t="s">
        <v>1150</v>
      </c>
      <c r="B942" s="84" t="s">
        <v>660</v>
      </c>
      <c r="C942" s="84" t="s">
        <v>668</v>
      </c>
      <c r="D942" s="84" t="s">
        <v>662</v>
      </c>
      <c r="E942" s="85">
        <v>878.04878048780495</v>
      </c>
    </row>
    <row r="943" spans="1:5" x14ac:dyDescent="0.25">
      <c r="A943" s="84" t="s">
        <v>1150</v>
      </c>
      <c r="B943" s="84" t="s">
        <v>660</v>
      </c>
      <c r="C943" s="84" t="s">
        <v>672</v>
      </c>
      <c r="D943" s="84" t="s">
        <v>662</v>
      </c>
      <c r="E943" s="85">
        <v>109.75609756097562</v>
      </c>
    </row>
    <row r="944" spans="1:5" x14ac:dyDescent="0.25">
      <c r="A944" s="84" t="s">
        <v>1150</v>
      </c>
      <c r="B944" s="84" t="s">
        <v>660</v>
      </c>
      <c r="C944" s="84" t="s">
        <v>675</v>
      </c>
      <c r="D944" s="84" t="s">
        <v>662</v>
      </c>
      <c r="E944" s="85">
        <v>987.80487804878055</v>
      </c>
    </row>
    <row r="945" spans="1:5" x14ac:dyDescent="0.25">
      <c r="A945" s="84" t="s">
        <v>1150</v>
      </c>
      <c r="B945" s="84" t="s">
        <v>660</v>
      </c>
      <c r="C945" s="84" t="s">
        <v>677</v>
      </c>
      <c r="D945" s="84" t="s">
        <v>662</v>
      </c>
      <c r="E945" s="85">
        <v>658.53658536585374</v>
      </c>
    </row>
    <row r="946" spans="1:5" x14ac:dyDescent="0.25">
      <c r="A946" s="84" t="s">
        <v>1150</v>
      </c>
      <c r="B946" s="84" t="s">
        <v>660</v>
      </c>
      <c r="C946" s="84" t="s">
        <v>615</v>
      </c>
      <c r="D946" s="84" t="s">
        <v>662</v>
      </c>
      <c r="E946" s="85">
        <v>4390.2439024390251</v>
      </c>
    </row>
    <row r="947" spans="1:5" x14ac:dyDescent="0.25">
      <c r="A947" s="84" t="s">
        <v>1150</v>
      </c>
      <c r="B947" s="84" t="s">
        <v>660</v>
      </c>
      <c r="C947" s="84" t="s">
        <v>159</v>
      </c>
      <c r="D947" s="84" t="s">
        <v>662</v>
      </c>
      <c r="E947" s="85">
        <v>4390.2439024390251</v>
      </c>
    </row>
    <row r="948" spans="1:5" x14ac:dyDescent="0.25">
      <c r="A948" s="84" t="s">
        <v>1150</v>
      </c>
      <c r="B948" s="84" t="s">
        <v>660</v>
      </c>
      <c r="C948" s="84" t="s">
        <v>84</v>
      </c>
      <c r="D948" s="84" t="s">
        <v>662</v>
      </c>
      <c r="E948" s="85">
        <v>548.78048780487813</v>
      </c>
    </row>
    <row r="949" spans="1:5" x14ac:dyDescent="0.25">
      <c r="A949" s="86" t="s">
        <v>1151</v>
      </c>
      <c r="B949" s="88" t="s">
        <v>660</v>
      </c>
      <c r="C949" s="86" t="s">
        <v>661</v>
      </c>
      <c r="D949" s="88" t="s">
        <v>662</v>
      </c>
      <c r="E949" s="87">
        <v>1678.0487804878048</v>
      </c>
    </row>
    <row r="950" spans="1:5" x14ac:dyDescent="0.25">
      <c r="A950" s="86" t="s">
        <v>1151</v>
      </c>
      <c r="B950" s="88" t="s">
        <v>660</v>
      </c>
      <c r="C950" s="86" t="s">
        <v>665</v>
      </c>
      <c r="D950" s="88" t="s">
        <v>662</v>
      </c>
      <c r="E950" s="87">
        <v>195.1219512195122</v>
      </c>
    </row>
    <row r="951" spans="1:5" x14ac:dyDescent="0.25">
      <c r="A951" s="86" t="s">
        <v>1151</v>
      </c>
      <c r="B951" s="88" t="s">
        <v>660</v>
      </c>
      <c r="C951" s="86" t="s">
        <v>668</v>
      </c>
      <c r="D951" s="88" t="s">
        <v>662</v>
      </c>
      <c r="E951" s="87">
        <v>156.09756097560975</v>
      </c>
    </row>
    <row r="952" spans="1:5" x14ac:dyDescent="0.25">
      <c r="A952" s="86" t="s">
        <v>1151</v>
      </c>
      <c r="B952" s="88" t="s">
        <v>660</v>
      </c>
      <c r="C952" s="86" t="s">
        <v>672</v>
      </c>
      <c r="D952" s="88" t="s">
        <v>662</v>
      </c>
      <c r="E952" s="87">
        <v>19.512195121951219</v>
      </c>
    </row>
    <row r="953" spans="1:5" x14ac:dyDescent="0.25">
      <c r="A953" s="86" t="s">
        <v>1151</v>
      </c>
      <c r="B953" s="88" t="s">
        <v>660</v>
      </c>
      <c r="C953" s="86" t="s">
        <v>675</v>
      </c>
      <c r="D953" s="88" t="s">
        <v>662</v>
      </c>
      <c r="E953" s="87">
        <v>175.60975609756096</v>
      </c>
    </row>
    <row r="954" spans="1:5" x14ac:dyDescent="0.25">
      <c r="A954" s="86" t="s">
        <v>1151</v>
      </c>
      <c r="B954" s="88" t="s">
        <v>660</v>
      </c>
      <c r="C954" s="86" t="s">
        <v>677</v>
      </c>
      <c r="D954" s="88" t="s">
        <v>662</v>
      </c>
      <c r="E954" s="87">
        <v>117.07317073170731</v>
      </c>
    </row>
    <row r="955" spans="1:5" x14ac:dyDescent="0.25">
      <c r="A955" s="86" t="s">
        <v>1151</v>
      </c>
      <c r="B955" s="88" t="s">
        <v>660</v>
      </c>
      <c r="C955" s="86" t="s">
        <v>615</v>
      </c>
      <c r="D955" s="88" t="s">
        <v>662</v>
      </c>
      <c r="E955" s="87">
        <v>780.48780487804879</v>
      </c>
    </row>
    <row r="956" spans="1:5" x14ac:dyDescent="0.25">
      <c r="A956" s="86" t="s">
        <v>1151</v>
      </c>
      <c r="B956" s="88" t="s">
        <v>660</v>
      </c>
      <c r="C956" s="86" t="s">
        <v>159</v>
      </c>
      <c r="D956" s="88" t="s">
        <v>662</v>
      </c>
      <c r="E956" s="87">
        <v>780.48780487804879</v>
      </c>
    </row>
    <row r="957" spans="1:5" x14ac:dyDescent="0.25">
      <c r="A957" s="86" t="s">
        <v>1151</v>
      </c>
      <c r="B957" s="88" t="s">
        <v>660</v>
      </c>
      <c r="C957" s="86" t="s">
        <v>84</v>
      </c>
      <c r="D957" s="88" t="s">
        <v>662</v>
      </c>
      <c r="E957" s="87">
        <v>97.560975609756099</v>
      </c>
    </row>
    <row r="958" spans="1:5" x14ac:dyDescent="0.25">
      <c r="A958" s="86" t="s">
        <v>1151</v>
      </c>
      <c r="B958" s="88" t="s">
        <v>660</v>
      </c>
      <c r="C958" s="86" t="s">
        <v>123</v>
      </c>
      <c r="D958" s="88" t="s">
        <v>662</v>
      </c>
      <c r="E958" s="87">
        <v>400</v>
      </c>
    </row>
    <row r="959" spans="1:5" x14ac:dyDescent="0.25">
      <c r="A959" s="84" t="s">
        <v>1152</v>
      </c>
      <c r="B959" s="84" t="s">
        <v>660</v>
      </c>
      <c r="C959" s="84" t="s">
        <v>661</v>
      </c>
      <c r="D959" s="84" t="s">
        <v>662</v>
      </c>
      <c r="E959" s="85">
        <v>2500</v>
      </c>
    </row>
    <row r="960" spans="1:5" x14ac:dyDescent="0.25">
      <c r="A960" s="84" t="s">
        <v>1152</v>
      </c>
      <c r="B960" s="84" t="s">
        <v>660</v>
      </c>
      <c r="C960" s="84" t="s">
        <v>677</v>
      </c>
      <c r="D960" s="84" t="s">
        <v>662</v>
      </c>
      <c r="E960" s="85">
        <v>400</v>
      </c>
    </row>
    <row r="961" spans="1:5" x14ac:dyDescent="0.25">
      <c r="A961" s="84" t="s">
        <v>1152</v>
      </c>
      <c r="B961" s="84" t="s">
        <v>660</v>
      </c>
      <c r="C961" s="84" t="s">
        <v>1062</v>
      </c>
      <c r="D961" s="84" t="s">
        <v>662</v>
      </c>
      <c r="E961" s="85">
        <v>900</v>
      </c>
    </row>
    <row r="962" spans="1:5" x14ac:dyDescent="0.25">
      <c r="A962" s="84" t="s">
        <v>1152</v>
      </c>
      <c r="B962" s="84" t="s">
        <v>660</v>
      </c>
      <c r="C962" s="84" t="s">
        <v>615</v>
      </c>
      <c r="D962" s="84" t="s">
        <v>662</v>
      </c>
      <c r="E962" s="85">
        <v>1000</v>
      </c>
    </row>
    <row r="963" spans="1:5" x14ac:dyDescent="0.25">
      <c r="A963" s="84" t="s">
        <v>1152</v>
      </c>
      <c r="B963" s="84" t="s">
        <v>660</v>
      </c>
      <c r="C963" s="84" t="s">
        <v>1153</v>
      </c>
      <c r="D963" s="84" t="s">
        <v>662</v>
      </c>
      <c r="E963" s="85">
        <v>388.8</v>
      </c>
    </row>
    <row r="964" spans="1:5" x14ac:dyDescent="0.25">
      <c r="A964" s="86" t="s">
        <v>1154</v>
      </c>
      <c r="B964" s="88" t="s">
        <v>660</v>
      </c>
      <c r="C964" s="86" t="s">
        <v>661</v>
      </c>
      <c r="D964" s="88" t="s">
        <v>662</v>
      </c>
      <c r="E964" s="87">
        <v>2500</v>
      </c>
    </row>
    <row r="965" spans="1:5" x14ac:dyDescent="0.25">
      <c r="A965" s="86" t="s">
        <v>1154</v>
      </c>
      <c r="B965" s="88" t="s">
        <v>660</v>
      </c>
      <c r="C965" s="86" t="s">
        <v>677</v>
      </c>
      <c r="D965" s="88" t="s">
        <v>662</v>
      </c>
      <c r="E965" s="87">
        <v>400</v>
      </c>
    </row>
    <row r="966" spans="1:5" x14ac:dyDescent="0.25">
      <c r="A966" s="86" t="s">
        <v>1154</v>
      </c>
      <c r="B966" s="88" t="s">
        <v>660</v>
      </c>
      <c r="C966" s="86" t="s">
        <v>1062</v>
      </c>
      <c r="D966" s="88" t="s">
        <v>662</v>
      </c>
      <c r="E966" s="87">
        <v>900</v>
      </c>
    </row>
    <row r="967" spans="1:5" x14ac:dyDescent="0.25">
      <c r="A967" s="86" t="s">
        <v>1154</v>
      </c>
      <c r="B967" s="88" t="s">
        <v>660</v>
      </c>
      <c r="C967" s="86" t="s">
        <v>294</v>
      </c>
      <c r="D967" s="88" t="s">
        <v>662</v>
      </c>
      <c r="E967" s="87">
        <v>1000</v>
      </c>
    </row>
    <row r="968" spans="1:5" x14ac:dyDescent="0.25">
      <c r="A968" s="86" t="s">
        <v>1154</v>
      </c>
      <c r="B968" s="88" t="s">
        <v>660</v>
      </c>
      <c r="C968" s="86" t="s">
        <v>1155</v>
      </c>
      <c r="D968" s="88" t="s">
        <v>662</v>
      </c>
      <c r="E968" s="87">
        <v>480</v>
      </c>
    </row>
    <row r="969" spans="1:5" x14ac:dyDescent="0.25">
      <c r="A969" s="84" t="s">
        <v>1156</v>
      </c>
      <c r="B969" s="84" t="s">
        <v>660</v>
      </c>
      <c r="C969" s="84" t="s">
        <v>661</v>
      </c>
      <c r="D969" s="84" t="s">
        <v>662</v>
      </c>
      <c r="E969" s="85">
        <v>2757.2254335260109</v>
      </c>
    </row>
    <row r="970" spans="1:5" x14ac:dyDescent="0.25">
      <c r="A970" s="84" t="s">
        <v>1156</v>
      </c>
      <c r="B970" s="84" t="s">
        <v>660</v>
      </c>
      <c r="C970" s="84" t="s">
        <v>665</v>
      </c>
      <c r="D970" s="84" t="s">
        <v>662</v>
      </c>
      <c r="E970" s="85">
        <v>220.09782125389057</v>
      </c>
    </row>
    <row r="971" spans="1:5" x14ac:dyDescent="0.25">
      <c r="A971" s="84" t="s">
        <v>1156</v>
      </c>
      <c r="B971" s="84" t="s">
        <v>660</v>
      </c>
      <c r="C971" s="84" t="s">
        <v>668</v>
      </c>
      <c r="D971" s="84" t="s">
        <v>662</v>
      </c>
      <c r="E971" s="85">
        <v>360.16007114273003</v>
      </c>
    </row>
    <row r="972" spans="1:5" x14ac:dyDescent="0.25">
      <c r="A972" s="84" t="s">
        <v>1156</v>
      </c>
      <c r="B972" s="84" t="s">
        <v>660</v>
      </c>
      <c r="C972" s="84" t="s">
        <v>84</v>
      </c>
      <c r="D972" s="84" t="s">
        <v>662</v>
      </c>
      <c r="E972" s="85">
        <v>140.06224988883946</v>
      </c>
    </row>
    <row r="973" spans="1:5" x14ac:dyDescent="0.25">
      <c r="A973" s="84" t="s">
        <v>1156</v>
      </c>
      <c r="B973" s="84" t="s">
        <v>660</v>
      </c>
      <c r="C973" s="84" t="s">
        <v>672</v>
      </c>
      <c r="D973" s="84" t="s">
        <v>662</v>
      </c>
      <c r="E973" s="85">
        <v>20.008892841262778</v>
      </c>
    </row>
    <row r="974" spans="1:5" x14ac:dyDescent="0.25">
      <c r="A974" s="84" t="s">
        <v>1156</v>
      </c>
      <c r="B974" s="84" t="s">
        <v>660</v>
      </c>
      <c r="C974" s="84" t="s">
        <v>675</v>
      </c>
      <c r="D974" s="84" t="s">
        <v>662</v>
      </c>
      <c r="E974" s="85">
        <v>111.16051578479322</v>
      </c>
    </row>
    <row r="975" spans="1:5" x14ac:dyDescent="0.25">
      <c r="A975" s="84" t="s">
        <v>1156</v>
      </c>
      <c r="B975" s="84" t="s">
        <v>660</v>
      </c>
      <c r="C975" s="84" t="s">
        <v>677</v>
      </c>
      <c r="D975" s="84" t="s">
        <v>662</v>
      </c>
      <c r="E975" s="85">
        <v>111.16051578479322</v>
      </c>
    </row>
    <row r="976" spans="1:5" x14ac:dyDescent="0.25">
      <c r="A976" s="84" t="s">
        <v>1156</v>
      </c>
      <c r="B976" s="84" t="s">
        <v>660</v>
      </c>
      <c r="C976" s="84" t="s">
        <v>1157</v>
      </c>
      <c r="D976" s="84" t="s">
        <v>662</v>
      </c>
      <c r="E976" s="85">
        <v>280.12449977767892</v>
      </c>
    </row>
    <row r="977" spans="1:5" x14ac:dyDescent="0.25">
      <c r="A977" s="84" t="s">
        <v>1156</v>
      </c>
      <c r="B977" s="84" t="s">
        <v>660</v>
      </c>
      <c r="C977" s="84" t="s">
        <v>696</v>
      </c>
      <c r="D977" s="84" t="s">
        <v>662</v>
      </c>
      <c r="E977" s="85">
        <v>600</v>
      </c>
    </row>
    <row r="978" spans="1:5" x14ac:dyDescent="0.25">
      <c r="A978" s="84" t="s">
        <v>1156</v>
      </c>
      <c r="B978" s="84" t="s">
        <v>660</v>
      </c>
      <c r="C978" s="84" t="s">
        <v>165</v>
      </c>
      <c r="D978" s="84" t="s">
        <v>662</v>
      </c>
      <c r="E978" s="85">
        <v>300</v>
      </c>
    </row>
    <row r="979" spans="1:5" x14ac:dyDescent="0.25">
      <c r="A979" s="86" t="s">
        <v>1158</v>
      </c>
      <c r="B979" s="88" t="s">
        <v>660</v>
      </c>
      <c r="C979" s="86" t="s">
        <v>661</v>
      </c>
      <c r="D979" s="88" t="s">
        <v>662</v>
      </c>
      <c r="E979" s="87">
        <v>2897.2876834148506</v>
      </c>
    </row>
    <row r="980" spans="1:5" x14ac:dyDescent="0.25">
      <c r="A980" s="86" t="s">
        <v>1158</v>
      </c>
      <c r="B980" s="88" t="s">
        <v>660</v>
      </c>
      <c r="C980" s="86" t="s">
        <v>665</v>
      </c>
      <c r="D980" s="88" t="s">
        <v>662</v>
      </c>
      <c r="E980" s="87">
        <v>220.09782125389057</v>
      </c>
    </row>
    <row r="981" spans="1:5" x14ac:dyDescent="0.25">
      <c r="A981" s="86" t="s">
        <v>1158</v>
      </c>
      <c r="B981" s="88" t="s">
        <v>660</v>
      </c>
      <c r="C981" s="86" t="s">
        <v>668</v>
      </c>
      <c r="D981" s="88" t="s">
        <v>662</v>
      </c>
      <c r="E981" s="87">
        <v>360.16007114273003</v>
      </c>
    </row>
    <row r="982" spans="1:5" x14ac:dyDescent="0.25">
      <c r="A982" s="86" t="s">
        <v>1158</v>
      </c>
      <c r="B982" s="88" t="s">
        <v>660</v>
      </c>
      <c r="C982" s="86" t="s">
        <v>84</v>
      </c>
      <c r="D982" s="88" t="s">
        <v>662</v>
      </c>
      <c r="E982" s="87">
        <v>140.06224988883946</v>
      </c>
    </row>
    <row r="983" spans="1:5" x14ac:dyDescent="0.25">
      <c r="A983" s="86" t="s">
        <v>1158</v>
      </c>
      <c r="B983" s="88" t="s">
        <v>660</v>
      </c>
      <c r="C983" s="86" t="s">
        <v>672</v>
      </c>
      <c r="D983" s="88" t="s">
        <v>662</v>
      </c>
      <c r="E983" s="87">
        <v>20.008892841262778</v>
      </c>
    </row>
    <row r="984" spans="1:5" x14ac:dyDescent="0.25">
      <c r="A984" s="86" t="s">
        <v>1158</v>
      </c>
      <c r="B984" s="88" t="s">
        <v>660</v>
      </c>
      <c r="C984" s="86" t="s">
        <v>675</v>
      </c>
      <c r="D984" s="88" t="s">
        <v>662</v>
      </c>
      <c r="E984" s="87">
        <v>111.16051578479322</v>
      </c>
    </row>
    <row r="985" spans="1:5" x14ac:dyDescent="0.25">
      <c r="A985" s="86" t="s">
        <v>1158</v>
      </c>
      <c r="B985" s="88" t="s">
        <v>660</v>
      </c>
      <c r="C985" s="86" t="s">
        <v>677</v>
      </c>
      <c r="D985" s="88" t="s">
        <v>662</v>
      </c>
      <c r="E985" s="87">
        <v>111.16051578479322</v>
      </c>
    </row>
    <row r="986" spans="1:5" x14ac:dyDescent="0.25">
      <c r="A986" s="86" t="s">
        <v>1158</v>
      </c>
      <c r="B986" s="88" t="s">
        <v>660</v>
      </c>
      <c r="C986" s="86" t="s">
        <v>1157</v>
      </c>
      <c r="D986" s="88" t="s">
        <v>662</v>
      </c>
      <c r="E986" s="87">
        <v>140.06224988883946</v>
      </c>
    </row>
    <row r="987" spans="1:5" x14ac:dyDescent="0.25">
      <c r="A987" s="86" t="s">
        <v>1158</v>
      </c>
      <c r="B987" s="88" t="s">
        <v>660</v>
      </c>
      <c r="C987" s="86" t="s">
        <v>151</v>
      </c>
      <c r="D987" s="88" t="s">
        <v>662</v>
      </c>
      <c r="E987" s="87">
        <v>300</v>
      </c>
    </row>
    <row r="988" spans="1:5" x14ac:dyDescent="0.25">
      <c r="A988" s="86" t="s">
        <v>1158</v>
      </c>
      <c r="B988" s="88" t="s">
        <v>660</v>
      </c>
      <c r="C988" s="86" t="s">
        <v>165</v>
      </c>
      <c r="D988" s="88" t="s">
        <v>662</v>
      </c>
      <c r="E988" s="87">
        <v>300</v>
      </c>
    </row>
    <row r="989" spans="1:5" x14ac:dyDescent="0.25">
      <c r="A989" s="84" t="s">
        <v>123</v>
      </c>
      <c r="B989" s="84" t="s">
        <v>660</v>
      </c>
      <c r="C989" s="84" t="s">
        <v>661</v>
      </c>
      <c r="D989" s="84" t="s">
        <v>662</v>
      </c>
      <c r="E989" s="85">
        <v>2110.0550275137566</v>
      </c>
    </row>
    <row r="990" spans="1:5" x14ac:dyDescent="0.25">
      <c r="A990" s="84" t="s">
        <v>123</v>
      </c>
      <c r="B990" s="84" t="s">
        <v>660</v>
      </c>
      <c r="C990" s="84" t="s">
        <v>665</v>
      </c>
      <c r="D990" s="84" t="s">
        <v>662</v>
      </c>
      <c r="E990" s="85">
        <v>0</v>
      </c>
    </row>
    <row r="991" spans="1:5" x14ac:dyDescent="0.25">
      <c r="A991" s="84" t="s">
        <v>123</v>
      </c>
      <c r="B991" s="84" t="s">
        <v>660</v>
      </c>
      <c r="C991" s="84" t="s">
        <v>668</v>
      </c>
      <c r="D991" s="84" t="s">
        <v>662</v>
      </c>
      <c r="E991" s="85">
        <v>150.07503751875936</v>
      </c>
    </row>
    <row r="992" spans="1:5" x14ac:dyDescent="0.25">
      <c r="A992" s="84" t="s">
        <v>123</v>
      </c>
      <c r="B992" s="84" t="s">
        <v>660</v>
      </c>
      <c r="C992" s="84" t="s">
        <v>84</v>
      </c>
      <c r="D992" s="84" t="s">
        <v>662</v>
      </c>
      <c r="E992" s="85">
        <v>270.13506753376686</v>
      </c>
    </row>
    <row r="993" spans="1:5" x14ac:dyDescent="0.25">
      <c r="A993" s="84" t="s">
        <v>123</v>
      </c>
      <c r="B993" s="84" t="s">
        <v>660</v>
      </c>
      <c r="C993" s="84" t="s">
        <v>672</v>
      </c>
      <c r="D993" s="84" t="s">
        <v>662</v>
      </c>
      <c r="E993" s="85">
        <v>15.007503751875937</v>
      </c>
    </row>
    <row r="994" spans="1:5" x14ac:dyDescent="0.25">
      <c r="A994" s="84" t="s">
        <v>123</v>
      </c>
      <c r="B994" s="84" t="s">
        <v>660</v>
      </c>
      <c r="C994" s="84" t="s">
        <v>675</v>
      </c>
      <c r="D994" s="84" t="s">
        <v>662</v>
      </c>
      <c r="E994" s="85">
        <v>120.0600300150075</v>
      </c>
    </row>
    <row r="995" spans="1:5" x14ac:dyDescent="0.25">
      <c r="A995" s="84" t="s">
        <v>123</v>
      </c>
      <c r="B995" s="84" t="s">
        <v>660</v>
      </c>
      <c r="C995" s="84" t="s">
        <v>677</v>
      </c>
      <c r="D995" s="84" t="s">
        <v>662</v>
      </c>
      <c r="E995" s="85">
        <v>90.045022511255624</v>
      </c>
    </row>
    <row r="996" spans="1:5" x14ac:dyDescent="0.25">
      <c r="A996" s="84" t="s">
        <v>123</v>
      </c>
      <c r="B996" s="84" t="s">
        <v>660</v>
      </c>
      <c r="C996" s="84" t="s">
        <v>691</v>
      </c>
      <c r="D996" s="84" t="s">
        <v>662</v>
      </c>
      <c r="E996" s="85">
        <v>150.07503751875936</v>
      </c>
    </row>
    <row r="997" spans="1:5" x14ac:dyDescent="0.25">
      <c r="A997" s="84" t="s">
        <v>123</v>
      </c>
      <c r="B997" s="84" t="s">
        <v>660</v>
      </c>
      <c r="C997" s="84" t="s">
        <v>113</v>
      </c>
      <c r="D997" s="84" t="s">
        <v>662</v>
      </c>
      <c r="E997" s="85">
        <v>4.5022511255627808</v>
      </c>
    </row>
    <row r="998" spans="1:5" x14ac:dyDescent="0.25">
      <c r="A998" s="84" t="s">
        <v>123</v>
      </c>
      <c r="B998" s="84" t="s">
        <v>660</v>
      </c>
      <c r="C998" s="84" t="s">
        <v>1027</v>
      </c>
      <c r="D998" s="84" t="s">
        <v>662</v>
      </c>
      <c r="E998" s="85">
        <v>90.045022511255624</v>
      </c>
    </row>
    <row r="999" spans="1:5" x14ac:dyDescent="0.25">
      <c r="A999" s="84" t="s">
        <v>123</v>
      </c>
      <c r="B999" s="84" t="s">
        <v>660</v>
      </c>
      <c r="C999" s="84" t="s">
        <v>123</v>
      </c>
      <c r="D999" s="84" t="s">
        <v>662</v>
      </c>
      <c r="E999" s="85">
        <v>300</v>
      </c>
    </row>
    <row r="1000" spans="1:5" x14ac:dyDescent="0.25">
      <c r="A1000" s="86" t="s">
        <v>717</v>
      </c>
      <c r="B1000" s="88" t="s">
        <v>660</v>
      </c>
      <c r="C1000" s="86" t="s">
        <v>661</v>
      </c>
      <c r="D1000" s="88" t="s">
        <v>662</v>
      </c>
      <c r="E1000" s="87">
        <v>7037.9999999999991</v>
      </c>
    </row>
    <row r="1001" spans="1:5" x14ac:dyDescent="0.25">
      <c r="A1001" s="86" t="s">
        <v>717</v>
      </c>
      <c r="B1001" s="88" t="s">
        <v>660</v>
      </c>
      <c r="C1001" s="86" t="s">
        <v>665</v>
      </c>
      <c r="D1001" s="88" t="s">
        <v>662</v>
      </c>
      <c r="E1001" s="87">
        <v>816</v>
      </c>
    </row>
    <row r="1002" spans="1:5" x14ac:dyDescent="0.25">
      <c r="A1002" s="86" t="s">
        <v>717</v>
      </c>
      <c r="B1002" s="88" t="s">
        <v>660</v>
      </c>
      <c r="C1002" s="86" t="s">
        <v>668</v>
      </c>
      <c r="D1002" s="88" t="s">
        <v>662</v>
      </c>
      <c r="E1002" s="87">
        <v>1224</v>
      </c>
    </row>
    <row r="1003" spans="1:5" x14ac:dyDescent="0.25">
      <c r="A1003" s="86" t="s">
        <v>717</v>
      </c>
      <c r="B1003" s="88" t="s">
        <v>660</v>
      </c>
      <c r="C1003" s="86" t="s">
        <v>84</v>
      </c>
      <c r="D1003" s="88" t="s">
        <v>662</v>
      </c>
      <c r="E1003" s="87">
        <v>306</v>
      </c>
    </row>
    <row r="1004" spans="1:5" x14ac:dyDescent="0.25">
      <c r="A1004" s="86" t="s">
        <v>717</v>
      </c>
      <c r="B1004" s="88" t="s">
        <v>660</v>
      </c>
      <c r="C1004" s="86" t="s">
        <v>672</v>
      </c>
      <c r="D1004" s="88" t="s">
        <v>662</v>
      </c>
      <c r="E1004" s="87">
        <v>51</v>
      </c>
    </row>
    <row r="1005" spans="1:5" x14ac:dyDescent="0.25">
      <c r="A1005" s="86" t="s">
        <v>717</v>
      </c>
      <c r="B1005" s="88" t="s">
        <v>660</v>
      </c>
      <c r="C1005" s="86" t="s">
        <v>675</v>
      </c>
      <c r="D1005" s="88" t="s">
        <v>662</v>
      </c>
      <c r="E1005" s="87">
        <v>458.99999999999994</v>
      </c>
    </row>
    <row r="1006" spans="1:5" x14ac:dyDescent="0.25">
      <c r="A1006" s="86" t="s">
        <v>717</v>
      </c>
      <c r="B1006" s="88" t="s">
        <v>660</v>
      </c>
      <c r="C1006" s="86" t="s">
        <v>677</v>
      </c>
      <c r="D1006" s="88" t="s">
        <v>662</v>
      </c>
      <c r="E1006" s="87">
        <v>306</v>
      </c>
    </row>
    <row r="1007" spans="1:5" x14ac:dyDescent="0.25">
      <c r="A1007" s="86" t="s">
        <v>717</v>
      </c>
      <c r="B1007" s="88" t="s">
        <v>660</v>
      </c>
      <c r="C1007" s="86" t="s">
        <v>123</v>
      </c>
      <c r="D1007" s="88" t="s">
        <v>662</v>
      </c>
      <c r="E1007" s="87">
        <v>1020</v>
      </c>
    </row>
    <row r="1008" spans="1:5" x14ac:dyDescent="0.25">
      <c r="A1008" s="84" t="s">
        <v>1159</v>
      </c>
      <c r="B1008" s="84" t="s">
        <v>660</v>
      </c>
      <c r="C1008" s="84" t="s">
        <v>661</v>
      </c>
      <c r="D1008" s="84" t="s">
        <v>662</v>
      </c>
      <c r="E1008" s="85">
        <v>2760</v>
      </c>
    </row>
    <row r="1009" spans="1:5" x14ac:dyDescent="0.25">
      <c r="A1009" s="84" t="s">
        <v>1159</v>
      </c>
      <c r="B1009" s="84" t="s">
        <v>660</v>
      </c>
      <c r="C1009" s="84" t="s">
        <v>665</v>
      </c>
      <c r="D1009" s="84" t="s">
        <v>662</v>
      </c>
      <c r="E1009" s="85">
        <v>260</v>
      </c>
    </row>
    <row r="1010" spans="1:5" x14ac:dyDescent="0.25">
      <c r="A1010" s="84" t="s">
        <v>1159</v>
      </c>
      <c r="B1010" s="84" t="s">
        <v>660</v>
      </c>
      <c r="C1010" s="84" t="s">
        <v>668</v>
      </c>
      <c r="D1010" s="84" t="s">
        <v>662</v>
      </c>
      <c r="E1010" s="85">
        <v>440</v>
      </c>
    </row>
    <row r="1011" spans="1:5" x14ac:dyDescent="0.25">
      <c r="A1011" s="84" t="s">
        <v>1159</v>
      </c>
      <c r="B1011" s="84" t="s">
        <v>660</v>
      </c>
      <c r="C1011" s="84" t="s">
        <v>84</v>
      </c>
      <c r="D1011" s="84" t="s">
        <v>662</v>
      </c>
      <c r="E1011" s="85">
        <v>120</v>
      </c>
    </row>
    <row r="1012" spans="1:5" x14ac:dyDescent="0.25">
      <c r="A1012" s="84" t="s">
        <v>1159</v>
      </c>
      <c r="B1012" s="84" t="s">
        <v>660</v>
      </c>
      <c r="C1012" s="84" t="s">
        <v>672</v>
      </c>
      <c r="D1012" s="84" t="s">
        <v>662</v>
      </c>
      <c r="E1012" s="85">
        <v>20</v>
      </c>
    </row>
    <row r="1013" spans="1:5" x14ac:dyDescent="0.25">
      <c r="A1013" s="84" t="s">
        <v>1159</v>
      </c>
      <c r="B1013" s="84" t="s">
        <v>660</v>
      </c>
      <c r="C1013" s="84" t="s">
        <v>675</v>
      </c>
      <c r="D1013" s="84" t="s">
        <v>662</v>
      </c>
      <c r="E1013" s="85">
        <v>180</v>
      </c>
    </row>
    <row r="1014" spans="1:5" x14ac:dyDescent="0.25">
      <c r="A1014" s="84" t="s">
        <v>1159</v>
      </c>
      <c r="B1014" s="84" t="s">
        <v>660</v>
      </c>
      <c r="C1014" s="84" t="s">
        <v>677</v>
      </c>
      <c r="D1014" s="84" t="s">
        <v>662</v>
      </c>
      <c r="E1014" s="85">
        <v>120</v>
      </c>
    </row>
    <row r="1015" spans="1:5" x14ac:dyDescent="0.25">
      <c r="A1015" s="84" t="s">
        <v>1159</v>
      </c>
      <c r="B1015" s="84" t="s">
        <v>660</v>
      </c>
      <c r="C1015" s="84" t="s">
        <v>1016</v>
      </c>
      <c r="D1015" s="84" t="s">
        <v>662</v>
      </c>
      <c r="E1015" s="85">
        <v>100</v>
      </c>
    </row>
    <row r="1016" spans="1:5" x14ac:dyDescent="0.25">
      <c r="A1016" s="84" t="s">
        <v>1159</v>
      </c>
      <c r="B1016" s="84" t="s">
        <v>660</v>
      </c>
      <c r="C1016" s="84" t="s">
        <v>1160</v>
      </c>
      <c r="D1016" s="84" t="s">
        <v>662</v>
      </c>
      <c r="E1016" s="85">
        <v>320</v>
      </c>
    </row>
    <row r="1017" spans="1:5" x14ac:dyDescent="0.25">
      <c r="A1017" s="86" t="s">
        <v>1020</v>
      </c>
      <c r="B1017" s="88" t="s">
        <v>660</v>
      </c>
      <c r="C1017" s="86" t="s">
        <v>661</v>
      </c>
      <c r="D1017" s="88" t="s">
        <v>662</v>
      </c>
      <c r="E1017" s="87">
        <v>2628.5714285714284</v>
      </c>
    </row>
    <row r="1018" spans="1:5" x14ac:dyDescent="0.25">
      <c r="A1018" s="86" t="s">
        <v>1020</v>
      </c>
      <c r="B1018" s="88" t="s">
        <v>660</v>
      </c>
      <c r="C1018" s="86" t="s">
        <v>665</v>
      </c>
      <c r="D1018" s="88" t="s">
        <v>662</v>
      </c>
      <c r="E1018" s="87">
        <v>304.76190476190476</v>
      </c>
    </row>
    <row r="1019" spans="1:5" x14ac:dyDescent="0.25">
      <c r="A1019" s="86" t="s">
        <v>1020</v>
      </c>
      <c r="B1019" s="88" t="s">
        <v>660</v>
      </c>
      <c r="C1019" s="86" t="s">
        <v>668</v>
      </c>
      <c r="D1019" s="88" t="s">
        <v>662</v>
      </c>
      <c r="E1019" s="87">
        <v>457.14285714285711</v>
      </c>
    </row>
    <row r="1020" spans="1:5" x14ac:dyDescent="0.25">
      <c r="A1020" s="86" t="s">
        <v>1020</v>
      </c>
      <c r="B1020" s="88" t="s">
        <v>660</v>
      </c>
      <c r="C1020" s="86" t="s">
        <v>84</v>
      </c>
      <c r="D1020" s="88" t="s">
        <v>662</v>
      </c>
      <c r="E1020" s="87">
        <v>114.28571428571428</v>
      </c>
    </row>
    <row r="1021" spans="1:5" x14ac:dyDescent="0.25">
      <c r="A1021" s="86" t="s">
        <v>1020</v>
      </c>
      <c r="B1021" s="88" t="s">
        <v>660</v>
      </c>
      <c r="C1021" s="86" t="s">
        <v>672</v>
      </c>
      <c r="D1021" s="88" t="s">
        <v>662</v>
      </c>
      <c r="E1021" s="87">
        <v>19.047619047619047</v>
      </c>
    </row>
    <row r="1022" spans="1:5" x14ac:dyDescent="0.25">
      <c r="A1022" s="86" t="s">
        <v>1020</v>
      </c>
      <c r="B1022" s="88" t="s">
        <v>660</v>
      </c>
      <c r="C1022" s="86" t="s">
        <v>675</v>
      </c>
      <c r="D1022" s="88" t="s">
        <v>662</v>
      </c>
      <c r="E1022" s="87">
        <v>171.42857142857142</v>
      </c>
    </row>
    <row r="1023" spans="1:5" x14ac:dyDescent="0.25">
      <c r="A1023" s="86" t="s">
        <v>1020</v>
      </c>
      <c r="B1023" s="88" t="s">
        <v>660</v>
      </c>
      <c r="C1023" s="86" t="s">
        <v>677</v>
      </c>
      <c r="D1023" s="88" t="s">
        <v>662</v>
      </c>
      <c r="E1023" s="87">
        <v>114.28571428571428</v>
      </c>
    </row>
    <row r="1024" spans="1:5" x14ac:dyDescent="0.25">
      <c r="A1024" s="86" t="s">
        <v>1020</v>
      </c>
      <c r="B1024" s="88" t="s">
        <v>660</v>
      </c>
      <c r="C1024" s="86" t="s">
        <v>1161</v>
      </c>
      <c r="D1024" s="88" t="s">
        <v>662</v>
      </c>
      <c r="E1024" s="87">
        <v>190.47619047619045</v>
      </c>
    </row>
    <row r="1025" spans="1:5" x14ac:dyDescent="0.25">
      <c r="A1025" s="86" t="s">
        <v>1020</v>
      </c>
      <c r="B1025" s="88" t="s">
        <v>660</v>
      </c>
      <c r="C1025" s="86" t="s">
        <v>692</v>
      </c>
      <c r="D1025" s="88" t="s">
        <v>662</v>
      </c>
      <c r="E1025" s="87">
        <v>300</v>
      </c>
    </row>
    <row r="1026" spans="1:5" x14ac:dyDescent="0.25">
      <c r="A1026" s="86" t="s">
        <v>1020</v>
      </c>
      <c r="B1026" s="88" t="s">
        <v>660</v>
      </c>
      <c r="C1026" s="86" t="s">
        <v>1020</v>
      </c>
      <c r="D1026" s="88" t="s">
        <v>662</v>
      </c>
      <c r="E1026" s="87">
        <v>160</v>
      </c>
    </row>
    <row r="1027" spans="1:5" x14ac:dyDescent="0.25">
      <c r="A1027" s="84" t="s">
        <v>1162</v>
      </c>
      <c r="B1027" s="84" t="s">
        <v>660</v>
      </c>
      <c r="C1027" s="84" t="s">
        <v>661</v>
      </c>
      <c r="D1027" s="84" t="s">
        <v>662</v>
      </c>
      <c r="E1027" s="85">
        <v>3103.3295063145811</v>
      </c>
    </row>
    <row r="1028" spans="1:5" x14ac:dyDescent="0.25">
      <c r="A1028" s="84" t="s">
        <v>1162</v>
      </c>
      <c r="B1028" s="84" t="s">
        <v>660</v>
      </c>
      <c r="C1028" s="84" t="s">
        <v>1163</v>
      </c>
      <c r="D1028" s="84" t="s">
        <v>662</v>
      </c>
      <c r="E1028" s="85">
        <v>103.4443168771527</v>
      </c>
    </row>
    <row r="1029" spans="1:5" x14ac:dyDescent="0.25">
      <c r="A1029" s="84" t="s">
        <v>1162</v>
      </c>
      <c r="B1029" s="84" t="s">
        <v>660</v>
      </c>
      <c r="C1029" s="84" t="s">
        <v>1164</v>
      </c>
      <c r="D1029" s="84" t="s">
        <v>662</v>
      </c>
      <c r="E1029" s="85">
        <v>362.05510907003446</v>
      </c>
    </row>
    <row r="1030" spans="1:5" x14ac:dyDescent="0.25">
      <c r="A1030" s="84" t="s">
        <v>1162</v>
      </c>
      <c r="B1030" s="84" t="s">
        <v>660</v>
      </c>
      <c r="C1030" s="84" t="s">
        <v>1062</v>
      </c>
      <c r="D1030" s="84" t="s">
        <v>662</v>
      </c>
      <c r="E1030" s="85">
        <v>930.9988518943743</v>
      </c>
    </row>
    <row r="1031" spans="1:5" x14ac:dyDescent="0.25">
      <c r="A1031" s="84" t="s">
        <v>1162</v>
      </c>
      <c r="B1031" s="84" t="s">
        <v>660</v>
      </c>
      <c r="C1031" s="84" t="s">
        <v>113</v>
      </c>
      <c r="D1031" s="84" t="s">
        <v>662</v>
      </c>
      <c r="E1031" s="85">
        <v>5.1722158438576349</v>
      </c>
    </row>
    <row r="1032" spans="1:5" x14ac:dyDescent="0.25">
      <c r="A1032" s="86" t="s">
        <v>1165</v>
      </c>
      <c r="B1032" s="88" t="s">
        <v>660</v>
      </c>
      <c r="C1032" s="86" t="s">
        <v>661</v>
      </c>
      <c r="D1032" s="88" t="s">
        <v>662</v>
      </c>
      <c r="E1032" s="87">
        <v>2394</v>
      </c>
    </row>
    <row r="1033" spans="1:5" x14ac:dyDescent="0.25">
      <c r="A1033" s="86" t="s">
        <v>1165</v>
      </c>
      <c r="B1033" s="88" t="s">
        <v>660</v>
      </c>
      <c r="C1033" s="86" t="s">
        <v>665</v>
      </c>
      <c r="D1033" s="88" t="s">
        <v>662</v>
      </c>
      <c r="E1033" s="87">
        <v>0</v>
      </c>
    </row>
    <row r="1034" spans="1:5" x14ac:dyDescent="0.25">
      <c r="A1034" s="86" t="s">
        <v>1165</v>
      </c>
      <c r="B1034" s="88" t="s">
        <v>660</v>
      </c>
      <c r="C1034" s="86" t="s">
        <v>668</v>
      </c>
      <c r="D1034" s="88" t="s">
        <v>662</v>
      </c>
      <c r="E1034" s="87">
        <v>342</v>
      </c>
    </row>
    <row r="1035" spans="1:5" x14ac:dyDescent="0.25">
      <c r="A1035" s="86" t="s">
        <v>1165</v>
      </c>
      <c r="B1035" s="88" t="s">
        <v>660</v>
      </c>
      <c r="C1035" s="86" t="s">
        <v>84</v>
      </c>
      <c r="D1035" s="88" t="s">
        <v>662</v>
      </c>
      <c r="E1035" s="87">
        <v>38</v>
      </c>
    </row>
    <row r="1036" spans="1:5" x14ac:dyDescent="0.25">
      <c r="A1036" s="86" t="s">
        <v>1165</v>
      </c>
      <c r="B1036" s="88" t="s">
        <v>660</v>
      </c>
      <c r="C1036" s="86" t="s">
        <v>672</v>
      </c>
      <c r="D1036" s="88" t="s">
        <v>662</v>
      </c>
      <c r="E1036" s="87">
        <v>19</v>
      </c>
    </row>
    <row r="1037" spans="1:5" x14ac:dyDescent="0.25">
      <c r="A1037" s="86" t="s">
        <v>1165</v>
      </c>
      <c r="B1037" s="88" t="s">
        <v>660</v>
      </c>
      <c r="C1037" s="86" t="s">
        <v>675</v>
      </c>
      <c r="D1037" s="88" t="s">
        <v>662</v>
      </c>
      <c r="E1037" s="87">
        <v>171</v>
      </c>
    </row>
    <row r="1038" spans="1:5" x14ac:dyDescent="0.25">
      <c r="A1038" s="86" t="s">
        <v>1165</v>
      </c>
      <c r="B1038" s="88" t="s">
        <v>660</v>
      </c>
      <c r="C1038" s="86" t="s">
        <v>677</v>
      </c>
      <c r="D1038" s="88" t="s">
        <v>662</v>
      </c>
      <c r="E1038" s="87">
        <v>114</v>
      </c>
    </row>
    <row r="1039" spans="1:5" x14ac:dyDescent="0.25">
      <c r="A1039" s="86" t="s">
        <v>1165</v>
      </c>
      <c r="B1039" s="88" t="s">
        <v>660</v>
      </c>
      <c r="C1039" s="86" t="s">
        <v>1165</v>
      </c>
      <c r="D1039" s="88" t="s">
        <v>662</v>
      </c>
      <c r="E1039" s="87">
        <v>494</v>
      </c>
    </row>
    <row r="1040" spans="1:5" x14ac:dyDescent="0.25">
      <c r="A1040" s="86" t="s">
        <v>1165</v>
      </c>
      <c r="B1040" s="88" t="s">
        <v>660</v>
      </c>
      <c r="C1040" s="86" t="s">
        <v>1164</v>
      </c>
      <c r="D1040" s="88" t="s">
        <v>662</v>
      </c>
      <c r="E1040" s="87">
        <v>228</v>
      </c>
    </row>
    <row r="1041" spans="1:5" x14ac:dyDescent="0.25">
      <c r="A1041" s="86" t="s">
        <v>1165</v>
      </c>
      <c r="B1041" s="88" t="s">
        <v>660</v>
      </c>
      <c r="C1041" s="86" t="s">
        <v>1165</v>
      </c>
      <c r="D1041" s="88" t="s">
        <v>662</v>
      </c>
      <c r="E1041" s="87">
        <v>114</v>
      </c>
    </row>
    <row r="1042" spans="1:5" x14ac:dyDescent="0.25">
      <c r="A1042" s="84" t="s">
        <v>1166</v>
      </c>
      <c r="B1042" s="84" t="s">
        <v>660</v>
      </c>
      <c r="C1042" s="84" t="s">
        <v>661</v>
      </c>
      <c r="D1042" s="84" t="s">
        <v>662</v>
      </c>
      <c r="E1042" s="85">
        <v>2683.8966202783299</v>
      </c>
    </row>
    <row r="1043" spans="1:5" x14ac:dyDescent="0.25">
      <c r="A1043" s="84" t="s">
        <v>1166</v>
      </c>
      <c r="B1043" s="84" t="s">
        <v>660</v>
      </c>
      <c r="C1043" s="84" t="s">
        <v>665</v>
      </c>
      <c r="D1043" s="84" t="s">
        <v>662</v>
      </c>
      <c r="E1043" s="85">
        <v>198.80715705765408</v>
      </c>
    </row>
    <row r="1044" spans="1:5" x14ac:dyDescent="0.25">
      <c r="A1044" s="84" t="s">
        <v>1166</v>
      </c>
      <c r="B1044" s="84" t="s">
        <v>660</v>
      </c>
      <c r="C1044" s="84" t="s">
        <v>668</v>
      </c>
      <c r="D1044" s="84" t="s">
        <v>662</v>
      </c>
      <c r="E1044" s="85">
        <v>79.522862823061629</v>
      </c>
    </row>
    <row r="1045" spans="1:5" x14ac:dyDescent="0.25">
      <c r="A1045" s="84" t="s">
        <v>1166</v>
      </c>
      <c r="B1045" s="84" t="s">
        <v>660</v>
      </c>
      <c r="C1045" s="84" t="s">
        <v>672</v>
      </c>
      <c r="D1045" s="84" t="s">
        <v>662</v>
      </c>
      <c r="E1045" s="85">
        <v>19.880715705765407</v>
      </c>
    </row>
    <row r="1046" spans="1:5" x14ac:dyDescent="0.25">
      <c r="A1046" s="84" t="s">
        <v>1166</v>
      </c>
      <c r="B1046" s="84" t="s">
        <v>660</v>
      </c>
      <c r="C1046" s="84" t="s">
        <v>675</v>
      </c>
      <c r="D1046" s="84" t="s">
        <v>662</v>
      </c>
      <c r="E1046" s="85">
        <v>178.92644135188868</v>
      </c>
    </row>
    <row r="1047" spans="1:5" x14ac:dyDescent="0.25">
      <c r="A1047" s="84" t="s">
        <v>1166</v>
      </c>
      <c r="B1047" s="84" t="s">
        <v>660</v>
      </c>
      <c r="C1047" s="84" t="s">
        <v>677</v>
      </c>
      <c r="D1047" s="84" t="s">
        <v>662</v>
      </c>
      <c r="E1047" s="85">
        <v>139.16500994035786</v>
      </c>
    </row>
    <row r="1048" spans="1:5" x14ac:dyDescent="0.25">
      <c r="A1048" s="84" t="s">
        <v>1166</v>
      </c>
      <c r="B1048" s="84" t="s">
        <v>660</v>
      </c>
      <c r="C1048" s="84" t="s">
        <v>582</v>
      </c>
      <c r="D1048" s="84" t="s">
        <v>662</v>
      </c>
      <c r="E1048" s="85">
        <v>477.13717693836981</v>
      </c>
    </row>
    <row r="1049" spans="1:5" x14ac:dyDescent="0.25">
      <c r="A1049" s="84" t="s">
        <v>1166</v>
      </c>
      <c r="B1049" s="84" t="s">
        <v>660</v>
      </c>
      <c r="C1049" s="84" t="s">
        <v>993</v>
      </c>
      <c r="D1049" s="84" t="s">
        <v>662</v>
      </c>
      <c r="E1049" s="85">
        <v>198.80715705765408</v>
      </c>
    </row>
    <row r="1050" spans="1:5" x14ac:dyDescent="0.25">
      <c r="A1050" s="84" t="s">
        <v>1166</v>
      </c>
      <c r="B1050" s="84" t="s">
        <v>660</v>
      </c>
      <c r="C1050" s="84" t="s">
        <v>1167</v>
      </c>
      <c r="D1050" s="84" t="s">
        <v>662</v>
      </c>
      <c r="E1050" s="85">
        <v>15.904572564612327</v>
      </c>
    </row>
    <row r="1051" spans="1:5" x14ac:dyDescent="0.25">
      <c r="A1051" s="84" t="s">
        <v>1166</v>
      </c>
      <c r="B1051" s="84" t="s">
        <v>660</v>
      </c>
      <c r="C1051" s="84" t="s">
        <v>1168</v>
      </c>
      <c r="D1051" s="84" t="s">
        <v>662</v>
      </c>
      <c r="E1051" s="85">
        <v>7.9522862823061633</v>
      </c>
    </row>
    <row r="1052" spans="1:5" x14ac:dyDescent="0.25">
      <c r="A1052" s="84" t="s">
        <v>1166</v>
      </c>
      <c r="B1052" s="84" t="s">
        <v>660</v>
      </c>
      <c r="C1052" s="84" t="s">
        <v>148</v>
      </c>
      <c r="D1052" s="84" t="s">
        <v>662</v>
      </c>
      <c r="E1052" s="85">
        <v>500</v>
      </c>
    </row>
    <row r="1053" spans="1:5" x14ac:dyDescent="0.25">
      <c r="A1053" s="86" t="s">
        <v>1169</v>
      </c>
      <c r="B1053" s="88" t="s">
        <v>660</v>
      </c>
      <c r="C1053" s="86" t="s">
        <v>661</v>
      </c>
      <c r="D1053" s="88" t="s">
        <v>662</v>
      </c>
      <c r="E1053" s="87">
        <v>2657.1428571428573</v>
      </c>
    </row>
    <row r="1054" spans="1:5" x14ac:dyDescent="0.25">
      <c r="A1054" s="86" t="s">
        <v>1169</v>
      </c>
      <c r="B1054" s="88" t="s">
        <v>660</v>
      </c>
      <c r="C1054" s="86" t="s">
        <v>665</v>
      </c>
      <c r="D1054" s="88" t="s">
        <v>662</v>
      </c>
      <c r="E1054" s="87">
        <v>285.71428571428572</v>
      </c>
    </row>
    <row r="1055" spans="1:5" x14ac:dyDescent="0.25">
      <c r="A1055" s="86" t="s">
        <v>1169</v>
      </c>
      <c r="B1055" s="88" t="s">
        <v>660</v>
      </c>
      <c r="C1055" s="86" t="s">
        <v>668</v>
      </c>
      <c r="D1055" s="88" t="s">
        <v>662</v>
      </c>
      <c r="E1055" s="87">
        <v>410.71428571428572</v>
      </c>
    </row>
    <row r="1056" spans="1:5" x14ac:dyDescent="0.25">
      <c r="A1056" s="86" t="s">
        <v>1169</v>
      </c>
      <c r="B1056" s="88" t="s">
        <v>660</v>
      </c>
      <c r="C1056" s="86" t="s">
        <v>672</v>
      </c>
      <c r="D1056" s="88" t="s">
        <v>662</v>
      </c>
      <c r="E1056" s="87">
        <v>17.857142857142858</v>
      </c>
    </row>
    <row r="1057" spans="1:5" x14ac:dyDescent="0.25">
      <c r="A1057" s="86" t="s">
        <v>1169</v>
      </c>
      <c r="B1057" s="88" t="s">
        <v>660</v>
      </c>
      <c r="C1057" s="86" t="s">
        <v>675</v>
      </c>
      <c r="D1057" s="88" t="s">
        <v>662</v>
      </c>
      <c r="E1057" s="87">
        <v>92.857142857142861</v>
      </c>
    </row>
    <row r="1058" spans="1:5" x14ac:dyDescent="0.25">
      <c r="A1058" s="86" t="s">
        <v>1169</v>
      </c>
      <c r="B1058" s="88" t="s">
        <v>660</v>
      </c>
      <c r="C1058" s="86" t="s">
        <v>677</v>
      </c>
      <c r="D1058" s="88" t="s">
        <v>662</v>
      </c>
      <c r="E1058" s="87">
        <v>107.14285714285715</v>
      </c>
    </row>
    <row r="1059" spans="1:5" x14ac:dyDescent="0.25">
      <c r="A1059" s="86" t="s">
        <v>1169</v>
      </c>
      <c r="B1059" s="88" t="s">
        <v>660</v>
      </c>
      <c r="C1059" s="86" t="s">
        <v>1069</v>
      </c>
      <c r="D1059" s="88" t="s">
        <v>662</v>
      </c>
      <c r="E1059" s="87">
        <v>428.57142857142861</v>
      </c>
    </row>
    <row r="1060" spans="1:5" x14ac:dyDescent="0.25">
      <c r="A1060" s="86" t="s">
        <v>1169</v>
      </c>
      <c r="B1060" s="88" t="s">
        <v>660</v>
      </c>
      <c r="C1060" s="86" t="s">
        <v>1170</v>
      </c>
      <c r="D1060" s="88" t="s">
        <v>662</v>
      </c>
      <c r="E1060" s="87">
        <v>400</v>
      </c>
    </row>
    <row r="1061" spans="1:5" x14ac:dyDescent="0.25">
      <c r="A1061" s="84" t="s">
        <v>1171</v>
      </c>
      <c r="B1061" s="84" t="s">
        <v>660</v>
      </c>
      <c r="C1061" s="84" t="s">
        <v>661</v>
      </c>
      <c r="D1061" s="84" t="s">
        <v>662</v>
      </c>
      <c r="E1061" s="85">
        <v>2220</v>
      </c>
    </row>
    <row r="1062" spans="1:5" x14ac:dyDescent="0.25">
      <c r="A1062" s="84" t="s">
        <v>1171</v>
      </c>
      <c r="B1062" s="84" t="s">
        <v>660</v>
      </c>
      <c r="C1062" s="84" t="s">
        <v>665</v>
      </c>
      <c r="D1062" s="84" t="s">
        <v>662</v>
      </c>
      <c r="E1062" s="85">
        <v>0</v>
      </c>
    </row>
    <row r="1063" spans="1:5" x14ac:dyDescent="0.25">
      <c r="A1063" s="84" t="s">
        <v>1171</v>
      </c>
      <c r="B1063" s="84" t="s">
        <v>660</v>
      </c>
      <c r="C1063" s="84" t="s">
        <v>668</v>
      </c>
      <c r="D1063" s="84" t="s">
        <v>662</v>
      </c>
      <c r="E1063" s="85">
        <v>200</v>
      </c>
    </row>
    <row r="1064" spans="1:5" x14ac:dyDescent="0.25">
      <c r="A1064" s="84" t="s">
        <v>1171</v>
      </c>
      <c r="B1064" s="84" t="s">
        <v>660</v>
      </c>
      <c r="C1064" s="84" t="s">
        <v>84</v>
      </c>
      <c r="D1064" s="84" t="s">
        <v>662</v>
      </c>
      <c r="E1064" s="85">
        <v>240</v>
      </c>
    </row>
    <row r="1065" spans="1:5" x14ac:dyDescent="0.25">
      <c r="A1065" s="84" t="s">
        <v>1171</v>
      </c>
      <c r="B1065" s="84" t="s">
        <v>660</v>
      </c>
      <c r="C1065" s="84" t="s">
        <v>672</v>
      </c>
      <c r="D1065" s="84" t="s">
        <v>662</v>
      </c>
      <c r="E1065" s="85">
        <v>20</v>
      </c>
    </row>
    <row r="1066" spans="1:5" x14ac:dyDescent="0.25">
      <c r="A1066" s="84" t="s">
        <v>1171</v>
      </c>
      <c r="B1066" s="84" t="s">
        <v>660</v>
      </c>
      <c r="C1066" s="84" t="s">
        <v>675</v>
      </c>
      <c r="D1066" s="84" t="s">
        <v>662</v>
      </c>
      <c r="E1066" s="85">
        <v>200</v>
      </c>
    </row>
    <row r="1067" spans="1:5" x14ac:dyDescent="0.25">
      <c r="A1067" s="84" t="s">
        <v>1171</v>
      </c>
      <c r="B1067" s="84" t="s">
        <v>660</v>
      </c>
      <c r="C1067" s="84" t="s">
        <v>677</v>
      </c>
      <c r="D1067" s="84" t="s">
        <v>662</v>
      </c>
      <c r="E1067" s="85">
        <v>120</v>
      </c>
    </row>
    <row r="1068" spans="1:5" x14ac:dyDescent="0.25">
      <c r="A1068" s="84" t="s">
        <v>1171</v>
      </c>
      <c r="B1068" s="84" t="s">
        <v>660</v>
      </c>
      <c r="C1068" s="84" t="s">
        <v>1171</v>
      </c>
      <c r="D1068" s="84" t="s">
        <v>662</v>
      </c>
      <c r="E1068" s="85">
        <v>1000</v>
      </c>
    </row>
    <row r="1069" spans="1:5" x14ac:dyDescent="0.25">
      <c r="A1069" s="86" t="s">
        <v>1172</v>
      </c>
      <c r="B1069" s="88" t="s">
        <v>660</v>
      </c>
      <c r="C1069" s="86" t="s">
        <v>661</v>
      </c>
      <c r="D1069" s="88" t="s">
        <v>662</v>
      </c>
      <c r="E1069" s="87">
        <v>1048.780487804878</v>
      </c>
    </row>
    <row r="1070" spans="1:5" x14ac:dyDescent="0.25">
      <c r="A1070" s="86" t="s">
        <v>1172</v>
      </c>
      <c r="B1070" s="88" t="s">
        <v>660</v>
      </c>
      <c r="C1070" s="86" t="s">
        <v>665</v>
      </c>
      <c r="D1070" s="88" t="s">
        <v>662</v>
      </c>
      <c r="E1070" s="87">
        <v>121.95121951219512</v>
      </c>
    </row>
    <row r="1071" spans="1:5" x14ac:dyDescent="0.25">
      <c r="A1071" s="86" t="s">
        <v>1172</v>
      </c>
      <c r="B1071" s="88" t="s">
        <v>660</v>
      </c>
      <c r="C1071" s="86" t="s">
        <v>668</v>
      </c>
      <c r="D1071" s="88" t="s">
        <v>662</v>
      </c>
      <c r="E1071" s="87">
        <v>97.560975609756099</v>
      </c>
    </row>
    <row r="1072" spans="1:5" x14ac:dyDescent="0.25">
      <c r="A1072" s="86" t="s">
        <v>1172</v>
      </c>
      <c r="B1072" s="88" t="s">
        <v>660</v>
      </c>
      <c r="C1072" s="86" t="s">
        <v>672</v>
      </c>
      <c r="D1072" s="88" t="s">
        <v>662</v>
      </c>
      <c r="E1072" s="87">
        <v>12.195121951219512</v>
      </c>
    </row>
    <row r="1073" spans="1:5" x14ac:dyDescent="0.25">
      <c r="A1073" s="86" t="s">
        <v>1172</v>
      </c>
      <c r="B1073" s="88" t="s">
        <v>660</v>
      </c>
      <c r="C1073" s="86" t="s">
        <v>675</v>
      </c>
      <c r="D1073" s="88" t="s">
        <v>662</v>
      </c>
      <c r="E1073" s="87">
        <v>109.7560975609756</v>
      </c>
    </row>
    <row r="1074" spans="1:5" x14ac:dyDescent="0.25">
      <c r="A1074" s="86" t="s">
        <v>1172</v>
      </c>
      <c r="B1074" s="88" t="s">
        <v>660</v>
      </c>
      <c r="C1074" s="86" t="s">
        <v>677</v>
      </c>
      <c r="D1074" s="88" t="s">
        <v>662</v>
      </c>
      <c r="E1074" s="87">
        <v>73.170731707317074</v>
      </c>
    </row>
    <row r="1075" spans="1:5" x14ac:dyDescent="0.25">
      <c r="A1075" s="86" t="s">
        <v>1172</v>
      </c>
      <c r="B1075" s="88" t="s">
        <v>660</v>
      </c>
      <c r="C1075" s="86" t="s">
        <v>615</v>
      </c>
      <c r="D1075" s="88" t="s">
        <v>662</v>
      </c>
      <c r="E1075" s="87">
        <v>487.80487804878049</v>
      </c>
    </row>
    <row r="1076" spans="1:5" x14ac:dyDescent="0.25">
      <c r="A1076" s="86" t="s">
        <v>1172</v>
      </c>
      <c r="B1076" s="88" t="s">
        <v>660</v>
      </c>
      <c r="C1076" s="86" t="s">
        <v>159</v>
      </c>
      <c r="D1076" s="88" t="s">
        <v>662</v>
      </c>
      <c r="E1076" s="87">
        <v>487.80487804878049</v>
      </c>
    </row>
    <row r="1077" spans="1:5" x14ac:dyDescent="0.25">
      <c r="A1077" s="86" t="s">
        <v>1172</v>
      </c>
      <c r="B1077" s="88" t="s">
        <v>660</v>
      </c>
      <c r="C1077" s="86" t="s">
        <v>84</v>
      </c>
      <c r="D1077" s="88" t="s">
        <v>662</v>
      </c>
      <c r="E1077" s="87">
        <v>60.975609756097562</v>
      </c>
    </row>
    <row r="1078" spans="1:5" x14ac:dyDescent="0.25">
      <c r="A1078" s="86" t="s">
        <v>1172</v>
      </c>
      <c r="B1078" s="88" t="s">
        <v>660</v>
      </c>
      <c r="C1078" s="86" t="s">
        <v>1173</v>
      </c>
      <c r="D1078" s="88" t="s">
        <v>662</v>
      </c>
      <c r="E1078" s="87">
        <v>187.5</v>
      </c>
    </row>
    <row r="1079" spans="1:5" x14ac:dyDescent="0.25">
      <c r="A1079" s="86" t="s">
        <v>1172</v>
      </c>
      <c r="B1079" s="88" t="s">
        <v>660</v>
      </c>
      <c r="C1079" s="86" t="s">
        <v>1174</v>
      </c>
      <c r="D1079" s="88" t="s">
        <v>662</v>
      </c>
      <c r="E1079" s="87">
        <v>125</v>
      </c>
    </row>
    <row r="1080" spans="1:5" x14ac:dyDescent="0.25">
      <c r="A1080" s="84" t="s">
        <v>1175</v>
      </c>
      <c r="B1080" s="84" t="s">
        <v>660</v>
      </c>
      <c r="C1080" s="84" t="s">
        <v>661</v>
      </c>
      <c r="D1080" s="84" t="s">
        <v>662</v>
      </c>
      <c r="E1080" s="85">
        <v>2640</v>
      </c>
    </row>
    <row r="1081" spans="1:5" x14ac:dyDescent="0.25">
      <c r="A1081" s="84" t="s">
        <v>1175</v>
      </c>
      <c r="B1081" s="84" t="s">
        <v>660</v>
      </c>
      <c r="C1081" s="84" t="s">
        <v>665</v>
      </c>
      <c r="D1081" s="84" t="s">
        <v>662</v>
      </c>
      <c r="E1081" s="85">
        <v>240</v>
      </c>
    </row>
    <row r="1082" spans="1:5" x14ac:dyDescent="0.25">
      <c r="A1082" s="84" t="s">
        <v>1175</v>
      </c>
      <c r="B1082" s="84" t="s">
        <v>660</v>
      </c>
      <c r="C1082" s="84" t="s">
        <v>668</v>
      </c>
      <c r="D1082" s="84" t="s">
        <v>662</v>
      </c>
      <c r="E1082" s="85">
        <v>200</v>
      </c>
    </row>
    <row r="1083" spans="1:5" x14ac:dyDescent="0.25">
      <c r="A1083" s="84" t="s">
        <v>1175</v>
      </c>
      <c r="B1083" s="84" t="s">
        <v>660</v>
      </c>
      <c r="C1083" s="84" t="s">
        <v>84</v>
      </c>
      <c r="D1083" s="84" t="s">
        <v>662</v>
      </c>
      <c r="E1083" s="85">
        <v>80</v>
      </c>
    </row>
    <row r="1084" spans="1:5" x14ac:dyDescent="0.25">
      <c r="A1084" s="84" t="s">
        <v>1175</v>
      </c>
      <c r="B1084" s="84" t="s">
        <v>660</v>
      </c>
      <c r="C1084" s="84" t="s">
        <v>672</v>
      </c>
      <c r="D1084" s="84" t="s">
        <v>662</v>
      </c>
      <c r="E1084" s="85">
        <v>20</v>
      </c>
    </row>
    <row r="1085" spans="1:5" x14ac:dyDescent="0.25">
      <c r="A1085" s="84" t="s">
        <v>1175</v>
      </c>
      <c r="B1085" s="84" t="s">
        <v>660</v>
      </c>
      <c r="C1085" s="84" t="s">
        <v>675</v>
      </c>
      <c r="D1085" s="84" t="s">
        <v>662</v>
      </c>
      <c r="E1085" s="85">
        <v>180</v>
      </c>
    </row>
    <row r="1086" spans="1:5" x14ac:dyDescent="0.25">
      <c r="A1086" s="84" t="s">
        <v>1175</v>
      </c>
      <c r="B1086" s="84" t="s">
        <v>660</v>
      </c>
      <c r="C1086" s="84" t="s">
        <v>677</v>
      </c>
      <c r="D1086" s="84" t="s">
        <v>662</v>
      </c>
      <c r="E1086" s="85">
        <v>120</v>
      </c>
    </row>
    <row r="1087" spans="1:5" x14ac:dyDescent="0.25">
      <c r="A1087" s="84" t="s">
        <v>1175</v>
      </c>
      <c r="B1087" s="84" t="s">
        <v>660</v>
      </c>
      <c r="C1087" s="84" t="s">
        <v>1016</v>
      </c>
      <c r="D1087" s="84" t="s">
        <v>662</v>
      </c>
      <c r="E1087" s="85">
        <v>40</v>
      </c>
    </row>
    <row r="1088" spans="1:5" x14ac:dyDescent="0.25">
      <c r="A1088" s="84" t="s">
        <v>1175</v>
      </c>
      <c r="B1088" s="84" t="s">
        <v>660</v>
      </c>
      <c r="C1088" s="84" t="s">
        <v>159</v>
      </c>
      <c r="D1088" s="84" t="s">
        <v>662</v>
      </c>
      <c r="E1088" s="85">
        <v>400</v>
      </c>
    </row>
    <row r="1089" spans="1:5" x14ac:dyDescent="0.25">
      <c r="A1089" s="84" t="s">
        <v>1175</v>
      </c>
      <c r="B1089" s="84" t="s">
        <v>660</v>
      </c>
      <c r="C1089" s="84" t="s">
        <v>1069</v>
      </c>
      <c r="D1089" s="84" t="s">
        <v>662</v>
      </c>
      <c r="E1089" s="85">
        <v>80</v>
      </c>
    </row>
    <row r="1090" spans="1:5" x14ac:dyDescent="0.25">
      <c r="A1090" s="84" t="s">
        <v>1175</v>
      </c>
      <c r="B1090" s="84" t="s">
        <v>660</v>
      </c>
      <c r="C1090" s="84" t="s">
        <v>1176</v>
      </c>
      <c r="D1090" s="84" t="s">
        <v>662</v>
      </c>
      <c r="E1090" s="85">
        <v>476</v>
      </c>
    </row>
    <row r="1091" spans="1:5" x14ac:dyDescent="0.25">
      <c r="A1091" s="86" t="s">
        <v>262</v>
      </c>
      <c r="B1091" s="88" t="s">
        <v>660</v>
      </c>
      <c r="C1091" s="86" t="s">
        <v>661</v>
      </c>
      <c r="D1091" s="88" t="s">
        <v>662</v>
      </c>
      <c r="E1091" s="87">
        <v>2697.2477064220184</v>
      </c>
    </row>
    <row r="1092" spans="1:5" x14ac:dyDescent="0.25">
      <c r="A1092" s="86" t="s">
        <v>262</v>
      </c>
      <c r="B1092" s="88" t="s">
        <v>660</v>
      </c>
      <c r="C1092" s="86" t="s">
        <v>665</v>
      </c>
      <c r="D1092" s="88" t="s">
        <v>662</v>
      </c>
      <c r="E1092" s="87">
        <v>115.59633027522936</v>
      </c>
    </row>
    <row r="1093" spans="1:5" x14ac:dyDescent="0.25">
      <c r="A1093" s="86" t="s">
        <v>262</v>
      </c>
      <c r="B1093" s="88" t="s">
        <v>660</v>
      </c>
      <c r="C1093" s="86" t="s">
        <v>668</v>
      </c>
      <c r="D1093" s="88" t="s">
        <v>662</v>
      </c>
      <c r="E1093" s="87">
        <v>732.11009174311926</v>
      </c>
    </row>
    <row r="1094" spans="1:5" x14ac:dyDescent="0.25">
      <c r="A1094" s="86" t="s">
        <v>262</v>
      </c>
      <c r="B1094" s="88" t="s">
        <v>660</v>
      </c>
      <c r="C1094" s="86" t="s">
        <v>672</v>
      </c>
      <c r="D1094" s="88" t="s">
        <v>662</v>
      </c>
      <c r="E1094" s="87">
        <v>19.26605504587156</v>
      </c>
    </row>
    <row r="1095" spans="1:5" x14ac:dyDescent="0.25">
      <c r="A1095" s="86" t="s">
        <v>262</v>
      </c>
      <c r="B1095" s="88" t="s">
        <v>660</v>
      </c>
      <c r="C1095" s="86" t="s">
        <v>675</v>
      </c>
      <c r="D1095" s="88" t="s">
        <v>662</v>
      </c>
      <c r="E1095" s="87">
        <v>173.39449541284404</v>
      </c>
    </row>
    <row r="1096" spans="1:5" x14ac:dyDescent="0.25">
      <c r="A1096" s="86" t="s">
        <v>262</v>
      </c>
      <c r="B1096" s="88" t="s">
        <v>660</v>
      </c>
      <c r="C1096" s="86" t="s">
        <v>677</v>
      </c>
      <c r="D1096" s="88" t="s">
        <v>662</v>
      </c>
      <c r="E1096" s="87">
        <v>115.59633027522936</v>
      </c>
    </row>
    <row r="1097" spans="1:5" x14ac:dyDescent="0.25">
      <c r="A1097" s="86" t="s">
        <v>262</v>
      </c>
      <c r="B1097" s="88" t="s">
        <v>660</v>
      </c>
      <c r="C1097" s="86" t="s">
        <v>1006</v>
      </c>
      <c r="D1097" s="88" t="s">
        <v>662</v>
      </c>
      <c r="E1097" s="87">
        <v>346.78899082568807</v>
      </c>
    </row>
    <row r="1098" spans="1:5" x14ac:dyDescent="0.25">
      <c r="A1098" s="84" t="s">
        <v>961</v>
      </c>
      <c r="B1098" s="84" t="s">
        <v>660</v>
      </c>
      <c r="C1098" s="84" t="s">
        <v>661</v>
      </c>
      <c r="D1098" s="84" t="s">
        <v>662</v>
      </c>
      <c r="E1098" s="85">
        <v>3780</v>
      </c>
    </row>
    <row r="1099" spans="1:5" x14ac:dyDescent="0.25">
      <c r="A1099" s="84" t="s">
        <v>961</v>
      </c>
      <c r="B1099" s="84" t="s">
        <v>660</v>
      </c>
      <c r="C1099" s="84" t="s">
        <v>665</v>
      </c>
      <c r="D1099" s="84" t="s">
        <v>662</v>
      </c>
      <c r="E1099" s="85">
        <v>240</v>
      </c>
    </row>
    <row r="1100" spans="1:5" x14ac:dyDescent="0.25">
      <c r="A1100" s="84" t="s">
        <v>961</v>
      </c>
      <c r="B1100" s="84" t="s">
        <v>660</v>
      </c>
      <c r="C1100" s="84" t="s">
        <v>668</v>
      </c>
      <c r="D1100" s="84" t="s">
        <v>662</v>
      </c>
      <c r="E1100" s="85">
        <v>0</v>
      </c>
    </row>
    <row r="1101" spans="1:5" x14ac:dyDescent="0.25">
      <c r="A1101" s="84" t="s">
        <v>961</v>
      </c>
      <c r="B1101" s="84" t="s">
        <v>660</v>
      </c>
      <c r="C1101" s="84" t="s">
        <v>84</v>
      </c>
      <c r="D1101" s="84" t="s">
        <v>662</v>
      </c>
      <c r="E1101" s="85">
        <v>1122</v>
      </c>
    </row>
    <row r="1102" spans="1:5" x14ac:dyDescent="0.25">
      <c r="A1102" s="84" t="s">
        <v>961</v>
      </c>
      <c r="B1102" s="84" t="s">
        <v>660</v>
      </c>
      <c r="C1102" s="84" t="s">
        <v>672</v>
      </c>
      <c r="D1102" s="84" t="s">
        <v>662</v>
      </c>
      <c r="E1102" s="85">
        <v>30</v>
      </c>
    </row>
    <row r="1103" spans="1:5" x14ac:dyDescent="0.25">
      <c r="A1103" s="84" t="s">
        <v>961</v>
      </c>
      <c r="B1103" s="84" t="s">
        <v>660</v>
      </c>
      <c r="C1103" s="84" t="s">
        <v>675</v>
      </c>
      <c r="D1103" s="84" t="s">
        <v>662</v>
      </c>
      <c r="E1103" s="85">
        <v>270</v>
      </c>
    </row>
    <row r="1104" spans="1:5" x14ac:dyDescent="0.25">
      <c r="A1104" s="84" t="s">
        <v>961</v>
      </c>
      <c r="B1104" s="84" t="s">
        <v>660</v>
      </c>
      <c r="C1104" s="84" t="s">
        <v>677</v>
      </c>
      <c r="D1104" s="84" t="s">
        <v>662</v>
      </c>
      <c r="E1104" s="85">
        <v>108</v>
      </c>
    </row>
    <row r="1105" spans="1:5" x14ac:dyDescent="0.25">
      <c r="A1105" s="84" t="s">
        <v>961</v>
      </c>
      <c r="B1105" s="84" t="s">
        <v>660</v>
      </c>
      <c r="C1105" s="84" t="s">
        <v>993</v>
      </c>
      <c r="D1105" s="84" t="s">
        <v>662</v>
      </c>
      <c r="E1105" s="85">
        <v>450</v>
      </c>
    </row>
    <row r="1106" spans="1:5" x14ac:dyDescent="0.25">
      <c r="A1106" s="84" t="s">
        <v>961</v>
      </c>
      <c r="B1106" s="84" t="s">
        <v>660</v>
      </c>
      <c r="C1106" s="84" t="s">
        <v>1031</v>
      </c>
      <c r="D1106" s="84" t="s">
        <v>662</v>
      </c>
      <c r="E1106" s="85">
        <v>480</v>
      </c>
    </row>
    <row r="1107" spans="1:5" x14ac:dyDescent="0.25">
      <c r="A1107" s="84" t="s">
        <v>961</v>
      </c>
      <c r="B1107" s="84" t="s">
        <v>660</v>
      </c>
      <c r="C1107" s="84" t="s">
        <v>137</v>
      </c>
      <c r="D1107" s="84" t="s">
        <v>662</v>
      </c>
      <c r="E1107" s="85">
        <v>480</v>
      </c>
    </row>
    <row r="1108" spans="1:5" x14ac:dyDescent="0.25">
      <c r="A1108" s="86" t="s">
        <v>859</v>
      </c>
      <c r="B1108" s="88" t="s">
        <v>660</v>
      </c>
      <c r="C1108" s="86" t="s">
        <v>661</v>
      </c>
      <c r="D1108" s="88" t="s">
        <v>662</v>
      </c>
      <c r="E1108" s="87">
        <v>2639.4454946439823</v>
      </c>
    </row>
    <row r="1109" spans="1:5" x14ac:dyDescent="0.25">
      <c r="A1109" s="86" t="s">
        <v>859</v>
      </c>
      <c r="B1109" s="88" t="s">
        <v>660</v>
      </c>
      <c r="C1109" s="86" t="s">
        <v>668</v>
      </c>
      <c r="D1109" s="88" t="s">
        <v>662</v>
      </c>
      <c r="E1109" s="87">
        <v>199.95799201848351</v>
      </c>
    </row>
    <row r="1110" spans="1:5" x14ac:dyDescent="0.25">
      <c r="A1110" s="86" t="s">
        <v>859</v>
      </c>
      <c r="B1110" s="88" t="s">
        <v>660</v>
      </c>
      <c r="C1110" s="86" t="s">
        <v>672</v>
      </c>
      <c r="D1110" s="88" t="s">
        <v>662</v>
      </c>
      <c r="E1110" s="87">
        <v>19.995799201848349</v>
      </c>
    </row>
    <row r="1111" spans="1:5" x14ac:dyDescent="0.25">
      <c r="A1111" s="86" t="s">
        <v>859</v>
      </c>
      <c r="B1111" s="88" t="s">
        <v>660</v>
      </c>
      <c r="C1111" s="86" t="s">
        <v>675</v>
      </c>
      <c r="D1111" s="88" t="s">
        <v>662</v>
      </c>
      <c r="E1111" s="87">
        <v>159.9663936147868</v>
      </c>
    </row>
    <row r="1112" spans="1:5" x14ac:dyDescent="0.25">
      <c r="A1112" s="86" t="s">
        <v>859</v>
      </c>
      <c r="B1112" s="88" t="s">
        <v>660</v>
      </c>
      <c r="C1112" s="86" t="s">
        <v>677</v>
      </c>
      <c r="D1112" s="88" t="s">
        <v>662</v>
      </c>
      <c r="E1112" s="87">
        <v>100.81915563957151</v>
      </c>
    </row>
    <row r="1113" spans="1:5" x14ac:dyDescent="0.25">
      <c r="A1113" s="86" t="s">
        <v>859</v>
      </c>
      <c r="B1113" s="88" t="s">
        <v>660</v>
      </c>
      <c r="C1113" s="86" t="s">
        <v>1052</v>
      </c>
      <c r="D1113" s="88" t="s">
        <v>662</v>
      </c>
      <c r="E1113" s="87">
        <v>879.81516488132741</v>
      </c>
    </row>
    <row r="1114" spans="1:5" x14ac:dyDescent="0.25">
      <c r="A1114" s="86" t="s">
        <v>859</v>
      </c>
      <c r="B1114" s="88" t="s">
        <v>660</v>
      </c>
      <c r="C1114" s="86" t="s">
        <v>137</v>
      </c>
      <c r="D1114" s="88" t="s">
        <v>662</v>
      </c>
      <c r="E1114" s="87">
        <v>300</v>
      </c>
    </row>
    <row r="1115" spans="1:5" x14ac:dyDescent="0.25">
      <c r="A1115" s="86" t="s">
        <v>859</v>
      </c>
      <c r="B1115" s="88" t="s">
        <v>660</v>
      </c>
      <c r="C1115" s="86" t="s">
        <v>1088</v>
      </c>
      <c r="D1115" s="88" t="s">
        <v>662</v>
      </c>
      <c r="E1115" s="87">
        <v>200</v>
      </c>
    </row>
    <row r="1116" spans="1:5" x14ac:dyDescent="0.25">
      <c r="A1116" s="84" t="s">
        <v>659</v>
      </c>
      <c r="B1116" s="84" t="s">
        <v>660</v>
      </c>
      <c r="C1116" s="84" t="s">
        <v>661</v>
      </c>
      <c r="D1116" s="84" t="s">
        <v>662</v>
      </c>
      <c r="E1116" s="85">
        <v>3079.5397698849429</v>
      </c>
    </row>
    <row r="1117" spans="1:5" x14ac:dyDescent="0.25">
      <c r="A1117" s="84" t="s">
        <v>659</v>
      </c>
      <c r="B1117" s="84" t="s">
        <v>660</v>
      </c>
      <c r="C1117" s="84" t="s">
        <v>665</v>
      </c>
      <c r="D1117" s="84" t="s">
        <v>662</v>
      </c>
      <c r="E1117" s="85">
        <v>126.06303151575788</v>
      </c>
    </row>
    <row r="1118" spans="1:5" x14ac:dyDescent="0.25">
      <c r="A1118" s="84" t="s">
        <v>659</v>
      </c>
      <c r="B1118" s="84" t="s">
        <v>660</v>
      </c>
      <c r="C1118" s="84" t="s">
        <v>668</v>
      </c>
      <c r="D1118" s="84" t="s">
        <v>662</v>
      </c>
      <c r="E1118" s="85">
        <v>405.20260130065037</v>
      </c>
    </row>
    <row r="1119" spans="1:5" x14ac:dyDescent="0.25">
      <c r="A1119" s="84" t="s">
        <v>659</v>
      </c>
      <c r="B1119" s="84" t="s">
        <v>660</v>
      </c>
      <c r="C1119" s="84" t="s">
        <v>84</v>
      </c>
      <c r="D1119" s="84" t="s">
        <v>662</v>
      </c>
      <c r="E1119" s="85">
        <v>90.045022511255638</v>
      </c>
    </row>
    <row r="1120" spans="1:5" x14ac:dyDescent="0.25">
      <c r="A1120" s="84" t="s">
        <v>659</v>
      </c>
      <c r="B1120" s="84" t="s">
        <v>660</v>
      </c>
      <c r="C1120" s="84" t="s">
        <v>672</v>
      </c>
      <c r="D1120" s="84" t="s">
        <v>662</v>
      </c>
      <c r="E1120" s="85">
        <v>22.51125562781391</v>
      </c>
    </row>
    <row r="1121" spans="1:5" x14ac:dyDescent="0.25">
      <c r="A1121" s="84" t="s">
        <v>659</v>
      </c>
      <c r="B1121" s="84" t="s">
        <v>660</v>
      </c>
      <c r="C1121" s="84" t="s">
        <v>675</v>
      </c>
      <c r="D1121" s="84" t="s">
        <v>662</v>
      </c>
      <c r="E1121" s="85">
        <v>225.1125562781391</v>
      </c>
    </row>
    <row r="1122" spans="1:5" x14ac:dyDescent="0.25">
      <c r="A1122" s="84" t="s">
        <v>659</v>
      </c>
      <c r="B1122" s="84" t="s">
        <v>660</v>
      </c>
      <c r="C1122" s="84" t="s">
        <v>677</v>
      </c>
      <c r="D1122" s="84" t="s">
        <v>662</v>
      </c>
      <c r="E1122" s="85">
        <v>135.06753376688346</v>
      </c>
    </row>
    <row r="1123" spans="1:5" x14ac:dyDescent="0.25">
      <c r="A1123" s="84" t="s">
        <v>659</v>
      </c>
      <c r="B1123" s="84" t="s">
        <v>660</v>
      </c>
      <c r="C1123" s="84" t="s">
        <v>680</v>
      </c>
      <c r="D1123" s="84" t="s">
        <v>662</v>
      </c>
      <c r="E1123" s="85">
        <v>283.64182091045524</v>
      </c>
    </row>
    <row r="1124" spans="1:5" x14ac:dyDescent="0.25">
      <c r="A1124" s="84" t="s">
        <v>659</v>
      </c>
      <c r="B1124" s="84" t="s">
        <v>660</v>
      </c>
      <c r="C1124" s="84" t="s">
        <v>113</v>
      </c>
      <c r="D1124" s="84" t="s">
        <v>662</v>
      </c>
      <c r="E1124" s="85">
        <v>11.255627813906955</v>
      </c>
    </row>
    <row r="1125" spans="1:5" x14ac:dyDescent="0.25">
      <c r="A1125" s="84" t="s">
        <v>659</v>
      </c>
      <c r="B1125" s="84" t="s">
        <v>660</v>
      </c>
      <c r="C1125" s="84" t="s">
        <v>683</v>
      </c>
      <c r="D1125" s="84" t="s">
        <v>662</v>
      </c>
      <c r="E1125" s="85">
        <v>121.56078039019511</v>
      </c>
    </row>
    <row r="1126" spans="1:5" x14ac:dyDescent="0.25">
      <c r="A1126" s="84" t="s">
        <v>659</v>
      </c>
      <c r="B1126" s="84" t="s">
        <v>660</v>
      </c>
      <c r="C1126" s="84" t="s">
        <v>684</v>
      </c>
      <c r="D1126" s="84" t="s">
        <v>662</v>
      </c>
      <c r="E1126" s="85">
        <v>67.5</v>
      </c>
    </row>
    <row r="1127" spans="1:5" x14ac:dyDescent="0.25">
      <c r="A1127" s="86" t="s">
        <v>1177</v>
      </c>
      <c r="B1127" s="88" t="s">
        <v>660</v>
      </c>
      <c r="C1127" s="86" t="s">
        <v>661</v>
      </c>
      <c r="D1127" s="88" t="s">
        <v>662</v>
      </c>
      <c r="E1127" s="87">
        <v>3000</v>
      </c>
    </row>
    <row r="1128" spans="1:5" x14ac:dyDescent="0.25">
      <c r="A1128" s="86" t="s">
        <v>1177</v>
      </c>
      <c r="B1128" s="88" t="s">
        <v>660</v>
      </c>
      <c r="C1128" s="86" t="s">
        <v>680</v>
      </c>
      <c r="D1128" s="88" t="s">
        <v>662</v>
      </c>
      <c r="E1128" s="87">
        <v>300</v>
      </c>
    </row>
    <row r="1129" spans="1:5" x14ac:dyDescent="0.25">
      <c r="A1129" s="86" t="s">
        <v>1177</v>
      </c>
      <c r="B1129" s="88" t="s">
        <v>660</v>
      </c>
      <c r="C1129" s="86" t="s">
        <v>1062</v>
      </c>
      <c r="D1129" s="88" t="s">
        <v>662</v>
      </c>
      <c r="E1129" s="87">
        <v>900</v>
      </c>
    </row>
    <row r="1130" spans="1:5" x14ac:dyDescent="0.25">
      <c r="A1130" s="84" t="s">
        <v>1178</v>
      </c>
      <c r="B1130" s="84" t="s">
        <v>660</v>
      </c>
      <c r="C1130" s="84" t="s">
        <v>661</v>
      </c>
      <c r="D1130" s="84" t="s">
        <v>662</v>
      </c>
      <c r="E1130" s="85">
        <v>2620</v>
      </c>
    </row>
    <row r="1131" spans="1:5" x14ac:dyDescent="0.25">
      <c r="A1131" s="84" t="s">
        <v>1178</v>
      </c>
      <c r="B1131" s="84" t="s">
        <v>660</v>
      </c>
      <c r="C1131" s="84" t="s">
        <v>665</v>
      </c>
      <c r="D1131" s="84" t="s">
        <v>662</v>
      </c>
      <c r="E1131" s="85">
        <v>80</v>
      </c>
    </row>
    <row r="1132" spans="1:5" x14ac:dyDescent="0.25">
      <c r="A1132" s="84" t="s">
        <v>1178</v>
      </c>
      <c r="B1132" s="84" t="s">
        <v>660</v>
      </c>
      <c r="C1132" s="84" t="s">
        <v>668</v>
      </c>
      <c r="D1132" s="84" t="s">
        <v>662</v>
      </c>
      <c r="E1132" s="85">
        <v>0</v>
      </c>
    </row>
    <row r="1133" spans="1:5" x14ac:dyDescent="0.25">
      <c r="A1133" s="84" t="s">
        <v>1178</v>
      </c>
      <c r="B1133" s="84" t="s">
        <v>660</v>
      </c>
      <c r="C1133" s="84" t="s">
        <v>84</v>
      </c>
      <c r="D1133" s="84" t="s">
        <v>662</v>
      </c>
      <c r="E1133" s="85">
        <v>160</v>
      </c>
    </row>
    <row r="1134" spans="1:5" x14ac:dyDescent="0.25">
      <c r="A1134" s="84" t="s">
        <v>1178</v>
      </c>
      <c r="B1134" s="84" t="s">
        <v>660</v>
      </c>
      <c r="C1134" s="84" t="s">
        <v>672</v>
      </c>
      <c r="D1134" s="84" t="s">
        <v>662</v>
      </c>
      <c r="E1134" s="85">
        <v>20</v>
      </c>
    </row>
    <row r="1135" spans="1:5" x14ac:dyDescent="0.25">
      <c r="A1135" s="84" t="s">
        <v>1178</v>
      </c>
      <c r="B1135" s="84" t="s">
        <v>660</v>
      </c>
      <c r="C1135" s="84" t="s">
        <v>675</v>
      </c>
      <c r="D1135" s="84" t="s">
        <v>662</v>
      </c>
      <c r="E1135" s="85">
        <v>140</v>
      </c>
    </row>
    <row r="1136" spans="1:5" x14ac:dyDescent="0.25">
      <c r="A1136" s="84" t="s">
        <v>1178</v>
      </c>
      <c r="B1136" s="84" t="s">
        <v>660</v>
      </c>
      <c r="C1136" s="84" t="s">
        <v>677</v>
      </c>
      <c r="D1136" s="84" t="s">
        <v>662</v>
      </c>
      <c r="E1136" s="85">
        <v>100</v>
      </c>
    </row>
    <row r="1137" spans="1:5" x14ac:dyDescent="0.25">
      <c r="A1137" s="84" t="s">
        <v>1178</v>
      </c>
      <c r="B1137" s="84" t="s">
        <v>660</v>
      </c>
      <c r="C1137" s="84" t="s">
        <v>698</v>
      </c>
      <c r="D1137" s="84" t="s">
        <v>662</v>
      </c>
      <c r="E1137" s="85">
        <v>800</v>
      </c>
    </row>
    <row r="1138" spans="1:5" x14ac:dyDescent="0.25">
      <c r="A1138" s="84" t="s">
        <v>1178</v>
      </c>
      <c r="B1138" s="84" t="s">
        <v>660</v>
      </c>
      <c r="C1138" s="84" t="s">
        <v>993</v>
      </c>
      <c r="D1138" s="84" t="s">
        <v>662</v>
      </c>
      <c r="E1138" s="85">
        <v>80</v>
      </c>
    </row>
    <row r="1139" spans="1:5" x14ac:dyDescent="0.25">
      <c r="A1139" s="84" t="s">
        <v>1178</v>
      </c>
      <c r="B1139" s="84" t="s">
        <v>660</v>
      </c>
      <c r="C1139" s="84" t="s">
        <v>159</v>
      </c>
      <c r="D1139" s="84" t="s">
        <v>662</v>
      </c>
      <c r="E1139" s="85">
        <v>800</v>
      </c>
    </row>
    <row r="1140" spans="1:5" x14ac:dyDescent="0.25">
      <c r="A1140" s="84" t="s">
        <v>1178</v>
      </c>
      <c r="B1140" s="84" t="s">
        <v>660</v>
      </c>
      <c r="C1140" s="84" t="s">
        <v>103</v>
      </c>
      <c r="D1140" s="84" t="s">
        <v>662</v>
      </c>
      <c r="E1140" s="85">
        <v>200</v>
      </c>
    </row>
    <row r="1141" spans="1:5" x14ac:dyDescent="0.25">
      <c r="A1141" s="84" t="s">
        <v>1178</v>
      </c>
      <c r="B1141" s="84" t="s">
        <v>660</v>
      </c>
      <c r="C1141" s="84" t="s">
        <v>1023</v>
      </c>
      <c r="D1141" s="84" t="s">
        <v>662</v>
      </c>
      <c r="E1141" s="85">
        <v>300</v>
      </c>
    </row>
    <row r="1142" spans="1:5" x14ac:dyDescent="0.25">
      <c r="A1142" s="86" t="s">
        <v>1179</v>
      </c>
      <c r="B1142" s="88" t="s">
        <v>660</v>
      </c>
      <c r="C1142" s="86" t="s">
        <v>661</v>
      </c>
      <c r="D1142" s="88" t="s">
        <v>662</v>
      </c>
      <c r="E1142" s="87">
        <v>2849.0245122561282</v>
      </c>
    </row>
    <row r="1143" spans="1:5" x14ac:dyDescent="0.25">
      <c r="A1143" s="86" t="s">
        <v>1179</v>
      </c>
      <c r="B1143" s="88" t="s">
        <v>660</v>
      </c>
      <c r="C1143" s="86" t="s">
        <v>665</v>
      </c>
      <c r="D1143" s="88" t="s">
        <v>662</v>
      </c>
      <c r="E1143" s="87">
        <v>168.08404202101053</v>
      </c>
    </row>
    <row r="1144" spans="1:5" x14ac:dyDescent="0.25">
      <c r="A1144" s="86" t="s">
        <v>1179</v>
      </c>
      <c r="B1144" s="88" t="s">
        <v>660</v>
      </c>
      <c r="C1144" s="86" t="s">
        <v>668</v>
      </c>
      <c r="D1144" s="88" t="s">
        <v>662</v>
      </c>
      <c r="E1144" s="87">
        <v>315.15757878939473</v>
      </c>
    </row>
    <row r="1145" spans="1:5" x14ac:dyDescent="0.25">
      <c r="A1145" s="86" t="s">
        <v>1179</v>
      </c>
      <c r="B1145" s="88" t="s">
        <v>660</v>
      </c>
      <c r="C1145" s="86" t="s">
        <v>84</v>
      </c>
      <c r="D1145" s="88" t="s">
        <v>662</v>
      </c>
      <c r="E1145" s="87">
        <v>252.12606303151577</v>
      </c>
    </row>
    <row r="1146" spans="1:5" x14ac:dyDescent="0.25">
      <c r="A1146" s="86" t="s">
        <v>1179</v>
      </c>
      <c r="B1146" s="88" t="s">
        <v>660</v>
      </c>
      <c r="C1146" s="86" t="s">
        <v>672</v>
      </c>
      <c r="D1146" s="88" t="s">
        <v>662</v>
      </c>
      <c r="E1146" s="87">
        <v>21.010505252626317</v>
      </c>
    </row>
    <row r="1147" spans="1:5" x14ac:dyDescent="0.25">
      <c r="A1147" s="86" t="s">
        <v>1179</v>
      </c>
      <c r="B1147" s="88" t="s">
        <v>660</v>
      </c>
      <c r="C1147" s="86" t="s">
        <v>675</v>
      </c>
      <c r="D1147" s="88" t="s">
        <v>662</v>
      </c>
      <c r="E1147" s="87">
        <v>168.08404202101053</v>
      </c>
    </row>
    <row r="1148" spans="1:5" x14ac:dyDescent="0.25">
      <c r="A1148" s="86" t="s">
        <v>1179</v>
      </c>
      <c r="B1148" s="88" t="s">
        <v>660</v>
      </c>
      <c r="C1148" s="86" t="s">
        <v>677</v>
      </c>
      <c r="D1148" s="88" t="s">
        <v>662</v>
      </c>
      <c r="E1148" s="87">
        <v>126.06303151575788</v>
      </c>
    </row>
    <row r="1149" spans="1:5" x14ac:dyDescent="0.25">
      <c r="A1149" s="86" t="s">
        <v>1179</v>
      </c>
      <c r="B1149" s="88" t="s">
        <v>660</v>
      </c>
      <c r="C1149" s="86" t="s">
        <v>1003</v>
      </c>
      <c r="D1149" s="88" t="s">
        <v>662</v>
      </c>
      <c r="E1149" s="87">
        <v>294.1470735367684</v>
      </c>
    </row>
    <row r="1150" spans="1:5" x14ac:dyDescent="0.25">
      <c r="A1150" s="86" t="s">
        <v>1179</v>
      </c>
      <c r="B1150" s="88" t="s">
        <v>660</v>
      </c>
      <c r="C1150" s="86" t="s">
        <v>113</v>
      </c>
      <c r="D1150" s="88" t="s">
        <v>662</v>
      </c>
      <c r="E1150" s="87">
        <v>6.3031515757878944</v>
      </c>
    </row>
    <row r="1151" spans="1:5" x14ac:dyDescent="0.25">
      <c r="A1151" s="86" t="s">
        <v>1179</v>
      </c>
      <c r="B1151" s="88" t="s">
        <v>660</v>
      </c>
      <c r="C1151" s="86" t="s">
        <v>182</v>
      </c>
      <c r="D1151" s="88" t="s">
        <v>662</v>
      </c>
      <c r="E1151" s="87">
        <v>315</v>
      </c>
    </row>
    <row r="1152" spans="1:5" x14ac:dyDescent="0.25">
      <c r="A1152" s="86" t="s">
        <v>1179</v>
      </c>
      <c r="B1152" s="88" t="s">
        <v>660</v>
      </c>
      <c r="C1152" s="86" t="s">
        <v>1180</v>
      </c>
      <c r="D1152" s="88" t="s">
        <v>662</v>
      </c>
      <c r="E1152" s="87">
        <v>105</v>
      </c>
    </row>
    <row r="1153" spans="1:5" x14ac:dyDescent="0.25">
      <c r="A1153" s="86" t="s">
        <v>1179</v>
      </c>
      <c r="B1153" s="88" t="s">
        <v>660</v>
      </c>
      <c r="C1153" s="86" t="s">
        <v>1023</v>
      </c>
      <c r="D1153" s="88" t="s">
        <v>662</v>
      </c>
      <c r="E1153" s="87">
        <v>210</v>
      </c>
    </row>
    <row r="1154" spans="1:5" x14ac:dyDescent="0.25">
      <c r="A1154" s="84" t="s">
        <v>735</v>
      </c>
      <c r="B1154" s="84" t="s">
        <v>660</v>
      </c>
      <c r="C1154" s="84" t="s">
        <v>661</v>
      </c>
      <c r="D1154" s="84" t="s">
        <v>662</v>
      </c>
      <c r="E1154" s="85">
        <v>2731.7898623182841</v>
      </c>
    </row>
    <row r="1155" spans="1:5" x14ac:dyDescent="0.25">
      <c r="A1155" s="84" t="s">
        <v>735</v>
      </c>
      <c r="B1155" s="84" t="s">
        <v>660</v>
      </c>
      <c r="C1155" s="84" t="s">
        <v>665</v>
      </c>
      <c r="D1155" s="84" t="s">
        <v>662</v>
      </c>
      <c r="E1155" s="85">
        <v>307.668640873779</v>
      </c>
    </row>
    <row r="1156" spans="1:5" x14ac:dyDescent="0.25">
      <c r="A1156" s="84" t="s">
        <v>735</v>
      </c>
      <c r="B1156" s="84" t="s">
        <v>660</v>
      </c>
      <c r="C1156" s="84" t="s">
        <v>668</v>
      </c>
      <c r="D1156" s="84" t="s">
        <v>662</v>
      </c>
      <c r="E1156" s="85">
        <v>461.50296131066852</v>
      </c>
    </row>
    <row r="1157" spans="1:5" x14ac:dyDescent="0.25">
      <c r="A1157" s="84" t="s">
        <v>735</v>
      </c>
      <c r="B1157" s="84" t="s">
        <v>660</v>
      </c>
      <c r="C1157" s="84" t="s">
        <v>84</v>
      </c>
      <c r="D1157" s="84" t="s">
        <v>662</v>
      </c>
      <c r="E1157" s="85">
        <v>115.37574032766713</v>
      </c>
    </row>
    <row r="1158" spans="1:5" x14ac:dyDescent="0.25">
      <c r="A1158" s="84" t="s">
        <v>735</v>
      </c>
      <c r="B1158" s="84" t="s">
        <v>660</v>
      </c>
      <c r="C1158" s="84" t="s">
        <v>672</v>
      </c>
      <c r="D1158" s="84" t="s">
        <v>662</v>
      </c>
      <c r="E1158" s="85">
        <v>19.229290054611187</v>
      </c>
    </row>
    <row r="1159" spans="1:5" x14ac:dyDescent="0.25">
      <c r="A1159" s="84" t="s">
        <v>735</v>
      </c>
      <c r="B1159" s="84" t="s">
        <v>660</v>
      </c>
      <c r="C1159" s="84" t="s">
        <v>675</v>
      </c>
      <c r="D1159" s="84" t="s">
        <v>662</v>
      </c>
      <c r="E1159" s="85">
        <v>173.06361049150073</v>
      </c>
    </row>
    <row r="1160" spans="1:5" x14ac:dyDescent="0.25">
      <c r="A1160" s="84" t="s">
        <v>735</v>
      </c>
      <c r="B1160" s="84" t="s">
        <v>660</v>
      </c>
      <c r="C1160" s="84" t="s">
        <v>677</v>
      </c>
      <c r="D1160" s="84" t="s">
        <v>662</v>
      </c>
      <c r="E1160" s="85">
        <v>115.37574032766713</v>
      </c>
    </row>
    <row r="1161" spans="1:5" x14ac:dyDescent="0.25">
      <c r="A1161" s="84" t="s">
        <v>735</v>
      </c>
      <c r="B1161" s="84" t="s">
        <v>660</v>
      </c>
      <c r="C1161" s="84" t="s">
        <v>1132</v>
      </c>
      <c r="D1161" s="84" t="s">
        <v>662</v>
      </c>
      <c r="E1161" s="85">
        <v>75.994154295823421</v>
      </c>
    </row>
    <row r="1162" spans="1:5" x14ac:dyDescent="0.25">
      <c r="A1162" s="84" t="s">
        <v>735</v>
      </c>
      <c r="B1162" s="84" t="s">
        <v>660</v>
      </c>
      <c r="C1162" s="84" t="s">
        <v>1181</v>
      </c>
      <c r="D1162" s="84" t="s">
        <v>662</v>
      </c>
      <c r="E1162" s="85">
        <v>400</v>
      </c>
    </row>
    <row r="1163" spans="1:5" x14ac:dyDescent="0.25">
      <c r="A1163" s="86" t="s">
        <v>1182</v>
      </c>
      <c r="B1163" s="88" t="s">
        <v>660</v>
      </c>
      <c r="C1163" s="86" t="s">
        <v>661</v>
      </c>
      <c r="D1163" s="88" t="s">
        <v>662</v>
      </c>
      <c r="E1163" s="87">
        <v>3010</v>
      </c>
    </row>
    <row r="1164" spans="1:5" x14ac:dyDescent="0.25">
      <c r="A1164" s="86" t="s">
        <v>1182</v>
      </c>
      <c r="B1164" s="88" t="s">
        <v>660</v>
      </c>
      <c r="C1164" s="86" t="s">
        <v>665</v>
      </c>
      <c r="D1164" s="88" t="s">
        <v>662</v>
      </c>
      <c r="E1164" s="87">
        <v>86</v>
      </c>
    </row>
    <row r="1165" spans="1:5" x14ac:dyDescent="0.25">
      <c r="A1165" s="86" t="s">
        <v>1182</v>
      </c>
      <c r="B1165" s="88" t="s">
        <v>660</v>
      </c>
      <c r="C1165" s="86" t="s">
        <v>668</v>
      </c>
      <c r="D1165" s="88" t="s">
        <v>662</v>
      </c>
      <c r="E1165" s="87">
        <v>344</v>
      </c>
    </row>
    <row r="1166" spans="1:5" x14ac:dyDescent="0.25">
      <c r="A1166" s="86" t="s">
        <v>1182</v>
      </c>
      <c r="B1166" s="88" t="s">
        <v>660</v>
      </c>
      <c r="C1166" s="86" t="s">
        <v>84</v>
      </c>
      <c r="D1166" s="88" t="s">
        <v>662</v>
      </c>
      <c r="E1166" s="87">
        <v>365.5</v>
      </c>
    </row>
    <row r="1167" spans="1:5" x14ac:dyDescent="0.25">
      <c r="A1167" s="86" t="s">
        <v>1182</v>
      </c>
      <c r="B1167" s="88" t="s">
        <v>660</v>
      </c>
      <c r="C1167" s="86" t="s">
        <v>672</v>
      </c>
      <c r="D1167" s="88" t="s">
        <v>662</v>
      </c>
      <c r="E1167" s="87">
        <v>21.5</v>
      </c>
    </row>
    <row r="1168" spans="1:5" x14ac:dyDescent="0.25">
      <c r="A1168" s="86" t="s">
        <v>1182</v>
      </c>
      <c r="B1168" s="88" t="s">
        <v>660</v>
      </c>
      <c r="C1168" s="86" t="s">
        <v>675</v>
      </c>
      <c r="D1168" s="88" t="s">
        <v>662</v>
      </c>
      <c r="E1168" s="87">
        <v>150.5</v>
      </c>
    </row>
    <row r="1169" spans="1:5" x14ac:dyDescent="0.25">
      <c r="A1169" s="86" t="s">
        <v>1182</v>
      </c>
      <c r="B1169" s="88" t="s">
        <v>660</v>
      </c>
      <c r="C1169" s="86" t="s">
        <v>677</v>
      </c>
      <c r="D1169" s="88" t="s">
        <v>662</v>
      </c>
      <c r="E1169" s="87">
        <v>107.5</v>
      </c>
    </row>
    <row r="1170" spans="1:5" x14ac:dyDescent="0.25">
      <c r="A1170" s="86" t="s">
        <v>1182</v>
      </c>
      <c r="B1170" s="88" t="s">
        <v>660</v>
      </c>
      <c r="C1170" s="86" t="s">
        <v>993</v>
      </c>
      <c r="D1170" s="88" t="s">
        <v>662</v>
      </c>
      <c r="E1170" s="87">
        <v>215</v>
      </c>
    </row>
    <row r="1171" spans="1:5" x14ac:dyDescent="0.25">
      <c r="A1171" s="84" t="s">
        <v>180</v>
      </c>
      <c r="B1171" s="84" t="s">
        <v>660</v>
      </c>
      <c r="C1171" s="84" t="s">
        <v>661</v>
      </c>
      <c r="D1171" s="84" t="s">
        <v>662</v>
      </c>
      <c r="E1171" s="85">
        <v>2926.3157894736842</v>
      </c>
    </row>
    <row r="1172" spans="1:5" x14ac:dyDescent="0.25">
      <c r="A1172" s="84" t="s">
        <v>180</v>
      </c>
      <c r="B1172" s="84" t="s">
        <v>660</v>
      </c>
      <c r="C1172" s="84" t="s">
        <v>665</v>
      </c>
      <c r="D1172" s="84" t="s">
        <v>662</v>
      </c>
      <c r="E1172" s="85">
        <v>42.105263157894733</v>
      </c>
    </row>
    <row r="1173" spans="1:5" x14ac:dyDescent="0.25">
      <c r="A1173" s="84" t="s">
        <v>180</v>
      </c>
      <c r="B1173" s="84" t="s">
        <v>660</v>
      </c>
      <c r="C1173" s="84" t="s">
        <v>668</v>
      </c>
      <c r="D1173" s="84" t="s">
        <v>662</v>
      </c>
      <c r="E1173" s="85">
        <v>336.84210526315786</v>
      </c>
    </row>
    <row r="1174" spans="1:5" x14ac:dyDescent="0.25">
      <c r="A1174" s="84" t="s">
        <v>180</v>
      </c>
      <c r="B1174" s="84" t="s">
        <v>660</v>
      </c>
      <c r="C1174" s="84" t="s">
        <v>84</v>
      </c>
      <c r="D1174" s="84" t="s">
        <v>662</v>
      </c>
      <c r="E1174" s="85">
        <v>210.52631578947367</v>
      </c>
    </row>
    <row r="1175" spans="1:5" x14ac:dyDescent="0.25">
      <c r="A1175" s="84" t="s">
        <v>180</v>
      </c>
      <c r="B1175" s="84" t="s">
        <v>660</v>
      </c>
      <c r="C1175" s="84" t="s">
        <v>672</v>
      </c>
      <c r="D1175" s="84" t="s">
        <v>662</v>
      </c>
      <c r="E1175" s="85">
        <v>21.052631578947366</v>
      </c>
    </row>
    <row r="1176" spans="1:5" x14ac:dyDescent="0.25">
      <c r="A1176" s="84" t="s">
        <v>180</v>
      </c>
      <c r="B1176" s="84" t="s">
        <v>660</v>
      </c>
      <c r="C1176" s="84" t="s">
        <v>675</v>
      </c>
      <c r="D1176" s="84" t="s">
        <v>662</v>
      </c>
      <c r="E1176" s="85">
        <v>126.31578947368421</v>
      </c>
    </row>
    <row r="1177" spans="1:5" x14ac:dyDescent="0.25">
      <c r="A1177" s="84" t="s">
        <v>180</v>
      </c>
      <c r="B1177" s="84" t="s">
        <v>660</v>
      </c>
      <c r="C1177" s="84" t="s">
        <v>677</v>
      </c>
      <c r="D1177" s="84" t="s">
        <v>662</v>
      </c>
      <c r="E1177" s="85">
        <v>126.31578947368421</v>
      </c>
    </row>
    <row r="1178" spans="1:5" x14ac:dyDescent="0.25">
      <c r="A1178" s="84" t="s">
        <v>180</v>
      </c>
      <c r="B1178" s="84" t="s">
        <v>660</v>
      </c>
      <c r="C1178" s="84" t="s">
        <v>1006</v>
      </c>
      <c r="D1178" s="84" t="s">
        <v>662</v>
      </c>
      <c r="E1178" s="85">
        <v>210.52631578947367</v>
      </c>
    </row>
    <row r="1179" spans="1:5" x14ac:dyDescent="0.25">
      <c r="A1179" s="84" t="s">
        <v>180</v>
      </c>
      <c r="B1179" s="84" t="s">
        <v>660</v>
      </c>
      <c r="C1179" s="84" t="s">
        <v>692</v>
      </c>
      <c r="D1179" s="84" t="s">
        <v>662</v>
      </c>
      <c r="E1179" s="85">
        <v>320</v>
      </c>
    </row>
    <row r="1180" spans="1:5" x14ac:dyDescent="0.25">
      <c r="A1180" s="84" t="s">
        <v>180</v>
      </c>
      <c r="B1180" s="84" t="s">
        <v>660</v>
      </c>
      <c r="C1180" s="84" t="s">
        <v>180</v>
      </c>
      <c r="D1180" s="84" t="s">
        <v>662</v>
      </c>
      <c r="E1180" s="85">
        <v>500</v>
      </c>
    </row>
    <row r="1181" spans="1:5" x14ac:dyDescent="0.25">
      <c r="A1181" s="86" t="s">
        <v>1183</v>
      </c>
      <c r="B1181" s="88" t="s">
        <v>660</v>
      </c>
      <c r="C1181" s="86" t="s">
        <v>661</v>
      </c>
      <c r="D1181" s="88" t="s">
        <v>662</v>
      </c>
      <c r="E1181" s="87">
        <v>1990.6542056074766</v>
      </c>
    </row>
    <row r="1182" spans="1:5" x14ac:dyDescent="0.25">
      <c r="A1182" s="86" t="s">
        <v>1183</v>
      </c>
      <c r="B1182" s="88" t="s">
        <v>660</v>
      </c>
      <c r="C1182" s="86" t="s">
        <v>665</v>
      </c>
      <c r="D1182" s="88" t="s">
        <v>662</v>
      </c>
      <c r="E1182" s="87">
        <v>224.29906542056074</v>
      </c>
    </row>
    <row r="1183" spans="1:5" x14ac:dyDescent="0.25">
      <c r="A1183" s="86" t="s">
        <v>1183</v>
      </c>
      <c r="B1183" s="88" t="s">
        <v>660</v>
      </c>
      <c r="C1183" s="86" t="s">
        <v>668</v>
      </c>
      <c r="D1183" s="88" t="s">
        <v>662</v>
      </c>
      <c r="E1183" s="87">
        <v>336.44859813084111</v>
      </c>
    </row>
    <row r="1184" spans="1:5" x14ac:dyDescent="0.25">
      <c r="A1184" s="86" t="s">
        <v>1183</v>
      </c>
      <c r="B1184" s="88" t="s">
        <v>660</v>
      </c>
      <c r="C1184" s="86" t="s">
        <v>84</v>
      </c>
      <c r="D1184" s="88" t="s">
        <v>662</v>
      </c>
      <c r="E1184" s="87">
        <v>28.037383177570092</v>
      </c>
    </row>
    <row r="1185" spans="1:5" x14ac:dyDescent="0.25">
      <c r="A1185" s="86" t="s">
        <v>1183</v>
      </c>
      <c r="B1185" s="88" t="s">
        <v>660</v>
      </c>
      <c r="C1185" s="86" t="s">
        <v>672</v>
      </c>
      <c r="D1185" s="88" t="s">
        <v>662</v>
      </c>
      <c r="E1185" s="87">
        <v>14.018691588785046</v>
      </c>
    </row>
    <row r="1186" spans="1:5" x14ac:dyDescent="0.25">
      <c r="A1186" s="86" t="s">
        <v>1183</v>
      </c>
      <c r="B1186" s="88" t="s">
        <v>660</v>
      </c>
      <c r="C1186" s="86" t="s">
        <v>675</v>
      </c>
      <c r="D1186" s="88" t="s">
        <v>662</v>
      </c>
      <c r="E1186" s="87">
        <v>126.16822429906541</v>
      </c>
    </row>
    <row r="1187" spans="1:5" x14ac:dyDescent="0.25">
      <c r="A1187" s="86" t="s">
        <v>1183</v>
      </c>
      <c r="B1187" s="88" t="s">
        <v>660</v>
      </c>
      <c r="C1187" s="86" t="s">
        <v>677</v>
      </c>
      <c r="D1187" s="88" t="s">
        <v>662</v>
      </c>
      <c r="E1187" s="87">
        <v>84.112149532710276</v>
      </c>
    </row>
    <row r="1188" spans="1:5" x14ac:dyDescent="0.25">
      <c r="A1188" s="86" t="s">
        <v>1183</v>
      </c>
      <c r="B1188" s="88" t="s">
        <v>660</v>
      </c>
      <c r="C1188" s="86" t="s">
        <v>1184</v>
      </c>
      <c r="D1188" s="88" t="s">
        <v>662</v>
      </c>
      <c r="E1188" s="87">
        <v>196.26168224299064</v>
      </c>
    </row>
    <row r="1189" spans="1:5" x14ac:dyDescent="0.25">
      <c r="A1189" s="86" t="s">
        <v>1183</v>
      </c>
      <c r="B1189" s="88" t="s">
        <v>660</v>
      </c>
      <c r="C1189" s="86" t="s">
        <v>1184</v>
      </c>
      <c r="D1189" s="88" t="s">
        <v>662</v>
      </c>
      <c r="E1189" s="87">
        <v>225</v>
      </c>
    </row>
    <row r="1190" spans="1:5" x14ac:dyDescent="0.25">
      <c r="A1190" s="84" t="s">
        <v>1185</v>
      </c>
      <c r="B1190" s="84" t="s">
        <v>660</v>
      </c>
      <c r="C1190" s="84" t="s">
        <v>661</v>
      </c>
      <c r="D1190" s="84" t="s">
        <v>662</v>
      </c>
      <c r="E1190" s="85">
        <v>5216</v>
      </c>
    </row>
    <row r="1191" spans="1:5" x14ac:dyDescent="0.25">
      <c r="A1191" s="84" t="s">
        <v>1185</v>
      </c>
      <c r="B1191" s="84" t="s">
        <v>660</v>
      </c>
      <c r="C1191" s="84" t="s">
        <v>665</v>
      </c>
      <c r="D1191" s="84" t="s">
        <v>662</v>
      </c>
      <c r="E1191" s="85">
        <v>320</v>
      </c>
    </row>
    <row r="1192" spans="1:5" x14ac:dyDescent="0.25">
      <c r="A1192" s="84" t="s">
        <v>1185</v>
      </c>
      <c r="B1192" s="84" t="s">
        <v>660</v>
      </c>
      <c r="C1192" s="84" t="s">
        <v>668</v>
      </c>
      <c r="D1192" s="84" t="s">
        <v>662</v>
      </c>
      <c r="E1192" s="85">
        <v>80</v>
      </c>
    </row>
    <row r="1193" spans="1:5" x14ac:dyDescent="0.25">
      <c r="A1193" s="84" t="s">
        <v>1185</v>
      </c>
      <c r="B1193" s="84" t="s">
        <v>660</v>
      </c>
      <c r="C1193" s="84" t="s">
        <v>84</v>
      </c>
      <c r="D1193" s="84" t="s">
        <v>662</v>
      </c>
      <c r="E1193" s="85">
        <v>1240</v>
      </c>
    </row>
    <row r="1194" spans="1:5" x14ac:dyDescent="0.25">
      <c r="A1194" s="84" t="s">
        <v>1185</v>
      </c>
      <c r="B1194" s="84" t="s">
        <v>660</v>
      </c>
      <c r="C1194" s="84" t="s">
        <v>672</v>
      </c>
      <c r="D1194" s="84" t="s">
        <v>662</v>
      </c>
      <c r="E1194" s="85">
        <v>40</v>
      </c>
    </row>
    <row r="1195" spans="1:5" x14ac:dyDescent="0.25">
      <c r="A1195" s="84" t="s">
        <v>1185</v>
      </c>
      <c r="B1195" s="84" t="s">
        <v>660</v>
      </c>
      <c r="C1195" s="84" t="s">
        <v>675</v>
      </c>
      <c r="D1195" s="84" t="s">
        <v>662</v>
      </c>
      <c r="E1195" s="85">
        <v>360</v>
      </c>
    </row>
    <row r="1196" spans="1:5" x14ac:dyDescent="0.25">
      <c r="A1196" s="84" t="s">
        <v>1185</v>
      </c>
      <c r="B1196" s="84" t="s">
        <v>660</v>
      </c>
      <c r="C1196" s="84" t="s">
        <v>677</v>
      </c>
      <c r="D1196" s="84" t="s">
        <v>662</v>
      </c>
      <c r="E1196" s="85">
        <v>144</v>
      </c>
    </row>
    <row r="1197" spans="1:5" x14ac:dyDescent="0.25">
      <c r="A1197" s="84" t="s">
        <v>1185</v>
      </c>
      <c r="B1197" s="84" t="s">
        <v>660</v>
      </c>
      <c r="C1197" s="84" t="s">
        <v>1186</v>
      </c>
      <c r="D1197" s="84" t="s">
        <v>662</v>
      </c>
      <c r="E1197" s="85">
        <v>600</v>
      </c>
    </row>
    <row r="1198" spans="1:5" x14ac:dyDescent="0.25">
      <c r="A1198" s="84" t="s">
        <v>1185</v>
      </c>
      <c r="B1198" s="84" t="s">
        <v>660</v>
      </c>
      <c r="C1198" s="84" t="s">
        <v>1058</v>
      </c>
      <c r="D1198" s="84" t="s">
        <v>662</v>
      </c>
      <c r="E1198" s="85">
        <v>640</v>
      </c>
    </row>
    <row r="1199" spans="1:5" x14ac:dyDescent="0.25">
      <c r="A1199" s="84" t="s">
        <v>1185</v>
      </c>
      <c r="B1199" s="84" t="s">
        <v>660</v>
      </c>
      <c r="C1199" s="84" t="s">
        <v>1002</v>
      </c>
      <c r="D1199" s="84" t="s">
        <v>662</v>
      </c>
      <c r="E1199" s="85">
        <v>640</v>
      </c>
    </row>
    <row r="1200" spans="1:5" x14ac:dyDescent="0.25">
      <c r="A1200" s="86" t="s">
        <v>904</v>
      </c>
      <c r="B1200" s="88" t="s">
        <v>660</v>
      </c>
      <c r="C1200" s="86" t="s">
        <v>661</v>
      </c>
      <c r="D1200" s="88" t="s">
        <v>662</v>
      </c>
      <c r="E1200" s="87">
        <v>1926.605504587156</v>
      </c>
    </row>
    <row r="1201" spans="1:5" x14ac:dyDescent="0.25">
      <c r="A1201" s="86" t="s">
        <v>904</v>
      </c>
      <c r="B1201" s="88" t="s">
        <v>660</v>
      </c>
      <c r="C1201" s="86" t="s">
        <v>665</v>
      </c>
      <c r="D1201" s="88" t="s">
        <v>662</v>
      </c>
      <c r="E1201" s="87">
        <v>205.50458715596332</v>
      </c>
    </row>
    <row r="1202" spans="1:5" x14ac:dyDescent="0.25">
      <c r="A1202" s="86" t="s">
        <v>904</v>
      </c>
      <c r="B1202" s="88" t="s">
        <v>660</v>
      </c>
      <c r="C1202" s="86" t="s">
        <v>668</v>
      </c>
      <c r="D1202" s="88" t="s">
        <v>662</v>
      </c>
      <c r="E1202" s="87">
        <v>231.19266055045873</v>
      </c>
    </row>
    <row r="1203" spans="1:5" x14ac:dyDescent="0.25">
      <c r="A1203" s="86" t="s">
        <v>904</v>
      </c>
      <c r="B1203" s="88" t="s">
        <v>660</v>
      </c>
      <c r="C1203" s="86" t="s">
        <v>84</v>
      </c>
      <c r="D1203" s="88" t="s">
        <v>662</v>
      </c>
      <c r="E1203" s="87">
        <v>0</v>
      </c>
    </row>
    <row r="1204" spans="1:5" x14ac:dyDescent="0.25">
      <c r="A1204" s="86" t="s">
        <v>904</v>
      </c>
      <c r="B1204" s="88" t="s">
        <v>660</v>
      </c>
      <c r="C1204" s="86" t="s">
        <v>672</v>
      </c>
      <c r="D1204" s="88" t="s">
        <v>662</v>
      </c>
      <c r="E1204" s="87">
        <v>12.844036697247708</v>
      </c>
    </row>
    <row r="1205" spans="1:5" x14ac:dyDescent="0.25">
      <c r="A1205" s="86" t="s">
        <v>904</v>
      </c>
      <c r="B1205" s="88" t="s">
        <v>660</v>
      </c>
      <c r="C1205" s="86" t="s">
        <v>675</v>
      </c>
      <c r="D1205" s="88" t="s">
        <v>662</v>
      </c>
      <c r="E1205" s="87">
        <v>115.59633027522936</v>
      </c>
    </row>
    <row r="1206" spans="1:5" x14ac:dyDescent="0.25">
      <c r="A1206" s="86" t="s">
        <v>904</v>
      </c>
      <c r="B1206" s="88" t="s">
        <v>660</v>
      </c>
      <c r="C1206" s="86" t="s">
        <v>677</v>
      </c>
      <c r="D1206" s="88" t="s">
        <v>662</v>
      </c>
      <c r="E1206" s="87">
        <v>77.064220183486242</v>
      </c>
    </row>
    <row r="1207" spans="1:5" x14ac:dyDescent="0.25">
      <c r="A1207" s="86" t="s">
        <v>904</v>
      </c>
      <c r="B1207" s="88" t="s">
        <v>660</v>
      </c>
      <c r="C1207" s="86" t="s">
        <v>1143</v>
      </c>
      <c r="D1207" s="88" t="s">
        <v>662</v>
      </c>
      <c r="E1207" s="87">
        <v>231.19266055045873</v>
      </c>
    </row>
    <row r="1208" spans="1:5" x14ac:dyDescent="0.25">
      <c r="A1208" s="86" t="s">
        <v>904</v>
      </c>
      <c r="B1208" s="88" t="s">
        <v>660</v>
      </c>
      <c r="C1208" s="86" t="s">
        <v>692</v>
      </c>
      <c r="D1208" s="88" t="s">
        <v>662</v>
      </c>
      <c r="E1208" s="87">
        <v>210</v>
      </c>
    </row>
    <row r="1209" spans="1:5" x14ac:dyDescent="0.25">
      <c r="A1209" s="84" t="s">
        <v>918</v>
      </c>
      <c r="B1209" s="84" t="s">
        <v>660</v>
      </c>
      <c r="C1209" s="84" t="s">
        <v>661</v>
      </c>
      <c r="D1209" s="84" t="s">
        <v>662</v>
      </c>
      <c r="E1209" s="85">
        <v>2587.3873873873872</v>
      </c>
    </row>
    <row r="1210" spans="1:5" x14ac:dyDescent="0.25">
      <c r="A1210" s="84" t="s">
        <v>918</v>
      </c>
      <c r="B1210" s="84" t="s">
        <v>660</v>
      </c>
      <c r="C1210" s="84" t="s">
        <v>665</v>
      </c>
      <c r="D1210" s="84" t="s">
        <v>662</v>
      </c>
      <c r="E1210" s="85">
        <v>295.4954954954955</v>
      </c>
    </row>
    <row r="1211" spans="1:5" x14ac:dyDescent="0.25">
      <c r="A1211" s="84" t="s">
        <v>918</v>
      </c>
      <c r="B1211" s="84" t="s">
        <v>660</v>
      </c>
      <c r="C1211" s="84" t="s">
        <v>668</v>
      </c>
      <c r="D1211" s="84" t="s">
        <v>662</v>
      </c>
      <c r="E1211" s="85">
        <v>414.41441441441441</v>
      </c>
    </row>
    <row r="1212" spans="1:5" x14ac:dyDescent="0.25">
      <c r="A1212" s="84" t="s">
        <v>918</v>
      </c>
      <c r="B1212" s="84" t="s">
        <v>660</v>
      </c>
      <c r="C1212" s="84" t="s">
        <v>84</v>
      </c>
      <c r="D1212" s="84" t="s">
        <v>662</v>
      </c>
      <c r="E1212" s="85">
        <v>108.10810810810811</v>
      </c>
    </row>
    <row r="1213" spans="1:5" x14ac:dyDescent="0.25">
      <c r="A1213" s="84" t="s">
        <v>918</v>
      </c>
      <c r="B1213" s="84" t="s">
        <v>660</v>
      </c>
      <c r="C1213" s="84" t="s">
        <v>672</v>
      </c>
      <c r="D1213" s="84" t="s">
        <v>662</v>
      </c>
      <c r="E1213" s="85">
        <v>18.018018018018019</v>
      </c>
    </row>
    <row r="1214" spans="1:5" x14ac:dyDescent="0.25">
      <c r="A1214" s="84" t="s">
        <v>918</v>
      </c>
      <c r="B1214" s="84" t="s">
        <v>660</v>
      </c>
      <c r="C1214" s="84" t="s">
        <v>675</v>
      </c>
      <c r="D1214" s="84" t="s">
        <v>662</v>
      </c>
      <c r="E1214" s="85">
        <v>180.18018018018017</v>
      </c>
    </row>
    <row r="1215" spans="1:5" x14ac:dyDescent="0.25">
      <c r="A1215" s="84" t="s">
        <v>918</v>
      </c>
      <c r="B1215" s="84" t="s">
        <v>660</v>
      </c>
      <c r="C1215" s="84" t="s">
        <v>677</v>
      </c>
      <c r="D1215" s="84" t="s">
        <v>662</v>
      </c>
      <c r="E1215" s="85">
        <v>108.10810810810811</v>
      </c>
    </row>
    <row r="1216" spans="1:5" x14ac:dyDescent="0.25">
      <c r="A1216" s="84" t="s">
        <v>918</v>
      </c>
      <c r="B1216" s="84" t="s">
        <v>660</v>
      </c>
      <c r="C1216" s="84" t="s">
        <v>1187</v>
      </c>
      <c r="D1216" s="84" t="s">
        <v>662</v>
      </c>
      <c r="E1216" s="85">
        <v>288.2882882882883</v>
      </c>
    </row>
    <row r="1217" spans="1:5" x14ac:dyDescent="0.25">
      <c r="A1217" s="86" t="s">
        <v>1188</v>
      </c>
      <c r="B1217" s="88" t="s">
        <v>660</v>
      </c>
      <c r="C1217" s="86" t="s">
        <v>661</v>
      </c>
      <c r="D1217" s="88" t="s">
        <v>662</v>
      </c>
      <c r="E1217" s="87">
        <v>2679.6116504854367</v>
      </c>
    </row>
    <row r="1218" spans="1:5" x14ac:dyDescent="0.25">
      <c r="A1218" s="86" t="s">
        <v>1188</v>
      </c>
      <c r="B1218" s="88" t="s">
        <v>660</v>
      </c>
      <c r="C1218" s="86" t="s">
        <v>665</v>
      </c>
      <c r="D1218" s="88" t="s">
        <v>662</v>
      </c>
      <c r="E1218" s="87">
        <v>310.67961165048541</v>
      </c>
    </row>
    <row r="1219" spans="1:5" x14ac:dyDescent="0.25">
      <c r="A1219" s="86" t="s">
        <v>1188</v>
      </c>
      <c r="B1219" s="88" t="s">
        <v>660</v>
      </c>
      <c r="C1219" s="86" t="s">
        <v>668</v>
      </c>
      <c r="D1219" s="88" t="s">
        <v>662</v>
      </c>
      <c r="E1219" s="87">
        <v>466.01941747572818</v>
      </c>
    </row>
    <row r="1220" spans="1:5" x14ac:dyDescent="0.25">
      <c r="A1220" s="86" t="s">
        <v>1188</v>
      </c>
      <c r="B1220" s="88" t="s">
        <v>660</v>
      </c>
      <c r="C1220" s="86" t="s">
        <v>84</v>
      </c>
      <c r="D1220" s="88" t="s">
        <v>662</v>
      </c>
      <c r="E1220" s="87">
        <v>116.50485436893204</v>
      </c>
    </row>
    <row r="1221" spans="1:5" x14ac:dyDescent="0.25">
      <c r="A1221" s="86" t="s">
        <v>1188</v>
      </c>
      <c r="B1221" s="88" t="s">
        <v>660</v>
      </c>
      <c r="C1221" s="86" t="s">
        <v>672</v>
      </c>
      <c r="D1221" s="88" t="s">
        <v>662</v>
      </c>
      <c r="E1221" s="87">
        <v>19.417475728155338</v>
      </c>
    </row>
    <row r="1222" spans="1:5" x14ac:dyDescent="0.25">
      <c r="A1222" s="86" t="s">
        <v>1188</v>
      </c>
      <c r="B1222" s="88" t="s">
        <v>660</v>
      </c>
      <c r="C1222" s="86" t="s">
        <v>675</v>
      </c>
      <c r="D1222" s="88" t="s">
        <v>662</v>
      </c>
      <c r="E1222" s="87">
        <v>174.75728155339806</v>
      </c>
    </row>
    <row r="1223" spans="1:5" x14ac:dyDescent="0.25">
      <c r="A1223" s="86" t="s">
        <v>1188</v>
      </c>
      <c r="B1223" s="88" t="s">
        <v>660</v>
      </c>
      <c r="C1223" s="86" t="s">
        <v>677</v>
      </c>
      <c r="D1223" s="88" t="s">
        <v>662</v>
      </c>
      <c r="E1223" s="87">
        <v>116.50485436893204</v>
      </c>
    </row>
    <row r="1224" spans="1:5" x14ac:dyDescent="0.25">
      <c r="A1224" s="86" t="s">
        <v>1188</v>
      </c>
      <c r="B1224" s="88" t="s">
        <v>660</v>
      </c>
      <c r="C1224" s="86" t="s">
        <v>1149</v>
      </c>
      <c r="D1224" s="88" t="s">
        <v>662</v>
      </c>
      <c r="E1224" s="87">
        <v>116.50485436893204</v>
      </c>
    </row>
    <row r="1225" spans="1:5" x14ac:dyDescent="0.25">
      <c r="A1225" s="86" t="s">
        <v>1188</v>
      </c>
      <c r="B1225" s="88" t="s">
        <v>660</v>
      </c>
      <c r="C1225" s="86" t="s">
        <v>1189</v>
      </c>
      <c r="D1225" s="88" t="s">
        <v>662</v>
      </c>
      <c r="E1225" s="87">
        <v>300</v>
      </c>
    </row>
    <row r="1226" spans="1:5" x14ac:dyDescent="0.25">
      <c r="A1226" s="84" t="s">
        <v>1190</v>
      </c>
      <c r="B1226" s="84" t="s">
        <v>660</v>
      </c>
      <c r="C1226" s="84" t="s">
        <v>661</v>
      </c>
      <c r="D1226" s="84" t="s">
        <v>662</v>
      </c>
      <c r="E1226" s="85">
        <v>2895.238095238095</v>
      </c>
    </row>
    <row r="1227" spans="1:5" x14ac:dyDescent="0.25">
      <c r="A1227" s="84" t="s">
        <v>1190</v>
      </c>
      <c r="B1227" s="84" t="s">
        <v>660</v>
      </c>
      <c r="C1227" s="84" t="s">
        <v>665</v>
      </c>
      <c r="D1227" s="84" t="s">
        <v>662</v>
      </c>
      <c r="E1227" s="85">
        <v>266.66666666666663</v>
      </c>
    </row>
    <row r="1228" spans="1:5" x14ac:dyDescent="0.25">
      <c r="A1228" s="84" t="s">
        <v>1190</v>
      </c>
      <c r="B1228" s="84" t="s">
        <v>660</v>
      </c>
      <c r="C1228" s="84" t="s">
        <v>668</v>
      </c>
      <c r="D1228" s="84" t="s">
        <v>662</v>
      </c>
      <c r="E1228" s="85">
        <v>266.66666666666663</v>
      </c>
    </row>
    <row r="1229" spans="1:5" x14ac:dyDescent="0.25">
      <c r="A1229" s="84" t="s">
        <v>1190</v>
      </c>
      <c r="B1229" s="84" t="s">
        <v>660</v>
      </c>
      <c r="C1229" s="84" t="s">
        <v>84</v>
      </c>
      <c r="D1229" s="84" t="s">
        <v>662</v>
      </c>
      <c r="E1229" s="85">
        <v>76.19047619047619</v>
      </c>
    </row>
    <row r="1230" spans="1:5" x14ac:dyDescent="0.25">
      <c r="A1230" s="84" t="s">
        <v>1190</v>
      </c>
      <c r="B1230" s="84" t="s">
        <v>660</v>
      </c>
      <c r="C1230" s="84" t="s">
        <v>672</v>
      </c>
      <c r="D1230" s="84" t="s">
        <v>662</v>
      </c>
      <c r="E1230" s="85">
        <v>19.047619047619047</v>
      </c>
    </row>
    <row r="1231" spans="1:5" x14ac:dyDescent="0.25">
      <c r="A1231" s="84" t="s">
        <v>1190</v>
      </c>
      <c r="B1231" s="84" t="s">
        <v>660</v>
      </c>
      <c r="C1231" s="84" t="s">
        <v>675</v>
      </c>
      <c r="D1231" s="84" t="s">
        <v>662</v>
      </c>
      <c r="E1231" s="85">
        <v>171.42857142857142</v>
      </c>
    </row>
    <row r="1232" spans="1:5" x14ac:dyDescent="0.25">
      <c r="A1232" s="84" t="s">
        <v>1190</v>
      </c>
      <c r="B1232" s="84" t="s">
        <v>660</v>
      </c>
      <c r="C1232" s="84" t="s">
        <v>677</v>
      </c>
      <c r="D1232" s="84" t="s">
        <v>662</v>
      </c>
      <c r="E1232" s="85">
        <v>114.28571428571428</v>
      </c>
    </row>
    <row r="1233" spans="1:5" x14ac:dyDescent="0.25">
      <c r="A1233" s="84" t="s">
        <v>1190</v>
      </c>
      <c r="B1233" s="84" t="s">
        <v>660</v>
      </c>
      <c r="C1233" s="84" t="s">
        <v>1191</v>
      </c>
      <c r="D1233" s="84" t="s">
        <v>662</v>
      </c>
      <c r="E1233" s="85">
        <v>190.47619047619045</v>
      </c>
    </row>
    <row r="1234" spans="1:5" x14ac:dyDescent="0.25">
      <c r="A1234" s="86" t="s">
        <v>1192</v>
      </c>
      <c r="B1234" s="88" t="s">
        <v>660</v>
      </c>
      <c r="C1234" s="86" t="s">
        <v>661</v>
      </c>
      <c r="D1234" s="88" t="s">
        <v>662</v>
      </c>
      <c r="E1234" s="87">
        <v>2520</v>
      </c>
    </row>
    <row r="1235" spans="1:5" x14ac:dyDescent="0.25">
      <c r="A1235" s="86" t="s">
        <v>1192</v>
      </c>
      <c r="B1235" s="88" t="s">
        <v>660</v>
      </c>
      <c r="C1235" s="86" t="s">
        <v>665</v>
      </c>
      <c r="D1235" s="88" t="s">
        <v>662</v>
      </c>
      <c r="E1235" s="87">
        <v>240</v>
      </c>
    </row>
    <row r="1236" spans="1:5" x14ac:dyDescent="0.25">
      <c r="A1236" s="86" t="s">
        <v>1192</v>
      </c>
      <c r="B1236" s="88" t="s">
        <v>660</v>
      </c>
      <c r="C1236" s="86" t="s">
        <v>668</v>
      </c>
      <c r="D1236" s="88" t="s">
        <v>662</v>
      </c>
      <c r="E1236" s="87">
        <v>480</v>
      </c>
    </row>
    <row r="1237" spans="1:5" x14ac:dyDescent="0.25">
      <c r="A1237" s="86" t="s">
        <v>1192</v>
      </c>
      <c r="B1237" s="88" t="s">
        <v>660</v>
      </c>
      <c r="C1237" s="86" t="s">
        <v>672</v>
      </c>
      <c r="D1237" s="88" t="s">
        <v>662</v>
      </c>
      <c r="E1237" s="87">
        <v>20</v>
      </c>
    </row>
    <row r="1238" spans="1:5" x14ac:dyDescent="0.25">
      <c r="A1238" s="86" t="s">
        <v>1192</v>
      </c>
      <c r="B1238" s="88" t="s">
        <v>660</v>
      </c>
      <c r="C1238" s="86" t="s">
        <v>675</v>
      </c>
      <c r="D1238" s="88" t="s">
        <v>662</v>
      </c>
      <c r="E1238" s="87">
        <v>180</v>
      </c>
    </row>
    <row r="1239" spans="1:5" x14ac:dyDescent="0.25">
      <c r="A1239" s="86" t="s">
        <v>1192</v>
      </c>
      <c r="B1239" s="88" t="s">
        <v>660</v>
      </c>
      <c r="C1239" s="86" t="s">
        <v>677</v>
      </c>
      <c r="D1239" s="88" t="s">
        <v>662</v>
      </c>
      <c r="E1239" s="87">
        <v>120</v>
      </c>
    </row>
    <row r="1240" spans="1:5" x14ac:dyDescent="0.25">
      <c r="A1240" s="86" t="s">
        <v>1192</v>
      </c>
      <c r="B1240" s="88" t="s">
        <v>660</v>
      </c>
      <c r="C1240" s="86" t="s">
        <v>1193</v>
      </c>
      <c r="D1240" s="88" t="s">
        <v>662</v>
      </c>
      <c r="E1240" s="87">
        <v>160</v>
      </c>
    </row>
    <row r="1241" spans="1:5" x14ac:dyDescent="0.25">
      <c r="A1241" s="86" t="s">
        <v>1192</v>
      </c>
      <c r="B1241" s="88" t="s">
        <v>660</v>
      </c>
      <c r="C1241" s="86" t="s">
        <v>993</v>
      </c>
      <c r="D1241" s="88" t="s">
        <v>662</v>
      </c>
      <c r="E1241" s="87">
        <v>280</v>
      </c>
    </row>
    <row r="1242" spans="1:5" x14ac:dyDescent="0.25">
      <c r="A1242" s="84" t="s">
        <v>1069</v>
      </c>
      <c r="B1242" s="84" t="s">
        <v>660</v>
      </c>
      <c r="C1242" s="84" t="s">
        <v>661</v>
      </c>
      <c r="D1242" s="84" t="s">
        <v>662</v>
      </c>
      <c r="E1242" s="85">
        <v>2657.1428571428573</v>
      </c>
    </row>
    <row r="1243" spans="1:5" x14ac:dyDescent="0.25">
      <c r="A1243" s="84" t="s">
        <v>1069</v>
      </c>
      <c r="B1243" s="84" t="s">
        <v>660</v>
      </c>
      <c r="C1243" s="84" t="s">
        <v>665</v>
      </c>
      <c r="D1243" s="84" t="s">
        <v>662</v>
      </c>
      <c r="E1243" s="85">
        <v>285.71428571428572</v>
      </c>
    </row>
    <row r="1244" spans="1:5" x14ac:dyDescent="0.25">
      <c r="A1244" s="84" t="s">
        <v>1069</v>
      </c>
      <c r="B1244" s="84" t="s">
        <v>660</v>
      </c>
      <c r="C1244" s="84" t="s">
        <v>668</v>
      </c>
      <c r="D1244" s="84" t="s">
        <v>662</v>
      </c>
      <c r="E1244" s="85">
        <v>410.71428571428572</v>
      </c>
    </row>
    <row r="1245" spans="1:5" x14ac:dyDescent="0.25">
      <c r="A1245" s="84" t="s">
        <v>1069</v>
      </c>
      <c r="B1245" s="84" t="s">
        <v>660</v>
      </c>
      <c r="C1245" s="84" t="s">
        <v>672</v>
      </c>
      <c r="D1245" s="84" t="s">
        <v>662</v>
      </c>
      <c r="E1245" s="85">
        <v>17.857142857142858</v>
      </c>
    </row>
    <row r="1246" spans="1:5" x14ac:dyDescent="0.25">
      <c r="A1246" s="84" t="s">
        <v>1069</v>
      </c>
      <c r="B1246" s="84" t="s">
        <v>660</v>
      </c>
      <c r="C1246" s="84" t="s">
        <v>675</v>
      </c>
      <c r="D1246" s="84" t="s">
        <v>662</v>
      </c>
      <c r="E1246" s="85">
        <v>92.857142857142861</v>
      </c>
    </row>
    <row r="1247" spans="1:5" x14ac:dyDescent="0.25">
      <c r="A1247" s="84" t="s">
        <v>1069</v>
      </c>
      <c r="B1247" s="84" t="s">
        <v>660</v>
      </c>
      <c r="C1247" s="84" t="s">
        <v>677</v>
      </c>
      <c r="D1247" s="84" t="s">
        <v>662</v>
      </c>
      <c r="E1247" s="85">
        <v>107.14285714285715</v>
      </c>
    </row>
    <row r="1248" spans="1:5" x14ac:dyDescent="0.25">
      <c r="A1248" s="84" t="s">
        <v>1069</v>
      </c>
      <c r="B1248" s="84" t="s">
        <v>660</v>
      </c>
      <c r="C1248" s="84" t="s">
        <v>1069</v>
      </c>
      <c r="D1248" s="84" t="s">
        <v>662</v>
      </c>
      <c r="E1248" s="85">
        <v>428.57142857142861</v>
      </c>
    </row>
    <row r="1249" spans="1:5" x14ac:dyDescent="0.25">
      <c r="A1249" s="89" t="s">
        <v>1194</v>
      </c>
      <c r="B1249" s="89" t="s">
        <v>1195</v>
      </c>
      <c r="C1249" s="89" t="s">
        <v>976</v>
      </c>
      <c r="D1249" s="89" t="s">
        <v>662</v>
      </c>
      <c r="E1249" s="90">
        <v>2999.5502248875564</v>
      </c>
    </row>
    <row r="1250" spans="1:5" x14ac:dyDescent="0.25">
      <c r="A1250" s="89" t="s">
        <v>1194</v>
      </c>
      <c r="B1250" s="89" t="s">
        <v>1195</v>
      </c>
      <c r="C1250" s="89" t="s">
        <v>1096</v>
      </c>
      <c r="D1250" s="89" t="s">
        <v>662</v>
      </c>
      <c r="E1250" s="90">
        <v>1050.4497751124438</v>
      </c>
    </row>
    <row r="1251" spans="1:5" x14ac:dyDescent="0.25">
      <c r="A1251" s="91" t="s">
        <v>1196</v>
      </c>
      <c r="B1251" s="91" t="s">
        <v>1195</v>
      </c>
      <c r="C1251" s="91" t="s">
        <v>976</v>
      </c>
      <c r="D1251" s="91" t="s">
        <v>662</v>
      </c>
      <c r="E1251" s="92">
        <v>2000.0000000000002</v>
      </c>
    </row>
    <row r="1252" spans="1:5" x14ac:dyDescent="0.25">
      <c r="A1252" s="91" t="s">
        <v>1196</v>
      </c>
      <c r="B1252" s="91" t="s">
        <v>1195</v>
      </c>
      <c r="C1252" s="91" t="s">
        <v>294</v>
      </c>
      <c r="D1252" s="91" t="s">
        <v>662</v>
      </c>
      <c r="E1252" s="92">
        <v>1000.0000000000001</v>
      </c>
    </row>
    <row r="1253" spans="1:5" x14ac:dyDescent="0.25">
      <c r="A1253" s="91" t="s">
        <v>1196</v>
      </c>
      <c r="B1253" s="91" t="s">
        <v>1195</v>
      </c>
      <c r="C1253" s="91" t="s">
        <v>1096</v>
      </c>
      <c r="D1253" s="91" t="s">
        <v>662</v>
      </c>
      <c r="E1253" s="92">
        <v>1050</v>
      </c>
    </row>
    <row r="1254" spans="1:5" x14ac:dyDescent="0.25">
      <c r="A1254" s="93" t="s">
        <v>1197</v>
      </c>
      <c r="B1254" s="89" t="s">
        <v>1195</v>
      </c>
      <c r="C1254" s="93" t="s">
        <v>1075</v>
      </c>
      <c r="D1254" s="89" t="s">
        <v>662</v>
      </c>
      <c r="E1254" s="90">
        <v>3000</v>
      </c>
    </row>
    <row r="1255" spans="1:5" x14ac:dyDescent="0.25">
      <c r="A1255" s="93" t="s">
        <v>1197</v>
      </c>
      <c r="B1255" s="89" t="s">
        <v>1195</v>
      </c>
      <c r="C1255" s="93" t="s">
        <v>1198</v>
      </c>
      <c r="D1255" s="89" t="s">
        <v>662</v>
      </c>
      <c r="E1255" s="90">
        <v>600</v>
      </c>
    </row>
    <row r="1256" spans="1:5" x14ac:dyDescent="0.25">
      <c r="A1256" s="93" t="s">
        <v>1197</v>
      </c>
      <c r="B1256" s="89" t="s">
        <v>1195</v>
      </c>
      <c r="C1256" s="93" t="s">
        <v>1062</v>
      </c>
      <c r="D1256" s="89" t="s">
        <v>662</v>
      </c>
      <c r="E1256" s="90">
        <v>900</v>
      </c>
    </row>
    <row r="1257" spans="1:5" x14ac:dyDescent="0.25">
      <c r="A1257" s="91" t="s">
        <v>1199</v>
      </c>
      <c r="B1257" s="91" t="s">
        <v>1195</v>
      </c>
      <c r="C1257" s="91" t="s">
        <v>661</v>
      </c>
      <c r="D1257" s="91" t="s">
        <v>662</v>
      </c>
      <c r="E1257" s="92">
        <v>3000</v>
      </c>
    </row>
    <row r="1258" spans="1:5" x14ac:dyDescent="0.25">
      <c r="A1258" s="91" t="s">
        <v>1199</v>
      </c>
      <c r="B1258" s="91" t="s">
        <v>1195</v>
      </c>
      <c r="C1258" s="91" t="s">
        <v>1006</v>
      </c>
      <c r="D1258" s="91" t="s">
        <v>662</v>
      </c>
      <c r="E1258" s="92">
        <v>400</v>
      </c>
    </row>
    <row r="1259" spans="1:5" x14ac:dyDescent="0.25">
      <c r="A1259" s="91" t="s">
        <v>1199</v>
      </c>
      <c r="B1259" s="91" t="s">
        <v>1195</v>
      </c>
      <c r="C1259" s="91" t="s">
        <v>1062</v>
      </c>
      <c r="D1259" s="91" t="s">
        <v>662</v>
      </c>
      <c r="E1259" s="92">
        <v>900</v>
      </c>
    </row>
    <row r="1260" spans="1:5" x14ac:dyDescent="0.25">
      <c r="A1260" s="93" t="s">
        <v>1200</v>
      </c>
      <c r="B1260" s="89" t="s">
        <v>1195</v>
      </c>
      <c r="C1260" s="93" t="s">
        <v>661</v>
      </c>
      <c r="D1260" s="89" t="s">
        <v>662</v>
      </c>
      <c r="E1260" s="90">
        <v>3000</v>
      </c>
    </row>
    <row r="1261" spans="1:5" x14ac:dyDescent="0.25">
      <c r="A1261" s="93" t="s">
        <v>1200</v>
      </c>
      <c r="B1261" s="89" t="s">
        <v>1195</v>
      </c>
      <c r="C1261" s="93" t="s">
        <v>691</v>
      </c>
      <c r="D1261" s="89" t="s">
        <v>662</v>
      </c>
      <c r="E1261" s="90">
        <v>250</v>
      </c>
    </row>
    <row r="1262" spans="1:5" x14ac:dyDescent="0.25">
      <c r="A1262" s="93" t="s">
        <v>1200</v>
      </c>
      <c r="B1262" s="89" t="s">
        <v>1195</v>
      </c>
      <c r="C1262" s="93" t="s">
        <v>1062</v>
      </c>
      <c r="D1262" s="89" t="s">
        <v>662</v>
      </c>
      <c r="E1262" s="90">
        <v>900</v>
      </c>
    </row>
    <row r="1263" spans="1:5" x14ac:dyDescent="0.25">
      <c r="A1263" s="93" t="s">
        <v>1200</v>
      </c>
      <c r="B1263" s="89" t="s">
        <v>1195</v>
      </c>
      <c r="C1263" s="93" t="s">
        <v>687</v>
      </c>
      <c r="D1263" s="89" t="s">
        <v>662</v>
      </c>
      <c r="E1263" s="90">
        <v>62.325000000000003</v>
      </c>
    </row>
    <row r="1264" spans="1:5" x14ac:dyDescent="0.25">
      <c r="A1264" s="91" t="s">
        <v>1112</v>
      </c>
      <c r="B1264" s="91" t="s">
        <v>1195</v>
      </c>
      <c r="C1264" s="91" t="s">
        <v>661</v>
      </c>
      <c r="D1264" s="91" t="s">
        <v>662</v>
      </c>
      <c r="E1264" s="92">
        <v>2500</v>
      </c>
    </row>
    <row r="1265" spans="1:5" x14ac:dyDescent="0.25">
      <c r="A1265" s="91" t="s">
        <v>1112</v>
      </c>
      <c r="B1265" s="91" t="s">
        <v>1195</v>
      </c>
      <c r="C1265" s="91" t="s">
        <v>677</v>
      </c>
      <c r="D1265" s="91" t="s">
        <v>662</v>
      </c>
      <c r="E1265" s="92">
        <v>400</v>
      </c>
    </row>
    <row r="1266" spans="1:5" x14ac:dyDescent="0.25">
      <c r="A1266" s="91" t="s">
        <v>1112</v>
      </c>
      <c r="B1266" s="91" t="s">
        <v>1195</v>
      </c>
      <c r="C1266" s="91" t="s">
        <v>1062</v>
      </c>
      <c r="D1266" s="91" t="s">
        <v>662</v>
      </c>
      <c r="E1266" s="92">
        <v>900</v>
      </c>
    </row>
    <row r="1267" spans="1:5" x14ac:dyDescent="0.25">
      <c r="A1267" s="91" t="s">
        <v>1112</v>
      </c>
      <c r="B1267" s="91" t="s">
        <v>1195</v>
      </c>
      <c r="C1267" s="91" t="s">
        <v>1007</v>
      </c>
      <c r="D1267" s="91" t="s">
        <v>662</v>
      </c>
      <c r="E1267" s="92">
        <v>500</v>
      </c>
    </row>
    <row r="1268" spans="1:5" x14ac:dyDescent="0.25">
      <c r="A1268" s="93" t="s">
        <v>1120</v>
      </c>
      <c r="B1268" s="89" t="s">
        <v>1195</v>
      </c>
      <c r="C1268" s="93" t="s">
        <v>661</v>
      </c>
      <c r="D1268" s="89" t="s">
        <v>662</v>
      </c>
      <c r="E1268" s="90">
        <v>2500</v>
      </c>
    </row>
    <row r="1269" spans="1:5" x14ac:dyDescent="0.25">
      <c r="A1269" s="93" t="s">
        <v>1120</v>
      </c>
      <c r="B1269" s="89" t="s">
        <v>1195</v>
      </c>
      <c r="C1269" s="93" t="s">
        <v>677</v>
      </c>
      <c r="D1269" s="89" t="s">
        <v>662</v>
      </c>
      <c r="E1269" s="90">
        <v>400</v>
      </c>
    </row>
    <row r="1270" spans="1:5" x14ac:dyDescent="0.25">
      <c r="A1270" s="93" t="s">
        <v>1120</v>
      </c>
      <c r="B1270" s="89" t="s">
        <v>1195</v>
      </c>
      <c r="C1270" s="93" t="s">
        <v>1062</v>
      </c>
      <c r="D1270" s="89" t="s">
        <v>662</v>
      </c>
      <c r="E1270" s="90">
        <v>900</v>
      </c>
    </row>
    <row r="1271" spans="1:5" x14ac:dyDescent="0.25">
      <c r="A1271" s="93" t="s">
        <v>1120</v>
      </c>
      <c r="B1271" s="89" t="s">
        <v>1195</v>
      </c>
      <c r="C1271" s="93" t="s">
        <v>1007</v>
      </c>
      <c r="D1271" s="89" t="s">
        <v>662</v>
      </c>
      <c r="E1271" s="90">
        <v>500</v>
      </c>
    </row>
    <row r="1272" spans="1:5" x14ac:dyDescent="0.25">
      <c r="A1272" s="91" t="s">
        <v>1061</v>
      </c>
      <c r="B1272" s="91" t="s">
        <v>1195</v>
      </c>
      <c r="C1272" s="91" t="s">
        <v>661</v>
      </c>
      <c r="D1272" s="91" t="s">
        <v>662</v>
      </c>
      <c r="E1272" s="92">
        <v>3000</v>
      </c>
    </row>
    <row r="1273" spans="1:5" x14ac:dyDescent="0.25">
      <c r="A1273" s="91" t="s">
        <v>1061</v>
      </c>
      <c r="B1273" s="91" t="s">
        <v>1195</v>
      </c>
      <c r="C1273" s="91" t="s">
        <v>993</v>
      </c>
      <c r="D1273" s="91" t="s">
        <v>662</v>
      </c>
      <c r="E1273" s="92">
        <v>150</v>
      </c>
    </row>
    <row r="1274" spans="1:5" x14ac:dyDescent="0.25">
      <c r="A1274" s="91" t="s">
        <v>1061</v>
      </c>
      <c r="B1274" s="91" t="s">
        <v>1195</v>
      </c>
      <c r="C1274" s="91" t="s">
        <v>1062</v>
      </c>
      <c r="D1274" s="91" t="s">
        <v>662</v>
      </c>
      <c r="E1274" s="92">
        <v>900</v>
      </c>
    </row>
    <row r="1275" spans="1:5" x14ac:dyDescent="0.25">
      <c r="A1275" s="91" t="s">
        <v>1061</v>
      </c>
      <c r="B1275" s="91" t="s">
        <v>1195</v>
      </c>
      <c r="C1275" s="91" t="s">
        <v>1063</v>
      </c>
      <c r="D1275" s="91" t="s">
        <v>662</v>
      </c>
      <c r="E1275" s="92">
        <v>405.5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98"/>
  <sheetViews>
    <sheetView workbookViewId="0"/>
  </sheetViews>
  <sheetFormatPr defaultRowHeight="15" x14ac:dyDescent="0.25"/>
  <sheetData>
    <row r="1" spans="1:17" x14ac:dyDescent="0.25">
      <c r="A1" t="s">
        <v>653</v>
      </c>
      <c r="B1" t="s">
        <v>3</v>
      </c>
      <c r="C1" t="s">
        <v>80</v>
      </c>
      <c r="D1" t="s">
        <v>654</v>
      </c>
      <c r="E1" t="s">
        <v>655</v>
      </c>
      <c r="F1" t="s">
        <v>656</v>
      </c>
      <c r="G1" t="s">
        <v>657</v>
      </c>
      <c r="K1" t="s">
        <v>658</v>
      </c>
    </row>
    <row r="2" spans="1:17" x14ac:dyDescent="0.25">
      <c r="A2" t="s">
        <v>659</v>
      </c>
      <c r="B2" t="s">
        <v>660</v>
      </c>
      <c r="C2" t="s">
        <v>661</v>
      </c>
      <c r="D2" t="s">
        <v>662</v>
      </c>
      <c r="E2">
        <v>2736</v>
      </c>
      <c r="F2">
        <v>68.400000000000006</v>
      </c>
      <c r="G2">
        <v>12.8592</v>
      </c>
      <c r="K2" t="s">
        <v>657</v>
      </c>
      <c r="L2" t="s">
        <v>663</v>
      </c>
      <c r="M2" t="s">
        <v>664</v>
      </c>
      <c r="P2" t="s">
        <v>662</v>
      </c>
      <c r="Q2" t="s">
        <v>7</v>
      </c>
    </row>
    <row r="3" spans="1:17" x14ac:dyDescent="0.25">
      <c r="A3" t="s">
        <v>659</v>
      </c>
      <c r="B3" t="s">
        <v>660</v>
      </c>
      <c r="C3" t="s">
        <v>665</v>
      </c>
      <c r="D3" t="s">
        <v>662</v>
      </c>
      <c r="E3">
        <v>112</v>
      </c>
      <c r="F3">
        <v>2.8</v>
      </c>
      <c r="G3">
        <v>2.8</v>
      </c>
      <c r="J3" t="s">
        <v>661</v>
      </c>
      <c r="K3">
        <v>4.7</v>
      </c>
      <c r="L3" t="s">
        <v>666</v>
      </c>
      <c r="M3">
        <v>4.7</v>
      </c>
      <c r="O3" t="s">
        <v>667</v>
      </c>
      <c r="P3">
        <v>150</v>
      </c>
      <c r="Q3">
        <v>21</v>
      </c>
    </row>
    <row r="4" spans="1:17" x14ac:dyDescent="0.25">
      <c r="A4" t="s">
        <v>659</v>
      </c>
      <c r="B4" t="s">
        <v>660</v>
      </c>
      <c r="C4" t="s">
        <v>668</v>
      </c>
      <c r="D4" t="s">
        <v>662</v>
      </c>
      <c r="E4">
        <v>360</v>
      </c>
      <c r="F4">
        <v>9</v>
      </c>
      <c r="G4">
        <v>1.008</v>
      </c>
      <c r="J4" t="s">
        <v>665</v>
      </c>
      <c r="K4">
        <v>25</v>
      </c>
      <c r="L4" t="s">
        <v>666</v>
      </c>
      <c r="M4">
        <v>25</v>
      </c>
      <c r="O4" t="s">
        <v>669</v>
      </c>
      <c r="P4">
        <v>210</v>
      </c>
      <c r="Q4">
        <v>25</v>
      </c>
    </row>
    <row r="5" spans="1:17" x14ac:dyDescent="0.25">
      <c r="A5" t="s">
        <v>659</v>
      </c>
      <c r="B5" t="s">
        <v>660</v>
      </c>
      <c r="C5" t="s">
        <v>84</v>
      </c>
      <c r="D5" t="s">
        <v>662</v>
      </c>
      <c r="E5">
        <v>80</v>
      </c>
      <c r="F5">
        <v>2</v>
      </c>
      <c r="G5">
        <v>0.47997138666666672</v>
      </c>
      <c r="J5" t="s">
        <v>668</v>
      </c>
      <c r="K5">
        <v>14</v>
      </c>
      <c r="L5" t="s">
        <v>670</v>
      </c>
      <c r="M5">
        <v>2.8</v>
      </c>
      <c r="O5" t="s">
        <v>671</v>
      </c>
      <c r="P5">
        <v>300</v>
      </c>
      <c r="Q5">
        <v>33</v>
      </c>
    </row>
    <row r="6" spans="1:17" x14ac:dyDescent="0.25">
      <c r="A6" t="s">
        <v>659</v>
      </c>
      <c r="B6" t="s">
        <v>660</v>
      </c>
      <c r="C6" t="s">
        <v>672</v>
      </c>
      <c r="D6" t="s">
        <v>662</v>
      </c>
      <c r="E6">
        <v>20</v>
      </c>
      <c r="F6">
        <v>0.5</v>
      </c>
      <c r="G6">
        <v>4.5580800000000004</v>
      </c>
      <c r="J6" t="s">
        <v>673</v>
      </c>
      <c r="K6">
        <v>4.4000000000000004</v>
      </c>
      <c r="L6" t="s">
        <v>666</v>
      </c>
      <c r="M6">
        <v>4.4000000000000004</v>
      </c>
      <c r="O6" t="s">
        <v>674</v>
      </c>
      <c r="P6">
        <v>150</v>
      </c>
      <c r="Q6">
        <v>21</v>
      </c>
    </row>
    <row r="7" spans="1:17" x14ac:dyDescent="0.25">
      <c r="A7" t="s">
        <v>659</v>
      </c>
      <c r="B7" t="s">
        <v>660</v>
      </c>
      <c r="C7" t="s">
        <v>675</v>
      </c>
      <c r="D7" t="s">
        <v>662</v>
      </c>
      <c r="E7">
        <v>200</v>
      </c>
      <c r="F7">
        <v>5</v>
      </c>
      <c r="G7">
        <v>1.5999198400000001</v>
      </c>
      <c r="J7" t="s">
        <v>113</v>
      </c>
      <c r="K7">
        <v>2.2000000000000002</v>
      </c>
      <c r="L7" t="s">
        <v>666</v>
      </c>
      <c r="M7">
        <v>2.2000000000000002</v>
      </c>
      <c r="O7" t="s">
        <v>676</v>
      </c>
      <c r="P7">
        <v>250</v>
      </c>
      <c r="Q7">
        <v>33</v>
      </c>
    </row>
    <row r="8" spans="1:17" x14ac:dyDescent="0.25">
      <c r="A8" t="s">
        <v>659</v>
      </c>
      <c r="B8" t="s">
        <v>660</v>
      </c>
      <c r="C8" t="s">
        <v>677</v>
      </c>
      <c r="D8" t="s">
        <v>662</v>
      </c>
      <c r="E8">
        <v>120</v>
      </c>
      <c r="F8">
        <v>3</v>
      </c>
      <c r="G8">
        <v>3.12</v>
      </c>
      <c r="J8" t="s">
        <v>84</v>
      </c>
      <c r="K8">
        <v>179.98927</v>
      </c>
      <c r="L8" t="s">
        <v>678</v>
      </c>
      <c r="M8">
        <v>5.9996423333333331</v>
      </c>
      <c r="O8" t="s">
        <v>679</v>
      </c>
      <c r="P8">
        <v>160</v>
      </c>
      <c r="Q8">
        <v>22</v>
      </c>
    </row>
    <row r="9" spans="1:17" x14ac:dyDescent="0.25">
      <c r="A9" t="s">
        <v>659</v>
      </c>
      <c r="B9" t="s">
        <v>660</v>
      </c>
      <c r="C9" t="s">
        <v>680</v>
      </c>
      <c r="D9" t="s">
        <v>662</v>
      </c>
      <c r="E9">
        <v>252</v>
      </c>
      <c r="F9">
        <v>6.3</v>
      </c>
      <c r="G9">
        <v>80.904196800000008</v>
      </c>
      <c r="J9" t="s">
        <v>675</v>
      </c>
      <c r="K9">
        <v>199.98998</v>
      </c>
      <c r="L9" t="s">
        <v>681</v>
      </c>
      <c r="M9">
        <v>7.9995991999999996</v>
      </c>
      <c r="O9" t="s">
        <v>682</v>
      </c>
      <c r="P9">
        <v>250</v>
      </c>
      <c r="Q9">
        <v>28</v>
      </c>
    </row>
    <row r="10" spans="1:17" x14ac:dyDescent="0.25">
      <c r="A10" t="s">
        <v>659</v>
      </c>
      <c r="B10" t="s">
        <v>660</v>
      </c>
      <c r="C10" t="s">
        <v>113</v>
      </c>
      <c r="D10" t="s">
        <v>662</v>
      </c>
      <c r="E10">
        <v>12</v>
      </c>
      <c r="F10">
        <v>0.3</v>
      </c>
      <c r="G10">
        <v>2.64E-2</v>
      </c>
      <c r="J10" t="s">
        <v>677</v>
      </c>
      <c r="K10">
        <v>650</v>
      </c>
      <c r="L10" t="s">
        <v>681</v>
      </c>
      <c r="M10">
        <v>26</v>
      </c>
    </row>
    <row r="11" spans="1:17" x14ac:dyDescent="0.25">
      <c r="A11" t="s">
        <v>659</v>
      </c>
      <c r="B11" t="s">
        <v>660</v>
      </c>
      <c r="C11" t="s">
        <v>683</v>
      </c>
      <c r="D11" t="s">
        <v>662</v>
      </c>
      <c r="E11">
        <v>108</v>
      </c>
      <c r="F11">
        <v>2.7</v>
      </c>
      <c r="G11">
        <v>38.478857142857137</v>
      </c>
      <c r="J11" t="s">
        <v>137</v>
      </c>
    </row>
    <row r="12" spans="1:17" x14ac:dyDescent="0.25">
      <c r="A12" t="s">
        <v>659</v>
      </c>
      <c r="B12" t="s">
        <v>660</v>
      </c>
      <c r="C12" t="s">
        <v>684</v>
      </c>
      <c r="D12" t="s">
        <v>662</v>
      </c>
      <c r="E12">
        <v>60</v>
      </c>
      <c r="F12" t="s">
        <v>685</v>
      </c>
      <c r="G12">
        <v>12.246600000000001</v>
      </c>
      <c r="J12" t="s">
        <v>686</v>
      </c>
      <c r="K12">
        <v>2351.02</v>
      </c>
      <c r="L12" t="s">
        <v>681</v>
      </c>
      <c r="M12">
        <v>94.040800000000004</v>
      </c>
    </row>
    <row r="13" spans="1:17" x14ac:dyDescent="0.25">
      <c r="E13">
        <v>4060</v>
      </c>
      <c r="G13">
        <v>158.0812251695238</v>
      </c>
      <c r="J13" t="s">
        <v>687</v>
      </c>
      <c r="K13">
        <v>127.95</v>
      </c>
      <c r="L13" t="s">
        <v>666</v>
      </c>
      <c r="M13">
        <v>127.95</v>
      </c>
    </row>
    <row r="14" spans="1:17" x14ac:dyDescent="0.25">
      <c r="J14" t="s">
        <v>684</v>
      </c>
      <c r="K14">
        <v>204.11</v>
      </c>
      <c r="L14" t="s">
        <v>666</v>
      </c>
      <c r="M14">
        <v>204.11</v>
      </c>
    </row>
    <row r="15" spans="1:17" x14ac:dyDescent="0.25">
      <c r="A15" t="s">
        <v>653</v>
      </c>
      <c r="B15" t="s">
        <v>3</v>
      </c>
      <c r="C15" t="s">
        <v>80</v>
      </c>
      <c r="D15" t="s">
        <v>654</v>
      </c>
      <c r="E15" t="s">
        <v>655</v>
      </c>
      <c r="F15" t="s">
        <v>656</v>
      </c>
      <c r="G15" t="s">
        <v>657</v>
      </c>
      <c r="J15" t="s">
        <v>672</v>
      </c>
      <c r="K15">
        <v>569.76</v>
      </c>
      <c r="L15" t="s">
        <v>688</v>
      </c>
      <c r="M15">
        <v>227.904</v>
      </c>
    </row>
    <row r="16" spans="1:17" x14ac:dyDescent="0.25">
      <c r="A16" t="s">
        <v>689</v>
      </c>
      <c r="B16" t="s">
        <v>660</v>
      </c>
      <c r="C16" t="s">
        <v>661</v>
      </c>
      <c r="D16" t="s">
        <v>662</v>
      </c>
      <c r="E16">
        <v>2716</v>
      </c>
      <c r="F16">
        <v>67.900000000000006</v>
      </c>
      <c r="G16">
        <v>12.7652</v>
      </c>
      <c r="J16" t="s">
        <v>680</v>
      </c>
      <c r="K16">
        <v>8026.21</v>
      </c>
      <c r="L16" t="s">
        <v>681</v>
      </c>
      <c r="M16">
        <v>321.04840000000002</v>
      </c>
    </row>
    <row r="17" spans="1:13" x14ac:dyDescent="0.25">
      <c r="A17" t="s">
        <v>689</v>
      </c>
      <c r="B17" t="s">
        <v>660</v>
      </c>
      <c r="C17" t="s">
        <v>665</v>
      </c>
      <c r="D17" t="s">
        <v>662</v>
      </c>
      <c r="E17">
        <v>120</v>
      </c>
      <c r="F17">
        <v>3</v>
      </c>
      <c r="G17">
        <v>3</v>
      </c>
      <c r="J17" t="s">
        <v>683</v>
      </c>
      <c r="K17">
        <v>1247</v>
      </c>
      <c r="L17" t="s">
        <v>690</v>
      </c>
      <c r="M17">
        <v>356.28571428571428</v>
      </c>
    </row>
    <row r="18" spans="1:13" x14ac:dyDescent="0.25">
      <c r="A18" t="s">
        <v>689</v>
      </c>
      <c r="B18" t="s">
        <v>660</v>
      </c>
      <c r="C18" t="s">
        <v>668</v>
      </c>
      <c r="D18" t="s">
        <v>662</v>
      </c>
      <c r="E18">
        <v>360</v>
      </c>
      <c r="F18">
        <v>9</v>
      </c>
      <c r="G18">
        <v>1.008</v>
      </c>
      <c r="J18" t="s">
        <v>691</v>
      </c>
      <c r="K18">
        <v>2645.99</v>
      </c>
      <c r="L18" t="s">
        <v>681</v>
      </c>
      <c r="M18">
        <v>105.8396</v>
      </c>
    </row>
    <row r="19" spans="1:13" x14ac:dyDescent="0.25">
      <c r="A19" t="s">
        <v>689</v>
      </c>
      <c r="B19" t="s">
        <v>660</v>
      </c>
      <c r="C19" t="s">
        <v>84</v>
      </c>
      <c r="D19" t="s">
        <v>662</v>
      </c>
      <c r="E19">
        <v>160</v>
      </c>
      <c r="F19">
        <v>4</v>
      </c>
      <c r="G19">
        <v>0.95994277333333333</v>
      </c>
      <c r="J19" t="s">
        <v>692</v>
      </c>
      <c r="K19">
        <v>171.08</v>
      </c>
      <c r="L19" t="s">
        <v>693</v>
      </c>
      <c r="M19">
        <v>57.026666666666671</v>
      </c>
    </row>
    <row r="20" spans="1:13" x14ac:dyDescent="0.25">
      <c r="A20" t="s">
        <v>689</v>
      </c>
      <c r="B20" t="s">
        <v>660</v>
      </c>
      <c r="C20" t="s">
        <v>672</v>
      </c>
      <c r="D20" t="s">
        <v>662</v>
      </c>
      <c r="E20">
        <v>20</v>
      </c>
      <c r="F20">
        <v>0.5</v>
      </c>
      <c r="G20">
        <v>4.5580800000000004</v>
      </c>
      <c r="J20" t="s">
        <v>694</v>
      </c>
    </row>
    <row r="21" spans="1:13" x14ac:dyDescent="0.25">
      <c r="A21" t="s">
        <v>689</v>
      </c>
      <c r="B21" t="s">
        <v>660</v>
      </c>
      <c r="C21" t="s">
        <v>675</v>
      </c>
      <c r="D21" t="s">
        <v>662</v>
      </c>
      <c r="E21">
        <v>240</v>
      </c>
      <c r="F21">
        <v>6</v>
      </c>
      <c r="G21">
        <v>1.9199038079999999</v>
      </c>
      <c r="J21" t="s">
        <v>695</v>
      </c>
    </row>
    <row r="22" spans="1:13" x14ac:dyDescent="0.25">
      <c r="A22" t="s">
        <v>689</v>
      </c>
      <c r="B22" t="s">
        <v>660</v>
      </c>
      <c r="C22" t="s">
        <v>677</v>
      </c>
      <c r="D22" t="s">
        <v>662</v>
      </c>
      <c r="E22">
        <v>120</v>
      </c>
      <c r="F22">
        <v>3</v>
      </c>
      <c r="G22">
        <v>3.12</v>
      </c>
      <c r="J22" t="s">
        <v>696</v>
      </c>
      <c r="K22">
        <v>211</v>
      </c>
      <c r="L22" t="s">
        <v>697</v>
      </c>
      <c r="M22">
        <v>21.530612244897959</v>
      </c>
    </row>
    <row r="23" spans="1:13" x14ac:dyDescent="0.25">
      <c r="A23" t="s">
        <v>689</v>
      </c>
      <c r="B23" t="s">
        <v>660</v>
      </c>
      <c r="C23" t="s">
        <v>691</v>
      </c>
      <c r="D23" t="s">
        <v>662</v>
      </c>
      <c r="E23">
        <v>260</v>
      </c>
      <c r="F23">
        <v>6.5</v>
      </c>
      <c r="G23">
        <v>27.518295999999999</v>
      </c>
      <c r="J23" t="s">
        <v>698</v>
      </c>
      <c r="K23">
        <v>151.19999999999999</v>
      </c>
      <c r="L23" t="s">
        <v>699</v>
      </c>
      <c r="M23">
        <v>71.999999999999986</v>
      </c>
    </row>
    <row r="24" spans="1:13" x14ac:dyDescent="0.25">
      <c r="A24" t="s">
        <v>689</v>
      </c>
      <c r="B24" t="s">
        <v>660</v>
      </c>
      <c r="C24" t="s">
        <v>113</v>
      </c>
      <c r="D24" t="s">
        <v>662</v>
      </c>
      <c r="E24">
        <v>8</v>
      </c>
      <c r="F24">
        <v>0.2</v>
      </c>
      <c r="G24">
        <v>1.7600000000000001E-2</v>
      </c>
      <c r="J24" t="s">
        <v>700</v>
      </c>
      <c r="K24">
        <v>195.02</v>
      </c>
      <c r="L24" t="s">
        <v>701</v>
      </c>
      <c r="M24">
        <v>97.51</v>
      </c>
    </row>
    <row r="25" spans="1:13" x14ac:dyDescent="0.25">
      <c r="A25" t="s">
        <v>689</v>
      </c>
      <c r="B25" t="s">
        <v>660</v>
      </c>
      <c r="C25" t="s">
        <v>692</v>
      </c>
      <c r="D25" t="s">
        <v>662</v>
      </c>
      <c r="E25">
        <v>300</v>
      </c>
      <c r="F25" t="s">
        <v>685</v>
      </c>
      <c r="G25">
        <v>17.108000000000001</v>
      </c>
      <c r="J25" t="s">
        <v>92</v>
      </c>
      <c r="K25">
        <v>416.99</v>
      </c>
      <c r="L25" t="s">
        <v>666</v>
      </c>
      <c r="M25">
        <v>416.99</v>
      </c>
    </row>
    <row r="26" spans="1:13" x14ac:dyDescent="0.25">
      <c r="A26" t="s">
        <v>689</v>
      </c>
      <c r="B26" t="s">
        <v>660</v>
      </c>
      <c r="C26" t="s">
        <v>687</v>
      </c>
      <c r="D26" t="s">
        <v>662</v>
      </c>
      <c r="E26">
        <v>52</v>
      </c>
      <c r="F26" t="s">
        <v>685</v>
      </c>
      <c r="G26">
        <v>6.6534000000000004</v>
      </c>
      <c r="J26" t="s">
        <v>123</v>
      </c>
      <c r="K26">
        <v>184</v>
      </c>
      <c r="L26" t="s">
        <v>693</v>
      </c>
      <c r="M26">
        <v>61.333333333333343</v>
      </c>
    </row>
    <row r="27" spans="1:13" x14ac:dyDescent="0.25">
      <c r="E27">
        <v>4356</v>
      </c>
      <c r="G27">
        <v>78.628422581333339</v>
      </c>
    </row>
    <row r="28" spans="1:13" x14ac:dyDescent="0.25">
      <c r="J28" t="s">
        <v>702</v>
      </c>
      <c r="K28">
        <v>145.43</v>
      </c>
      <c r="L28" t="s">
        <v>703</v>
      </c>
      <c r="M28">
        <v>44.747692307692311</v>
      </c>
    </row>
    <row r="29" spans="1:13" x14ac:dyDescent="0.25">
      <c r="A29" t="s">
        <v>653</v>
      </c>
      <c r="B29" t="s">
        <v>3</v>
      </c>
      <c r="C29" t="s">
        <v>80</v>
      </c>
      <c r="D29" t="s">
        <v>654</v>
      </c>
      <c r="E29" t="s">
        <v>655</v>
      </c>
      <c r="F29" t="s">
        <v>656</v>
      </c>
      <c r="G29" t="s">
        <v>657</v>
      </c>
      <c r="J29" t="s">
        <v>704</v>
      </c>
      <c r="K29">
        <v>94.07</v>
      </c>
      <c r="L29" t="s">
        <v>670</v>
      </c>
      <c r="M29">
        <v>18.814</v>
      </c>
    </row>
    <row r="30" spans="1:13" x14ac:dyDescent="0.25">
      <c r="A30" t="s">
        <v>705</v>
      </c>
      <c r="B30" t="s">
        <v>660</v>
      </c>
      <c r="C30" t="s">
        <v>661</v>
      </c>
      <c r="D30" t="s">
        <v>662</v>
      </c>
      <c r="E30">
        <v>2860</v>
      </c>
      <c r="F30">
        <v>71.5</v>
      </c>
      <c r="J30" t="s">
        <v>706</v>
      </c>
      <c r="K30">
        <v>89.99</v>
      </c>
      <c r="L30" t="s">
        <v>707</v>
      </c>
      <c r="M30">
        <v>89.99</v>
      </c>
    </row>
    <row r="31" spans="1:13" x14ac:dyDescent="0.25">
      <c r="A31" t="s">
        <v>705</v>
      </c>
      <c r="B31" t="s">
        <v>660</v>
      </c>
      <c r="C31" t="s">
        <v>665</v>
      </c>
      <c r="D31" t="s">
        <v>662</v>
      </c>
      <c r="E31">
        <v>152</v>
      </c>
      <c r="F31">
        <v>3.8</v>
      </c>
      <c r="J31" t="s">
        <v>708</v>
      </c>
      <c r="K31">
        <v>143.52099999999999</v>
      </c>
      <c r="L31" t="s">
        <v>690</v>
      </c>
      <c r="M31">
        <v>41.005999999999993</v>
      </c>
    </row>
    <row r="32" spans="1:13" x14ac:dyDescent="0.25">
      <c r="A32" t="s">
        <v>705</v>
      </c>
      <c r="B32" t="s">
        <v>660</v>
      </c>
      <c r="C32" t="s">
        <v>668</v>
      </c>
      <c r="D32" t="s">
        <v>662</v>
      </c>
      <c r="E32">
        <v>380</v>
      </c>
      <c r="F32">
        <v>9.5</v>
      </c>
      <c r="J32" t="s">
        <v>709</v>
      </c>
      <c r="K32">
        <v>2175</v>
      </c>
      <c r="L32" t="s">
        <v>681</v>
      </c>
      <c r="M32">
        <v>87</v>
      </c>
    </row>
    <row r="33" spans="1:13" x14ac:dyDescent="0.25">
      <c r="A33" t="s">
        <v>705</v>
      </c>
      <c r="B33" t="s">
        <v>660</v>
      </c>
      <c r="C33" t="s">
        <v>84</v>
      </c>
      <c r="D33" t="s">
        <v>662</v>
      </c>
      <c r="E33">
        <v>116</v>
      </c>
      <c r="F33">
        <v>2.9</v>
      </c>
      <c r="J33" t="s">
        <v>710</v>
      </c>
      <c r="K33">
        <v>120.54</v>
      </c>
      <c r="L33" t="s">
        <v>711</v>
      </c>
      <c r="M33">
        <v>24.108000000000001</v>
      </c>
    </row>
    <row r="34" spans="1:13" x14ac:dyDescent="0.25">
      <c r="A34" t="s">
        <v>705</v>
      </c>
      <c r="B34" t="s">
        <v>660</v>
      </c>
      <c r="C34" t="s">
        <v>672</v>
      </c>
      <c r="D34" t="s">
        <v>662</v>
      </c>
      <c r="E34">
        <v>20</v>
      </c>
      <c r="F34">
        <v>0.5</v>
      </c>
    </row>
    <row r="35" spans="1:13" x14ac:dyDescent="0.25">
      <c r="A35" t="s">
        <v>705</v>
      </c>
      <c r="B35" t="s">
        <v>660</v>
      </c>
      <c r="C35" t="s">
        <v>675</v>
      </c>
      <c r="D35" t="s">
        <v>662</v>
      </c>
      <c r="E35">
        <v>172</v>
      </c>
      <c r="F35">
        <v>4.3</v>
      </c>
    </row>
    <row r="36" spans="1:13" x14ac:dyDescent="0.25">
      <c r="A36" t="s">
        <v>705</v>
      </c>
      <c r="B36" t="s">
        <v>660</v>
      </c>
      <c r="C36" t="s">
        <v>677</v>
      </c>
      <c r="D36" t="s">
        <v>662</v>
      </c>
      <c r="E36">
        <v>116</v>
      </c>
      <c r="F36">
        <v>2.9</v>
      </c>
    </row>
    <row r="37" spans="1:13" x14ac:dyDescent="0.25">
      <c r="A37" t="s">
        <v>705</v>
      </c>
      <c r="B37" t="s">
        <v>660</v>
      </c>
      <c r="C37" t="s">
        <v>694</v>
      </c>
      <c r="D37" t="s">
        <v>662</v>
      </c>
      <c r="E37">
        <v>188</v>
      </c>
      <c r="F37">
        <v>4.7</v>
      </c>
    </row>
    <row r="38" spans="1:13" x14ac:dyDescent="0.25">
      <c r="A38" t="s">
        <v>705</v>
      </c>
      <c r="B38" t="s">
        <v>660</v>
      </c>
      <c r="C38" t="s">
        <v>695</v>
      </c>
      <c r="D38" t="s">
        <v>662</v>
      </c>
      <c r="E38">
        <v>300</v>
      </c>
      <c r="F38" t="s">
        <v>685</v>
      </c>
    </row>
    <row r="39" spans="1:13" x14ac:dyDescent="0.25">
      <c r="A39" t="s">
        <v>705</v>
      </c>
      <c r="B39" t="s">
        <v>660</v>
      </c>
      <c r="C39" t="s">
        <v>137</v>
      </c>
      <c r="D39" t="s">
        <v>662</v>
      </c>
      <c r="E39">
        <v>100</v>
      </c>
      <c r="F39" t="s">
        <v>685</v>
      </c>
    </row>
    <row r="42" spans="1:13" x14ac:dyDescent="0.25">
      <c r="A42" t="s">
        <v>653</v>
      </c>
      <c r="B42" t="s">
        <v>3</v>
      </c>
      <c r="C42" t="s">
        <v>80</v>
      </c>
      <c r="D42" t="s">
        <v>654</v>
      </c>
      <c r="E42" t="s">
        <v>655</v>
      </c>
      <c r="F42" t="s">
        <v>656</v>
      </c>
      <c r="G42" t="s">
        <v>657</v>
      </c>
    </row>
    <row r="43" spans="1:13" x14ac:dyDescent="0.25">
      <c r="A43" t="s">
        <v>696</v>
      </c>
      <c r="B43" t="s">
        <v>660</v>
      </c>
      <c r="C43" t="s">
        <v>661</v>
      </c>
      <c r="D43" t="s">
        <v>662</v>
      </c>
      <c r="E43">
        <v>576</v>
      </c>
      <c r="F43">
        <v>14.4</v>
      </c>
    </row>
    <row r="44" spans="1:13" x14ac:dyDescent="0.25">
      <c r="A44" t="s">
        <v>696</v>
      </c>
      <c r="B44" t="s">
        <v>660</v>
      </c>
      <c r="C44" t="s">
        <v>665</v>
      </c>
      <c r="D44" t="s">
        <v>662</v>
      </c>
      <c r="E44">
        <v>180</v>
      </c>
      <c r="F44">
        <v>4.5</v>
      </c>
    </row>
    <row r="45" spans="1:13" x14ac:dyDescent="0.25">
      <c r="A45" t="s">
        <v>696</v>
      </c>
      <c r="B45" t="s">
        <v>660</v>
      </c>
      <c r="C45" t="s">
        <v>668</v>
      </c>
      <c r="D45" t="s">
        <v>662</v>
      </c>
      <c r="E45">
        <v>0</v>
      </c>
      <c r="F45">
        <v>0</v>
      </c>
    </row>
    <row r="46" spans="1:13" x14ac:dyDescent="0.25">
      <c r="A46" t="s">
        <v>696</v>
      </c>
      <c r="B46" t="s">
        <v>660</v>
      </c>
      <c r="C46" t="s">
        <v>84</v>
      </c>
      <c r="D46" t="s">
        <v>662</v>
      </c>
      <c r="E46">
        <v>18</v>
      </c>
      <c r="F46">
        <v>0.45</v>
      </c>
    </row>
    <row r="47" spans="1:13" x14ac:dyDescent="0.25">
      <c r="A47" t="s">
        <v>696</v>
      </c>
      <c r="B47" t="s">
        <v>660</v>
      </c>
      <c r="C47" t="s">
        <v>675</v>
      </c>
      <c r="D47" t="s">
        <v>662</v>
      </c>
      <c r="E47">
        <v>160</v>
      </c>
      <c r="F47">
        <v>4</v>
      </c>
    </row>
    <row r="48" spans="1:13" x14ac:dyDescent="0.25">
      <c r="A48" t="s">
        <v>696</v>
      </c>
      <c r="B48" t="s">
        <v>660</v>
      </c>
      <c r="C48" t="s">
        <v>712</v>
      </c>
      <c r="D48" t="s">
        <v>662</v>
      </c>
      <c r="E48">
        <v>240</v>
      </c>
      <c r="F48">
        <v>6</v>
      </c>
    </row>
    <row r="49" spans="1:7" x14ac:dyDescent="0.25">
      <c r="A49" t="s">
        <v>696</v>
      </c>
      <c r="B49" t="s">
        <v>660</v>
      </c>
      <c r="C49" t="s">
        <v>672</v>
      </c>
      <c r="D49" t="s">
        <v>662</v>
      </c>
      <c r="E49">
        <v>20</v>
      </c>
      <c r="F49">
        <v>0.5</v>
      </c>
    </row>
    <row r="50" spans="1:7" x14ac:dyDescent="0.25">
      <c r="A50" t="s">
        <v>696</v>
      </c>
      <c r="B50" t="s">
        <v>660</v>
      </c>
      <c r="C50" t="s">
        <v>696</v>
      </c>
      <c r="D50" t="s">
        <v>662</v>
      </c>
      <c r="E50">
        <v>1400</v>
      </c>
      <c r="F50">
        <v>35</v>
      </c>
    </row>
    <row r="51" spans="1:7" x14ac:dyDescent="0.25">
      <c r="A51" t="s">
        <v>696</v>
      </c>
      <c r="B51" t="s">
        <v>660</v>
      </c>
      <c r="C51" t="s">
        <v>713</v>
      </c>
      <c r="D51" t="s">
        <v>662</v>
      </c>
      <c r="E51">
        <v>1400</v>
      </c>
      <c r="F51">
        <v>35</v>
      </c>
    </row>
    <row r="52" spans="1:7" x14ac:dyDescent="0.25">
      <c r="A52" t="s">
        <v>696</v>
      </c>
      <c r="B52" t="s">
        <v>660</v>
      </c>
      <c r="C52" t="s">
        <v>113</v>
      </c>
      <c r="D52" t="s">
        <v>662</v>
      </c>
      <c r="E52">
        <v>6</v>
      </c>
      <c r="F52">
        <v>0.15</v>
      </c>
    </row>
    <row r="53" spans="1:7" x14ac:dyDescent="0.25">
      <c r="A53" t="s">
        <v>696</v>
      </c>
      <c r="B53" t="s">
        <v>660</v>
      </c>
      <c r="C53" t="s">
        <v>148</v>
      </c>
      <c r="D53" t="s">
        <v>662</v>
      </c>
      <c r="E53">
        <v>200</v>
      </c>
      <c r="F53" t="s">
        <v>685</v>
      </c>
    </row>
    <row r="56" spans="1:7" x14ac:dyDescent="0.25">
      <c r="A56" t="s">
        <v>653</v>
      </c>
      <c r="B56" t="s">
        <v>3</v>
      </c>
      <c r="C56" t="s">
        <v>80</v>
      </c>
      <c r="D56" t="s">
        <v>654</v>
      </c>
      <c r="E56" t="s">
        <v>655</v>
      </c>
      <c r="F56" t="s">
        <v>656</v>
      </c>
      <c r="G56" t="s">
        <v>657</v>
      </c>
    </row>
    <row r="57" spans="1:7" x14ac:dyDescent="0.25">
      <c r="A57" t="s">
        <v>714</v>
      </c>
      <c r="B57" t="s">
        <v>660</v>
      </c>
      <c r="C57" t="s">
        <v>661</v>
      </c>
      <c r="D57" t="s">
        <v>662</v>
      </c>
      <c r="E57">
        <v>2620</v>
      </c>
      <c r="F57">
        <v>65.5</v>
      </c>
    </row>
    <row r="58" spans="1:7" x14ac:dyDescent="0.25">
      <c r="A58" t="s">
        <v>714</v>
      </c>
      <c r="B58" t="s">
        <v>660</v>
      </c>
      <c r="C58" t="s">
        <v>665</v>
      </c>
      <c r="D58" t="s">
        <v>662</v>
      </c>
      <c r="E58">
        <v>80</v>
      </c>
      <c r="F58">
        <v>2</v>
      </c>
    </row>
    <row r="59" spans="1:7" x14ac:dyDescent="0.25">
      <c r="A59" t="s">
        <v>714</v>
      </c>
      <c r="B59" t="s">
        <v>660</v>
      </c>
      <c r="C59" t="s">
        <v>668</v>
      </c>
      <c r="D59" t="s">
        <v>662</v>
      </c>
      <c r="E59">
        <v>0</v>
      </c>
      <c r="F59">
        <v>0</v>
      </c>
    </row>
    <row r="60" spans="1:7" x14ac:dyDescent="0.25">
      <c r="A60" t="s">
        <v>714</v>
      </c>
      <c r="B60" t="s">
        <v>660</v>
      </c>
      <c r="C60" t="s">
        <v>84</v>
      </c>
      <c r="D60" t="s">
        <v>662</v>
      </c>
      <c r="E60">
        <v>80</v>
      </c>
      <c r="F60">
        <v>2</v>
      </c>
    </row>
    <row r="61" spans="1:7" x14ac:dyDescent="0.25">
      <c r="A61" t="s">
        <v>714</v>
      </c>
      <c r="B61" t="s">
        <v>660</v>
      </c>
      <c r="C61" t="s">
        <v>672</v>
      </c>
      <c r="D61" t="s">
        <v>662</v>
      </c>
      <c r="E61">
        <v>20</v>
      </c>
      <c r="F61">
        <v>0.5</v>
      </c>
    </row>
    <row r="62" spans="1:7" x14ac:dyDescent="0.25">
      <c r="A62" t="s">
        <v>714</v>
      </c>
      <c r="B62" t="s">
        <v>660</v>
      </c>
      <c r="C62" t="s">
        <v>675</v>
      </c>
      <c r="D62" t="s">
        <v>662</v>
      </c>
      <c r="E62">
        <v>140</v>
      </c>
      <c r="F62">
        <v>3.5</v>
      </c>
    </row>
    <row r="63" spans="1:7" x14ac:dyDescent="0.25">
      <c r="A63" t="s">
        <v>714</v>
      </c>
      <c r="B63" t="s">
        <v>660</v>
      </c>
      <c r="C63" t="s">
        <v>677</v>
      </c>
      <c r="D63" t="s">
        <v>662</v>
      </c>
      <c r="E63">
        <v>100</v>
      </c>
      <c r="F63">
        <v>2.5</v>
      </c>
    </row>
    <row r="64" spans="1:7" x14ac:dyDescent="0.25">
      <c r="A64" t="s">
        <v>714</v>
      </c>
      <c r="B64" t="s">
        <v>660</v>
      </c>
      <c r="C64" t="s">
        <v>698</v>
      </c>
      <c r="D64" t="s">
        <v>662</v>
      </c>
      <c r="E64">
        <v>800</v>
      </c>
      <c r="F64">
        <v>20</v>
      </c>
    </row>
    <row r="65" spans="1:7" x14ac:dyDescent="0.25">
      <c r="A65" t="s">
        <v>714</v>
      </c>
      <c r="B65" t="s">
        <v>660</v>
      </c>
      <c r="C65" t="s">
        <v>686</v>
      </c>
      <c r="D65" t="s">
        <v>662</v>
      </c>
      <c r="E65">
        <v>160</v>
      </c>
      <c r="F65">
        <v>4</v>
      </c>
    </row>
    <row r="66" spans="1:7" x14ac:dyDescent="0.25">
      <c r="A66" t="s">
        <v>714</v>
      </c>
      <c r="B66" t="s">
        <v>660</v>
      </c>
      <c r="C66" t="s">
        <v>698</v>
      </c>
      <c r="D66" t="s">
        <v>662</v>
      </c>
      <c r="E66">
        <v>40</v>
      </c>
      <c r="F66" t="s">
        <v>685</v>
      </c>
    </row>
    <row r="68" spans="1:7" x14ac:dyDescent="0.25">
      <c r="A68" t="s">
        <v>653</v>
      </c>
      <c r="B68" t="s">
        <v>3</v>
      </c>
      <c r="C68" t="s">
        <v>80</v>
      </c>
      <c r="D68" t="s">
        <v>654</v>
      </c>
      <c r="E68" t="s">
        <v>655</v>
      </c>
      <c r="F68" t="s">
        <v>656</v>
      </c>
      <c r="G68" t="s">
        <v>657</v>
      </c>
    </row>
    <row r="69" spans="1:7" x14ac:dyDescent="0.25">
      <c r="A69" t="s">
        <v>715</v>
      </c>
      <c r="B69" t="s">
        <v>660</v>
      </c>
      <c r="C69" t="s">
        <v>661</v>
      </c>
      <c r="D69" t="s">
        <v>662</v>
      </c>
      <c r="E69">
        <v>2760</v>
      </c>
      <c r="F69">
        <v>69</v>
      </c>
    </row>
    <row r="70" spans="1:7" x14ac:dyDescent="0.25">
      <c r="A70" t="s">
        <v>715</v>
      </c>
      <c r="B70" t="s">
        <v>660</v>
      </c>
      <c r="C70" t="s">
        <v>665</v>
      </c>
      <c r="D70" t="s">
        <v>662</v>
      </c>
      <c r="E70">
        <v>320</v>
      </c>
      <c r="F70">
        <v>8</v>
      </c>
    </row>
    <row r="71" spans="1:7" x14ac:dyDescent="0.25">
      <c r="A71" t="s">
        <v>715</v>
      </c>
      <c r="B71" t="s">
        <v>660</v>
      </c>
      <c r="C71" t="s">
        <v>668</v>
      </c>
      <c r="D71" t="s">
        <v>662</v>
      </c>
      <c r="E71">
        <v>480</v>
      </c>
      <c r="F71">
        <v>12</v>
      </c>
    </row>
    <row r="72" spans="1:7" x14ac:dyDescent="0.25">
      <c r="A72" t="s">
        <v>715</v>
      </c>
      <c r="B72" t="s">
        <v>660</v>
      </c>
      <c r="C72" t="s">
        <v>84</v>
      </c>
      <c r="D72" t="s">
        <v>662</v>
      </c>
      <c r="E72">
        <v>120</v>
      </c>
      <c r="F72">
        <v>3</v>
      </c>
    </row>
    <row r="73" spans="1:7" x14ac:dyDescent="0.25">
      <c r="A73" t="s">
        <v>715</v>
      </c>
      <c r="B73" t="s">
        <v>660</v>
      </c>
      <c r="C73" t="s">
        <v>672</v>
      </c>
      <c r="D73" t="s">
        <v>662</v>
      </c>
      <c r="E73">
        <v>20</v>
      </c>
      <c r="F73">
        <v>0.5</v>
      </c>
    </row>
    <row r="74" spans="1:7" x14ac:dyDescent="0.25">
      <c r="A74" t="s">
        <v>715</v>
      </c>
      <c r="B74" t="s">
        <v>660</v>
      </c>
      <c r="C74" t="s">
        <v>675</v>
      </c>
      <c r="D74" t="s">
        <v>662</v>
      </c>
      <c r="E74">
        <v>180</v>
      </c>
      <c r="F74">
        <v>4.5</v>
      </c>
    </row>
    <row r="75" spans="1:7" x14ac:dyDescent="0.25">
      <c r="A75" t="s">
        <v>715</v>
      </c>
      <c r="B75" t="s">
        <v>660</v>
      </c>
      <c r="C75" t="s">
        <v>677</v>
      </c>
      <c r="D75" t="s">
        <v>662</v>
      </c>
      <c r="E75">
        <v>120</v>
      </c>
      <c r="F75">
        <v>3</v>
      </c>
    </row>
    <row r="78" spans="1:7" x14ac:dyDescent="0.25">
      <c r="A78" t="s">
        <v>653</v>
      </c>
      <c r="B78" t="s">
        <v>3</v>
      </c>
      <c r="C78" t="s">
        <v>80</v>
      </c>
      <c r="D78" t="s">
        <v>654</v>
      </c>
      <c r="E78" t="s">
        <v>655</v>
      </c>
      <c r="F78" t="s">
        <v>656</v>
      </c>
      <c r="G78" t="s">
        <v>657</v>
      </c>
    </row>
    <row r="79" spans="1:7" x14ac:dyDescent="0.25">
      <c r="A79" t="s">
        <v>716</v>
      </c>
      <c r="B79" t="s">
        <v>660</v>
      </c>
      <c r="C79" t="s">
        <v>661</v>
      </c>
      <c r="D79" t="s">
        <v>662</v>
      </c>
      <c r="E79">
        <v>2660</v>
      </c>
      <c r="F79">
        <v>66.5</v>
      </c>
    </row>
    <row r="80" spans="1:7" x14ac:dyDescent="0.25">
      <c r="A80" t="s">
        <v>716</v>
      </c>
      <c r="B80" t="s">
        <v>660</v>
      </c>
      <c r="C80" t="s">
        <v>665</v>
      </c>
      <c r="D80" t="s">
        <v>662</v>
      </c>
      <c r="E80">
        <v>240</v>
      </c>
      <c r="F80">
        <v>6</v>
      </c>
    </row>
    <row r="81" spans="1:7" x14ac:dyDescent="0.25">
      <c r="A81" t="s">
        <v>716</v>
      </c>
      <c r="B81" t="s">
        <v>660</v>
      </c>
      <c r="C81" t="s">
        <v>668</v>
      </c>
      <c r="D81" t="s">
        <v>662</v>
      </c>
      <c r="E81">
        <v>440</v>
      </c>
      <c r="F81">
        <v>11</v>
      </c>
    </row>
    <row r="82" spans="1:7" x14ac:dyDescent="0.25">
      <c r="A82" t="s">
        <v>716</v>
      </c>
      <c r="B82" t="s">
        <v>660</v>
      </c>
      <c r="C82" t="s">
        <v>84</v>
      </c>
      <c r="D82" t="s">
        <v>662</v>
      </c>
      <c r="E82">
        <v>200</v>
      </c>
      <c r="F82">
        <v>5</v>
      </c>
    </row>
    <row r="83" spans="1:7" x14ac:dyDescent="0.25">
      <c r="A83" t="s">
        <v>716</v>
      </c>
      <c r="B83" t="s">
        <v>660</v>
      </c>
      <c r="C83" t="s">
        <v>672</v>
      </c>
      <c r="D83" t="s">
        <v>662</v>
      </c>
      <c r="E83">
        <v>20</v>
      </c>
      <c r="F83">
        <v>0.5</v>
      </c>
    </row>
    <row r="84" spans="1:7" x14ac:dyDescent="0.25">
      <c r="A84" t="s">
        <v>716</v>
      </c>
      <c r="B84" t="s">
        <v>660</v>
      </c>
      <c r="C84" t="s">
        <v>675</v>
      </c>
      <c r="D84" t="s">
        <v>662</v>
      </c>
      <c r="E84">
        <v>160</v>
      </c>
      <c r="F84">
        <v>4</v>
      </c>
    </row>
    <row r="85" spans="1:7" x14ac:dyDescent="0.25">
      <c r="A85" t="s">
        <v>716</v>
      </c>
      <c r="B85" t="s">
        <v>660</v>
      </c>
      <c r="C85" t="s">
        <v>677</v>
      </c>
      <c r="D85" t="s">
        <v>662</v>
      </c>
      <c r="E85">
        <v>80</v>
      </c>
      <c r="F85">
        <v>2</v>
      </c>
    </row>
    <row r="86" spans="1:7" x14ac:dyDescent="0.25">
      <c r="A86" t="s">
        <v>716</v>
      </c>
      <c r="B86" t="s">
        <v>660</v>
      </c>
      <c r="C86" t="s">
        <v>700</v>
      </c>
      <c r="D86" t="s">
        <v>662</v>
      </c>
      <c r="E86">
        <v>200</v>
      </c>
      <c r="F86">
        <v>5</v>
      </c>
    </row>
    <row r="87" spans="1:7" x14ac:dyDescent="0.25">
      <c r="A87" t="s">
        <v>716</v>
      </c>
      <c r="B87" t="s">
        <v>660</v>
      </c>
      <c r="C87" t="s">
        <v>92</v>
      </c>
      <c r="D87" t="s">
        <v>662</v>
      </c>
      <c r="E87">
        <v>300</v>
      </c>
      <c r="F87" t="s">
        <v>685</v>
      </c>
    </row>
    <row r="90" spans="1:7" x14ac:dyDescent="0.25">
      <c r="A90" t="s">
        <v>653</v>
      </c>
      <c r="B90" t="s">
        <v>3</v>
      </c>
      <c r="C90" t="s">
        <v>80</v>
      </c>
      <c r="D90" t="s">
        <v>654</v>
      </c>
      <c r="E90" t="s">
        <v>655</v>
      </c>
      <c r="F90" t="s">
        <v>656</v>
      </c>
      <c r="G90" t="s">
        <v>657</v>
      </c>
    </row>
    <row r="91" spans="1:7" x14ac:dyDescent="0.25">
      <c r="A91" t="s">
        <v>717</v>
      </c>
      <c r="B91" t="s">
        <v>660</v>
      </c>
      <c r="C91" t="s">
        <v>661</v>
      </c>
      <c r="D91" t="s">
        <v>662</v>
      </c>
      <c r="E91">
        <v>2760</v>
      </c>
      <c r="F91">
        <v>69</v>
      </c>
    </row>
    <row r="92" spans="1:7" x14ac:dyDescent="0.25">
      <c r="A92" t="s">
        <v>717</v>
      </c>
      <c r="B92" t="s">
        <v>660</v>
      </c>
      <c r="C92" t="s">
        <v>665</v>
      </c>
      <c r="D92" t="s">
        <v>662</v>
      </c>
      <c r="E92">
        <v>320</v>
      </c>
      <c r="F92">
        <v>8</v>
      </c>
    </row>
    <row r="93" spans="1:7" x14ac:dyDescent="0.25">
      <c r="A93" t="s">
        <v>717</v>
      </c>
      <c r="B93" t="s">
        <v>660</v>
      </c>
      <c r="C93" t="s">
        <v>668</v>
      </c>
      <c r="D93" t="s">
        <v>662</v>
      </c>
      <c r="E93">
        <v>480</v>
      </c>
      <c r="F93">
        <v>12</v>
      </c>
    </row>
    <row r="94" spans="1:7" x14ac:dyDescent="0.25">
      <c r="A94" t="s">
        <v>717</v>
      </c>
      <c r="B94" t="s">
        <v>660</v>
      </c>
      <c r="C94" t="s">
        <v>84</v>
      </c>
      <c r="D94" t="s">
        <v>662</v>
      </c>
      <c r="E94">
        <v>120</v>
      </c>
      <c r="F94">
        <v>3</v>
      </c>
    </row>
    <row r="95" spans="1:7" x14ac:dyDescent="0.25">
      <c r="A95" t="s">
        <v>717</v>
      </c>
      <c r="B95" t="s">
        <v>660</v>
      </c>
      <c r="C95" t="s">
        <v>672</v>
      </c>
      <c r="D95" t="s">
        <v>662</v>
      </c>
      <c r="E95">
        <v>20</v>
      </c>
      <c r="F95">
        <v>0.5</v>
      </c>
    </row>
    <row r="96" spans="1:7" x14ac:dyDescent="0.25">
      <c r="A96" t="s">
        <v>717</v>
      </c>
      <c r="B96" t="s">
        <v>660</v>
      </c>
      <c r="C96" t="s">
        <v>675</v>
      </c>
      <c r="D96" t="s">
        <v>662</v>
      </c>
      <c r="E96">
        <v>180</v>
      </c>
      <c r="F96">
        <v>4.5</v>
      </c>
    </row>
    <row r="97" spans="1:6" x14ac:dyDescent="0.25">
      <c r="A97" t="s">
        <v>717</v>
      </c>
      <c r="B97" t="s">
        <v>660</v>
      </c>
      <c r="C97" t="s">
        <v>677</v>
      </c>
      <c r="D97" t="s">
        <v>662</v>
      </c>
      <c r="E97">
        <v>120</v>
      </c>
      <c r="F97">
        <v>3</v>
      </c>
    </row>
    <row r="98" spans="1:6" x14ac:dyDescent="0.25">
      <c r="A98" t="s">
        <v>717</v>
      </c>
      <c r="B98" t="s">
        <v>660</v>
      </c>
      <c r="C98" t="s">
        <v>123</v>
      </c>
      <c r="D98" t="s">
        <v>662</v>
      </c>
      <c r="E98">
        <v>400</v>
      </c>
      <c r="F98" t="s">
        <v>685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122"/>
  <sheetViews>
    <sheetView workbookViewId="0"/>
  </sheetViews>
  <sheetFormatPr defaultRowHeight="15" x14ac:dyDescent="0.25"/>
  <sheetData>
    <row r="1" spans="1:4" x14ac:dyDescent="0.25">
      <c r="A1" t="s">
        <v>1</v>
      </c>
      <c r="B1" t="s">
        <v>653</v>
      </c>
      <c r="C1" t="s">
        <v>718</v>
      </c>
      <c r="D1" t="s">
        <v>719</v>
      </c>
    </row>
    <row r="2" spans="1:4" x14ac:dyDescent="0.25">
      <c r="A2" s="81">
        <v>45962</v>
      </c>
      <c r="B2" t="s">
        <v>720</v>
      </c>
      <c r="C2" t="s">
        <v>721</v>
      </c>
      <c r="D2">
        <v>11</v>
      </c>
    </row>
    <row r="3" spans="1:4" x14ac:dyDescent="0.25">
      <c r="A3" s="81">
        <v>45962</v>
      </c>
      <c r="B3" t="s">
        <v>689</v>
      </c>
      <c r="C3" t="s">
        <v>721</v>
      </c>
      <c r="D3">
        <v>11</v>
      </c>
    </row>
    <row r="4" spans="1:4" x14ac:dyDescent="0.25">
      <c r="A4" s="81">
        <v>45962</v>
      </c>
      <c r="B4" t="s">
        <v>722</v>
      </c>
      <c r="C4" t="s">
        <v>721</v>
      </c>
      <c r="D4">
        <v>1</v>
      </c>
    </row>
    <row r="5" spans="1:4" x14ac:dyDescent="0.25">
      <c r="A5" s="81">
        <v>45963</v>
      </c>
      <c r="B5" t="s">
        <v>659</v>
      </c>
      <c r="C5" t="s">
        <v>721</v>
      </c>
      <c r="D5">
        <v>9</v>
      </c>
    </row>
    <row r="6" spans="1:4" x14ac:dyDescent="0.25">
      <c r="A6" s="81">
        <v>45963</v>
      </c>
      <c r="B6" t="s">
        <v>723</v>
      </c>
      <c r="C6" t="s">
        <v>721</v>
      </c>
      <c r="D6">
        <v>7</v>
      </c>
    </row>
    <row r="7" spans="1:4" x14ac:dyDescent="0.25">
      <c r="A7" s="81">
        <v>45963</v>
      </c>
      <c r="B7" t="s">
        <v>724</v>
      </c>
      <c r="C7" t="s">
        <v>721</v>
      </c>
      <c r="D7">
        <v>7</v>
      </c>
    </row>
    <row r="8" spans="1:4" x14ac:dyDescent="0.25">
      <c r="A8" s="81">
        <v>45963</v>
      </c>
      <c r="B8" t="s">
        <v>725</v>
      </c>
      <c r="C8" t="s">
        <v>721</v>
      </c>
      <c r="D8">
        <v>7</v>
      </c>
    </row>
    <row r="9" spans="1:4" x14ac:dyDescent="0.25">
      <c r="A9" s="81">
        <v>45963</v>
      </c>
      <c r="B9" t="s">
        <v>726</v>
      </c>
      <c r="C9" t="s">
        <v>721</v>
      </c>
      <c r="D9">
        <v>1</v>
      </c>
    </row>
    <row r="10" spans="1:4" x14ac:dyDescent="0.25">
      <c r="A10" s="81">
        <v>45963</v>
      </c>
      <c r="B10" t="s">
        <v>727</v>
      </c>
      <c r="C10" t="s">
        <v>721</v>
      </c>
      <c r="D10">
        <v>9</v>
      </c>
    </row>
    <row r="11" spans="1:4" x14ac:dyDescent="0.25">
      <c r="A11" s="81">
        <v>45963</v>
      </c>
      <c r="B11" t="s">
        <v>728</v>
      </c>
      <c r="C11" t="s">
        <v>721</v>
      </c>
      <c r="D11">
        <v>1</v>
      </c>
    </row>
    <row r="12" spans="1:4" x14ac:dyDescent="0.25">
      <c r="A12" s="81">
        <v>45963</v>
      </c>
      <c r="B12" t="s">
        <v>729</v>
      </c>
      <c r="C12" t="s">
        <v>721</v>
      </c>
      <c r="D12">
        <v>1</v>
      </c>
    </row>
    <row r="13" spans="1:4" x14ac:dyDescent="0.25">
      <c r="A13" s="81">
        <v>45967</v>
      </c>
      <c r="B13" t="s">
        <v>730</v>
      </c>
      <c r="C13" t="s">
        <v>721</v>
      </c>
      <c r="D13">
        <v>1</v>
      </c>
    </row>
    <row r="14" spans="1:4" x14ac:dyDescent="0.25">
      <c r="A14" s="81">
        <v>45968</v>
      </c>
      <c r="B14" t="s">
        <v>731</v>
      </c>
      <c r="C14" t="s">
        <v>721</v>
      </c>
      <c r="D14">
        <v>4</v>
      </c>
    </row>
    <row r="15" spans="1:4" x14ac:dyDescent="0.25">
      <c r="A15" s="81">
        <v>45968</v>
      </c>
      <c r="B15" t="s">
        <v>732</v>
      </c>
      <c r="C15" t="s">
        <v>721</v>
      </c>
      <c r="D15">
        <v>6</v>
      </c>
    </row>
    <row r="16" spans="1:4" x14ac:dyDescent="0.25">
      <c r="A16" s="81">
        <v>45968</v>
      </c>
      <c r="B16" t="s">
        <v>733</v>
      </c>
      <c r="C16" t="s">
        <v>721</v>
      </c>
      <c r="D16">
        <v>1</v>
      </c>
    </row>
    <row r="17" spans="1:4" x14ac:dyDescent="0.25">
      <c r="A17" s="81">
        <v>45968</v>
      </c>
      <c r="B17" t="s">
        <v>734</v>
      </c>
      <c r="C17" t="s">
        <v>721</v>
      </c>
      <c r="D17">
        <v>4</v>
      </c>
    </row>
    <row r="18" spans="1:4" x14ac:dyDescent="0.25">
      <c r="A18" s="81">
        <v>45968</v>
      </c>
      <c r="B18" t="s">
        <v>735</v>
      </c>
      <c r="C18" t="s">
        <v>721</v>
      </c>
      <c r="D18">
        <v>2</v>
      </c>
    </row>
    <row r="19" spans="1:4" x14ac:dyDescent="0.25">
      <c r="A19" s="81">
        <v>45968</v>
      </c>
      <c r="B19" t="s">
        <v>736</v>
      </c>
      <c r="C19" t="s">
        <v>721</v>
      </c>
      <c r="D19">
        <v>2</v>
      </c>
    </row>
    <row r="20" spans="1:4" x14ac:dyDescent="0.25">
      <c r="A20" s="81">
        <v>45968</v>
      </c>
      <c r="B20" t="s">
        <v>737</v>
      </c>
      <c r="C20" t="s">
        <v>721</v>
      </c>
      <c r="D20">
        <v>8</v>
      </c>
    </row>
    <row r="21" spans="1:4" x14ac:dyDescent="0.25">
      <c r="A21" s="81">
        <v>45968</v>
      </c>
      <c r="B21" t="s">
        <v>738</v>
      </c>
      <c r="C21" t="s">
        <v>721</v>
      </c>
      <c r="D21">
        <v>5</v>
      </c>
    </row>
    <row r="22" spans="1:4" x14ac:dyDescent="0.25">
      <c r="A22" s="81">
        <v>45968</v>
      </c>
      <c r="B22" t="s">
        <v>739</v>
      </c>
      <c r="C22" t="s">
        <v>721</v>
      </c>
      <c r="D22">
        <v>1</v>
      </c>
    </row>
    <row r="23" spans="1:4" x14ac:dyDescent="0.25">
      <c r="A23" s="81">
        <v>45971</v>
      </c>
      <c r="B23" t="s">
        <v>740</v>
      </c>
      <c r="C23" t="s">
        <v>741</v>
      </c>
      <c r="D23">
        <v>1</v>
      </c>
    </row>
    <row r="24" spans="1:4" x14ac:dyDescent="0.25">
      <c r="A24" s="81">
        <v>45971</v>
      </c>
      <c r="B24" t="s">
        <v>735</v>
      </c>
      <c r="C24" t="s">
        <v>741</v>
      </c>
      <c r="D24">
        <v>1</v>
      </c>
    </row>
    <row r="25" spans="1:4" x14ac:dyDescent="0.25">
      <c r="A25" s="81">
        <v>45973</v>
      </c>
      <c r="B25" t="s">
        <v>742</v>
      </c>
      <c r="C25" t="s">
        <v>743</v>
      </c>
      <c r="D25">
        <v>1</v>
      </c>
    </row>
    <row r="26" spans="1:4" x14ac:dyDescent="0.25">
      <c r="A26" s="81">
        <v>45974</v>
      </c>
      <c r="B26" t="s">
        <v>744</v>
      </c>
      <c r="C26" t="s">
        <v>721</v>
      </c>
      <c r="D26">
        <v>1</v>
      </c>
    </row>
    <row r="27" spans="1:4" x14ac:dyDescent="0.25">
      <c r="A27" s="81">
        <v>45974</v>
      </c>
      <c r="B27" t="s">
        <v>745</v>
      </c>
      <c r="C27" t="s">
        <v>721</v>
      </c>
      <c r="D27">
        <v>1</v>
      </c>
    </row>
    <row r="28" spans="1:4" x14ac:dyDescent="0.25">
      <c r="A28" s="81">
        <v>45974</v>
      </c>
      <c r="B28" t="s">
        <v>155</v>
      </c>
      <c r="C28" t="s">
        <v>721</v>
      </c>
      <c r="D28">
        <v>1</v>
      </c>
    </row>
    <row r="29" spans="1:4" x14ac:dyDescent="0.25">
      <c r="A29" s="81">
        <v>45974</v>
      </c>
      <c r="B29" t="s">
        <v>746</v>
      </c>
      <c r="C29" t="s">
        <v>721</v>
      </c>
      <c r="D29">
        <v>1</v>
      </c>
    </row>
    <row r="30" spans="1:4" x14ac:dyDescent="0.25">
      <c r="A30" s="81">
        <v>45974</v>
      </c>
      <c r="B30" t="s">
        <v>747</v>
      </c>
      <c r="C30" t="s">
        <v>721</v>
      </c>
      <c r="D30">
        <v>1</v>
      </c>
    </row>
    <row r="31" spans="1:4" x14ac:dyDescent="0.25">
      <c r="A31" s="81">
        <v>45974</v>
      </c>
      <c r="B31" t="s">
        <v>748</v>
      </c>
      <c r="C31" t="s">
        <v>721</v>
      </c>
      <c r="D31">
        <v>1</v>
      </c>
    </row>
    <row r="32" spans="1:4" x14ac:dyDescent="0.25">
      <c r="A32" s="81">
        <v>45974</v>
      </c>
      <c r="B32" t="s">
        <v>749</v>
      </c>
      <c r="C32" t="s">
        <v>721</v>
      </c>
      <c r="D32">
        <v>1</v>
      </c>
    </row>
    <row r="33" spans="1:4" x14ac:dyDescent="0.25">
      <c r="A33" s="81">
        <v>45974</v>
      </c>
      <c r="B33" t="s">
        <v>750</v>
      </c>
      <c r="C33" t="s">
        <v>721</v>
      </c>
      <c r="D33">
        <v>1</v>
      </c>
    </row>
    <row r="34" spans="1:4" x14ac:dyDescent="0.25">
      <c r="A34" s="81">
        <v>45979</v>
      </c>
      <c r="B34" t="s">
        <v>715</v>
      </c>
      <c r="C34" t="s">
        <v>741</v>
      </c>
      <c r="D34">
        <v>1</v>
      </c>
    </row>
    <row r="35" spans="1:4" x14ac:dyDescent="0.25">
      <c r="A35" s="81">
        <v>45979</v>
      </c>
      <c r="B35" t="s">
        <v>714</v>
      </c>
      <c r="C35" t="s">
        <v>741</v>
      </c>
      <c r="D35">
        <v>1</v>
      </c>
    </row>
    <row r="36" spans="1:4" x14ac:dyDescent="0.25">
      <c r="A36" s="81">
        <v>45981</v>
      </c>
      <c r="B36" t="s">
        <v>751</v>
      </c>
      <c r="C36" t="s">
        <v>743</v>
      </c>
      <c r="D36">
        <v>1</v>
      </c>
    </row>
    <row r="37" spans="1:4" x14ac:dyDescent="0.25">
      <c r="A37" s="81">
        <v>45981</v>
      </c>
      <c r="B37" t="s">
        <v>752</v>
      </c>
      <c r="C37" t="s">
        <v>743</v>
      </c>
      <c r="D37">
        <v>1</v>
      </c>
    </row>
    <row r="38" spans="1:4" x14ac:dyDescent="0.25">
      <c r="A38" s="81">
        <v>45981</v>
      </c>
      <c r="B38" t="s">
        <v>753</v>
      </c>
      <c r="C38" t="s">
        <v>743</v>
      </c>
      <c r="D38">
        <v>1</v>
      </c>
    </row>
    <row r="39" spans="1:4" x14ac:dyDescent="0.25">
      <c r="A39" s="81">
        <v>45981</v>
      </c>
      <c r="B39" t="s">
        <v>754</v>
      </c>
      <c r="C39" t="s">
        <v>721</v>
      </c>
      <c r="D39">
        <v>5</v>
      </c>
    </row>
    <row r="40" spans="1:4" x14ac:dyDescent="0.25">
      <c r="A40" s="81">
        <v>45981</v>
      </c>
      <c r="B40" t="s">
        <v>755</v>
      </c>
      <c r="C40" t="s">
        <v>721</v>
      </c>
      <c r="D40">
        <v>5</v>
      </c>
    </row>
    <row r="41" spans="1:4" x14ac:dyDescent="0.25">
      <c r="A41" s="81">
        <v>45981</v>
      </c>
      <c r="B41" t="s">
        <v>756</v>
      </c>
      <c r="C41" t="s">
        <v>721</v>
      </c>
      <c r="D41">
        <v>6</v>
      </c>
    </row>
    <row r="42" spans="1:4" x14ac:dyDescent="0.25">
      <c r="A42" s="81">
        <v>45981</v>
      </c>
      <c r="B42" t="s">
        <v>757</v>
      </c>
      <c r="C42" t="s">
        <v>721</v>
      </c>
      <c r="D42">
        <v>6</v>
      </c>
    </row>
    <row r="43" spans="1:4" x14ac:dyDescent="0.25">
      <c r="A43" s="81">
        <v>45981</v>
      </c>
      <c r="B43" t="s">
        <v>758</v>
      </c>
      <c r="C43" t="s">
        <v>721</v>
      </c>
      <c r="D43">
        <v>6</v>
      </c>
    </row>
    <row r="44" spans="1:4" x14ac:dyDescent="0.25">
      <c r="A44" s="81">
        <v>45981</v>
      </c>
      <c r="B44" t="s">
        <v>759</v>
      </c>
      <c r="C44" t="s">
        <v>721</v>
      </c>
      <c r="D44">
        <v>1</v>
      </c>
    </row>
    <row r="45" spans="1:4" x14ac:dyDescent="0.25">
      <c r="A45" s="81">
        <v>45981</v>
      </c>
      <c r="B45" t="s">
        <v>760</v>
      </c>
      <c r="C45" t="s">
        <v>721</v>
      </c>
      <c r="D45">
        <v>2</v>
      </c>
    </row>
    <row r="46" spans="1:4" x14ac:dyDescent="0.25">
      <c r="A46" s="81">
        <v>45982</v>
      </c>
      <c r="B46" t="s">
        <v>752</v>
      </c>
      <c r="C46" t="s">
        <v>743</v>
      </c>
      <c r="D46">
        <v>1</v>
      </c>
    </row>
    <row r="47" spans="1:4" x14ac:dyDescent="0.25">
      <c r="A47" s="81">
        <v>45982</v>
      </c>
      <c r="B47" t="s">
        <v>761</v>
      </c>
      <c r="C47" t="s">
        <v>743</v>
      </c>
      <c r="D47">
        <v>1</v>
      </c>
    </row>
    <row r="48" spans="1:4" x14ac:dyDescent="0.25">
      <c r="A48" s="81">
        <v>45982</v>
      </c>
      <c r="B48" t="s">
        <v>689</v>
      </c>
      <c r="C48" t="s">
        <v>743</v>
      </c>
      <c r="D48">
        <v>1</v>
      </c>
    </row>
    <row r="49" spans="1:4" x14ac:dyDescent="0.25">
      <c r="A49" s="81">
        <v>45982</v>
      </c>
      <c r="B49" t="s">
        <v>729</v>
      </c>
      <c r="C49" t="s">
        <v>721</v>
      </c>
      <c r="D49">
        <v>2</v>
      </c>
    </row>
    <row r="50" spans="1:4" x14ac:dyDescent="0.25">
      <c r="A50" s="81">
        <v>45984</v>
      </c>
      <c r="B50" t="s">
        <v>762</v>
      </c>
      <c r="C50" t="s">
        <v>743</v>
      </c>
      <c r="D50">
        <v>1</v>
      </c>
    </row>
    <row r="51" spans="1:4" x14ac:dyDescent="0.25">
      <c r="A51" s="81">
        <v>45985</v>
      </c>
      <c r="B51" t="s">
        <v>725</v>
      </c>
      <c r="C51" t="s">
        <v>741</v>
      </c>
      <c r="D51">
        <v>1</v>
      </c>
    </row>
    <row r="52" spans="1:4" x14ac:dyDescent="0.25">
      <c r="A52" s="81">
        <v>45985</v>
      </c>
      <c r="B52" t="s">
        <v>737</v>
      </c>
      <c r="C52" t="s">
        <v>741</v>
      </c>
      <c r="D52">
        <v>1</v>
      </c>
    </row>
    <row r="53" spans="1:4" x14ac:dyDescent="0.25">
      <c r="A53" s="81">
        <v>45986</v>
      </c>
      <c r="B53" t="s">
        <v>763</v>
      </c>
      <c r="C53" t="s">
        <v>743</v>
      </c>
      <c r="D53">
        <v>1</v>
      </c>
    </row>
    <row r="54" spans="1:4" x14ac:dyDescent="0.25">
      <c r="A54" s="81">
        <v>45986</v>
      </c>
      <c r="B54" t="s">
        <v>764</v>
      </c>
      <c r="C54" t="s">
        <v>743</v>
      </c>
      <c r="D54">
        <v>1</v>
      </c>
    </row>
    <row r="55" spans="1:4" x14ac:dyDescent="0.25">
      <c r="A55" s="81">
        <v>45987</v>
      </c>
      <c r="B55" t="s">
        <v>765</v>
      </c>
      <c r="C55" t="s">
        <v>743</v>
      </c>
      <c r="D55">
        <v>1</v>
      </c>
    </row>
    <row r="56" spans="1:4" x14ac:dyDescent="0.25">
      <c r="A56" s="81">
        <v>45987</v>
      </c>
      <c r="B56" t="s">
        <v>766</v>
      </c>
      <c r="C56" t="s">
        <v>743</v>
      </c>
      <c r="D56">
        <v>1</v>
      </c>
    </row>
    <row r="57" spans="1:4" x14ac:dyDescent="0.25">
      <c r="A57" s="81">
        <v>45988</v>
      </c>
      <c r="B57" t="s">
        <v>738</v>
      </c>
      <c r="C57" t="s">
        <v>721</v>
      </c>
      <c r="D57">
        <v>1</v>
      </c>
    </row>
    <row r="58" spans="1:4" x14ac:dyDescent="0.25">
      <c r="A58" s="81">
        <v>45988</v>
      </c>
      <c r="B58" t="s">
        <v>767</v>
      </c>
      <c r="C58" t="s">
        <v>721</v>
      </c>
      <c r="D58">
        <v>1</v>
      </c>
    </row>
    <row r="59" spans="1:4" x14ac:dyDescent="0.25">
      <c r="A59" s="81">
        <v>45988</v>
      </c>
      <c r="B59" t="s">
        <v>768</v>
      </c>
      <c r="C59" t="s">
        <v>721</v>
      </c>
      <c r="D59">
        <v>1</v>
      </c>
    </row>
    <row r="60" spans="1:4" x14ac:dyDescent="0.25">
      <c r="A60" s="81">
        <v>45988</v>
      </c>
      <c r="B60" t="s">
        <v>769</v>
      </c>
      <c r="C60" t="s">
        <v>721</v>
      </c>
      <c r="D60">
        <v>1</v>
      </c>
    </row>
    <row r="61" spans="1:4" x14ac:dyDescent="0.25">
      <c r="A61" s="81">
        <v>45989</v>
      </c>
      <c r="B61" t="s">
        <v>770</v>
      </c>
      <c r="C61" t="s">
        <v>721</v>
      </c>
      <c r="D61">
        <v>1</v>
      </c>
    </row>
    <row r="62" spans="1:4" x14ac:dyDescent="0.25">
      <c r="A62" s="81">
        <v>45989</v>
      </c>
      <c r="B62" t="s">
        <v>767</v>
      </c>
      <c r="C62" t="s">
        <v>721</v>
      </c>
      <c r="D62">
        <v>1</v>
      </c>
    </row>
    <row r="63" spans="1:4" x14ac:dyDescent="0.25">
      <c r="A63" s="81">
        <v>45989</v>
      </c>
      <c r="B63" t="s">
        <v>768</v>
      </c>
      <c r="C63" t="s">
        <v>721</v>
      </c>
      <c r="D63">
        <v>1</v>
      </c>
    </row>
    <row r="64" spans="1:4" x14ac:dyDescent="0.25">
      <c r="A64" s="81">
        <v>45989</v>
      </c>
      <c r="B64" t="s">
        <v>769</v>
      </c>
      <c r="C64" t="s">
        <v>721</v>
      </c>
      <c r="D64">
        <v>1</v>
      </c>
    </row>
    <row r="65" spans="1:4" x14ac:dyDescent="0.25">
      <c r="A65" s="81">
        <v>45989</v>
      </c>
      <c r="B65" t="s">
        <v>771</v>
      </c>
      <c r="C65" t="s">
        <v>721</v>
      </c>
      <c r="D65">
        <v>1</v>
      </c>
    </row>
    <row r="66" spans="1:4" x14ac:dyDescent="0.25">
      <c r="A66" s="81">
        <v>45989</v>
      </c>
      <c r="B66" t="s">
        <v>772</v>
      </c>
      <c r="C66" t="s">
        <v>721</v>
      </c>
      <c r="D66">
        <v>1</v>
      </c>
    </row>
    <row r="67" spans="1:4" x14ac:dyDescent="0.25">
      <c r="A67" s="81">
        <v>45990</v>
      </c>
      <c r="B67" t="s">
        <v>752</v>
      </c>
      <c r="C67" t="s">
        <v>741</v>
      </c>
      <c r="D67">
        <v>1</v>
      </c>
    </row>
    <row r="68" spans="1:4" x14ac:dyDescent="0.25">
      <c r="A68" s="81">
        <v>45990</v>
      </c>
      <c r="B68" t="s">
        <v>761</v>
      </c>
      <c r="C68" t="s">
        <v>741</v>
      </c>
      <c r="D68">
        <v>1</v>
      </c>
    </row>
    <row r="69" spans="1:4" x14ac:dyDescent="0.25">
      <c r="A69" s="81">
        <v>45990</v>
      </c>
      <c r="B69" t="s">
        <v>773</v>
      </c>
      <c r="C69" t="s">
        <v>741</v>
      </c>
      <c r="D69">
        <v>1</v>
      </c>
    </row>
    <row r="70" spans="1:4" x14ac:dyDescent="0.25">
      <c r="A70" s="81">
        <v>45990</v>
      </c>
      <c r="B70" t="s">
        <v>720</v>
      </c>
      <c r="C70" t="s">
        <v>741</v>
      </c>
      <c r="D70">
        <v>2</v>
      </c>
    </row>
    <row r="71" spans="1:4" x14ac:dyDescent="0.25">
      <c r="A71" s="81">
        <v>45990</v>
      </c>
      <c r="B71" t="s">
        <v>689</v>
      </c>
      <c r="C71" t="s">
        <v>741</v>
      </c>
      <c r="D71">
        <v>1</v>
      </c>
    </row>
    <row r="72" spans="1:4" x14ac:dyDescent="0.25">
      <c r="A72" s="81">
        <v>45990</v>
      </c>
      <c r="B72" t="s">
        <v>774</v>
      </c>
      <c r="C72" t="s">
        <v>741</v>
      </c>
      <c r="D72">
        <v>2</v>
      </c>
    </row>
    <row r="73" spans="1:4" x14ac:dyDescent="0.25">
      <c r="A73" s="81">
        <v>45990</v>
      </c>
      <c r="B73" t="s">
        <v>717</v>
      </c>
      <c r="C73" t="s">
        <v>741</v>
      </c>
      <c r="D73">
        <v>1</v>
      </c>
    </row>
    <row r="74" spans="1:4" x14ac:dyDescent="0.25">
      <c r="A74" s="81">
        <v>45990</v>
      </c>
      <c r="B74" t="s">
        <v>775</v>
      </c>
      <c r="C74" t="s">
        <v>741</v>
      </c>
      <c r="D74">
        <v>2</v>
      </c>
    </row>
    <row r="75" spans="1:4" x14ac:dyDescent="0.25">
      <c r="A75" s="81">
        <v>45990</v>
      </c>
      <c r="B75" t="s">
        <v>776</v>
      </c>
      <c r="C75" t="s">
        <v>741</v>
      </c>
      <c r="D75">
        <v>1</v>
      </c>
    </row>
    <row r="76" spans="1:4" x14ac:dyDescent="0.25">
      <c r="A76" s="81">
        <v>45990</v>
      </c>
      <c r="B76" t="s">
        <v>689</v>
      </c>
      <c r="C76" t="s">
        <v>741</v>
      </c>
      <c r="D76">
        <v>1</v>
      </c>
    </row>
    <row r="77" spans="1:4" x14ac:dyDescent="0.25">
      <c r="A77" s="81">
        <v>45990</v>
      </c>
      <c r="B77" t="s">
        <v>714</v>
      </c>
      <c r="C77" t="s">
        <v>741</v>
      </c>
      <c r="D77">
        <v>1</v>
      </c>
    </row>
    <row r="78" spans="1:4" x14ac:dyDescent="0.25">
      <c r="A78" s="81">
        <v>45990</v>
      </c>
      <c r="B78" t="s">
        <v>659</v>
      </c>
      <c r="C78" t="s">
        <v>741</v>
      </c>
      <c r="D78">
        <v>1</v>
      </c>
    </row>
    <row r="79" spans="1:4" x14ac:dyDescent="0.25">
      <c r="A79" s="81">
        <v>45990</v>
      </c>
      <c r="B79" t="s">
        <v>148</v>
      </c>
      <c r="C79" t="s">
        <v>741</v>
      </c>
      <c r="D79">
        <v>1</v>
      </c>
    </row>
    <row r="80" spans="1:4" x14ac:dyDescent="0.25">
      <c r="A80" s="81">
        <v>45990</v>
      </c>
      <c r="B80" t="s">
        <v>262</v>
      </c>
      <c r="C80" t="s">
        <v>741</v>
      </c>
      <c r="D80">
        <v>1</v>
      </c>
    </row>
    <row r="81" spans="1:4" x14ac:dyDescent="0.25">
      <c r="A81" s="81">
        <v>45991</v>
      </c>
      <c r="B81" t="s">
        <v>777</v>
      </c>
      <c r="C81" t="s">
        <v>721</v>
      </c>
      <c r="D81">
        <v>1</v>
      </c>
    </row>
    <row r="82" spans="1:4" x14ac:dyDescent="0.25">
      <c r="A82" s="81">
        <v>45991</v>
      </c>
      <c r="B82" t="s">
        <v>778</v>
      </c>
      <c r="C82" t="s">
        <v>721</v>
      </c>
      <c r="D82">
        <v>1</v>
      </c>
    </row>
    <row r="83" spans="1:4" x14ac:dyDescent="0.25">
      <c r="A83" s="81">
        <v>45991</v>
      </c>
      <c r="B83" t="s">
        <v>779</v>
      </c>
      <c r="C83" t="s">
        <v>721</v>
      </c>
      <c r="D83">
        <v>1</v>
      </c>
    </row>
    <row r="84" spans="1:4" x14ac:dyDescent="0.25">
      <c r="A84" s="81">
        <v>45991</v>
      </c>
      <c r="B84" t="s">
        <v>659</v>
      </c>
      <c r="C84" t="s">
        <v>721</v>
      </c>
      <c r="D84">
        <v>1</v>
      </c>
    </row>
    <row r="85" spans="1:4" x14ac:dyDescent="0.25">
      <c r="A85" s="81">
        <v>45991</v>
      </c>
      <c r="B85" t="s">
        <v>780</v>
      </c>
      <c r="C85" t="s">
        <v>721</v>
      </c>
      <c r="D85">
        <v>1</v>
      </c>
    </row>
    <row r="86" spans="1:4" x14ac:dyDescent="0.25">
      <c r="A86" s="81">
        <v>45991</v>
      </c>
      <c r="B86" t="s">
        <v>781</v>
      </c>
      <c r="C86" t="s">
        <v>721</v>
      </c>
      <c r="D86">
        <v>2</v>
      </c>
    </row>
    <row r="87" spans="1:4" x14ac:dyDescent="0.25">
      <c r="A87" s="81">
        <v>45991</v>
      </c>
      <c r="B87" t="s">
        <v>782</v>
      </c>
      <c r="C87" t="s">
        <v>721</v>
      </c>
      <c r="D87">
        <v>2</v>
      </c>
    </row>
    <row r="88" spans="1:4" x14ac:dyDescent="0.25">
      <c r="A88" s="81">
        <v>45991</v>
      </c>
      <c r="B88" t="s">
        <v>783</v>
      </c>
      <c r="C88" t="s">
        <v>721</v>
      </c>
      <c r="D88">
        <v>1</v>
      </c>
    </row>
    <row r="89" spans="1:4" x14ac:dyDescent="0.25">
      <c r="A89" s="81">
        <v>45991</v>
      </c>
      <c r="B89" t="s">
        <v>717</v>
      </c>
      <c r="C89" t="s">
        <v>721</v>
      </c>
      <c r="D89">
        <v>1</v>
      </c>
    </row>
    <row r="90" spans="1:4" x14ac:dyDescent="0.25">
      <c r="A90" s="81">
        <v>45991</v>
      </c>
      <c r="B90" t="s">
        <v>784</v>
      </c>
      <c r="C90" t="s">
        <v>721</v>
      </c>
      <c r="D90">
        <v>1</v>
      </c>
    </row>
    <row r="91" spans="1:4" x14ac:dyDescent="0.25">
      <c r="A91" s="81">
        <v>45991</v>
      </c>
      <c r="B91" t="s">
        <v>785</v>
      </c>
      <c r="C91" t="s">
        <v>721</v>
      </c>
      <c r="D91">
        <v>1</v>
      </c>
    </row>
    <row r="92" spans="1:4" x14ac:dyDescent="0.25">
      <c r="A92" s="81">
        <v>45991</v>
      </c>
      <c r="B92" t="s">
        <v>659</v>
      </c>
      <c r="C92" t="s">
        <v>721</v>
      </c>
      <c r="D92">
        <v>1</v>
      </c>
    </row>
    <row r="93" spans="1:4" x14ac:dyDescent="0.25">
      <c r="A93" s="81">
        <v>45991</v>
      </c>
      <c r="B93" t="s">
        <v>714</v>
      </c>
      <c r="C93" t="s">
        <v>721</v>
      </c>
      <c r="D93">
        <v>1</v>
      </c>
    </row>
    <row r="94" spans="1:4" x14ac:dyDescent="0.25">
      <c r="A94" s="81">
        <v>45991</v>
      </c>
      <c r="B94" t="s">
        <v>294</v>
      </c>
      <c r="C94" t="s">
        <v>721</v>
      </c>
      <c r="D94">
        <v>1</v>
      </c>
    </row>
    <row r="95" spans="1:4" x14ac:dyDescent="0.25">
      <c r="A95" s="81">
        <v>45992</v>
      </c>
      <c r="B95" t="s">
        <v>786</v>
      </c>
      <c r="C95" t="s">
        <v>741</v>
      </c>
      <c r="D95">
        <v>1</v>
      </c>
    </row>
    <row r="96" spans="1:4" x14ac:dyDescent="0.25">
      <c r="A96" s="81">
        <v>45992</v>
      </c>
      <c r="B96" t="s">
        <v>716</v>
      </c>
      <c r="C96" t="s">
        <v>741</v>
      </c>
      <c r="D96">
        <v>1</v>
      </c>
    </row>
    <row r="97" spans="1:4" x14ac:dyDescent="0.25">
      <c r="A97" s="81">
        <v>45993</v>
      </c>
      <c r="B97" t="s">
        <v>727</v>
      </c>
      <c r="C97" t="s">
        <v>721</v>
      </c>
      <c r="D97">
        <v>1</v>
      </c>
    </row>
    <row r="98" spans="1:4" x14ac:dyDescent="0.25">
      <c r="A98" s="81">
        <v>45994</v>
      </c>
      <c r="B98" t="s">
        <v>787</v>
      </c>
      <c r="C98" t="s">
        <v>743</v>
      </c>
      <c r="D98">
        <v>1</v>
      </c>
    </row>
    <row r="99" spans="1:4" x14ac:dyDescent="0.25">
      <c r="A99" s="81">
        <v>45995</v>
      </c>
      <c r="B99" t="s">
        <v>788</v>
      </c>
      <c r="C99" t="s">
        <v>721</v>
      </c>
      <c r="D99">
        <v>1</v>
      </c>
    </row>
    <row r="100" spans="1:4" x14ac:dyDescent="0.25">
      <c r="A100" s="81">
        <v>45995</v>
      </c>
      <c r="B100" t="s">
        <v>789</v>
      </c>
      <c r="C100" t="s">
        <v>721</v>
      </c>
      <c r="D100">
        <v>1</v>
      </c>
    </row>
    <row r="101" spans="1:4" x14ac:dyDescent="0.25">
      <c r="A101" s="81">
        <v>45995</v>
      </c>
      <c r="B101" t="s">
        <v>790</v>
      </c>
      <c r="C101" t="s">
        <v>721</v>
      </c>
      <c r="D101">
        <v>1</v>
      </c>
    </row>
    <row r="102" spans="1:4" x14ac:dyDescent="0.25">
      <c r="A102" s="81">
        <v>45995</v>
      </c>
      <c r="B102" t="s">
        <v>785</v>
      </c>
      <c r="C102" t="s">
        <v>721</v>
      </c>
      <c r="D102">
        <v>1</v>
      </c>
    </row>
    <row r="103" spans="1:4" x14ac:dyDescent="0.25">
      <c r="A103" s="81">
        <v>45995</v>
      </c>
      <c r="B103" t="s">
        <v>791</v>
      </c>
      <c r="C103" t="s">
        <v>721</v>
      </c>
      <c r="D103">
        <v>1</v>
      </c>
    </row>
    <row r="104" spans="1:4" x14ac:dyDescent="0.25">
      <c r="A104" s="81">
        <v>45995</v>
      </c>
      <c r="B104" t="s">
        <v>792</v>
      </c>
      <c r="C104" t="s">
        <v>721</v>
      </c>
      <c r="D104">
        <v>1</v>
      </c>
    </row>
    <row r="105" spans="1:4" x14ac:dyDescent="0.25">
      <c r="A105" s="81">
        <v>45995</v>
      </c>
      <c r="B105" t="s">
        <v>724</v>
      </c>
      <c r="C105" t="s">
        <v>721</v>
      </c>
      <c r="D105">
        <v>1</v>
      </c>
    </row>
    <row r="106" spans="1:4" x14ac:dyDescent="0.25">
      <c r="A106" s="81">
        <v>45995</v>
      </c>
      <c r="B106" t="s">
        <v>793</v>
      </c>
      <c r="C106" t="s">
        <v>721</v>
      </c>
      <c r="D106">
        <v>2</v>
      </c>
    </row>
    <row r="107" spans="1:4" x14ac:dyDescent="0.25">
      <c r="A107" s="81">
        <v>45995</v>
      </c>
      <c r="B107" t="s">
        <v>794</v>
      </c>
      <c r="C107" t="s">
        <v>721</v>
      </c>
      <c r="D107">
        <v>1</v>
      </c>
    </row>
    <row r="108" spans="1:4" x14ac:dyDescent="0.25">
      <c r="A108" s="81">
        <v>45995</v>
      </c>
      <c r="B108" t="s">
        <v>738</v>
      </c>
      <c r="C108" t="s">
        <v>721</v>
      </c>
      <c r="D108">
        <v>1</v>
      </c>
    </row>
    <row r="109" spans="1:4" x14ac:dyDescent="0.25">
      <c r="A109" s="81">
        <v>45995</v>
      </c>
      <c r="B109" t="s">
        <v>795</v>
      </c>
      <c r="C109" t="s">
        <v>721</v>
      </c>
      <c r="D109">
        <v>1</v>
      </c>
    </row>
    <row r="110" spans="1:4" x14ac:dyDescent="0.25">
      <c r="A110" s="81">
        <v>45995</v>
      </c>
      <c r="B110" t="s">
        <v>759</v>
      </c>
      <c r="C110" t="s">
        <v>721</v>
      </c>
      <c r="D110">
        <v>1</v>
      </c>
    </row>
    <row r="111" spans="1:4" x14ac:dyDescent="0.25">
      <c r="A111" s="81">
        <v>45995</v>
      </c>
      <c r="B111" t="s">
        <v>737</v>
      </c>
      <c r="C111" t="s">
        <v>721</v>
      </c>
      <c r="D111">
        <v>1</v>
      </c>
    </row>
    <row r="112" spans="1:4" x14ac:dyDescent="0.25">
      <c r="A112" s="81">
        <v>45996</v>
      </c>
      <c r="B112" t="s">
        <v>737</v>
      </c>
      <c r="C112" t="s">
        <v>721</v>
      </c>
      <c r="D112">
        <v>1</v>
      </c>
    </row>
    <row r="113" spans="1:4" x14ac:dyDescent="0.25">
      <c r="A113" s="81">
        <v>45996</v>
      </c>
      <c r="B113" t="s">
        <v>792</v>
      </c>
      <c r="C113" t="s">
        <v>721</v>
      </c>
      <c r="D113">
        <v>1</v>
      </c>
    </row>
    <row r="114" spans="1:4" x14ac:dyDescent="0.25">
      <c r="A114" s="81">
        <v>45996</v>
      </c>
      <c r="B114" t="s">
        <v>793</v>
      </c>
      <c r="C114" t="s">
        <v>721</v>
      </c>
      <c r="D114">
        <v>2</v>
      </c>
    </row>
    <row r="115" spans="1:4" x14ac:dyDescent="0.25">
      <c r="A115" s="81">
        <v>45996</v>
      </c>
      <c r="B115" t="s">
        <v>785</v>
      </c>
      <c r="C115" t="s">
        <v>721</v>
      </c>
      <c r="D115">
        <v>1</v>
      </c>
    </row>
    <row r="116" spans="1:4" x14ac:dyDescent="0.25">
      <c r="A116" s="81">
        <v>45996</v>
      </c>
      <c r="B116" t="s">
        <v>752</v>
      </c>
      <c r="C116" t="s">
        <v>721</v>
      </c>
      <c r="D116">
        <v>1</v>
      </c>
    </row>
    <row r="117" spans="1:4" x14ac:dyDescent="0.25">
      <c r="A117" s="81">
        <v>45997</v>
      </c>
      <c r="B117" t="s">
        <v>785</v>
      </c>
      <c r="C117" t="s">
        <v>721</v>
      </c>
      <c r="D117">
        <v>1</v>
      </c>
    </row>
    <row r="118" spans="1:4" x14ac:dyDescent="0.25">
      <c r="A118" s="81">
        <v>45997</v>
      </c>
      <c r="B118" t="s">
        <v>791</v>
      </c>
      <c r="C118" t="s">
        <v>721</v>
      </c>
      <c r="D118">
        <v>1</v>
      </c>
    </row>
    <row r="119" spans="1:4" x14ac:dyDescent="0.25">
      <c r="A119" s="81">
        <v>45997</v>
      </c>
      <c r="B119" t="s">
        <v>793</v>
      </c>
      <c r="C119" t="s">
        <v>721</v>
      </c>
      <c r="D119">
        <v>1</v>
      </c>
    </row>
    <row r="120" spans="1:4" x14ac:dyDescent="0.25">
      <c r="A120" s="81">
        <v>45997</v>
      </c>
      <c r="B120" t="s">
        <v>794</v>
      </c>
      <c r="C120" t="s">
        <v>721</v>
      </c>
      <c r="D120">
        <v>1</v>
      </c>
    </row>
    <row r="121" spans="1:4" x14ac:dyDescent="0.25">
      <c r="A121" s="81">
        <v>45997</v>
      </c>
      <c r="B121" t="s">
        <v>727</v>
      </c>
      <c r="C121" t="s">
        <v>721</v>
      </c>
      <c r="D121">
        <v>1</v>
      </c>
    </row>
    <row r="122" spans="1:4" x14ac:dyDescent="0.25">
      <c r="A122" s="81">
        <v>45997</v>
      </c>
      <c r="B122" t="s">
        <v>795</v>
      </c>
      <c r="C122" t="s">
        <v>721</v>
      </c>
      <c r="D122">
        <v>1</v>
      </c>
    </row>
    <row r="123" spans="1:4" x14ac:dyDescent="0.25">
      <c r="A123" s="81">
        <v>45997</v>
      </c>
      <c r="B123" t="s">
        <v>796</v>
      </c>
      <c r="C123" t="s">
        <v>721</v>
      </c>
      <c r="D123">
        <v>1</v>
      </c>
    </row>
    <row r="124" spans="1:4" x14ac:dyDescent="0.25">
      <c r="A124" s="81">
        <v>45997</v>
      </c>
      <c r="B124" t="s">
        <v>716</v>
      </c>
      <c r="C124" t="s">
        <v>721</v>
      </c>
      <c r="D124">
        <v>1</v>
      </c>
    </row>
    <row r="125" spans="1:4" x14ac:dyDescent="0.25">
      <c r="A125" s="81">
        <v>45997</v>
      </c>
      <c r="B125" t="s">
        <v>689</v>
      </c>
      <c r="C125" t="s">
        <v>721</v>
      </c>
      <c r="D125">
        <v>1</v>
      </c>
    </row>
    <row r="126" spans="1:4" x14ac:dyDescent="0.25">
      <c r="A126" s="81">
        <v>45997</v>
      </c>
      <c r="B126" t="s">
        <v>794</v>
      </c>
      <c r="C126" t="s">
        <v>721</v>
      </c>
      <c r="D126">
        <v>1</v>
      </c>
    </row>
    <row r="127" spans="1:4" x14ac:dyDescent="0.25">
      <c r="A127" s="81">
        <v>45997</v>
      </c>
      <c r="B127" t="s">
        <v>727</v>
      </c>
      <c r="C127" t="s">
        <v>721</v>
      </c>
      <c r="D127">
        <v>1</v>
      </c>
    </row>
    <row r="128" spans="1:4" x14ac:dyDescent="0.25">
      <c r="A128" s="81">
        <v>45997</v>
      </c>
      <c r="B128" t="s">
        <v>732</v>
      </c>
      <c r="C128" t="s">
        <v>721</v>
      </c>
      <c r="D128">
        <v>1</v>
      </c>
    </row>
    <row r="129" spans="1:4" x14ac:dyDescent="0.25">
      <c r="A129" s="81">
        <v>45997</v>
      </c>
      <c r="B129" t="s">
        <v>738</v>
      </c>
      <c r="C129" t="s">
        <v>721</v>
      </c>
      <c r="D129">
        <v>1</v>
      </c>
    </row>
    <row r="130" spans="1:4" x14ac:dyDescent="0.25">
      <c r="A130" s="81">
        <v>45997</v>
      </c>
      <c r="B130" t="s">
        <v>733</v>
      </c>
      <c r="C130" t="s">
        <v>721</v>
      </c>
      <c r="D130">
        <v>1</v>
      </c>
    </row>
    <row r="131" spans="1:4" x14ac:dyDescent="0.25">
      <c r="A131" s="81">
        <v>45998</v>
      </c>
      <c r="B131" t="s">
        <v>738</v>
      </c>
      <c r="C131" t="s">
        <v>721</v>
      </c>
      <c r="D131">
        <v>1</v>
      </c>
    </row>
    <row r="132" spans="1:4" x14ac:dyDescent="0.25">
      <c r="A132" s="81">
        <v>45998</v>
      </c>
      <c r="B132" t="s">
        <v>797</v>
      </c>
      <c r="C132" t="s">
        <v>721</v>
      </c>
      <c r="D132">
        <v>1</v>
      </c>
    </row>
    <row r="133" spans="1:4" x14ac:dyDescent="0.25">
      <c r="A133" s="81">
        <v>45998</v>
      </c>
      <c r="B133" t="s">
        <v>793</v>
      </c>
      <c r="C133" t="s">
        <v>721</v>
      </c>
      <c r="D133">
        <v>2</v>
      </c>
    </row>
    <row r="134" spans="1:4" x14ac:dyDescent="0.25">
      <c r="A134" s="81">
        <v>45998</v>
      </c>
      <c r="B134" t="s">
        <v>790</v>
      </c>
      <c r="C134" t="s">
        <v>721</v>
      </c>
      <c r="D134">
        <v>1</v>
      </c>
    </row>
    <row r="135" spans="1:4" x14ac:dyDescent="0.25">
      <c r="A135" s="81">
        <v>45998</v>
      </c>
      <c r="B135" t="s">
        <v>785</v>
      </c>
      <c r="C135" t="s">
        <v>721</v>
      </c>
      <c r="D135">
        <v>1</v>
      </c>
    </row>
    <row r="136" spans="1:4" x14ac:dyDescent="0.25">
      <c r="A136" s="81">
        <v>45998</v>
      </c>
      <c r="B136" t="s">
        <v>752</v>
      </c>
      <c r="C136" t="s">
        <v>721</v>
      </c>
      <c r="D136">
        <v>1</v>
      </c>
    </row>
    <row r="137" spans="1:4" x14ac:dyDescent="0.25">
      <c r="A137" s="81">
        <v>46000</v>
      </c>
      <c r="B137" t="s">
        <v>761</v>
      </c>
      <c r="C137" t="s">
        <v>743</v>
      </c>
      <c r="D137">
        <v>1</v>
      </c>
    </row>
    <row r="138" spans="1:4" x14ac:dyDescent="0.25">
      <c r="A138" s="81">
        <v>46001</v>
      </c>
      <c r="B138" t="s">
        <v>798</v>
      </c>
      <c r="C138" t="s">
        <v>743</v>
      </c>
      <c r="D138">
        <v>1</v>
      </c>
    </row>
    <row r="139" spans="1:4" x14ac:dyDescent="0.25">
      <c r="A139" s="81">
        <v>46002</v>
      </c>
      <c r="B139" t="s">
        <v>799</v>
      </c>
      <c r="C139" t="s">
        <v>721</v>
      </c>
      <c r="D139">
        <v>3</v>
      </c>
    </row>
    <row r="140" spans="1:4" x14ac:dyDescent="0.25">
      <c r="A140" s="81">
        <v>46002</v>
      </c>
      <c r="B140" t="s">
        <v>800</v>
      </c>
      <c r="C140" t="s">
        <v>721</v>
      </c>
      <c r="D140">
        <v>1</v>
      </c>
    </row>
    <row r="141" spans="1:4" x14ac:dyDescent="0.25">
      <c r="A141" s="81">
        <v>46002</v>
      </c>
      <c r="B141" t="s">
        <v>801</v>
      </c>
      <c r="C141" t="s">
        <v>721</v>
      </c>
      <c r="D141">
        <v>3</v>
      </c>
    </row>
    <row r="142" spans="1:4" x14ac:dyDescent="0.25">
      <c r="A142" s="81">
        <v>46002</v>
      </c>
      <c r="B142" t="s">
        <v>802</v>
      </c>
      <c r="C142" t="s">
        <v>721</v>
      </c>
      <c r="D142">
        <v>2</v>
      </c>
    </row>
    <row r="143" spans="1:4" x14ac:dyDescent="0.25">
      <c r="A143" s="81">
        <v>46002</v>
      </c>
      <c r="B143" t="s">
        <v>750</v>
      </c>
      <c r="C143" t="s">
        <v>721</v>
      </c>
      <c r="D143">
        <v>2</v>
      </c>
    </row>
    <row r="144" spans="1:4" x14ac:dyDescent="0.25">
      <c r="A144" s="81">
        <v>46002</v>
      </c>
      <c r="B144" t="s">
        <v>738</v>
      </c>
      <c r="C144" t="s">
        <v>721</v>
      </c>
      <c r="D144">
        <v>1</v>
      </c>
    </row>
    <row r="145" spans="1:4" x14ac:dyDescent="0.25">
      <c r="A145" s="81">
        <v>46002</v>
      </c>
      <c r="B145" t="s">
        <v>732</v>
      </c>
      <c r="C145" t="s">
        <v>721</v>
      </c>
      <c r="D145">
        <v>1</v>
      </c>
    </row>
    <row r="146" spans="1:4" x14ac:dyDescent="0.25">
      <c r="A146" s="81">
        <v>46002</v>
      </c>
      <c r="B146" t="s">
        <v>803</v>
      </c>
      <c r="C146" t="s">
        <v>721</v>
      </c>
      <c r="D146">
        <v>1</v>
      </c>
    </row>
    <row r="147" spans="1:4" x14ac:dyDescent="0.25">
      <c r="A147" s="81">
        <v>46003</v>
      </c>
      <c r="B147" t="s">
        <v>689</v>
      </c>
      <c r="C147" t="s">
        <v>721</v>
      </c>
      <c r="D147">
        <v>1</v>
      </c>
    </row>
    <row r="148" spans="1:4" x14ac:dyDescent="0.25">
      <c r="A148" s="81">
        <v>46003</v>
      </c>
      <c r="B148" t="s">
        <v>752</v>
      </c>
      <c r="C148" t="s">
        <v>721</v>
      </c>
      <c r="D148">
        <v>1</v>
      </c>
    </row>
    <row r="149" spans="1:4" x14ac:dyDescent="0.25">
      <c r="A149" s="81">
        <v>46003</v>
      </c>
      <c r="B149" t="s">
        <v>761</v>
      </c>
      <c r="C149" t="s">
        <v>721</v>
      </c>
      <c r="D149">
        <v>1</v>
      </c>
    </row>
    <row r="150" spans="1:4" x14ac:dyDescent="0.25">
      <c r="A150" s="81">
        <v>46003</v>
      </c>
      <c r="B150" t="s">
        <v>804</v>
      </c>
      <c r="C150" t="s">
        <v>721</v>
      </c>
      <c r="D150">
        <v>1</v>
      </c>
    </row>
    <row r="151" spans="1:4" x14ac:dyDescent="0.25">
      <c r="A151" s="81">
        <v>46003</v>
      </c>
      <c r="B151" t="s">
        <v>805</v>
      </c>
      <c r="C151" t="s">
        <v>721</v>
      </c>
      <c r="D151">
        <v>1</v>
      </c>
    </row>
    <row r="152" spans="1:4" x14ac:dyDescent="0.25">
      <c r="A152" s="81">
        <v>46003</v>
      </c>
      <c r="B152" t="s">
        <v>803</v>
      </c>
      <c r="C152" t="s">
        <v>721</v>
      </c>
      <c r="D152">
        <v>1</v>
      </c>
    </row>
    <row r="153" spans="1:4" x14ac:dyDescent="0.25">
      <c r="A153" s="81">
        <v>46003</v>
      </c>
      <c r="B153" t="s">
        <v>804</v>
      </c>
      <c r="C153" t="s">
        <v>721</v>
      </c>
      <c r="D153">
        <v>1</v>
      </c>
    </row>
    <row r="154" spans="1:4" x14ac:dyDescent="0.25">
      <c r="A154" s="81">
        <v>46003</v>
      </c>
      <c r="B154" t="s">
        <v>806</v>
      </c>
      <c r="C154" t="s">
        <v>721</v>
      </c>
      <c r="D154">
        <v>1</v>
      </c>
    </row>
    <row r="155" spans="1:4" x14ac:dyDescent="0.25">
      <c r="A155" s="81">
        <v>46003</v>
      </c>
      <c r="B155" t="s">
        <v>807</v>
      </c>
      <c r="C155" t="s">
        <v>721</v>
      </c>
      <c r="D155">
        <v>1</v>
      </c>
    </row>
    <row r="156" spans="1:4" x14ac:dyDescent="0.25">
      <c r="A156" s="81">
        <v>46004</v>
      </c>
      <c r="B156" t="s">
        <v>724</v>
      </c>
      <c r="C156" t="s">
        <v>721</v>
      </c>
      <c r="D156">
        <v>1</v>
      </c>
    </row>
    <row r="157" spans="1:4" x14ac:dyDescent="0.25">
      <c r="A157" s="81">
        <v>46004</v>
      </c>
      <c r="B157" t="s">
        <v>785</v>
      </c>
      <c r="C157" t="s">
        <v>721</v>
      </c>
      <c r="D157">
        <v>1</v>
      </c>
    </row>
    <row r="158" spans="1:4" x14ac:dyDescent="0.25">
      <c r="A158" s="81">
        <v>46004</v>
      </c>
      <c r="B158" t="s">
        <v>727</v>
      </c>
      <c r="C158" t="s">
        <v>721</v>
      </c>
      <c r="D158">
        <v>1</v>
      </c>
    </row>
    <row r="159" spans="1:4" x14ac:dyDescent="0.25">
      <c r="A159" s="81">
        <v>46004</v>
      </c>
      <c r="B159" t="s">
        <v>752</v>
      </c>
      <c r="C159" t="s">
        <v>721</v>
      </c>
      <c r="D159">
        <v>1</v>
      </c>
    </row>
    <row r="160" spans="1:4" x14ac:dyDescent="0.25">
      <c r="A160" s="81">
        <v>46004</v>
      </c>
      <c r="B160" t="s">
        <v>761</v>
      </c>
      <c r="C160" t="s">
        <v>721</v>
      </c>
      <c r="D160">
        <v>1</v>
      </c>
    </row>
    <row r="161" spans="1:4" x14ac:dyDescent="0.25">
      <c r="A161" s="81">
        <v>46004</v>
      </c>
      <c r="B161" t="s">
        <v>808</v>
      </c>
      <c r="C161" t="s">
        <v>721</v>
      </c>
      <c r="D161">
        <v>2</v>
      </c>
    </row>
    <row r="162" spans="1:4" x14ac:dyDescent="0.25">
      <c r="A162" s="81">
        <v>46004</v>
      </c>
      <c r="B162" t="s">
        <v>809</v>
      </c>
      <c r="C162" t="s">
        <v>721</v>
      </c>
      <c r="D162">
        <v>1</v>
      </c>
    </row>
    <row r="163" spans="1:4" x14ac:dyDescent="0.25">
      <c r="A163" s="81">
        <v>46004</v>
      </c>
      <c r="B163" t="s">
        <v>720</v>
      </c>
      <c r="C163" t="s">
        <v>721</v>
      </c>
      <c r="D163">
        <v>1</v>
      </c>
    </row>
    <row r="164" spans="1:4" x14ac:dyDescent="0.25">
      <c r="A164" s="81">
        <v>46004</v>
      </c>
      <c r="B164" t="s">
        <v>790</v>
      </c>
      <c r="C164" t="s">
        <v>721</v>
      </c>
      <c r="D164">
        <v>1</v>
      </c>
    </row>
    <row r="165" spans="1:4" x14ac:dyDescent="0.25">
      <c r="A165" s="81">
        <v>46004</v>
      </c>
      <c r="B165" t="s">
        <v>791</v>
      </c>
      <c r="C165" t="s">
        <v>721</v>
      </c>
      <c r="D165">
        <v>1</v>
      </c>
    </row>
    <row r="166" spans="1:4" x14ac:dyDescent="0.25">
      <c r="A166" s="81">
        <v>46005</v>
      </c>
      <c r="B166" t="s">
        <v>807</v>
      </c>
      <c r="C166" t="s">
        <v>721</v>
      </c>
      <c r="D166">
        <v>1</v>
      </c>
    </row>
    <row r="167" spans="1:4" x14ac:dyDescent="0.25">
      <c r="A167" s="81">
        <v>46005</v>
      </c>
      <c r="B167" t="s">
        <v>809</v>
      </c>
      <c r="C167" t="s">
        <v>721</v>
      </c>
      <c r="D167">
        <v>1</v>
      </c>
    </row>
    <row r="168" spans="1:4" x14ac:dyDescent="0.25">
      <c r="A168" s="81">
        <v>46005</v>
      </c>
      <c r="B168" t="s">
        <v>761</v>
      </c>
      <c r="C168" t="s">
        <v>721</v>
      </c>
      <c r="D168">
        <v>1</v>
      </c>
    </row>
    <row r="169" spans="1:4" x14ac:dyDescent="0.25">
      <c r="A169" s="81">
        <v>46005</v>
      </c>
      <c r="B169" t="s">
        <v>752</v>
      </c>
      <c r="C169" t="s">
        <v>721</v>
      </c>
      <c r="D169">
        <v>1</v>
      </c>
    </row>
    <row r="170" spans="1:4" x14ac:dyDescent="0.25">
      <c r="A170" s="81">
        <v>46005</v>
      </c>
      <c r="B170" t="s">
        <v>790</v>
      </c>
      <c r="C170" t="s">
        <v>721</v>
      </c>
      <c r="D170">
        <v>1</v>
      </c>
    </row>
    <row r="171" spans="1:4" x14ac:dyDescent="0.25">
      <c r="A171" s="81">
        <v>46005</v>
      </c>
      <c r="B171" t="s">
        <v>797</v>
      </c>
      <c r="C171" t="s">
        <v>721</v>
      </c>
      <c r="D171">
        <v>1</v>
      </c>
    </row>
    <row r="172" spans="1:4" x14ac:dyDescent="0.25">
      <c r="A172" s="81">
        <v>46005</v>
      </c>
      <c r="B172" t="s">
        <v>808</v>
      </c>
      <c r="C172" t="s">
        <v>721</v>
      </c>
      <c r="D172">
        <v>2</v>
      </c>
    </row>
    <row r="173" spans="1:4" x14ac:dyDescent="0.25">
      <c r="A173" s="81">
        <v>46005</v>
      </c>
      <c r="B173" t="s">
        <v>720</v>
      </c>
      <c r="C173" t="s">
        <v>721</v>
      </c>
      <c r="D173">
        <v>1</v>
      </c>
    </row>
    <row r="174" spans="1:4" x14ac:dyDescent="0.25">
      <c r="A174" s="81">
        <v>46006</v>
      </c>
      <c r="B174" t="s">
        <v>716</v>
      </c>
      <c r="C174" t="s">
        <v>741</v>
      </c>
      <c r="D174">
        <v>1</v>
      </c>
    </row>
    <row r="175" spans="1:4" x14ac:dyDescent="0.25">
      <c r="A175" s="81">
        <v>46006</v>
      </c>
      <c r="B175" t="s">
        <v>786</v>
      </c>
      <c r="C175" t="s">
        <v>741</v>
      </c>
      <c r="D175">
        <v>1</v>
      </c>
    </row>
    <row r="176" spans="1:4" x14ac:dyDescent="0.25">
      <c r="A176" s="81">
        <v>46007</v>
      </c>
      <c r="B176" t="s">
        <v>797</v>
      </c>
      <c r="C176" t="s">
        <v>721</v>
      </c>
      <c r="D176">
        <v>1</v>
      </c>
    </row>
    <row r="177" spans="1:4" x14ac:dyDescent="0.25">
      <c r="A177" s="81">
        <v>46009</v>
      </c>
      <c r="B177" t="s">
        <v>720</v>
      </c>
      <c r="C177" t="s">
        <v>721</v>
      </c>
      <c r="D177">
        <v>1</v>
      </c>
    </row>
    <row r="178" spans="1:4" x14ac:dyDescent="0.25">
      <c r="A178" s="81">
        <v>46009</v>
      </c>
      <c r="B178" t="s">
        <v>791</v>
      </c>
      <c r="C178" t="s">
        <v>721</v>
      </c>
      <c r="D178">
        <v>1</v>
      </c>
    </row>
    <row r="179" spans="1:4" x14ac:dyDescent="0.25">
      <c r="A179" s="81">
        <v>46009</v>
      </c>
      <c r="B179" t="s">
        <v>810</v>
      </c>
      <c r="C179" t="s">
        <v>721</v>
      </c>
      <c r="D179">
        <v>1</v>
      </c>
    </row>
    <row r="180" spans="1:4" x14ac:dyDescent="0.25">
      <c r="A180" s="81">
        <v>46009</v>
      </c>
      <c r="B180" t="s">
        <v>811</v>
      </c>
      <c r="C180" t="s">
        <v>721</v>
      </c>
      <c r="D180">
        <v>1</v>
      </c>
    </row>
    <row r="181" spans="1:4" x14ac:dyDescent="0.25">
      <c r="A181" s="81">
        <v>46009</v>
      </c>
      <c r="B181" t="s">
        <v>785</v>
      </c>
      <c r="C181" t="s">
        <v>721</v>
      </c>
      <c r="D181">
        <v>1</v>
      </c>
    </row>
    <row r="182" spans="1:4" x14ac:dyDescent="0.25">
      <c r="A182" s="81">
        <v>46009</v>
      </c>
      <c r="B182" t="s">
        <v>727</v>
      </c>
      <c r="C182" t="s">
        <v>721</v>
      </c>
      <c r="D182">
        <v>1</v>
      </c>
    </row>
    <row r="183" spans="1:4" x14ac:dyDescent="0.25">
      <c r="A183" s="81">
        <v>46009</v>
      </c>
      <c r="B183" t="s">
        <v>812</v>
      </c>
      <c r="C183" t="s">
        <v>721</v>
      </c>
      <c r="D183">
        <v>1</v>
      </c>
    </row>
    <row r="184" spans="1:4" x14ac:dyDescent="0.25">
      <c r="A184" s="81">
        <v>46010</v>
      </c>
      <c r="B184" t="s">
        <v>813</v>
      </c>
      <c r="C184" t="s">
        <v>721</v>
      </c>
      <c r="D184">
        <v>1</v>
      </c>
    </row>
    <row r="185" spans="1:4" x14ac:dyDescent="0.25">
      <c r="A185" s="81">
        <v>46010</v>
      </c>
      <c r="B185" t="s">
        <v>810</v>
      </c>
      <c r="C185" t="s">
        <v>721</v>
      </c>
      <c r="D185">
        <v>1</v>
      </c>
    </row>
    <row r="186" spans="1:4" x14ac:dyDescent="0.25">
      <c r="A186" s="81">
        <v>46010</v>
      </c>
      <c r="B186" t="s">
        <v>720</v>
      </c>
      <c r="C186" t="s">
        <v>721</v>
      </c>
      <c r="D186">
        <v>1</v>
      </c>
    </row>
    <row r="187" spans="1:4" x14ac:dyDescent="0.25">
      <c r="A187" s="81">
        <v>46010</v>
      </c>
      <c r="B187" t="s">
        <v>724</v>
      </c>
      <c r="C187" t="s">
        <v>721</v>
      </c>
      <c r="D187">
        <v>1</v>
      </c>
    </row>
    <row r="188" spans="1:4" x14ac:dyDescent="0.25">
      <c r="A188" s="81">
        <v>46010</v>
      </c>
      <c r="B188" t="s">
        <v>785</v>
      </c>
      <c r="C188" t="s">
        <v>721</v>
      </c>
      <c r="D188">
        <v>1</v>
      </c>
    </row>
    <row r="189" spans="1:4" x14ac:dyDescent="0.25">
      <c r="A189" s="81">
        <v>46010</v>
      </c>
      <c r="B189" t="s">
        <v>727</v>
      </c>
      <c r="C189" t="s">
        <v>721</v>
      </c>
      <c r="D189">
        <v>1</v>
      </c>
    </row>
    <row r="190" spans="1:4" x14ac:dyDescent="0.25">
      <c r="A190" s="81">
        <v>46010</v>
      </c>
      <c r="B190" t="s">
        <v>752</v>
      </c>
      <c r="C190" t="s">
        <v>721</v>
      </c>
      <c r="D190">
        <v>1</v>
      </c>
    </row>
    <row r="191" spans="1:4" x14ac:dyDescent="0.25">
      <c r="A191" s="81">
        <v>46010</v>
      </c>
      <c r="B191" t="s">
        <v>737</v>
      </c>
      <c r="C191" t="s">
        <v>721</v>
      </c>
      <c r="D191">
        <v>1</v>
      </c>
    </row>
    <row r="192" spans="1:4" x14ac:dyDescent="0.25">
      <c r="A192" s="81">
        <v>46010</v>
      </c>
      <c r="B192" t="s">
        <v>729</v>
      </c>
      <c r="C192" t="s">
        <v>721</v>
      </c>
      <c r="D192">
        <v>1</v>
      </c>
    </row>
    <row r="193" spans="1:4" x14ac:dyDescent="0.25">
      <c r="A193" s="81">
        <v>46011</v>
      </c>
      <c r="B193" t="s">
        <v>805</v>
      </c>
      <c r="C193" t="s">
        <v>721</v>
      </c>
      <c r="D193">
        <v>1</v>
      </c>
    </row>
    <row r="194" spans="1:4" x14ac:dyDescent="0.25">
      <c r="A194" s="81">
        <v>46011</v>
      </c>
      <c r="B194" t="s">
        <v>813</v>
      </c>
      <c r="C194" t="s">
        <v>721</v>
      </c>
      <c r="D194">
        <v>1</v>
      </c>
    </row>
    <row r="195" spans="1:4" x14ac:dyDescent="0.25">
      <c r="A195" s="81">
        <v>46011</v>
      </c>
      <c r="B195" t="s">
        <v>810</v>
      </c>
      <c r="C195" t="s">
        <v>721</v>
      </c>
      <c r="D195">
        <v>1</v>
      </c>
    </row>
    <row r="196" spans="1:4" x14ac:dyDescent="0.25">
      <c r="A196" s="81">
        <v>46011</v>
      </c>
      <c r="B196" t="s">
        <v>720</v>
      </c>
      <c r="C196" t="s">
        <v>721</v>
      </c>
      <c r="D196">
        <v>1</v>
      </c>
    </row>
    <row r="197" spans="1:4" x14ac:dyDescent="0.25">
      <c r="A197" s="81">
        <v>46011</v>
      </c>
      <c r="B197" t="s">
        <v>791</v>
      </c>
      <c r="C197" t="s">
        <v>721</v>
      </c>
      <c r="D197">
        <v>1</v>
      </c>
    </row>
    <row r="198" spans="1:4" x14ac:dyDescent="0.25">
      <c r="A198" s="81">
        <v>46011</v>
      </c>
      <c r="B198" t="s">
        <v>811</v>
      </c>
      <c r="C198" t="s">
        <v>721</v>
      </c>
      <c r="D198">
        <v>2</v>
      </c>
    </row>
    <row r="199" spans="1:4" x14ac:dyDescent="0.25">
      <c r="A199" s="81">
        <v>46011</v>
      </c>
      <c r="B199" t="s">
        <v>737</v>
      </c>
      <c r="C199" t="s">
        <v>721</v>
      </c>
      <c r="D199">
        <v>1</v>
      </c>
    </row>
    <row r="200" spans="1:4" x14ac:dyDescent="0.25">
      <c r="A200" s="81">
        <v>46011</v>
      </c>
      <c r="B200" t="s">
        <v>738</v>
      </c>
      <c r="C200" t="s">
        <v>721</v>
      </c>
      <c r="D200">
        <v>1</v>
      </c>
    </row>
    <row r="201" spans="1:4" x14ac:dyDescent="0.25">
      <c r="A201" s="81">
        <v>46011</v>
      </c>
      <c r="B201" t="s">
        <v>752</v>
      </c>
      <c r="C201" t="s">
        <v>743</v>
      </c>
      <c r="D201">
        <v>1</v>
      </c>
    </row>
    <row r="202" spans="1:4" x14ac:dyDescent="0.25">
      <c r="A202" s="81">
        <v>46012</v>
      </c>
      <c r="B202" t="s">
        <v>797</v>
      </c>
      <c r="C202" t="s">
        <v>743</v>
      </c>
      <c r="D202">
        <v>1</v>
      </c>
    </row>
    <row r="203" spans="1:4" x14ac:dyDescent="0.25">
      <c r="A203" s="81">
        <v>46012</v>
      </c>
      <c r="B203" t="s">
        <v>724</v>
      </c>
      <c r="C203" t="s">
        <v>743</v>
      </c>
      <c r="D203">
        <v>1</v>
      </c>
    </row>
    <row r="204" spans="1:4" x14ac:dyDescent="0.25">
      <c r="A204" s="81">
        <v>46012</v>
      </c>
      <c r="B204" t="s">
        <v>727</v>
      </c>
      <c r="C204" t="s">
        <v>743</v>
      </c>
      <c r="D204">
        <v>1</v>
      </c>
    </row>
    <row r="205" spans="1:4" x14ac:dyDescent="0.25">
      <c r="A205" s="81">
        <v>46012</v>
      </c>
      <c r="B205" t="s">
        <v>737</v>
      </c>
      <c r="C205" t="s">
        <v>743</v>
      </c>
      <c r="D205">
        <v>1</v>
      </c>
    </row>
    <row r="206" spans="1:4" x14ac:dyDescent="0.25">
      <c r="A206" s="81">
        <v>46012</v>
      </c>
      <c r="B206" t="s">
        <v>813</v>
      </c>
      <c r="C206" t="s">
        <v>743</v>
      </c>
      <c r="D206">
        <v>1</v>
      </c>
    </row>
    <row r="207" spans="1:4" x14ac:dyDescent="0.25">
      <c r="A207" s="81">
        <v>46012</v>
      </c>
      <c r="B207" t="s">
        <v>805</v>
      </c>
      <c r="C207" t="s">
        <v>743</v>
      </c>
      <c r="D207">
        <v>1</v>
      </c>
    </row>
    <row r="208" spans="1:4" x14ac:dyDescent="0.25">
      <c r="A208" s="81">
        <v>46012</v>
      </c>
      <c r="B208" t="s">
        <v>811</v>
      </c>
      <c r="C208" t="s">
        <v>743</v>
      </c>
      <c r="D208">
        <v>2</v>
      </c>
    </row>
    <row r="209" spans="1:4" x14ac:dyDescent="0.25">
      <c r="A209" s="81">
        <v>46012</v>
      </c>
      <c r="B209" t="s">
        <v>810</v>
      </c>
      <c r="C209" t="s">
        <v>743</v>
      </c>
      <c r="D209">
        <v>1</v>
      </c>
    </row>
    <row r="210" spans="1:4" x14ac:dyDescent="0.25">
      <c r="A210" s="81">
        <v>46012</v>
      </c>
      <c r="B210" t="s">
        <v>808</v>
      </c>
      <c r="C210" t="s">
        <v>743</v>
      </c>
      <c r="D210">
        <v>1</v>
      </c>
    </row>
    <row r="211" spans="1:4" x14ac:dyDescent="0.25">
      <c r="A211" s="81">
        <v>46012</v>
      </c>
      <c r="B211" t="s">
        <v>720</v>
      </c>
      <c r="C211" t="s">
        <v>743</v>
      </c>
      <c r="D211">
        <v>1</v>
      </c>
    </row>
    <row r="212" spans="1:4" x14ac:dyDescent="0.25">
      <c r="A212" s="81">
        <v>46012</v>
      </c>
      <c r="B212" t="s">
        <v>814</v>
      </c>
      <c r="C212" t="s">
        <v>743</v>
      </c>
      <c r="D212">
        <v>1</v>
      </c>
    </row>
    <row r="213" spans="1:4" x14ac:dyDescent="0.25">
      <c r="A213" s="81">
        <v>46012</v>
      </c>
      <c r="B213" t="s">
        <v>785</v>
      </c>
      <c r="C213" t="s">
        <v>743</v>
      </c>
      <c r="D213">
        <v>1</v>
      </c>
    </row>
    <row r="214" spans="1:4" x14ac:dyDescent="0.25">
      <c r="A214" s="81">
        <v>46012</v>
      </c>
      <c r="B214" t="s">
        <v>752</v>
      </c>
      <c r="C214" t="s">
        <v>743</v>
      </c>
      <c r="D214">
        <v>1</v>
      </c>
    </row>
    <row r="215" spans="1:4" x14ac:dyDescent="0.25">
      <c r="A215" s="81">
        <v>46012</v>
      </c>
      <c r="B215" t="s">
        <v>738</v>
      </c>
      <c r="C215" t="s">
        <v>743</v>
      </c>
      <c r="D215">
        <v>1</v>
      </c>
    </row>
    <row r="216" spans="1:4" x14ac:dyDescent="0.25">
      <c r="A216" s="81">
        <v>46013</v>
      </c>
      <c r="B216" t="s">
        <v>689</v>
      </c>
      <c r="C216" t="s">
        <v>741</v>
      </c>
      <c r="D216">
        <v>1</v>
      </c>
    </row>
    <row r="217" spans="1:4" x14ac:dyDescent="0.25">
      <c r="A217" s="81">
        <v>46014</v>
      </c>
      <c r="B217" t="s">
        <v>811</v>
      </c>
      <c r="C217" t="s">
        <v>721</v>
      </c>
      <c r="D217">
        <v>2</v>
      </c>
    </row>
    <row r="218" spans="1:4" x14ac:dyDescent="0.25">
      <c r="A218" s="81">
        <v>46014</v>
      </c>
      <c r="B218" t="s">
        <v>737</v>
      </c>
      <c r="C218" t="s">
        <v>721</v>
      </c>
      <c r="D218">
        <v>1</v>
      </c>
    </row>
    <row r="219" spans="1:4" x14ac:dyDescent="0.25">
      <c r="A219" s="81">
        <v>46014</v>
      </c>
      <c r="B219" t="s">
        <v>752</v>
      </c>
      <c r="C219" t="s">
        <v>721</v>
      </c>
      <c r="D219">
        <v>1</v>
      </c>
    </row>
    <row r="220" spans="1:4" x14ac:dyDescent="0.25">
      <c r="A220" s="81">
        <v>46014</v>
      </c>
      <c r="B220" t="s">
        <v>720</v>
      </c>
      <c r="C220" t="s">
        <v>721</v>
      </c>
      <c r="D220">
        <v>1</v>
      </c>
    </row>
    <row r="221" spans="1:4" x14ac:dyDescent="0.25">
      <c r="A221" s="81">
        <v>46014</v>
      </c>
      <c r="B221" t="s">
        <v>724</v>
      </c>
      <c r="C221" t="s">
        <v>721</v>
      </c>
      <c r="D221">
        <v>1</v>
      </c>
    </row>
    <row r="222" spans="1:4" x14ac:dyDescent="0.25">
      <c r="A222" s="81">
        <v>46014</v>
      </c>
      <c r="B222" t="s">
        <v>785</v>
      </c>
      <c r="C222" t="s">
        <v>721</v>
      </c>
      <c r="D222">
        <v>1</v>
      </c>
    </row>
    <row r="223" spans="1:4" x14ac:dyDescent="0.25">
      <c r="A223" s="81">
        <v>46015</v>
      </c>
      <c r="B223" t="s">
        <v>720</v>
      </c>
      <c r="C223" t="s">
        <v>721</v>
      </c>
      <c r="D223">
        <v>1</v>
      </c>
    </row>
    <row r="224" spans="1:4" x14ac:dyDescent="0.25">
      <c r="A224" s="81">
        <v>46015</v>
      </c>
      <c r="B224" t="s">
        <v>716</v>
      </c>
      <c r="C224" t="s">
        <v>721</v>
      </c>
      <c r="D224">
        <v>2</v>
      </c>
    </row>
    <row r="225" spans="1:4" x14ac:dyDescent="0.25">
      <c r="A225" s="81">
        <v>46015</v>
      </c>
      <c r="B225" t="s">
        <v>724</v>
      </c>
      <c r="C225" t="s">
        <v>721</v>
      </c>
      <c r="D225">
        <v>1</v>
      </c>
    </row>
    <row r="226" spans="1:4" x14ac:dyDescent="0.25">
      <c r="A226" s="81">
        <v>46015</v>
      </c>
      <c r="B226" t="s">
        <v>799</v>
      </c>
      <c r="C226" t="s">
        <v>721</v>
      </c>
      <c r="D226">
        <v>1</v>
      </c>
    </row>
    <row r="227" spans="1:4" x14ac:dyDescent="0.25">
      <c r="A227" s="81">
        <v>46015</v>
      </c>
      <c r="B227" t="s">
        <v>811</v>
      </c>
      <c r="C227" t="s">
        <v>721</v>
      </c>
      <c r="D227">
        <v>1</v>
      </c>
    </row>
    <row r="228" spans="1:4" x14ac:dyDescent="0.25">
      <c r="A228" s="81">
        <v>46015</v>
      </c>
      <c r="B228" t="s">
        <v>776</v>
      </c>
      <c r="C228" t="s">
        <v>721</v>
      </c>
      <c r="D228">
        <v>1</v>
      </c>
    </row>
    <row r="229" spans="1:4" x14ac:dyDescent="0.25">
      <c r="A229" s="81">
        <v>46015</v>
      </c>
      <c r="B229" t="s">
        <v>689</v>
      </c>
      <c r="C229" t="s">
        <v>721</v>
      </c>
      <c r="D229">
        <v>1</v>
      </c>
    </row>
    <row r="230" spans="1:4" x14ac:dyDescent="0.25">
      <c r="A230" s="81">
        <v>46015</v>
      </c>
      <c r="B230" t="s">
        <v>727</v>
      </c>
      <c r="C230" t="s">
        <v>721</v>
      </c>
      <c r="D230">
        <v>1</v>
      </c>
    </row>
    <row r="231" spans="1:4" x14ac:dyDescent="0.25">
      <c r="A231" s="81">
        <v>46015</v>
      </c>
      <c r="B231" t="s">
        <v>752</v>
      </c>
      <c r="C231" t="s">
        <v>721</v>
      </c>
      <c r="D231">
        <v>2</v>
      </c>
    </row>
    <row r="232" spans="1:4" x14ac:dyDescent="0.25">
      <c r="A232" s="81">
        <v>46015</v>
      </c>
      <c r="B232" t="s">
        <v>761</v>
      </c>
      <c r="C232" t="s">
        <v>721</v>
      </c>
      <c r="D232">
        <v>1</v>
      </c>
    </row>
    <row r="233" spans="1:4" x14ac:dyDescent="0.25">
      <c r="A233" s="81">
        <v>46015</v>
      </c>
      <c r="B233" t="s">
        <v>729</v>
      </c>
      <c r="C233" t="s">
        <v>721</v>
      </c>
      <c r="D233">
        <v>2</v>
      </c>
    </row>
    <row r="234" spans="1:4" x14ac:dyDescent="0.25">
      <c r="A234" s="81">
        <v>46017</v>
      </c>
      <c r="B234" t="s">
        <v>815</v>
      </c>
      <c r="C234" t="s">
        <v>721</v>
      </c>
      <c r="D234">
        <v>4</v>
      </c>
    </row>
    <row r="235" spans="1:4" x14ac:dyDescent="0.25">
      <c r="A235" s="81">
        <v>46017</v>
      </c>
      <c r="B235" t="s">
        <v>783</v>
      </c>
      <c r="C235" t="s">
        <v>721</v>
      </c>
      <c r="D235">
        <v>2</v>
      </c>
    </row>
    <row r="236" spans="1:4" x14ac:dyDescent="0.25">
      <c r="A236" s="81">
        <v>46017</v>
      </c>
      <c r="B236" t="s">
        <v>816</v>
      </c>
      <c r="C236" t="s">
        <v>721</v>
      </c>
      <c r="D236">
        <v>5</v>
      </c>
    </row>
    <row r="237" spans="1:4" x14ac:dyDescent="0.25">
      <c r="A237" s="81">
        <v>46017</v>
      </c>
      <c r="B237" t="s">
        <v>776</v>
      </c>
      <c r="C237" t="s">
        <v>721</v>
      </c>
      <c r="D237">
        <v>2</v>
      </c>
    </row>
    <row r="238" spans="1:4" x14ac:dyDescent="0.25">
      <c r="A238" s="81">
        <v>46017</v>
      </c>
      <c r="B238" t="s">
        <v>805</v>
      </c>
      <c r="C238" t="s">
        <v>721</v>
      </c>
      <c r="D238">
        <v>3</v>
      </c>
    </row>
    <row r="239" spans="1:4" x14ac:dyDescent="0.25">
      <c r="A239" s="81">
        <v>46017</v>
      </c>
      <c r="B239" t="s">
        <v>727</v>
      </c>
      <c r="C239" t="s">
        <v>721</v>
      </c>
      <c r="D239">
        <v>2</v>
      </c>
    </row>
    <row r="240" spans="1:4" x14ac:dyDescent="0.25">
      <c r="A240" s="81">
        <v>46017</v>
      </c>
      <c r="B240" t="s">
        <v>752</v>
      </c>
      <c r="C240" t="s">
        <v>721</v>
      </c>
      <c r="D240">
        <v>1</v>
      </c>
    </row>
    <row r="241" spans="1:4" x14ac:dyDescent="0.25">
      <c r="A241" s="81">
        <v>46017</v>
      </c>
      <c r="B241" t="s">
        <v>761</v>
      </c>
      <c r="C241" t="s">
        <v>721</v>
      </c>
      <c r="D241">
        <v>4</v>
      </c>
    </row>
    <row r="242" spans="1:4" x14ac:dyDescent="0.25">
      <c r="A242" s="81">
        <v>46017</v>
      </c>
      <c r="B242" t="s">
        <v>817</v>
      </c>
      <c r="C242" t="s">
        <v>721</v>
      </c>
      <c r="D242">
        <v>2</v>
      </c>
    </row>
    <row r="243" spans="1:4" x14ac:dyDescent="0.25">
      <c r="A243" s="81">
        <v>46017</v>
      </c>
      <c r="B243" t="s">
        <v>818</v>
      </c>
      <c r="C243" t="s">
        <v>721</v>
      </c>
      <c r="D243">
        <v>2</v>
      </c>
    </row>
    <row r="244" spans="1:4" x14ac:dyDescent="0.25">
      <c r="A244" s="81">
        <v>46017</v>
      </c>
      <c r="B244" t="s">
        <v>738</v>
      </c>
      <c r="C244" t="s">
        <v>721</v>
      </c>
      <c r="D244">
        <v>3</v>
      </c>
    </row>
    <row r="245" spans="1:4" x14ac:dyDescent="0.25">
      <c r="A245" s="81">
        <v>46018</v>
      </c>
      <c r="B245" t="s">
        <v>819</v>
      </c>
      <c r="C245" t="s">
        <v>721</v>
      </c>
      <c r="D245">
        <v>3</v>
      </c>
    </row>
    <row r="246" spans="1:4" x14ac:dyDescent="0.25">
      <c r="A246" s="81">
        <v>46018</v>
      </c>
      <c r="B246" t="s">
        <v>720</v>
      </c>
      <c r="C246" t="s">
        <v>721</v>
      </c>
      <c r="D246">
        <v>2</v>
      </c>
    </row>
    <row r="247" spans="1:4" x14ac:dyDescent="0.25">
      <c r="A247" s="81">
        <v>46018</v>
      </c>
      <c r="B247" t="s">
        <v>725</v>
      </c>
      <c r="C247" t="s">
        <v>721</v>
      </c>
      <c r="D247">
        <v>2</v>
      </c>
    </row>
    <row r="248" spans="1:4" x14ac:dyDescent="0.25">
      <c r="A248" s="81">
        <v>46018</v>
      </c>
      <c r="B248" t="s">
        <v>724</v>
      </c>
      <c r="C248" t="s">
        <v>721</v>
      </c>
      <c r="D248">
        <v>3</v>
      </c>
    </row>
    <row r="249" spans="1:4" x14ac:dyDescent="0.25">
      <c r="A249" s="81">
        <v>46018</v>
      </c>
      <c r="B249" t="s">
        <v>689</v>
      </c>
      <c r="C249" t="s">
        <v>721</v>
      </c>
      <c r="D249">
        <v>3</v>
      </c>
    </row>
    <row r="250" spans="1:4" x14ac:dyDescent="0.25">
      <c r="A250" s="81">
        <v>46018</v>
      </c>
      <c r="B250" t="s">
        <v>752</v>
      </c>
      <c r="C250" t="s">
        <v>721</v>
      </c>
      <c r="D250">
        <v>3</v>
      </c>
    </row>
    <row r="251" spans="1:4" x14ac:dyDescent="0.25">
      <c r="A251" s="81">
        <v>46019</v>
      </c>
      <c r="B251" t="s">
        <v>723</v>
      </c>
      <c r="C251" t="s">
        <v>741</v>
      </c>
      <c r="D251">
        <v>1</v>
      </c>
    </row>
    <row r="252" spans="1:4" x14ac:dyDescent="0.25">
      <c r="A252" s="81">
        <v>46019</v>
      </c>
      <c r="B252" t="s">
        <v>720</v>
      </c>
      <c r="C252" t="s">
        <v>741</v>
      </c>
      <c r="D252">
        <v>2</v>
      </c>
    </row>
    <row r="253" spans="1:4" x14ac:dyDescent="0.25">
      <c r="A253" s="81">
        <v>46019</v>
      </c>
      <c r="B253" t="s">
        <v>724</v>
      </c>
      <c r="C253" t="s">
        <v>741</v>
      </c>
      <c r="D253">
        <v>1</v>
      </c>
    </row>
    <row r="254" spans="1:4" x14ac:dyDescent="0.25">
      <c r="A254" s="81">
        <v>46019</v>
      </c>
      <c r="B254" t="s">
        <v>820</v>
      </c>
      <c r="C254" t="s">
        <v>741</v>
      </c>
      <c r="D254">
        <v>1</v>
      </c>
    </row>
    <row r="255" spans="1:4" x14ac:dyDescent="0.25">
      <c r="A255" s="81">
        <v>46019</v>
      </c>
      <c r="B255" t="s">
        <v>821</v>
      </c>
      <c r="C255" t="s">
        <v>741</v>
      </c>
      <c r="D255">
        <v>3</v>
      </c>
    </row>
    <row r="256" spans="1:4" x14ac:dyDescent="0.25">
      <c r="A256" s="81">
        <v>46019</v>
      </c>
      <c r="B256" t="s">
        <v>732</v>
      </c>
      <c r="C256" t="s">
        <v>741</v>
      </c>
      <c r="D256">
        <v>2</v>
      </c>
    </row>
    <row r="257" spans="1:4" x14ac:dyDescent="0.25">
      <c r="A257" s="81">
        <v>46019</v>
      </c>
      <c r="B257" t="s">
        <v>818</v>
      </c>
      <c r="C257" t="s">
        <v>741</v>
      </c>
      <c r="D257">
        <v>2</v>
      </c>
    </row>
    <row r="258" spans="1:4" x14ac:dyDescent="0.25">
      <c r="A258" s="81">
        <v>46019</v>
      </c>
      <c r="B258" t="s">
        <v>738</v>
      </c>
      <c r="C258" t="s">
        <v>741</v>
      </c>
      <c r="D258">
        <v>2</v>
      </c>
    </row>
    <row r="259" spans="1:4" x14ac:dyDescent="0.25">
      <c r="A259" s="81">
        <v>46019</v>
      </c>
      <c r="B259" t="s">
        <v>689</v>
      </c>
      <c r="C259" t="s">
        <v>741</v>
      </c>
      <c r="D259">
        <v>2</v>
      </c>
    </row>
    <row r="260" spans="1:4" x14ac:dyDescent="0.25">
      <c r="A260" s="81">
        <v>46019</v>
      </c>
      <c r="B260" t="s">
        <v>727</v>
      </c>
      <c r="C260" t="s">
        <v>741</v>
      </c>
      <c r="D260">
        <v>2</v>
      </c>
    </row>
    <row r="261" spans="1:4" x14ac:dyDescent="0.25">
      <c r="A261" s="81">
        <v>46019</v>
      </c>
      <c r="B261" t="s">
        <v>822</v>
      </c>
      <c r="C261" t="s">
        <v>741</v>
      </c>
      <c r="D261">
        <v>2</v>
      </c>
    </row>
    <row r="262" spans="1:4" x14ac:dyDescent="0.25">
      <c r="A262" s="81">
        <v>46019</v>
      </c>
      <c r="B262" t="s">
        <v>752</v>
      </c>
      <c r="C262" t="s">
        <v>741</v>
      </c>
      <c r="D262">
        <v>3</v>
      </c>
    </row>
    <row r="263" spans="1:4" x14ac:dyDescent="0.25">
      <c r="A263" s="81">
        <v>46019</v>
      </c>
      <c r="B263" t="s">
        <v>714</v>
      </c>
      <c r="C263" t="s">
        <v>741</v>
      </c>
      <c r="D263">
        <v>2</v>
      </c>
    </row>
    <row r="264" spans="1:4" x14ac:dyDescent="0.25">
      <c r="A264" s="81">
        <v>46019</v>
      </c>
      <c r="B264" t="s">
        <v>776</v>
      </c>
      <c r="C264" t="s">
        <v>741</v>
      </c>
      <c r="D264">
        <v>1</v>
      </c>
    </row>
    <row r="265" spans="1:4" x14ac:dyDescent="0.25">
      <c r="A265" s="81">
        <v>46019</v>
      </c>
      <c r="B265" t="s">
        <v>823</v>
      </c>
      <c r="C265" t="s">
        <v>741</v>
      </c>
      <c r="D265">
        <v>1</v>
      </c>
    </row>
    <row r="266" spans="1:4" x14ac:dyDescent="0.25">
      <c r="A266" s="81">
        <v>46019</v>
      </c>
      <c r="B266" t="s">
        <v>824</v>
      </c>
      <c r="C266" t="s">
        <v>741</v>
      </c>
      <c r="D266">
        <v>2</v>
      </c>
    </row>
    <row r="267" spans="1:4" x14ac:dyDescent="0.25">
      <c r="A267" s="81">
        <v>46020</v>
      </c>
      <c r="B267" t="s">
        <v>723</v>
      </c>
      <c r="C267" t="s">
        <v>741</v>
      </c>
      <c r="D267">
        <v>1</v>
      </c>
    </row>
    <row r="268" spans="1:4" x14ac:dyDescent="0.25">
      <c r="A268" s="81">
        <v>46020</v>
      </c>
      <c r="B268" t="s">
        <v>720</v>
      </c>
      <c r="C268" t="s">
        <v>741</v>
      </c>
      <c r="D268">
        <v>2</v>
      </c>
    </row>
    <row r="269" spans="1:4" x14ac:dyDescent="0.25">
      <c r="A269" s="81">
        <v>46020</v>
      </c>
      <c r="B269" t="s">
        <v>689</v>
      </c>
      <c r="C269" t="s">
        <v>741</v>
      </c>
      <c r="D269">
        <v>1</v>
      </c>
    </row>
    <row r="270" spans="1:4" x14ac:dyDescent="0.25">
      <c r="A270" s="81">
        <v>46020</v>
      </c>
      <c r="B270" t="s">
        <v>816</v>
      </c>
      <c r="C270" t="s">
        <v>741</v>
      </c>
      <c r="D270">
        <v>1</v>
      </c>
    </row>
    <row r="271" spans="1:4" x14ac:dyDescent="0.25">
      <c r="A271" s="81">
        <v>46020</v>
      </c>
      <c r="B271" t="s">
        <v>752</v>
      </c>
      <c r="C271" t="s">
        <v>741</v>
      </c>
      <c r="D271">
        <v>2</v>
      </c>
    </row>
    <row r="272" spans="1:4" x14ac:dyDescent="0.25">
      <c r="A272" s="81">
        <v>46020</v>
      </c>
      <c r="B272" t="s">
        <v>761</v>
      </c>
      <c r="C272" t="s">
        <v>741</v>
      </c>
      <c r="D272">
        <v>1</v>
      </c>
    </row>
    <row r="273" spans="1:4" x14ac:dyDescent="0.25">
      <c r="A273" s="81">
        <v>46021</v>
      </c>
      <c r="B273" t="s">
        <v>687</v>
      </c>
      <c r="C273" t="s">
        <v>721</v>
      </c>
      <c r="D273">
        <v>1</v>
      </c>
    </row>
    <row r="274" spans="1:4" x14ac:dyDescent="0.25">
      <c r="A274" s="81">
        <v>46021</v>
      </c>
      <c r="B274" t="s">
        <v>750</v>
      </c>
      <c r="C274" t="s">
        <v>721</v>
      </c>
      <c r="D274">
        <v>1</v>
      </c>
    </row>
    <row r="275" spans="1:4" x14ac:dyDescent="0.25">
      <c r="A275" s="81">
        <v>46022</v>
      </c>
      <c r="B275" t="s">
        <v>791</v>
      </c>
      <c r="C275" t="s">
        <v>743</v>
      </c>
      <c r="D275">
        <v>1</v>
      </c>
    </row>
    <row r="276" spans="1:4" x14ac:dyDescent="0.25">
      <c r="A276" s="81">
        <v>46022</v>
      </c>
      <c r="B276" t="s">
        <v>720</v>
      </c>
      <c r="C276" t="s">
        <v>743</v>
      </c>
      <c r="D276">
        <v>1</v>
      </c>
    </row>
    <row r="277" spans="1:4" x14ac:dyDescent="0.25">
      <c r="A277" s="81">
        <v>46024</v>
      </c>
      <c r="B277" t="s">
        <v>791</v>
      </c>
      <c r="C277" t="s">
        <v>721</v>
      </c>
      <c r="D277">
        <v>2</v>
      </c>
    </row>
    <row r="278" spans="1:4" x14ac:dyDescent="0.25">
      <c r="A278" s="81">
        <v>46024</v>
      </c>
      <c r="B278" t="s">
        <v>792</v>
      </c>
      <c r="C278" t="s">
        <v>721</v>
      </c>
      <c r="D278">
        <v>2</v>
      </c>
    </row>
    <row r="279" spans="1:4" x14ac:dyDescent="0.25">
      <c r="A279" s="81">
        <v>46024</v>
      </c>
      <c r="B279" t="s">
        <v>825</v>
      </c>
      <c r="C279" t="s">
        <v>721</v>
      </c>
      <c r="D279">
        <v>2</v>
      </c>
    </row>
    <row r="280" spans="1:4" x14ac:dyDescent="0.25">
      <c r="A280" s="81">
        <v>46024</v>
      </c>
      <c r="B280" t="s">
        <v>752</v>
      </c>
      <c r="C280" t="s">
        <v>721</v>
      </c>
      <c r="D280">
        <v>2</v>
      </c>
    </row>
    <row r="281" spans="1:4" x14ac:dyDescent="0.25">
      <c r="A281" s="81">
        <v>46024</v>
      </c>
      <c r="B281" t="s">
        <v>798</v>
      </c>
      <c r="C281" t="s">
        <v>721</v>
      </c>
      <c r="D281">
        <v>2</v>
      </c>
    </row>
    <row r="282" spans="1:4" x14ac:dyDescent="0.25">
      <c r="A282" s="81">
        <v>46024</v>
      </c>
      <c r="B282" t="s">
        <v>761</v>
      </c>
      <c r="C282" t="s">
        <v>721</v>
      </c>
      <c r="D282">
        <v>2</v>
      </c>
    </row>
    <row r="283" spans="1:4" x14ac:dyDescent="0.25">
      <c r="A283" s="81">
        <v>46024</v>
      </c>
      <c r="B283" t="s">
        <v>805</v>
      </c>
      <c r="C283" t="s">
        <v>721</v>
      </c>
      <c r="D283">
        <v>2</v>
      </c>
    </row>
    <row r="284" spans="1:4" x14ac:dyDescent="0.25">
      <c r="A284" s="81">
        <v>46024</v>
      </c>
      <c r="B284" t="s">
        <v>826</v>
      </c>
      <c r="C284" t="s">
        <v>721</v>
      </c>
      <c r="D284">
        <v>1</v>
      </c>
    </row>
    <row r="285" spans="1:4" x14ac:dyDescent="0.25">
      <c r="A285" s="81">
        <v>46024</v>
      </c>
      <c r="B285" t="s">
        <v>728</v>
      </c>
      <c r="C285" t="s">
        <v>721</v>
      </c>
      <c r="D285">
        <v>1</v>
      </c>
    </row>
    <row r="286" spans="1:4" x14ac:dyDescent="0.25">
      <c r="A286" s="81">
        <v>46024</v>
      </c>
      <c r="B286" t="s">
        <v>720</v>
      </c>
      <c r="C286" t="s">
        <v>721</v>
      </c>
      <c r="D286">
        <v>1</v>
      </c>
    </row>
    <row r="287" spans="1:4" x14ac:dyDescent="0.25">
      <c r="A287" s="81">
        <v>46024</v>
      </c>
      <c r="B287" t="s">
        <v>724</v>
      </c>
      <c r="C287" t="s">
        <v>721</v>
      </c>
      <c r="D287">
        <v>1</v>
      </c>
    </row>
    <row r="288" spans="1:4" x14ac:dyDescent="0.25">
      <c r="A288" s="81">
        <v>46024</v>
      </c>
      <c r="B288" t="s">
        <v>790</v>
      </c>
      <c r="C288" t="s">
        <v>721</v>
      </c>
      <c r="D288">
        <v>1</v>
      </c>
    </row>
    <row r="289" spans="1:4" x14ac:dyDescent="0.25">
      <c r="A289" s="81">
        <v>46024</v>
      </c>
      <c r="B289" t="s">
        <v>785</v>
      </c>
      <c r="C289" t="s">
        <v>721</v>
      </c>
      <c r="D289">
        <v>1</v>
      </c>
    </row>
    <row r="290" spans="1:4" x14ac:dyDescent="0.25">
      <c r="A290" s="81">
        <v>46024</v>
      </c>
      <c r="B290" t="s">
        <v>727</v>
      </c>
      <c r="C290" t="s">
        <v>721</v>
      </c>
      <c r="D290">
        <v>1</v>
      </c>
    </row>
    <row r="291" spans="1:4" x14ac:dyDescent="0.25">
      <c r="A291" s="81">
        <v>46025</v>
      </c>
      <c r="B291" t="s">
        <v>827</v>
      </c>
      <c r="C291" t="s">
        <v>721</v>
      </c>
      <c r="D291">
        <v>3</v>
      </c>
    </row>
    <row r="292" spans="1:4" x14ac:dyDescent="0.25">
      <c r="A292" s="81">
        <v>46025</v>
      </c>
      <c r="B292" t="s">
        <v>791</v>
      </c>
      <c r="C292" t="s">
        <v>721</v>
      </c>
      <c r="D292">
        <v>1</v>
      </c>
    </row>
    <row r="293" spans="1:4" x14ac:dyDescent="0.25">
      <c r="A293" s="81">
        <v>46025</v>
      </c>
      <c r="B293" t="s">
        <v>720</v>
      </c>
      <c r="C293" t="s">
        <v>721</v>
      </c>
      <c r="D293">
        <v>2</v>
      </c>
    </row>
    <row r="294" spans="1:4" x14ac:dyDescent="0.25">
      <c r="A294" s="81">
        <v>46025</v>
      </c>
      <c r="B294" t="s">
        <v>797</v>
      </c>
      <c r="C294" t="s">
        <v>721</v>
      </c>
      <c r="D294">
        <v>1</v>
      </c>
    </row>
    <row r="295" spans="1:4" x14ac:dyDescent="0.25">
      <c r="A295" s="81">
        <v>46025</v>
      </c>
      <c r="B295" t="s">
        <v>785</v>
      </c>
      <c r="C295" t="s">
        <v>721</v>
      </c>
      <c r="D295">
        <v>1</v>
      </c>
    </row>
    <row r="296" spans="1:4" x14ac:dyDescent="0.25">
      <c r="A296" s="81">
        <v>46025</v>
      </c>
      <c r="B296" t="s">
        <v>727</v>
      </c>
      <c r="C296" t="s">
        <v>721</v>
      </c>
      <c r="D296">
        <v>2</v>
      </c>
    </row>
    <row r="297" spans="1:4" x14ac:dyDescent="0.25">
      <c r="A297" s="81">
        <v>46025</v>
      </c>
      <c r="B297" t="s">
        <v>752</v>
      </c>
      <c r="C297" t="s">
        <v>721</v>
      </c>
      <c r="D297">
        <v>2</v>
      </c>
    </row>
    <row r="298" spans="1:4" x14ac:dyDescent="0.25">
      <c r="A298" s="81">
        <v>46025</v>
      </c>
      <c r="B298" t="s">
        <v>761</v>
      </c>
      <c r="C298" t="s">
        <v>721</v>
      </c>
      <c r="D298">
        <v>2</v>
      </c>
    </row>
    <row r="299" spans="1:4" x14ac:dyDescent="0.25">
      <c r="A299" s="81">
        <v>46025</v>
      </c>
      <c r="B299" t="s">
        <v>724</v>
      </c>
      <c r="C299" t="s">
        <v>721</v>
      </c>
      <c r="D299">
        <v>1</v>
      </c>
    </row>
    <row r="300" spans="1:4" x14ac:dyDescent="0.25">
      <c r="A300" s="81">
        <v>46025</v>
      </c>
      <c r="B300" t="s">
        <v>730</v>
      </c>
      <c r="C300" t="s">
        <v>721</v>
      </c>
      <c r="D300">
        <v>1</v>
      </c>
    </row>
    <row r="301" spans="1:4" x14ac:dyDescent="0.25">
      <c r="A301" s="81">
        <v>46025</v>
      </c>
      <c r="B301" t="s">
        <v>738</v>
      </c>
      <c r="C301" t="s">
        <v>721</v>
      </c>
      <c r="D301">
        <v>2</v>
      </c>
    </row>
    <row r="302" spans="1:4" x14ac:dyDescent="0.25">
      <c r="A302" s="81">
        <v>46025</v>
      </c>
      <c r="B302" t="s">
        <v>728</v>
      </c>
      <c r="C302" t="s">
        <v>721</v>
      </c>
      <c r="D302">
        <v>1</v>
      </c>
    </row>
    <row r="303" spans="1:4" x14ac:dyDescent="0.25">
      <c r="A303" s="81">
        <v>46025</v>
      </c>
      <c r="B303" t="s">
        <v>826</v>
      </c>
      <c r="C303" t="s">
        <v>721</v>
      </c>
      <c r="D303">
        <v>1</v>
      </c>
    </row>
    <row r="304" spans="1:4" x14ac:dyDescent="0.25">
      <c r="A304" s="81">
        <v>46025</v>
      </c>
      <c r="B304" t="s">
        <v>805</v>
      </c>
      <c r="C304" t="s">
        <v>721</v>
      </c>
      <c r="D304">
        <v>1</v>
      </c>
    </row>
    <row r="305" spans="1:4" x14ac:dyDescent="0.25">
      <c r="A305" s="81">
        <v>46026</v>
      </c>
      <c r="B305" t="s">
        <v>792</v>
      </c>
      <c r="C305" t="s">
        <v>721</v>
      </c>
      <c r="D305">
        <v>1</v>
      </c>
    </row>
    <row r="306" spans="1:4" x14ac:dyDescent="0.25">
      <c r="A306" s="81">
        <v>46026</v>
      </c>
      <c r="B306" t="s">
        <v>814</v>
      </c>
      <c r="C306" t="s">
        <v>721</v>
      </c>
      <c r="D306">
        <v>2</v>
      </c>
    </row>
    <row r="307" spans="1:4" x14ac:dyDescent="0.25">
      <c r="A307" s="81">
        <v>46026</v>
      </c>
      <c r="B307" t="s">
        <v>828</v>
      </c>
      <c r="C307" t="s">
        <v>721</v>
      </c>
      <c r="D307">
        <v>2</v>
      </c>
    </row>
    <row r="308" spans="1:4" x14ac:dyDescent="0.25">
      <c r="A308" s="81">
        <v>46026</v>
      </c>
      <c r="B308" t="s">
        <v>797</v>
      </c>
      <c r="C308" t="s">
        <v>721</v>
      </c>
      <c r="D308">
        <v>1</v>
      </c>
    </row>
    <row r="309" spans="1:4" x14ac:dyDescent="0.25">
      <c r="A309" s="81">
        <v>46026</v>
      </c>
      <c r="B309" t="s">
        <v>825</v>
      </c>
      <c r="C309" t="s">
        <v>721</v>
      </c>
      <c r="D309">
        <v>2</v>
      </c>
    </row>
    <row r="310" spans="1:4" x14ac:dyDescent="0.25">
      <c r="A310" s="81">
        <v>46026</v>
      </c>
      <c r="B310" t="s">
        <v>785</v>
      </c>
      <c r="C310" t="s">
        <v>721</v>
      </c>
      <c r="D310">
        <v>2</v>
      </c>
    </row>
    <row r="311" spans="1:4" x14ac:dyDescent="0.25">
      <c r="A311" s="81">
        <v>46026</v>
      </c>
      <c r="B311" t="s">
        <v>752</v>
      </c>
      <c r="C311" t="s">
        <v>721</v>
      </c>
      <c r="D311">
        <v>2</v>
      </c>
    </row>
    <row r="312" spans="1:4" x14ac:dyDescent="0.25">
      <c r="A312" s="81">
        <v>46026</v>
      </c>
      <c r="B312" t="s">
        <v>761</v>
      </c>
      <c r="C312" t="s">
        <v>721</v>
      </c>
      <c r="D312">
        <v>2</v>
      </c>
    </row>
    <row r="313" spans="1:4" x14ac:dyDescent="0.25">
      <c r="A313" s="81">
        <v>46026</v>
      </c>
      <c r="B313" t="s">
        <v>805</v>
      </c>
      <c r="C313" t="s">
        <v>721</v>
      </c>
      <c r="D313">
        <v>1</v>
      </c>
    </row>
    <row r="314" spans="1:4" x14ac:dyDescent="0.25">
      <c r="A314" s="81">
        <v>46026</v>
      </c>
      <c r="B314" t="s">
        <v>826</v>
      </c>
      <c r="C314" t="s">
        <v>721</v>
      </c>
      <c r="D314">
        <v>1</v>
      </c>
    </row>
    <row r="315" spans="1:4" x14ac:dyDescent="0.25">
      <c r="A315" s="81">
        <v>46027</v>
      </c>
      <c r="B315" t="s">
        <v>725</v>
      </c>
      <c r="C315" t="s">
        <v>741</v>
      </c>
      <c r="D315">
        <v>1</v>
      </c>
    </row>
    <row r="316" spans="1:4" x14ac:dyDescent="0.25">
      <c r="A316" s="81">
        <v>46027</v>
      </c>
      <c r="B316" t="s">
        <v>761</v>
      </c>
      <c r="C316" t="s">
        <v>741</v>
      </c>
      <c r="D316">
        <v>1</v>
      </c>
    </row>
    <row r="317" spans="1:4" x14ac:dyDescent="0.25">
      <c r="A317" s="81">
        <v>46028</v>
      </c>
      <c r="B317" t="s">
        <v>720</v>
      </c>
      <c r="C317" t="s">
        <v>743</v>
      </c>
      <c r="D317">
        <v>1</v>
      </c>
    </row>
    <row r="318" spans="1:4" x14ac:dyDescent="0.25">
      <c r="A318" s="81">
        <v>46028</v>
      </c>
      <c r="B318" t="s">
        <v>791</v>
      </c>
      <c r="C318" t="s">
        <v>743</v>
      </c>
      <c r="D318">
        <v>1</v>
      </c>
    </row>
    <row r="319" spans="1:4" x14ac:dyDescent="0.25">
      <c r="A319" s="81">
        <v>46028</v>
      </c>
      <c r="B319" t="s">
        <v>724</v>
      </c>
      <c r="C319" t="s">
        <v>743</v>
      </c>
      <c r="D319">
        <v>1</v>
      </c>
    </row>
    <row r="320" spans="1:4" x14ac:dyDescent="0.25">
      <c r="A320" s="81">
        <v>46028</v>
      </c>
      <c r="B320" t="s">
        <v>785</v>
      </c>
      <c r="C320" t="s">
        <v>743</v>
      </c>
      <c r="D320">
        <v>1</v>
      </c>
    </row>
    <row r="321" spans="1:4" x14ac:dyDescent="0.25">
      <c r="A321" s="81">
        <v>46028</v>
      </c>
      <c r="B321" t="s">
        <v>752</v>
      </c>
      <c r="C321" t="s">
        <v>743</v>
      </c>
      <c r="D321">
        <v>1</v>
      </c>
    </row>
    <row r="322" spans="1:4" x14ac:dyDescent="0.25">
      <c r="A322" s="81">
        <v>46028</v>
      </c>
      <c r="B322" t="s">
        <v>761</v>
      </c>
      <c r="C322" t="s">
        <v>743</v>
      </c>
      <c r="D322">
        <v>1</v>
      </c>
    </row>
    <row r="323" spans="1:4" x14ac:dyDescent="0.25">
      <c r="A323" s="81">
        <v>46030</v>
      </c>
      <c r="B323" t="s">
        <v>829</v>
      </c>
      <c r="C323" t="s">
        <v>721</v>
      </c>
      <c r="D323">
        <v>1</v>
      </c>
    </row>
    <row r="324" spans="1:4" x14ac:dyDescent="0.25">
      <c r="A324" s="81">
        <v>46030</v>
      </c>
      <c r="B324" t="s">
        <v>805</v>
      </c>
      <c r="C324" t="s">
        <v>721</v>
      </c>
      <c r="D324">
        <v>1</v>
      </c>
    </row>
    <row r="325" spans="1:4" x14ac:dyDescent="0.25">
      <c r="A325" s="81">
        <v>46030</v>
      </c>
      <c r="B325" t="s">
        <v>830</v>
      </c>
      <c r="C325" t="s">
        <v>721</v>
      </c>
      <c r="D325">
        <v>1</v>
      </c>
    </row>
    <row r="326" spans="1:4" x14ac:dyDescent="0.25">
      <c r="A326" s="81">
        <v>46030</v>
      </c>
      <c r="B326" t="s">
        <v>831</v>
      </c>
      <c r="C326" t="s">
        <v>721</v>
      </c>
      <c r="D326">
        <v>1</v>
      </c>
    </row>
    <row r="327" spans="1:4" x14ac:dyDescent="0.25">
      <c r="A327" s="81">
        <v>46030</v>
      </c>
      <c r="B327" t="s">
        <v>791</v>
      </c>
      <c r="C327" t="s">
        <v>721</v>
      </c>
      <c r="D327">
        <v>1</v>
      </c>
    </row>
    <row r="328" spans="1:4" x14ac:dyDescent="0.25">
      <c r="A328" s="81">
        <v>46030</v>
      </c>
      <c r="B328" t="s">
        <v>720</v>
      </c>
      <c r="C328" t="s">
        <v>721</v>
      </c>
      <c r="D328">
        <v>1</v>
      </c>
    </row>
    <row r="329" spans="1:4" x14ac:dyDescent="0.25">
      <c r="A329" s="81">
        <v>46030</v>
      </c>
      <c r="B329" t="s">
        <v>832</v>
      </c>
      <c r="C329" t="s">
        <v>721</v>
      </c>
      <c r="D329">
        <v>2</v>
      </c>
    </row>
    <row r="330" spans="1:4" x14ac:dyDescent="0.25">
      <c r="A330" s="81">
        <v>46030</v>
      </c>
      <c r="B330" t="s">
        <v>833</v>
      </c>
      <c r="C330" t="s">
        <v>721</v>
      </c>
      <c r="D330">
        <v>1</v>
      </c>
    </row>
    <row r="331" spans="1:4" x14ac:dyDescent="0.25">
      <c r="A331" s="81">
        <v>46030</v>
      </c>
      <c r="B331" t="s">
        <v>730</v>
      </c>
      <c r="C331" t="s">
        <v>721</v>
      </c>
      <c r="D331">
        <v>1</v>
      </c>
    </row>
    <row r="332" spans="1:4" x14ac:dyDescent="0.25">
      <c r="A332" s="81">
        <v>46030</v>
      </c>
      <c r="B332" t="s">
        <v>834</v>
      </c>
      <c r="C332" t="s">
        <v>721</v>
      </c>
      <c r="D332">
        <v>1</v>
      </c>
    </row>
    <row r="333" spans="1:4" x14ac:dyDescent="0.25">
      <c r="A333" s="81">
        <v>46030</v>
      </c>
      <c r="B333" t="s">
        <v>752</v>
      </c>
      <c r="C333" t="s">
        <v>721</v>
      </c>
      <c r="D333">
        <v>1</v>
      </c>
    </row>
    <row r="334" spans="1:4" x14ac:dyDescent="0.25">
      <c r="A334" s="81">
        <v>46030</v>
      </c>
      <c r="B334" t="s">
        <v>761</v>
      </c>
      <c r="C334" t="s">
        <v>721</v>
      </c>
      <c r="D334">
        <v>1</v>
      </c>
    </row>
    <row r="335" spans="1:4" x14ac:dyDescent="0.25">
      <c r="A335" s="81">
        <v>46030</v>
      </c>
      <c r="B335" t="s">
        <v>724</v>
      </c>
      <c r="C335" t="s">
        <v>721</v>
      </c>
      <c r="D335">
        <v>1</v>
      </c>
    </row>
    <row r="336" spans="1:4" x14ac:dyDescent="0.25">
      <c r="A336" s="81">
        <v>46030</v>
      </c>
      <c r="B336" t="s">
        <v>727</v>
      </c>
      <c r="C336" t="s">
        <v>721</v>
      </c>
      <c r="D336">
        <v>1</v>
      </c>
    </row>
    <row r="337" spans="1:4" x14ac:dyDescent="0.25">
      <c r="A337" s="81">
        <v>46031</v>
      </c>
      <c r="B337" t="s">
        <v>785</v>
      </c>
      <c r="C337" t="s">
        <v>721</v>
      </c>
      <c r="D337">
        <v>1</v>
      </c>
    </row>
    <row r="338" spans="1:4" x14ac:dyDescent="0.25">
      <c r="A338" s="81">
        <v>46031</v>
      </c>
      <c r="B338" t="s">
        <v>727</v>
      </c>
      <c r="C338" t="s">
        <v>721</v>
      </c>
      <c r="D338">
        <v>1</v>
      </c>
    </row>
    <row r="339" spans="1:4" x14ac:dyDescent="0.25">
      <c r="A339" s="81">
        <v>46031</v>
      </c>
      <c r="B339" t="s">
        <v>752</v>
      </c>
      <c r="C339" t="s">
        <v>721</v>
      </c>
      <c r="D339">
        <v>1</v>
      </c>
    </row>
    <row r="340" spans="1:4" x14ac:dyDescent="0.25">
      <c r="A340" s="81">
        <v>46031</v>
      </c>
      <c r="B340" t="s">
        <v>761</v>
      </c>
      <c r="C340" t="s">
        <v>721</v>
      </c>
      <c r="D340">
        <v>1</v>
      </c>
    </row>
    <row r="341" spans="1:4" x14ac:dyDescent="0.25">
      <c r="A341" s="81">
        <v>46031</v>
      </c>
      <c r="B341" t="s">
        <v>720</v>
      </c>
      <c r="C341" t="s">
        <v>721</v>
      </c>
      <c r="D341">
        <v>1</v>
      </c>
    </row>
    <row r="342" spans="1:4" x14ac:dyDescent="0.25">
      <c r="A342" s="81">
        <v>46031</v>
      </c>
      <c r="B342" t="s">
        <v>831</v>
      </c>
      <c r="C342" t="s">
        <v>721</v>
      </c>
      <c r="D342">
        <v>1</v>
      </c>
    </row>
    <row r="343" spans="1:4" x14ac:dyDescent="0.25">
      <c r="A343" s="81">
        <v>46031</v>
      </c>
      <c r="B343" t="s">
        <v>833</v>
      </c>
      <c r="C343" t="s">
        <v>721</v>
      </c>
      <c r="D343">
        <v>1</v>
      </c>
    </row>
    <row r="344" spans="1:4" x14ac:dyDescent="0.25">
      <c r="A344" s="81">
        <v>46031</v>
      </c>
      <c r="B344" t="s">
        <v>805</v>
      </c>
      <c r="C344" t="s">
        <v>721</v>
      </c>
      <c r="D344">
        <v>1</v>
      </c>
    </row>
    <row r="345" spans="1:4" x14ac:dyDescent="0.25">
      <c r="A345" s="81">
        <v>46031</v>
      </c>
      <c r="B345" t="s">
        <v>829</v>
      </c>
      <c r="C345" t="s">
        <v>721</v>
      </c>
      <c r="D345">
        <v>1</v>
      </c>
    </row>
    <row r="346" spans="1:4" x14ac:dyDescent="0.25">
      <c r="A346" s="81">
        <v>46031</v>
      </c>
      <c r="B346" t="s">
        <v>738</v>
      </c>
      <c r="C346" t="s">
        <v>721</v>
      </c>
      <c r="D346">
        <v>1</v>
      </c>
    </row>
    <row r="347" spans="1:4" x14ac:dyDescent="0.25">
      <c r="A347" s="81">
        <v>46031</v>
      </c>
      <c r="B347" t="s">
        <v>835</v>
      </c>
      <c r="C347" t="s">
        <v>721</v>
      </c>
      <c r="D347">
        <v>1</v>
      </c>
    </row>
    <row r="348" spans="1:4" x14ac:dyDescent="0.25">
      <c r="A348" s="81">
        <v>46031</v>
      </c>
      <c r="B348" t="s">
        <v>724</v>
      </c>
      <c r="C348" t="s">
        <v>741</v>
      </c>
      <c r="D348">
        <v>1</v>
      </c>
    </row>
    <row r="349" spans="1:4" x14ac:dyDescent="0.25">
      <c r="A349" s="81">
        <v>46032</v>
      </c>
      <c r="B349" t="s">
        <v>791</v>
      </c>
      <c r="C349" t="s">
        <v>721</v>
      </c>
      <c r="D349">
        <v>2</v>
      </c>
    </row>
    <row r="350" spans="1:4" x14ac:dyDescent="0.25">
      <c r="A350" s="81">
        <v>46032</v>
      </c>
      <c r="B350" t="s">
        <v>720</v>
      </c>
      <c r="C350" t="s">
        <v>721</v>
      </c>
      <c r="D350">
        <v>2</v>
      </c>
    </row>
    <row r="351" spans="1:4" x14ac:dyDescent="0.25">
      <c r="A351" s="81">
        <v>46032</v>
      </c>
      <c r="B351" t="s">
        <v>724</v>
      </c>
      <c r="C351" t="s">
        <v>721</v>
      </c>
      <c r="D351">
        <v>1</v>
      </c>
    </row>
    <row r="352" spans="1:4" x14ac:dyDescent="0.25">
      <c r="A352" s="81">
        <v>46032</v>
      </c>
      <c r="B352" t="s">
        <v>835</v>
      </c>
      <c r="C352" t="s">
        <v>721</v>
      </c>
      <c r="D352">
        <v>2</v>
      </c>
    </row>
    <row r="353" spans="1:4" x14ac:dyDescent="0.25">
      <c r="A353" s="81">
        <v>46032</v>
      </c>
      <c r="B353" t="s">
        <v>785</v>
      </c>
      <c r="C353" t="s">
        <v>721</v>
      </c>
      <c r="D353">
        <v>1</v>
      </c>
    </row>
    <row r="354" spans="1:4" x14ac:dyDescent="0.25">
      <c r="A354" s="81">
        <v>46032</v>
      </c>
      <c r="B354" t="s">
        <v>752</v>
      </c>
      <c r="C354" t="s">
        <v>721</v>
      </c>
      <c r="D354">
        <v>1</v>
      </c>
    </row>
    <row r="355" spans="1:4" x14ac:dyDescent="0.25">
      <c r="A355" s="81">
        <v>46032</v>
      </c>
      <c r="B355" t="s">
        <v>833</v>
      </c>
      <c r="C355" t="s">
        <v>721</v>
      </c>
      <c r="D355">
        <v>1</v>
      </c>
    </row>
    <row r="356" spans="1:4" x14ac:dyDescent="0.25">
      <c r="A356" s="81">
        <v>46032</v>
      </c>
      <c r="B356" t="s">
        <v>761</v>
      </c>
      <c r="C356" t="s">
        <v>721</v>
      </c>
      <c r="D356">
        <v>1</v>
      </c>
    </row>
    <row r="357" spans="1:4" x14ac:dyDescent="0.25">
      <c r="A357" s="81">
        <v>46032</v>
      </c>
      <c r="B357" t="s">
        <v>805</v>
      </c>
      <c r="C357" t="s">
        <v>721</v>
      </c>
      <c r="D357">
        <v>1</v>
      </c>
    </row>
    <row r="358" spans="1:4" x14ac:dyDescent="0.25">
      <c r="A358" s="81">
        <v>46032</v>
      </c>
      <c r="B358" t="s">
        <v>829</v>
      </c>
      <c r="C358" t="s">
        <v>721</v>
      </c>
      <c r="D358">
        <v>1</v>
      </c>
    </row>
    <row r="359" spans="1:4" x14ac:dyDescent="0.25">
      <c r="A359" s="81">
        <v>46033</v>
      </c>
      <c r="B359" t="s">
        <v>791</v>
      </c>
      <c r="C359" t="s">
        <v>721</v>
      </c>
      <c r="D359">
        <v>2</v>
      </c>
    </row>
    <row r="360" spans="1:4" x14ac:dyDescent="0.25">
      <c r="A360" s="81">
        <v>46033</v>
      </c>
      <c r="B360" t="s">
        <v>797</v>
      </c>
      <c r="C360" t="s">
        <v>721</v>
      </c>
      <c r="D360">
        <v>1</v>
      </c>
    </row>
    <row r="361" spans="1:4" x14ac:dyDescent="0.25">
      <c r="A361" s="81">
        <v>46033</v>
      </c>
      <c r="B361" t="s">
        <v>724</v>
      </c>
      <c r="C361" t="s">
        <v>721</v>
      </c>
      <c r="D361">
        <v>1</v>
      </c>
    </row>
    <row r="362" spans="1:4" x14ac:dyDescent="0.25">
      <c r="A362" s="81">
        <v>46033</v>
      </c>
      <c r="B362" t="s">
        <v>835</v>
      </c>
      <c r="C362" t="s">
        <v>721</v>
      </c>
      <c r="D362">
        <v>2</v>
      </c>
    </row>
    <row r="363" spans="1:4" x14ac:dyDescent="0.25">
      <c r="A363" s="81">
        <v>46033</v>
      </c>
      <c r="B363" t="s">
        <v>785</v>
      </c>
      <c r="C363" t="s">
        <v>721</v>
      </c>
      <c r="D363">
        <v>1</v>
      </c>
    </row>
    <row r="364" spans="1:4" x14ac:dyDescent="0.25">
      <c r="A364" s="81">
        <v>46033</v>
      </c>
      <c r="B364" t="s">
        <v>752</v>
      </c>
      <c r="C364" t="s">
        <v>721</v>
      </c>
      <c r="D364">
        <v>2</v>
      </c>
    </row>
    <row r="365" spans="1:4" x14ac:dyDescent="0.25">
      <c r="A365" s="81">
        <v>46033</v>
      </c>
      <c r="B365" t="s">
        <v>833</v>
      </c>
      <c r="C365" t="s">
        <v>721</v>
      </c>
      <c r="D365">
        <v>1</v>
      </c>
    </row>
    <row r="366" spans="1:4" x14ac:dyDescent="0.25">
      <c r="A366" s="81">
        <v>46033</v>
      </c>
      <c r="B366" t="s">
        <v>761</v>
      </c>
      <c r="C366" t="s">
        <v>721</v>
      </c>
      <c r="D366">
        <v>2</v>
      </c>
    </row>
    <row r="367" spans="1:4" x14ac:dyDescent="0.25">
      <c r="A367" s="81">
        <v>46033</v>
      </c>
      <c r="B367" t="s">
        <v>738</v>
      </c>
      <c r="C367" t="s">
        <v>721</v>
      </c>
      <c r="D367">
        <v>1</v>
      </c>
    </row>
    <row r="368" spans="1:4" x14ac:dyDescent="0.25">
      <c r="A368" s="81">
        <v>46033</v>
      </c>
      <c r="B368" t="s">
        <v>830</v>
      </c>
      <c r="C368" t="s">
        <v>721</v>
      </c>
      <c r="D368">
        <v>1</v>
      </c>
    </row>
    <row r="369" spans="1:4" x14ac:dyDescent="0.25">
      <c r="A369" s="81">
        <v>46033</v>
      </c>
      <c r="B369" t="s">
        <v>805</v>
      </c>
      <c r="C369" t="s">
        <v>721</v>
      </c>
      <c r="D369">
        <v>1</v>
      </c>
    </row>
    <row r="370" spans="1:4" x14ac:dyDescent="0.25">
      <c r="A370" s="81">
        <v>46033</v>
      </c>
      <c r="B370" t="s">
        <v>829</v>
      </c>
      <c r="C370" t="s">
        <v>721</v>
      </c>
      <c r="D370">
        <v>1</v>
      </c>
    </row>
    <row r="371" spans="1:4" x14ac:dyDescent="0.25">
      <c r="A371" s="81">
        <v>46034</v>
      </c>
      <c r="B371" t="s">
        <v>720</v>
      </c>
      <c r="C371" t="s">
        <v>741</v>
      </c>
      <c r="D371">
        <v>1</v>
      </c>
    </row>
    <row r="372" spans="1:4" x14ac:dyDescent="0.25">
      <c r="A372" s="81">
        <v>46034</v>
      </c>
      <c r="B372" t="s">
        <v>725</v>
      </c>
      <c r="C372" t="s">
        <v>741</v>
      </c>
      <c r="D372">
        <v>1</v>
      </c>
    </row>
    <row r="373" spans="1:4" x14ac:dyDescent="0.25">
      <c r="A373" s="81">
        <v>46034</v>
      </c>
      <c r="B373" t="s">
        <v>761</v>
      </c>
      <c r="C373" t="s">
        <v>741</v>
      </c>
      <c r="D373">
        <v>1</v>
      </c>
    </row>
    <row r="374" spans="1:4" x14ac:dyDescent="0.25">
      <c r="A374" s="81">
        <v>46035</v>
      </c>
      <c r="B374" t="s">
        <v>761</v>
      </c>
      <c r="C374" t="s">
        <v>721</v>
      </c>
      <c r="D374">
        <v>1</v>
      </c>
    </row>
    <row r="375" spans="1:4" x14ac:dyDescent="0.25">
      <c r="A375" s="81">
        <v>46035</v>
      </c>
      <c r="B375" t="s">
        <v>836</v>
      </c>
      <c r="C375" t="s">
        <v>721</v>
      </c>
      <c r="D375">
        <v>1</v>
      </c>
    </row>
    <row r="376" spans="1:4" x14ac:dyDescent="0.25">
      <c r="A376" s="81">
        <v>46035</v>
      </c>
      <c r="B376" t="s">
        <v>829</v>
      </c>
      <c r="C376" t="s">
        <v>721</v>
      </c>
      <c r="D376">
        <v>1</v>
      </c>
    </row>
    <row r="377" spans="1:4" x14ac:dyDescent="0.25">
      <c r="A377" s="81">
        <v>46035</v>
      </c>
      <c r="B377" t="s">
        <v>738</v>
      </c>
      <c r="C377" t="s">
        <v>721</v>
      </c>
      <c r="D377">
        <v>1</v>
      </c>
    </row>
    <row r="378" spans="1:4" x14ac:dyDescent="0.25">
      <c r="A378" s="81">
        <v>46036</v>
      </c>
      <c r="B378" t="s">
        <v>752</v>
      </c>
      <c r="C378" t="s">
        <v>743</v>
      </c>
      <c r="D378">
        <v>1</v>
      </c>
    </row>
    <row r="379" spans="1:4" x14ac:dyDescent="0.25">
      <c r="A379" s="81">
        <v>46036</v>
      </c>
      <c r="B379" t="s">
        <v>761</v>
      </c>
      <c r="C379" t="s">
        <v>743</v>
      </c>
      <c r="D379">
        <v>1</v>
      </c>
    </row>
    <row r="380" spans="1:4" x14ac:dyDescent="0.25">
      <c r="A380" s="81">
        <v>46037</v>
      </c>
      <c r="B380" t="s">
        <v>720</v>
      </c>
      <c r="C380" t="s">
        <v>721</v>
      </c>
      <c r="D380">
        <v>1</v>
      </c>
    </row>
    <row r="381" spans="1:4" x14ac:dyDescent="0.25">
      <c r="A381" s="81">
        <v>46037</v>
      </c>
      <c r="B381" t="s">
        <v>791</v>
      </c>
      <c r="C381" t="s">
        <v>721</v>
      </c>
      <c r="D381">
        <v>2</v>
      </c>
    </row>
    <row r="382" spans="1:4" x14ac:dyDescent="0.25">
      <c r="A382" s="81">
        <v>46037</v>
      </c>
      <c r="B382" t="s">
        <v>797</v>
      </c>
      <c r="C382" t="s">
        <v>721</v>
      </c>
      <c r="D382">
        <v>1</v>
      </c>
    </row>
    <row r="383" spans="1:4" x14ac:dyDescent="0.25">
      <c r="A383" s="81">
        <v>46037</v>
      </c>
      <c r="B383" t="s">
        <v>724</v>
      </c>
      <c r="C383" t="s">
        <v>721</v>
      </c>
      <c r="D383">
        <v>1</v>
      </c>
    </row>
    <row r="384" spans="1:4" x14ac:dyDescent="0.25">
      <c r="A384" s="81">
        <v>46037</v>
      </c>
      <c r="B384" t="s">
        <v>752</v>
      </c>
      <c r="C384" t="s">
        <v>721</v>
      </c>
      <c r="D384">
        <v>1</v>
      </c>
    </row>
    <row r="385" spans="1:4" x14ac:dyDescent="0.25">
      <c r="A385" s="81">
        <v>46037</v>
      </c>
      <c r="B385" t="s">
        <v>761</v>
      </c>
      <c r="C385" t="s">
        <v>721</v>
      </c>
      <c r="D385">
        <v>1</v>
      </c>
    </row>
    <row r="386" spans="1:4" x14ac:dyDescent="0.25">
      <c r="A386" s="81">
        <v>46037</v>
      </c>
      <c r="B386" t="s">
        <v>837</v>
      </c>
      <c r="C386" t="s">
        <v>721</v>
      </c>
      <c r="D386">
        <v>1</v>
      </c>
    </row>
    <row r="387" spans="1:4" x14ac:dyDescent="0.25">
      <c r="A387" s="81">
        <v>46037</v>
      </c>
      <c r="B387" t="s">
        <v>830</v>
      </c>
      <c r="C387" t="s">
        <v>721</v>
      </c>
      <c r="D387">
        <v>1</v>
      </c>
    </row>
    <row r="388" spans="1:4" x14ac:dyDescent="0.25">
      <c r="A388" s="81">
        <v>46037</v>
      </c>
      <c r="B388" t="s">
        <v>805</v>
      </c>
      <c r="C388" t="s">
        <v>721</v>
      </c>
      <c r="D388">
        <v>1</v>
      </c>
    </row>
    <row r="389" spans="1:4" x14ac:dyDescent="0.25">
      <c r="A389" s="81">
        <v>46037</v>
      </c>
      <c r="B389" t="s">
        <v>792</v>
      </c>
      <c r="C389" t="s">
        <v>721</v>
      </c>
      <c r="D389">
        <v>1</v>
      </c>
    </row>
    <row r="390" spans="1:4" x14ac:dyDescent="0.25">
      <c r="A390" s="81">
        <v>46037</v>
      </c>
      <c r="B390" t="s">
        <v>838</v>
      </c>
      <c r="C390" t="s">
        <v>721</v>
      </c>
      <c r="D390">
        <v>1</v>
      </c>
    </row>
    <row r="391" spans="1:4" x14ac:dyDescent="0.25">
      <c r="A391" s="81">
        <v>46037</v>
      </c>
      <c r="B391" t="s">
        <v>839</v>
      </c>
      <c r="C391" t="s">
        <v>721</v>
      </c>
      <c r="D391">
        <v>1</v>
      </c>
    </row>
    <row r="392" spans="1:4" x14ac:dyDescent="0.25">
      <c r="A392" s="81">
        <v>46038</v>
      </c>
      <c r="B392" t="s">
        <v>797</v>
      </c>
      <c r="C392" t="s">
        <v>721</v>
      </c>
      <c r="D392">
        <v>1</v>
      </c>
    </row>
    <row r="393" spans="1:4" x14ac:dyDescent="0.25">
      <c r="A393" s="81">
        <v>46038</v>
      </c>
      <c r="B393" t="s">
        <v>724</v>
      </c>
      <c r="C393" t="s">
        <v>721</v>
      </c>
      <c r="D393">
        <v>1</v>
      </c>
    </row>
    <row r="394" spans="1:4" x14ac:dyDescent="0.25">
      <c r="A394" s="81">
        <v>46038</v>
      </c>
      <c r="B394" t="s">
        <v>785</v>
      </c>
      <c r="C394" t="s">
        <v>721</v>
      </c>
      <c r="D394">
        <v>1</v>
      </c>
    </row>
    <row r="395" spans="1:4" x14ac:dyDescent="0.25">
      <c r="A395" s="81">
        <v>46038</v>
      </c>
      <c r="B395" t="s">
        <v>727</v>
      </c>
      <c r="C395" t="s">
        <v>721</v>
      </c>
      <c r="D395">
        <v>1</v>
      </c>
    </row>
    <row r="396" spans="1:4" x14ac:dyDescent="0.25">
      <c r="A396" s="81">
        <v>46038</v>
      </c>
      <c r="B396" t="s">
        <v>752</v>
      </c>
      <c r="C396" t="s">
        <v>721</v>
      </c>
      <c r="D396">
        <v>1</v>
      </c>
    </row>
    <row r="397" spans="1:4" x14ac:dyDescent="0.25">
      <c r="A397" s="81">
        <v>46038</v>
      </c>
      <c r="B397" t="s">
        <v>761</v>
      </c>
      <c r="C397" t="s">
        <v>721</v>
      </c>
      <c r="D397">
        <v>1</v>
      </c>
    </row>
    <row r="398" spans="1:4" x14ac:dyDescent="0.25">
      <c r="A398" s="81">
        <v>46039</v>
      </c>
      <c r="B398" t="s">
        <v>840</v>
      </c>
      <c r="C398" t="s">
        <v>721</v>
      </c>
      <c r="D398">
        <v>2</v>
      </c>
    </row>
    <row r="399" spans="1:4" x14ac:dyDescent="0.25">
      <c r="A399" s="81">
        <v>46039</v>
      </c>
      <c r="B399" t="s">
        <v>797</v>
      </c>
      <c r="C399" t="s">
        <v>721</v>
      </c>
      <c r="D399">
        <v>1</v>
      </c>
    </row>
    <row r="400" spans="1:4" x14ac:dyDescent="0.25">
      <c r="A400" s="81">
        <v>46039</v>
      </c>
      <c r="B400" t="s">
        <v>841</v>
      </c>
      <c r="C400" t="s">
        <v>721</v>
      </c>
      <c r="D400">
        <v>1</v>
      </c>
    </row>
    <row r="401" spans="1:4" x14ac:dyDescent="0.25">
      <c r="A401" s="81">
        <v>46039</v>
      </c>
      <c r="B401" t="s">
        <v>838</v>
      </c>
      <c r="C401" t="s">
        <v>721</v>
      </c>
      <c r="D401">
        <v>1</v>
      </c>
    </row>
    <row r="402" spans="1:4" x14ac:dyDescent="0.25">
      <c r="A402" s="81">
        <v>46039</v>
      </c>
      <c r="B402" t="s">
        <v>805</v>
      </c>
      <c r="C402" t="s">
        <v>721</v>
      </c>
      <c r="D402">
        <v>1</v>
      </c>
    </row>
    <row r="403" spans="1:4" x14ac:dyDescent="0.25">
      <c r="A403" s="81">
        <v>46039</v>
      </c>
      <c r="B403" t="s">
        <v>837</v>
      </c>
      <c r="C403" t="s">
        <v>721</v>
      </c>
      <c r="D403">
        <v>1</v>
      </c>
    </row>
    <row r="404" spans="1:4" x14ac:dyDescent="0.25">
      <c r="A404" s="81">
        <v>46040</v>
      </c>
      <c r="B404" t="s">
        <v>720</v>
      </c>
      <c r="C404" t="s">
        <v>743</v>
      </c>
      <c r="D404">
        <v>1</v>
      </c>
    </row>
    <row r="405" spans="1:4" x14ac:dyDescent="0.25">
      <c r="A405" s="81">
        <v>46040</v>
      </c>
      <c r="B405" t="s">
        <v>752</v>
      </c>
      <c r="C405" t="s">
        <v>743</v>
      </c>
      <c r="D405">
        <v>1</v>
      </c>
    </row>
    <row r="406" spans="1:4" x14ac:dyDescent="0.25">
      <c r="A406" s="81">
        <v>46040</v>
      </c>
      <c r="B406" t="s">
        <v>761</v>
      </c>
      <c r="C406" t="s">
        <v>743</v>
      </c>
      <c r="D406">
        <v>1</v>
      </c>
    </row>
    <row r="407" spans="1:4" x14ac:dyDescent="0.25">
      <c r="A407" s="81">
        <v>46040</v>
      </c>
      <c r="B407" t="s">
        <v>841</v>
      </c>
      <c r="C407" t="s">
        <v>743</v>
      </c>
      <c r="D407">
        <v>1</v>
      </c>
    </row>
    <row r="408" spans="1:4" x14ac:dyDescent="0.25">
      <c r="A408" s="81">
        <v>46040</v>
      </c>
      <c r="B408" t="s">
        <v>724</v>
      </c>
      <c r="C408" t="s">
        <v>743</v>
      </c>
      <c r="D408">
        <v>1</v>
      </c>
    </row>
    <row r="409" spans="1:4" x14ac:dyDescent="0.25">
      <c r="A409" s="81">
        <v>46040</v>
      </c>
      <c r="B409" t="s">
        <v>785</v>
      </c>
      <c r="C409" t="s">
        <v>743</v>
      </c>
      <c r="D409">
        <v>1</v>
      </c>
    </row>
    <row r="410" spans="1:4" x14ac:dyDescent="0.25">
      <c r="A410" s="81">
        <v>46040</v>
      </c>
      <c r="B410" t="s">
        <v>839</v>
      </c>
      <c r="C410" t="s">
        <v>743</v>
      </c>
      <c r="D410">
        <v>1</v>
      </c>
    </row>
    <row r="411" spans="1:4" x14ac:dyDescent="0.25">
      <c r="A411" s="81">
        <v>46040</v>
      </c>
      <c r="B411" t="s">
        <v>727</v>
      </c>
      <c r="C411" t="s">
        <v>743</v>
      </c>
      <c r="D411">
        <v>1</v>
      </c>
    </row>
    <row r="412" spans="1:4" x14ac:dyDescent="0.25">
      <c r="A412" s="81">
        <v>46041</v>
      </c>
      <c r="B412" t="s">
        <v>842</v>
      </c>
      <c r="C412" t="s">
        <v>741</v>
      </c>
      <c r="D412">
        <v>1</v>
      </c>
    </row>
    <row r="413" spans="1:4" x14ac:dyDescent="0.25">
      <c r="A413" s="81">
        <v>46041</v>
      </c>
      <c r="B413" t="s">
        <v>843</v>
      </c>
      <c r="C413" t="s">
        <v>741</v>
      </c>
      <c r="D413">
        <v>1</v>
      </c>
    </row>
    <row r="414" spans="1:4" x14ac:dyDescent="0.25">
      <c r="A414" s="81">
        <v>46042</v>
      </c>
      <c r="B414" t="s">
        <v>797</v>
      </c>
      <c r="C414" t="s">
        <v>721</v>
      </c>
      <c r="D414">
        <v>1</v>
      </c>
    </row>
    <row r="415" spans="1:4" x14ac:dyDescent="0.25">
      <c r="A415" s="81">
        <v>46042</v>
      </c>
      <c r="B415" t="s">
        <v>761</v>
      </c>
      <c r="C415" t="s">
        <v>721</v>
      </c>
      <c r="D415">
        <v>1</v>
      </c>
    </row>
    <row r="416" spans="1:4" x14ac:dyDescent="0.25">
      <c r="A416" s="81">
        <v>46043</v>
      </c>
      <c r="B416" t="s">
        <v>720</v>
      </c>
      <c r="C416" t="s">
        <v>743</v>
      </c>
      <c r="D416">
        <v>1</v>
      </c>
    </row>
    <row r="417" spans="1:4" x14ac:dyDescent="0.25">
      <c r="A417" s="81">
        <v>46043</v>
      </c>
      <c r="B417" t="s">
        <v>724</v>
      </c>
      <c r="C417" t="s">
        <v>743</v>
      </c>
      <c r="D417">
        <v>1</v>
      </c>
    </row>
    <row r="418" spans="1:4" x14ac:dyDescent="0.25">
      <c r="A418" s="81">
        <v>46043</v>
      </c>
      <c r="B418" t="s">
        <v>785</v>
      </c>
      <c r="C418" t="s">
        <v>743</v>
      </c>
      <c r="D418">
        <v>1</v>
      </c>
    </row>
    <row r="419" spans="1:4" x14ac:dyDescent="0.25">
      <c r="A419" s="81">
        <v>46043</v>
      </c>
      <c r="B419" t="s">
        <v>768</v>
      </c>
      <c r="C419" t="s">
        <v>743</v>
      </c>
      <c r="D419">
        <v>1</v>
      </c>
    </row>
    <row r="420" spans="1:4" x14ac:dyDescent="0.25">
      <c r="A420" s="81">
        <v>46044</v>
      </c>
      <c r="B420" t="s">
        <v>805</v>
      </c>
      <c r="C420" t="s">
        <v>721</v>
      </c>
      <c r="D420">
        <v>1</v>
      </c>
    </row>
    <row r="421" spans="1:4" x14ac:dyDescent="0.25">
      <c r="A421" s="81">
        <v>46044</v>
      </c>
      <c r="B421" t="s">
        <v>830</v>
      </c>
      <c r="C421" t="s">
        <v>721</v>
      </c>
      <c r="D421">
        <v>1</v>
      </c>
    </row>
    <row r="422" spans="1:4" x14ac:dyDescent="0.25">
      <c r="A422" s="81">
        <v>46044</v>
      </c>
      <c r="B422" t="s">
        <v>795</v>
      </c>
      <c r="C422" t="s">
        <v>721</v>
      </c>
      <c r="D422">
        <v>1</v>
      </c>
    </row>
    <row r="423" spans="1:4" x14ac:dyDescent="0.25">
      <c r="A423" s="81">
        <v>46044</v>
      </c>
      <c r="B423" t="s">
        <v>808</v>
      </c>
      <c r="C423" t="s">
        <v>721</v>
      </c>
      <c r="D423">
        <v>2</v>
      </c>
    </row>
    <row r="424" spans="1:4" x14ac:dyDescent="0.25">
      <c r="A424" s="81">
        <v>46044</v>
      </c>
      <c r="B424" t="s">
        <v>754</v>
      </c>
      <c r="C424" t="s">
        <v>721</v>
      </c>
      <c r="D424">
        <v>2</v>
      </c>
    </row>
    <row r="425" spans="1:4" x14ac:dyDescent="0.25">
      <c r="A425" s="81">
        <v>46044</v>
      </c>
      <c r="B425" t="s">
        <v>844</v>
      </c>
      <c r="C425" t="s">
        <v>721</v>
      </c>
      <c r="D425">
        <v>1</v>
      </c>
    </row>
    <row r="426" spans="1:4" x14ac:dyDescent="0.25">
      <c r="A426" s="81">
        <v>46045</v>
      </c>
      <c r="B426" t="s">
        <v>797</v>
      </c>
      <c r="C426" t="s">
        <v>721</v>
      </c>
      <c r="D426">
        <v>1</v>
      </c>
    </row>
    <row r="427" spans="1:4" x14ac:dyDescent="0.25">
      <c r="A427" s="81">
        <v>46045</v>
      </c>
      <c r="B427" t="s">
        <v>724</v>
      </c>
      <c r="C427" t="s">
        <v>721</v>
      </c>
      <c r="D427">
        <v>1</v>
      </c>
    </row>
    <row r="428" spans="1:4" x14ac:dyDescent="0.25">
      <c r="A428" s="81">
        <v>46045</v>
      </c>
      <c r="B428" t="s">
        <v>785</v>
      </c>
      <c r="C428" t="s">
        <v>721</v>
      </c>
      <c r="D428">
        <v>1</v>
      </c>
    </row>
    <row r="429" spans="1:4" x14ac:dyDescent="0.25">
      <c r="A429" s="81">
        <v>46045</v>
      </c>
      <c r="B429" t="s">
        <v>727</v>
      </c>
      <c r="C429" t="s">
        <v>721</v>
      </c>
      <c r="D429">
        <v>1</v>
      </c>
    </row>
    <row r="430" spans="1:4" x14ac:dyDescent="0.25">
      <c r="A430" s="81">
        <v>46045</v>
      </c>
      <c r="B430" t="s">
        <v>752</v>
      </c>
      <c r="C430" t="s">
        <v>721</v>
      </c>
      <c r="D430">
        <v>1</v>
      </c>
    </row>
    <row r="431" spans="1:4" x14ac:dyDescent="0.25">
      <c r="A431" s="81">
        <v>46045</v>
      </c>
      <c r="B431" t="s">
        <v>761</v>
      </c>
      <c r="C431" t="s">
        <v>721</v>
      </c>
      <c r="D431">
        <v>1</v>
      </c>
    </row>
    <row r="432" spans="1:4" x14ac:dyDescent="0.25">
      <c r="A432" s="81">
        <v>46045</v>
      </c>
      <c r="B432" t="s">
        <v>804</v>
      </c>
      <c r="C432" t="s">
        <v>721</v>
      </c>
      <c r="D432">
        <v>1</v>
      </c>
    </row>
    <row r="433" spans="1:4" x14ac:dyDescent="0.25">
      <c r="A433" s="81">
        <v>46046</v>
      </c>
      <c r="B433" t="s">
        <v>720</v>
      </c>
      <c r="C433" t="s">
        <v>721</v>
      </c>
      <c r="D433">
        <v>1</v>
      </c>
    </row>
    <row r="434" spans="1:4" x14ac:dyDescent="0.25">
      <c r="A434" s="81">
        <v>46046</v>
      </c>
      <c r="B434" t="s">
        <v>808</v>
      </c>
      <c r="C434" t="s">
        <v>721</v>
      </c>
      <c r="D434">
        <v>2</v>
      </c>
    </row>
    <row r="435" spans="1:4" x14ac:dyDescent="0.25">
      <c r="A435" s="81">
        <v>46046</v>
      </c>
      <c r="B435" t="s">
        <v>754</v>
      </c>
      <c r="C435" t="s">
        <v>721</v>
      </c>
      <c r="D435">
        <v>2</v>
      </c>
    </row>
    <row r="436" spans="1:4" x14ac:dyDescent="0.25">
      <c r="A436" s="81">
        <v>46047</v>
      </c>
      <c r="B436" t="s">
        <v>716</v>
      </c>
      <c r="C436" t="s">
        <v>741</v>
      </c>
      <c r="D436">
        <v>1</v>
      </c>
    </row>
    <row r="437" spans="1:4" x14ac:dyDescent="0.25">
      <c r="A437" s="81">
        <v>46047</v>
      </c>
      <c r="B437" t="s">
        <v>845</v>
      </c>
      <c r="C437" t="s">
        <v>741</v>
      </c>
      <c r="D437">
        <v>1</v>
      </c>
    </row>
    <row r="438" spans="1:4" x14ac:dyDescent="0.25">
      <c r="A438" s="81">
        <v>46047</v>
      </c>
      <c r="B438" t="s">
        <v>846</v>
      </c>
      <c r="C438" t="s">
        <v>741</v>
      </c>
      <c r="D438">
        <v>2</v>
      </c>
    </row>
    <row r="439" spans="1:4" x14ac:dyDescent="0.25">
      <c r="A439" s="81">
        <v>46047</v>
      </c>
      <c r="B439" t="s">
        <v>805</v>
      </c>
      <c r="C439" t="s">
        <v>741</v>
      </c>
      <c r="D439">
        <v>1</v>
      </c>
    </row>
    <row r="440" spans="1:4" x14ac:dyDescent="0.25">
      <c r="A440" s="81">
        <v>46047</v>
      </c>
      <c r="B440" t="s">
        <v>659</v>
      </c>
      <c r="C440" t="s">
        <v>741</v>
      </c>
      <c r="D440">
        <v>2</v>
      </c>
    </row>
    <row r="441" spans="1:4" x14ac:dyDescent="0.25">
      <c r="A441" s="81">
        <v>46047</v>
      </c>
      <c r="B441" t="s">
        <v>783</v>
      </c>
      <c r="C441" t="s">
        <v>741</v>
      </c>
      <c r="D441">
        <v>1</v>
      </c>
    </row>
    <row r="442" spans="1:4" x14ac:dyDescent="0.25">
      <c r="A442" s="81">
        <v>46049</v>
      </c>
      <c r="B442" t="s">
        <v>847</v>
      </c>
      <c r="C442" t="s">
        <v>743</v>
      </c>
      <c r="D442">
        <v>1</v>
      </c>
    </row>
    <row r="443" spans="1:4" x14ac:dyDescent="0.25">
      <c r="A443" s="81">
        <v>46049</v>
      </c>
      <c r="B443" t="s">
        <v>793</v>
      </c>
      <c r="C443" t="s">
        <v>743</v>
      </c>
      <c r="D443">
        <v>1</v>
      </c>
    </row>
    <row r="444" spans="1:4" x14ac:dyDescent="0.25">
      <c r="A444" s="81">
        <v>46049</v>
      </c>
      <c r="B444" t="s">
        <v>785</v>
      </c>
      <c r="C444" t="s">
        <v>743</v>
      </c>
      <c r="D444">
        <v>1</v>
      </c>
    </row>
    <row r="445" spans="1:4" x14ac:dyDescent="0.25">
      <c r="A445" s="81">
        <v>46050</v>
      </c>
      <c r="B445" t="s">
        <v>797</v>
      </c>
      <c r="C445" t="s">
        <v>743</v>
      </c>
      <c r="D445">
        <v>1</v>
      </c>
    </row>
    <row r="446" spans="1:4" x14ac:dyDescent="0.25">
      <c r="A446" s="81">
        <v>46050</v>
      </c>
      <c r="B446" t="s">
        <v>793</v>
      </c>
      <c r="C446" t="s">
        <v>743</v>
      </c>
      <c r="D446">
        <v>1</v>
      </c>
    </row>
    <row r="447" spans="1:4" x14ac:dyDescent="0.25">
      <c r="A447" s="81">
        <v>46050</v>
      </c>
      <c r="B447" t="s">
        <v>752</v>
      </c>
      <c r="C447" t="s">
        <v>743</v>
      </c>
      <c r="D447">
        <v>1</v>
      </c>
    </row>
    <row r="448" spans="1:4" x14ac:dyDescent="0.25">
      <c r="A448" s="81">
        <v>46050</v>
      </c>
      <c r="B448" t="s">
        <v>729</v>
      </c>
      <c r="C448" t="s">
        <v>743</v>
      </c>
      <c r="D448">
        <v>1</v>
      </c>
    </row>
    <row r="449" spans="1:4" x14ac:dyDescent="0.25">
      <c r="A449" s="81">
        <v>46051</v>
      </c>
      <c r="B449" t="s">
        <v>848</v>
      </c>
      <c r="C449" t="s">
        <v>721</v>
      </c>
      <c r="D449">
        <v>2</v>
      </c>
    </row>
    <row r="450" spans="1:4" x14ac:dyDescent="0.25">
      <c r="A450" s="81">
        <v>46051</v>
      </c>
      <c r="B450" t="s">
        <v>805</v>
      </c>
      <c r="C450" t="s">
        <v>721</v>
      </c>
      <c r="D450">
        <v>1</v>
      </c>
    </row>
    <row r="451" spans="1:4" x14ac:dyDescent="0.25">
      <c r="A451" s="81">
        <v>46051</v>
      </c>
      <c r="B451" t="s">
        <v>738</v>
      </c>
      <c r="C451" t="s">
        <v>721</v>
      </c>
      <c r="D451">
        <v>1</v>
      </c>
    </row>
    <row r="452" spans="1:4" x14ac:dyDescent="0.25">
      <c r="A452" s="81">
        <v>46051</v>
      </c>
      <c r="B452" t="s">
        <v>849</v>
      </c>
      <c r="C452" t="s">
        <v>721</v>
      </c>
      <c r="D452">
        <v>1</v>
      </c>
    </row>
    <row r="453" spans="1:4" x14ac:dyDescent="0.25">
      <c r="A453" s="81">
        <v>46051</v>
      </c>
      <c r="B453" t="s">
        <v>850</v>
      </c>
      <c r="C453" t="s">
        <v>721</v>
      </c>
      <c r="D453">
        <v>1</v>
      </c>
    </row>
    <row r="454" spans="1:4" x14ac:dyDescent="0.25">
      <c r="A454" s="81">
        <v>46051</v>
      </c>
      <c r="B454" t="s">
        <v>736</v>
      </c>
      <c r="C454" t="s">
        <v>721</v>
      </c>
      <c r="D454">
        <v>1</v>
      </c>
    </row>
    <row r="455" spans="1:4" x14ac:dyDescent="0.25">
      <c r="A455" s="81">
        <v>46051</v>
      </c>
      <c r="B455" t="s">
        <v>851</v>
      </c>
      <c r="C455" t="s">
        <v>721</v>
      </c>
      <c r="D455">
        <v>1</v>
      </c>
    </row>
    <row r="456" spans="1:4" x14ac:dyDescent="0.25">
      <c r="A456" s="81">
        <v>46052</v>
      </c>
      <c r="B456" t="s">
        <v>797</v>
      </c>
      <c r="C456" t="s">
        <v>721</v>
      </c>
      <c r="D456">
        <v>1</v>
      </c>
    </row>
    <row r="457" spans="1:4" x14ac:dyDescent="0.25">
      <c r="A457" s="81">
        <v>46052</v>
      </c>
      <c r="B457" t="s">
        <v>785</v>
      </c>
      <c r="C457" t="s">
        <v>721</v>
      </c>
      <c r="D457">
        <v>1</v>
      </c>
    </row>
    <row r="458" spans="1:4" x14ac:dyDescent="0.25">
      <c r="A458" s="81">
        <v>46052</v>
      </c>
      <c r="B458" t="s">
        <v>727</v>
      </c>
      <c r="C458" t="s">
        <v>721</v>
      </c>
      <c r="D458">
        <v>1</v>
      </c>
    </row>
    <row r="459" spans="1:4" x14ac:dyDescent="0.25">
      <c r="A459" s="81">
        <v>46052</v>
      </c>
      <c r="B459" t="s">
        <v>752</v>
      </c>
      <c r="C459" t="s">
        <v>721</v>
      </c>
      <c r="D459">
        <v>1</v>
      </c>
    </row>
    <row r="460" spans="1:4" x14ac:dyDescent="0.25">
      <c r="A460" s="81">
        <v>46052</v>
      </c>
      <c r="B460" t="s">
        <v>761</v>
      </c>
      <c r="C460" t="s">
        <v>721</v>
      </c>
      <c r="D460">
        <v>1</v>
      </c>
    </row>
    <row r="461" spans="1:4" x14ac:dyDescent="0.25">
      <c r="A461" s="81">
        <v>46052</v>
      </c>
      <c r="B461" t="s">
        <v>849</v>
      </c>
      <c r="C461" t="s">
        <v>721</v>
      </c>
      <c r="D461">
        <v>1</v>
      </c>
    </row>
    <row r="462" spans="1:4" x14ac:dyDescent="0.25">
      <c r="A462" s="81">
        <v>46052</v>
      </c>
      <c r="B462" t="s">
        <v>851</v>
      </c>
      <c r="C462" t="s">
        <v>721</v>
      </c>
      <c r="D462">
        <v>1</v>
      </c>
    </row>
    <row r="463" spans="1:4" x14ac:dyDescent="0.25">
      <c r="A463" s="81">
        <v>46052</v>
      </c>
      <c r="B463" t="s">
        <v>850</v>
      </c>
      <c r="C463" t="s">
        <v>721</v>
      </c>
      <c r="D463">
        <v>1</v>
      </c>
    </row>
    <row r="464" spans="1:4" x14ac:dyDescent="0.25">
      <c r="A464" s="81">
        <v>46052</v>
      </c>
      <c r="B464" t="s">
        <v>736</v>
      </c>
      <c r="C464" t="s">
        <v>721</v>
      </c>
      <c r="D464">
        <v>1</v>
      </c>
    </row>
    <row r="465" spans="1:4" x14ac:dyDescent="0.25">
      <c r="A465" s="81">
        <v>46053</v>
      </c>
      <c r="B465" t="s">
        <v>720</v>
      </c>
      <c r="C465" t="s">
        <v>721</v>
      </c>
      <c r="D465">
        <v>1</v>
      </c>
    </row>
    <row r="466" spans="1:4" x14ac:dyDescent="0.25">
      <c r="A466" s="81">
        <v>46053</v>
      </c>
      <c r="B466" t="s">
        <v>797</v>
      </c>
      <c r="C466" t="s">
        <v>721</v>
      </c>
      <c r="D466">
        <v>1</v>
      </c>
    </row>
    <row r="467" spans="1:4" x14ac:dyDescent="0.25">
      <c r="A467" s="81">
        <v>46053</v>
      </c>
      <c r="B467" t="s">
        <v>849</v>
      </c>
      <c r="C467" t="s">
        <v>721</v>
      </c>
      <c r="D467">
        <v>1</v>
      </c>
    </row>
    <row r="468" spans="1:4" x14ac:dyDescent="0.25">
      <c r="A468" s="81">
        <v>46053</v>
      </c>
      <c r="B468" t="s">
        <v>752</v>
      </c>
      <c r="C468" t="s">
        <v>721</v>
      </c>
      <c r="D468">
        <v>1</v>
      </c>
    </row>
    <row r="469" spans="1:4" x14ac:dyDescent="0.25">
      <c r="A469" s="81">
        <v>46053</v>
      </c>
      <c r="B469" t="s">
        <v>813</v>
      </c>
      <c r="C469" t="s">
        <v>721</v>
      </c>
      <c r="D469">
        <v>1</v>
      </c>
    </row>
    <row r="470" spans="1:4" x14ac:dyDescent="0.25">
      <c r="A470" s="81">
        <v>46053</v>
      </c>
      <c r="B470" t="s">
        <v>761</v>
      </c>
      <c r="C470" t="s">
        <v>721</v>
      </c>
      <c r="D470">
        <v>1</v>
      </c>
    </row>
    <row r="471" spans="1:4" x14ac:dyDescent="0.25">
      <c r="A471" s="81">
        <v>46054</v>
      </c>
      <c r="B471" t="s">
        <v>797</v>
      </c>
      <c r="C471" t="s">
        <v>743</v>
      </c>
      <c r="D471">
        <v>1</v>
      </c>
    </row>
    <row r="472" spans="1:4" x14ac:dyDescent="0.25">
      <c r="A472" s="81">
        <v>46054</v>
      </c>
      <c r="B472" t="s">
        <v>724</v>
      </c>
      <c r="C472" t="s">
        <v>743</v>
      </c>
      <c r="D472">
        <v>1</v>
      </c>
    </row>
    <row r="473" spans="1:4" x14ac:dyDescent="0.25">
      <c r="A473" s="81">
        <v>46054</v>
      </c>
      <c r="B473" t="s">
        <v>852</v>
      </c>
      <c r="C473" t="s">
        <v>743</v>
      </c>
      <c r="D473">
        <v>2</v>
      </c>
    </row>
    <row r="474" spans="1:4" x14ac:dyDescent="0.25">
      <c r="A474" s="81">
        <v>46054</v>
      </c>
      <c r="B474" t="s">
        <v>785</v>
      </c>
      <c r="C474" t="s">
        <v>743</v>
      </c>
      <c r="D474">
        <v>1</v>
      </c>
    </row>
    <row r="475" spans="1:4" x14ac:dyDescent="0.25">
      <c r="A475" s="81">
        <v>46054</v>
      </c>
      <c r="B475" t="s">
        <v>727</v>
      </c>
      <c r="C475" t="s">
        <v>743</v>
      </c>
      <c r="D475">
        <v>1</v>
      </c>
    </row>
    <row r="476" spans="1:4" x14ac:dyDescent="0.25">
      <c r="A476" s="81">
        <v>46054</v>
      </c>
      <c r="B476" t="s">
        <v>738</v>
      </c>
      <c r="C476" t="s">
        <v>743</v>
      </c>
      <c r="D476">
        <v>1</v>
      </c>
    </row>
    <row r="477" spans="1:4" x14ac:dyDescent="0.25">
      <c r="A477" s="81">
        <v>46054</v>
      </c>
      <c r="B477" t="s">
        <v>850</v>
      </c>
      <c r="C477" t="s">
        <v>743</v>
      </c>
      <c r="D477">
        <v>1</v>
      </c>
    </row>
    <row r="478" spans="1:4" x14ac:dyDescent="0.25">
      <c r="A478" s="81">
        <v>46054</v>
      </c>
      <c r="B478" t="s">
        <v>736</v>
      </c>
      <c r="C478" t="s">
        <v>743</v>
      </c>
      <c r="D478">
        <v>1</v>
      </c>
    </row>
    <row r="479" spans="1:4" x14ac:dyDescent="0.25">
      <c r="A479" s="81">
        <v>46054</v>
      </c>
      <c r="B479" t="s">
        <v>853</v>
      </c>
      <c r="C479" t="s">
        <v>743</v>
      </c>
      <c r="D479">
        <v>1</v>
      </c>
    </row>
    <row r="480" spans="1:4" x14ac:dyDescent="0.25">
      <c r="A480" s="81">
        <v>46054</v>
      </c>
      <c r="B480" t="s">
        <v>854</v>
      </c>
      <c r="C480" t="s">
        <v>743</v>
      </c>
      <c r="D480">
        <v>1</v>
      </c>
    </row>
    <row r="481" spans="1:4" x14ac:dyDescent="0.25">
      <c r="A481" s="81">
        <v>46054</v>
      </c>
      <c r="B481" t="s">
        <v>752</v>
      </c>
      <c r="C481" t="s">
        <v>743</v>
      </c>
      <c r="D481">
        <v>1</v>
      </c>
    </row>
    <row r="482" spans="1:4" x14ac:dyDescent="0.25">
      <c r="A482" s="81">
        <v>46054</v>
      </c>
      <c r="B482" t="s">
        <v>761</v>
      </c>
      <c r="C482" t="s">
        <v>743</v>
      </c>
      <c r="D482">
        <v>1</v>
      </c>
    </row>
    <row r="483" spans="1:4" x14ac:dyDescent="0.25">
      <c r="A483" s="81">
        <v>46055</v>
      </c>
      <c r="B483" t="s">
        <v>716</v>
      </c>
      <c r="C483" t="s">
        <v>741</v>
      </c>
      <c r="D483">
        <v>1</v>
      </c>
    </row>
    <row r="484" spans="1:4" x14ac:dyDescent="0.25">
      <c r="A484" s="81">
        <v>46055</v>
      </c>
      <c r="B484" t="s">
        <v>855</v>
      </c>
      <c r="C484" t="s">
        <v>741</v>
      </c>
      <c r="D484">
        <v>1</v>
      </c>
    </row>
    <row r="485" spans="1:4" x14ac:dyDescent="0.25">
      <c r="A485" s="81">
        <v>46056</v>
      </c>
      <c r="B485" t="s">
        <v>852</v>
      </c>
      <c r="C485" t="s">
        <v>743</v>
      </c>
      <c r="D485">
        <v>1</v>
      </c>
    </row>
    <row r="486" spans="1:4" x14ac:dyDescent="0.25">
      <c r="A486" s="81">
        <v>46058</v>
      </c>
      <c r="B486" t="s">
        <v>725</v>
      </c>
      <c r="C486" t="s">
        <v>721</v>
      </c>
      <c r="D486">
        <v>1</v>
      </c>
    </row>
    <row r="487" spans="1:4" x14ac:dyDescent="0.25">
      <c r="A487" s="81">
        <v>46058</v>
      </c>
      <c r="B487" t="s">
        <v>856</v>
      </c>
      <c r="C487" t="s">
        <v>721</v>
      </c>
      <c r="D487">
        <v>1</v>
      </c>
    </row>
    <row r="488" spans="1:4" x14ac:dyDescent="0.25">
      <c r="A488" s="81">
        <v>46058</v>
      </c>
      <c r="B488" t="s">
        <v>857</v>
      </c>
      <c r="C488" t="s">
        <v>721</v>
      </c>
      <c r="D488">
        <v>1</v>
      </c>
    </row>
    <row r="489" spans="1:4" x14ac:dyDescent="0.25">
      <c r="A489" s="81">
        <v>46058</v>
      </c>
      <c r="B489" t="s">
        <v>858</v>
      </c>
      <c r="C489" t="s">
        <v>721</v>
      </c>
      <c r="D489">
        <v>1</v>
      </c>
    </row>
    <row r="490" spans="1:4" x14ac:dyDescent="0.25">
      <c r="A490" s="81">
        <v>46058</v>
      </c>
      <c r="B490" t="s">
        <v>752</v>
      </c>
      <c r="C490" t="s">
        <v>721</v>
      </c>
      <c r="D490">
        <v>1</v>
      </c>
    </row>
    <row r="491" spans="1:4" x14ac:dyDescent="0.25">
      <c r="A491" s="81">
        <v>46059</v>
      </c>
      <c r="B491" t="s">
        <v>725</v>
      </c>
      <c r="C491" t="s">
        <v>721</v>
      </c>
      <c r="D491">
        <v>1</v>
      </c>
    </row>
    <row r="492" spans="1:4" x14ac:dyDescent="0.25">
      <c r="A492" s="81">
        <v>46059</v>
      </c>
      <c r="B492" t="s">
        <v>720</v>
      </c>
      <c r="C492" t="s">
        <v>721</v>
      </c>
      <c r="D492">
        <v>1</v>
      </c>
    </row>
    <row r="493" spans="1:4" x14ac:dyDescent="0.25">
      <c r="A493" s="81">
        <v>46059</v>
      </c>
      <c r="B493" t="s">
        <v>857</v>
      </c>
      <c r="C493" t="s">
        <v>721</v>
      </c>
      <c r="D493">
        <v>1</v>
      </c>
    </row>
    <row r="494" spans="1:4" x14ac:dyDescent="0.25">
      <c r="A494" s="81">
        <v>46059</v>
      </c>
      <c r="B494" t="s">
        <v>752</v>
      </c>
      <c r="C494" t="s">
        <v>721</v>
      </c>
      <c r="D494">
        <v>1</v>
      </c>
    </row>
    <row r="495" spans="1:4" x14ac:dyDescent="0.25">
      <c r="A495" s="81">
        <v>46059</v>
      </c>
      <c r="B495" t="s">
        <v>761</v>
      </c>
      <c r="C495" t="s">
        <v>721</v>
      </c>
      <c r="D495">
        <v>1</v>
      </c>
    </row>
    <row r="496" spans="1:4" x14ac:dyDescent="0.25">
      <c r="A496" s="81">
        <v>46059</v>
      </c>
      <c r="B496" t="s">
        <v>856</v>
      </c>
      <c r="C496" t="s">
        <v>721</v>
      </c>
      <c r="D496">
        <v>1</v>
      </c>
    </row>
    <row r="497" spans="1:4" x14ac:dyDescent="0.25">
      <c r="A497" s="81">
        <v>46060</v>
      </c>
      <c r="B497" t="s">
        <v>752</v>
      </c>
      <c r="C497" t="s">
        <v>721</v>
      </c>
      <c r="D497">
        <v>1</v>
      </c>
    </row>
    <row r="498" spans="1:4" x14ac:dyDescent="0.25">
      <c r="A498" s="81">
        <v>46060</v>
      </c>
      <c r="B498" t="s">
        <v>761</v>
      </c>
      <c r="C498" t="s">
        <v>721</v>
      </c>
      <c r="D498">
        <v>1</v>
      </c>
    </row>
    <row r="499" spans="1:4" x14ac:dyDescent="0.25">
      <c r="A499" s="81">
        <v>46060</v>
      </c>
      <c r="B499" t="s">
        <v>760</v>
      </c>
      <c r="C499" t="s">
        <v>721</v>
      </c>
      <c r="D499">
        <v>1</v>
      </c>
    </row>
    <row r="500" spans="1:4" x14ac:dyDescent="0.25">
      <c r="A500" s="81">
        <v>46060</v>
      </c>
      <c r="B500" t="s">
        <v>796</v>
      </c>
      <c r="C500" t="s">
        <v>721</v>
      </c>
      <c r="D500">
        <v>1</v>
      </c>
    </row>
    <row r="501" spans="1:4" x14ac:dyDescent="0.25">
      <c r="A501" s="81">
        <v>46060</v>
      </c>
      <c r="B501" t="s">
        <v>859</v>
      </c>
      <c r="C501" t="s">
        <v>721</v>
      </c>
      <c r="D501">
        <v>1</v>
      </c>
    </row>
    <row r="502" spans="1:4" x14ac:dyDescent="0.25">
      <c r="A502" s="81">
        <v>46060</v>
      </c>
      <c r="B502" t="s">
        <v>860</v>
      </c>
      <c r="C502" t="s">
        <v>721</v>
      </c>
      <c r="D502">
        <v>1</v>
      </c>
    </row>
    <row r="503" spans="1:4" x14ac:dyDescent="0.25">
      <c r="A503" s="81">
        <v>46061</v>
      </c>
      <c r="B503" t="s">
        <v>861</v>
      </c>
      <c r="C503" t="s">
        <v>741</v>
      </c>
      <c r="D503">
        <v>1</v>
      </c>
    </row>
    <row r="504" spans="1:4" x14ac:dyDescent="0.25">
      <c r="A504" s="81">
        <v>46061</v>
      </c>
      <c r="B504" t="s">
        <v>725</v>
      </c>
      <c r="C504" t="s">
        <v>721</v>
      </c>
      <c r="D504">
        <v>1</v>
      </c>
    </row>
    <row r="505" spans="1:4" x14ac:dyDescent="0.25">
      <c r="A505" s="81">
        <v>46061</v>
      </c>
      <c r="B505" t="s">
        <v>857</v>
      </c>
      <c r="C505" t="s">
        <v>721</v>
      </c>
      <c r="D505">
        <v>1</v>
      </c>
    </row>
    <row r="506" spans="1:4" x14ac:dyDescent="0.25">
      <c r="A506" s="81">
        <v>46061</v>
      </c>
      <c r="B506" t="s">
        <v>761</v>
      </c>
      <c r="C506" t="s">
        <v>721</v>
      </c>
      <c r="D506">
        <v>1</v>
      </c>
    </row>
    <row r="507" spans="1:4" x14ac:dyDescent="0.25">
      <c r="A507" s="81">
        <v>46061</v>
      </c>
      <c r="B507" t="s">
        <v>859</v>
      </c>
      <c r="C507" t="s">
        <v>721</v>
      </c>
      <c r="D507">
        <v>1</v>
      </c>
    </row>
    <row r="508" spans="1:4" x14ac:dyDescent="0.25">
      <c r="A508" s="81">
        <v>46061</v>
      </c>
      <c r="B508" t="s">
        <v>856</v>
      </c>
      <c r="C508" t="s">
        <v>721</v>
      </c>
      <c r="D508">
        <v>1</v>
      </c>
    </row>
    <row r="509" spans="1:4" x14ac:dyDescent="0.25">
      <c r="A509" s="81">
        <v>46062</v>
      </c>
      <c r="B509" t="s">
        <v>689</v>
      </c>
      <c r="C509" t="s">
        <v>741</v>
      </c>
      <c r="D509">
        <v>1</v>
      </c>
    </row>
    <row r="510" spans="1:4" x14ac:dyDescent="0.25">
      <c r="A510" s="81">
        <v>46062</v>
      </c>
      <c r="B510" t="s">
        <v>720</v>
      </c>
      <c r="C510" t="s">
        <v>741</v>
      </c>
      <c r="D510">
        <v>1</v>
      </c>
    </row>
    <row r="511" spans="1:4" x14ac:dyDescent="0.25">
      <c r="A511" s="81">
        <v>46064</v>
      </c>
      <c r="B511" t="s">
        <v>862</v>
      </c>
      <c r="C511" t="s">
        <v>743</v>
      </c>
      <c r="D511">
        <v>1</v>
      </c>
    </row>
    <row r="512" spans="1:4" x14ac:dyDescent="0.25">
      <c r="A512" s="81">
        <v>46065</v>
      </c>
      <c r="B512" t="s">
        <v>689</v>
      </c>
      <c r="C512" t="s">
        <v>721</v>
      </c>
      <c r="D512">
        <v>1</v>
      </c>
    </row>
    <row r="513" spans="1:4" x14ac:dyDescent="0.25">
      <c r="A513" s="81">
        <v>46065</v>
      </c>
      <c r="B513" t="s">
        <v>752</v>
      </c>
      <c r="C513" t="s">
        <v>721</v>
      </c>
      <c r="D513">
        <v>1</v>
      </c>
    </row>
    <row r="514" spans="1:4" x14ac:dyDescent="0.25">
      <c r="A514" s="81">
        <v>46065</v>
      </c>
      <c r="B514" t="s">
        <v>761</v>
      </c>
      <c r="C514" t="s">
        <v>721</v>
      </c>
      <c r="D514">
        <v>1</v>
      </c>
    </row>
    <row r="515" spans="1:4" x14ac:dyDescent="0.25">
      <c r="A515" s="81">
        <v>46066</v>
      </c>
      <c r="B515" t="s">
        <v>863</v>
      </c>
      <c r="C515" t="s">
        <v>721</v>
      </c>
      <c r="D515">
        <v>2</v>
      </c>
    </row>
    <row r="516" spans="1:4" x14ac:dyDescent="0.25">
      <c r="A516" s="81">
        <v>46066</v>
      </c>
      <c r="B516" t="s">
        <v>864</v>
      </c>
      <c r="C516" t="s">
        <v>721</v>
      </c>
      <c r="D516">
        <v>4</v>
      </c>
    </row>
    <row r="517" spans="1:4" x14ac:dyDescent="0.25">
      <c r="A517" s="81">
        <v>46066</v>
      </c>
      <c r="B517" t="s">
        <v>753</v>
      </c>
      <c r="C517" t="s">
        <v>721</v>
      </c>
      <c r="D517">
        <v>4</v>
      </c>
    </row>
    <row r="518" spans="1:4" x14ac:dyDescent="0.25">
      <c r="A518" s="81">
        <v>46066</v>
      </c>
      <c r="B518" t="s">
        <v>865</v>
      </c>
      <c r="C518" t="s">
        <v>721</v>
      </c>
      <c r="D518">
        <v>2</v>
      </c>
    </row>
    <row r="519" spans="1:4" x14ac:dyDescent="0.25">
      <c r="A519" s="81">
        <v>46066</v>
      </c>
      <c r="B519" t="s">
        <v>760</v>
      </c>
      <c r="C519" t="s">
        <v>721</v>
      </c>
      <c r="D519">
        <v>2</v>
      </c>
    </row>
    <row r="520" spans="1:4" x14ac:dyDescent="0.25">
      <c r="A520" s="81">
        <v>46066</v>
      </c>
      <c r="B520" t="s">
        <v>738</v>
      </c>
      <c r="C520" t="s">
        <v>721</v>
      </c>
      <c r="D520">
        <v>2</v>
      </c>
    </row>
    <row r="521" spans="1:4" x14ac:dyDescent="0.25">
      <c r="A521" s="81">
        <v>46066</v>
      </c>
      <c r="B521" t="s">
        <v>725</v>
      </c>
      <c r="C521" t="s">
        <v>721</v>
      </c>
      <c r="D521">
        <v>2</v>
      </c>
    </row>
    <row r="522" spans="1:4" x14ac:dyDescent="0.25">
      <c r="A522" s="81">
        <v>46066</v>
      </c>
      <c r="B522" t="s">
        <v>727</v>
      </c>
      <c r="C522" t="s">
        <v>721</v>
      </c>
      <c r="D522">
        <v>2</v>
      </c>
    </row>
    <row r="523" spans="1:4" x14ac:dyDescent="0.25">
      <c r="A523" s="81">
        <v>46066</v>
      </c>
      <c r="B523" t="s">
        <v>752</v>
      </c>
      <c r="C523" t="s">
        <v>721</v>
      </c>
      <c r="D523">
        <v>2</v>
      </c>
    </row>
    <row r="524" spans="1:4" x14ac:dyDescent="0.25">
      <c r="A524" s="81">
        <v>46066</v>
      </c>
      <c r="B524" t="s">
        <v>863</v>
      </c>
      <c r="C524" t="s">
        <v>721</v>
      </c>
      <c r="D524">
        <v>2</v>
      </c>
    </row>
    <row r="525" spans="1:4" x14ac:dyDescent="0.25">
      <c r="A525" s="81">
        <v>46066</v>
      </c>
      <c r="B525" t="s">
        <v>720</v>
      </c>
      <c r="C525" t="s">
        <v>721</v>
      </c>
      <c r="D525">
        <v>2</v>
      </c>
    </row>
    <row r="526" spans="1:4" x14ac:dyDescent="0.25">
      <c r="A526" s="81">
        <v>46066</v>
      </c>
      <c r="B526" t="s">
        <v>753</v>
      </c>
      <c r="C526" t="s">
        <v>721</v>
      </c>
      <c r="D526">
        <v>2</v>
      </c>
    </row>
    <row r="527" spans="1:4" x14ac:dyDescent="0.25">
      <c r="A527" s="81">
        <v>46067</v>
      </c>
      <c r="B527" t="s">
        <v>720</v>
      </c>
      <c r="C527" t="s">
        <v>721</v>
      </c>
      <c r="D527">
        <v>2</v>
      </c>
    </row>
    <row r="528" spans="1:4" x14ac:dyDescent="0.25">
      <c r="A528" s="81">
        <v>46067</v>
      </c>
      <c r="B528" t="s">
        <v>725</v>
      </c>
      <c r="C528" t="s">
        <v>721</v>
      </c>
      <c r="D528">
        <v>2</v>
      </c>
    </row>
    <row r="529" spans="1:4" x14ac:dyDescent="0.25">
      <c r="A529" s="81">
        <v>46067</v>
      </c>
      <c r="B529" t="s">
        <v>727</v>
      </c>
      <c r="C529" t="s">
        <v>721</v>
      </c>
      <c r="D529">
        <v>2</v>
      </c>
    </row>
    <row r="530" spans="1:4" x14ac:dyDescent="0.25">
      <c r="A530" s="81">
        <v>46067</v>
      </c>
      <c r="B530" t="s">
        <v>752</v>
      </c>
      <c r="C530" t="s">
        <v>721</v>
      </c>
      <c r="D530">
        <v>2</v>
      </c>
    </row>
    <row r="531" spans="1:4" x14ac:dyDescent="0.25">
      <c r="A531" s="81">
        <v>46067</v>
      </c>
      <c r="B531" t="s">
        <v>761</v>
      </c>
      <c r="C531" t="s">
        <v>721</v>
      </c>
      <c r="D531">
        <v>2</v>
      </c>
    </row>
    <row r="532" spans="1:4" x14ac:dyDescent="0.25">
      <c r="A532" s="81">
        <v>46067</v>
      </c>
      <c r="B532" t="s">
        <v>805</v>
      </c>
      <c r="C532" t="s">
        <v>721</v>
      </c>
      <c r="D532">
        <v>2</v>
      </c>
    </row>
    <row r="533" spans="1:4" x14ac:dyDescent="0.25">
      <c r="A533" s="81">
        <v>46067</v>
      </c>
      <c r="B533" t="s">
        <v>739</v>
      </c>
      <c r="C533" t="s">
        <v>721</v>
      </c>
      <c r="D533">
        <v>2</v>
      </c>
    </row>
    <row r="534" spans="1:4" x14ac:dyDescent="0.25">
      <c r="A534" s="81">
        <v>46067</v>
      </c>
      <c r="B534" t="s">
        <v>724</v>
      </c>
      <c r="C534" t="s">
        <v>721</v>
      </c>
      <c r="D534">
        <v>2</v>
      </c>
    </row>
    <row r="535" spans="1:4" x14ac:dyDescent="0.25">
      <c r="A535" s="81">
        <v>46067</v>
      </c>
      <c r="B535" t="s">
        <v>753</v>
      </c>
      <c r="C535" t="s">
        <v>721</v>
      </c>
      <c r="D535">
        <v>2</v>
      </c>
    </row>
    <row r="536" spans="1:4" x14ac:dyDescent="0.25">
      <c r="A536" s="81">
        <v>46067</v>
      </c>
      <c r="B536" t="s">
        <v>865</v>
      </c>
      <c r="C536" t="s">
        <v>721</v>
      </c>
      <c r="D536">
        <v>2</v>
      </c>
    </row>
    <row r="537" spans="1:4" x14ac:dyDescent="0.25">
      <c r="A537" s="81">
        <v>46067</v>
      </c>
      <c r="B537" t="s">
        <v>727</v>
      </c>
      <c r="C537" t="s">
        <v>721</v>
      </c>
      <c r="D537">
        <v>2</v>
      </c>
    </row>
    <row r="538" spans="1:4" x14ac:dyDescent="0.25">
      <c r="A538" s="81">
        <v>46067</v>
      </c>
      <c r="B538" t="s">
        <v>753</v>
      </c>
      <c r="C538" t="s">
        <v>721</v>
      </c>
      <c r="D538">
        <v>2</v>
      </c>
    </row>
    <row r="539" spans="1:4" x14ac:dyDescent="0.25">
      <c r="A539" s="81">
        <v>46067</v>
      </c>
      <c r="B539" t="s">
        <v>738</v>
      </c>
      <c r="C539" t="s">
        <v>721</v>
      </c>
      <c r="D539">
        <v>2</v>
      </c>
    </row>
    <row r="540" spans="1:4" x14ac:dyDescent="0.25">
      <c r="A540" s="81">
        <v>46067</v>
      </c>
      <c r="B540" t="s">
        <v>805</v>
      </c>
      <c r="C540" t="s">
        <v>721</v>
      </c>
      <c r="D540">
        <v>2</v>
      </c>
    </row>
    <row r="541" spans="1:4" x14ac:dyDescent="0.25">
      <c r="A541" s="81">
        <v>46067</v>
      </c>
      <c r="B541" t="s">
        <v>865</v>
      </c>
      <c r="C541" t="s">
        <v>721</v>
      </c>
      <c r="D541">
        <v>2</v>
      </c>
    </row>
    <row r="542" spans="1:4" x14ac:dyDescent="0.25">
      <c r="A542" s="81">
        <v>46067</v>
      </c>
      <c r="B542" t="s">
        <v>729</v>
      </c>
      <c r="C542" t="s">
        <v>721</v>
      </c>
      <c r="D542">
        <v>2</v>
      </c>
    </row>
    <row r="543" spans="1:4" x14ac:dyDescent="0.25">
      <c r="A543" s="81">
        <v>46067</v>
      </c>
      <c r="B543" t="s">
        <v>752</v>
      </c>
      <c r="C543" t="s">
        <v>721</v>
      </c>
      <c r="D543">
        <v>2</v>
      </c>
    </row>
    <row r="544" spans="1:4" x14ac:dyDescent="0.25">
      <c r="A544" s="81">
        <v>46067</v>
      </c>
      <c r="B544" t="s">
        <v>761</v>
      </c>
      <c r="C544" t="s">
        <v>721</v>
      </c>
      <c r="D544">
        <v>2</v>
      </c>
    </row>
    <row r="545" spans="1:4" x14ac:dyDescent="0.25">
      <c r="A545" s="81">
        <v>46068</v>
      </c>
      <c r="B545" t="s">
        <v>866</v>
      </c>
      <c r="C545" t="s">
        <v>741</v>
      </c>
      <c r="D545">
        <v>2</v>
      </c>
    </row>
    <row r="546" spans="1:4" x14ac:dyDescent="0.25">
      <c r="A546" s="81">
        <v>46068</v>
      </c>
      <c r="B546" t="s">
        <v>867</v>
      </c>
      <c r="C546" t="s">
        <v>741</v>
      </c>
      <c r="D546">
        <v>4</v>
      </c>
    </row>
    <row r="547" spans="1:4" x14ac:dyDescent="0.25">
      <c r="A547" s="81">
        <v>46068</v>
      </c>
      <c r="B547" t="s">
        <v>868</v>
      </c>
      <c r="C547" t="s">
        <v>741</v>
      </c>
      <c r="D547">
        <v>2</v>
      </c>
    </row>
    <row r="548" spans="1:4" x14ac:dyDescent="0.25">
      <c r="A548" s="81">
        <v>46068</v>
      </c>
      <c r="B548" t="s">
        <v>869</v>
      </c>
      <c r="C548" t="s">
        <v>741</v>
      </c>
      <c r="D548">
        <v>2</v>
      </c>
    </row>
    <row r="549" spans="1:4" x14ac:dyDescent="0.25">
      <c r="A549" s="81">
        <v>46068</v>
      </c>
      <c r="B549" t="s">
        <v>864</v>
      </c>
      <c r="C549" t="s">
        <v>721</v>
      </c>
      <c r="D549">
        <v>2</v>
      </c>
    </row>
    <row r="550" spans="1:4" x14ac:dyDescent="0.25">
      <c r="A550" s="81">
        <v>46068</v>
      </c>
      <c r="B550" t="s">
        <v>865</v>
      </c>
      <c r="C550" t="s">
        <v>721</v>
      </c>
      <c r="D550">
        <v>2</v>
      </c>
    </row>
    <row r="551" spans="1:4" x14ac:dyDescent="0.25">
      <c r="A551" s="81">
        <v>46068</v>
      </c>
      <c r="B551" t="s">
        <v>689</v>
      </c>
      <c r="C551" t="s">
        <v>721</v>
      </c>
      <c r="D551">
        <v>2</v>
      </c>
    </row>
    <row r="552" spans="1:4" x14ac:dyDescent="0.25">
      <c r="A552" s="81">
        <v>46068</v>
      </c>
      <c r="B552" t="s">
        <v>689</v>
      </c>
      <c r="C552" t="s">
        <v>721</v>
      </c>
      <c r="D552">
        <v>4</v>
      </c>
    </row>
    <row r="553" spans="1:4" x14ac:dyDescent="0.25">
      <c r="A553" s="81">
        <v>46068</v>
      </c>
      <c r="B553" t="s">
        <v>727</v>
      </c>
      <c r="C553" t="s">
        <v>721</v>
      </c>
      <c r="D553">
        <v>2</v>
      </c>
    </row>
    <row r="554" spans="1:4" x14ac:dyDescent="0.25">
      <c r="A554" s="81">
        <v>46068</v>
      </c>
      <c r="B554" t="s">
        <v>752</v>
      </c>
      <c r="C554" t="s">
        <v>721</v>
      </c>
      <c r="D554">
        <v>2</v>
      </c>
    </row>
    <row r="555" spans="1:4" x14ac:dyDescent="0.25">
      <c r="A555" s="81">
        <v>46068</v>
      </c>
      <c r="B555" t="s">
        <v>761</v>
      </c>
      <c r="C555" t="s">
        <v>721</v>
      </c>
      <c r="D555">
        <v>4</v>
      </c>
    </row>
    <row r="556" spans="1:4" x14ac:dyDescent="0.25">
      <c r="A556" s="81">
        <v>46068</v>
      </c>
      <c r="B556" t="s">
        <v>826</v>
      </c>
      <c r="C556" t="s">
        <v>721</v>
      </c>
      <c r="D556">
        <v>2</v>
      </c>
    </row>
    <row r="557" spans="1:4" x14ac:dyDescent="0.25">
      <c r="A557" s="81">
        <v>46068</v>
      </c>
      <c r="B557" t="s">
        <v>729</v>
      </c>
      <c r="C557" t="s">
        <v>721</v>
      </c>
      <c r="D557">
        <v>2</v>
      </c>
    </row>
    <row r="558" spans="1:4" x14ac:dyDescent="0.25">
      <c r="A558" s="81">
        <v>46068</v>
      </c>
      <c r="B558" t="s">
        <v>738</v>
      </c>
      <c r="C558" t="s">
        <v>721</v>
      </c>
      <c r="D558">
        <v>2</v>
      </c>
    </row>
    <row r="559" spans="1:4" x14ac:dyDescent="0.25">
      <c r="A559" s="81">
        <v>46068</v>
      </c>
      <c r="B559" t="s">
        <v>805</v>
      </c>
      <c r="C559" t="s">
        <v>721</v>
      </c>
      <c r="D559">
        <v>2</v>
      </c>
    </row>
    <row r="560" spans="1:4" x14ac:dyDescent="0.25">
      <c r="A560" s="81">
        <v>46068</v>
      </c>
      <c r="B560" t="s">
        <v>863</v>
      </c>
      <c r="C560" t="s">
        <v>721</v>
      </c>
      <c r="D560">
        <v>2</v>
      </c>
    </row>
    <row r="561" spans="1:4" x14ac:dyDescent="0.25">
      <c r="A561" s="81">
        <v>46068</v>
      </c>
      <c r="B561" t="s">
        <v>753</v>
      </c>
      <c r="C561" t="s">
        <v>721</v>
      </c>
      <c r="D561">
        <v>4</v>
      </c>
    </row>
    <row r="562" spans="1:4" x14ac:dyDescent="0.25">
      <c r="A562" s="81">
        <v>46068</v>
      </c>
      <c r="B562" t="s">
        <v>752</v>
      </c>
      <c r="C562" t="s">
        <v>721</v>
      </c>
      <c r="D562">
        <v>2</v>
      </c>
    </row>
    <row r="563" spans="1:4" x14ac:dyDescent="0.25">
      <c r="A563" s="81">
        <v>46068</v>
      </c>
      <c r="B563" t="s">
        <v>761</v>
      </c>
      <c r="C563" t="s">
        <v>721</v>
      </c>
      <c r="D563">
        <v>2</v>
      </c>
    </row>
    <row r="564" spans="1:4" x14ac:dyDescent="0.25">
      <c r="A564" s="81">
        <v>46069</v>
      </c>
      <c r="B564" t="s">
        <v>753</v>
      </c>
      <c r="C564" t="s">
        <v>741</v>
      </c>
      <c r="D564">
        <v>6</v>
      </c>
    </row>
    <row r="565" spans="1:4" x14ac:dyDescent="0.25">
      <c r="A565" s="81">
        <v>46069</v>
      </c>
      <c r="B565" t="s">
        <v>864</v>
      </c>
      <c r="C565" t="s">
        <v>741</v>
      </c>
      <c r="D565">
        <v>4</v>
      </c>
    </row>
    <row r="566" spans="1:4" x14ac:dyDescent="0.25">
      <c r="A566" s="81">
        <v>46069</v>
      </c>
      <c r="B566" t="s">
        <v>819</v>
      </c>
      <c r="C566" t="s">
        <v>741</v>
      </c>
      <c r="D566">
        <v>4</v>
      </c>
    </row>
    <row r="567" spans="1:4" x14ac:dyDescent="0.25">
      <c r="A567" s="81">
        <v>46069</v>
      </c>
      <c r="B567" t="s">
        <v>725</v>
      </c>
      <c r="C567" t="s">
        <v>741</v>
      </c>
      <c r="D567">
        <v>2</v>
      </c>
    </row>
    <row r="568" spans="1:4" x14ac:dyDescent="0.25">
      <c r="A568" s="81">
        <v>46069</v>
      </c>
      <c r="B568" t="s">
        <v>720</v>
      </c>
      <c r="C568" t="s">
        <v>741</v>
      </c>
      <c r="D568">
        <v>4</v>
      </c>
    </row>
    <row r="569" spans="1:4" x14ac:dyDescent="0.25">
      <c r="A569" s="81">
        <v>46069</v>
      </c>
      <c r="B569" t="s">
        <v>724</v>
      </c>
      <c r="C569" t="s">
        <v>741</v>
      </c>
      <c r="D569">
        <v>2</v>
      </c>
    </row>
    <row r="570" spans="1:4" x14ac:dyDescent="0.25">
      <c r="A570" s="81">
        <v>46069</v>
      </c>
      <c r="B570" t="s">
        <v>689</v>
      </c>
      <c r="C570" t="s">
        <v>741</v>
      </c>
      <c r="D570">
        <v>4</v>
      </c>
    </row>
    <row r="571" spans="1:4" x14ac:dyDescent="0.25">
      <c r="A571" s="81">
        <v>46069</v>
      </c>
      <c r="B571" t="s">
        <v>727</v>
      </c>
      <c r="C571" t="s">
        <v>741</v>
      </c>
      <c r="D571">
        <v>2</v>
      </c>
    </row>
    <row r="572" spans="1:4" x14ac:dyDescent="0.25">
      <c r="A572" s="81">
        <v>46069</v>
      </c>
      <c r="B572" t="s">
        <v>752</v>
      </c>
      <c r="C572" t="s">
        <v>741</v>
      </c>
      <c r="D572">
        <v>6</v>
      </c>
    </row>
    <row r="573" spans="1:4" x14ac:dyDescent="0.25">
      <c r="A573" s="81">
        <v>46069</v>
      </c>
      <c r="B573" t="s">
        <v>761</v>
      </c>
      <c r="C573" t="s">
        <v>741</v>
      </c>
      <c r="D573">
        <v>6</v>
      </c>
    </row>
    <row r="574" spans="1:4" x14ac:dyDescent="0.25">
      <c r="A574" s="81">
        <v>46069</v>
      </c>
      <c r="B574" t="s">
        <v>805</v>
      </c>
      <c r="C574" t="s">
        <v>741</v>
      </c>
      <c r="D574">
        <v>2</v>
      </c>
    </row>
    <row r="575" spans="1:4" x14ac:dyDescent="0.25">
      <c r="A575" s="81">
        <v>46069</v>
      </c>
      <c r="B575" t="s">
        <v>729</v>
      </c>
      <c r="C575" t="s">
        <v>741</v>
      </c>
      <c r="D575">
        <v>2</v>
      </c>
    </row>
    <row r="576" spans="1:4" x14ac:dyDescent="0.25">
      <c r="A576" s="81">
        <v>46069</v>
      </c>
      <c r="B576" t="s">
        <v>826</v>
      </c>
      <c r="C576" t="s">
        <v>741</v>
      </c>
      <c r="D576">
        <v>2</v>
      </c>
    </row>
    <row r="577" spans="1:4" x14ac:dyDescent="0.25">
      <c r="A577" s="81">
        <v>46069</v>
      </c>
      <c r="B577" t="s">
        <v>870</v>
      </c>
      <c r="C577" t="s">
        <v>741</v>
      </c>
      <c r="D577">
        <v>2</v>
      </c>
    </row>
    <row r="578" spans="1:4" x14ac:dyDescent="0.25">
      <c r="A578" s="81">
        <v>46069</v>
      </c>
      <c r="B578" t="s">
        <v>729</v>
      </c>
      <c r="C578" t="s">
        <v>741</v>
      </c>
      <c r="D578">
        <v>2</v>
      </c>
    </row>
    <row r="579" spans="1:4" x14ac:dyDescent="0.25">
      <c r="A579" s="81">
        <v>46069</v>
      </c>
      <c r="B579" t="s">
        <v>738</v>
      </c>
      <c r="C579" t="s">
        <v>741</v>
      </c>
      <c r="D579">
        <v>2</v>
      </c>
    </row>
    <row r="580" spans="1:4" x14ac:dyDescent="0.25">
      <c r="A580" s="81">
        <v>46069</v>
      </c>
      <c r="B580" t="s">
        <v>805</v>
      </c>
      <c r="C580" t="s">
        <v>741</v>
      </c>
      <c r="D580">
        <v>2</v>
      </c>
    </row>
    <row r="581" spans="1:4" x14ac:dyDescent="0.25">
      <c r="A581" s="81">
        <v>46069</v>
      </c>
      <c r="B581" t="s">
        <v>865</v>
      </c>
      <c r="C581" t="s">
        <v>741</v>
      </c>
      <c r="D581">
        <v>4</v>
      </c>
    </row>
    <row r="582" spans="1:4" x14ac:dyDescent="0.25">
      <c r="A582" s="81">
        <v>46069</v>
      </c>
      <c r="B582" t="s">
        <v>819</v>
      </c>
      <c r="C582" t="s">
        <v>741</v>
      </c>
      <c r="D582">
        <v>2</v>
      </c>
    </row>
    <row r="583" spans="1:4" x14ac:dyDescent="0.25">
      <c r="A583" s="81">
        <v>46070</v>
      </c>
      <c r="B583" t="s">
        <v>717</v>
      </c>
      <c r="C583" t="s">
        <v>741</v>
      </c>
      <c r="D583">
        <v>2</v>
      </c>
    </row>
    <row r="584" spans="1:4" x14ac:dyDescent="0.25">
      <c r="A584" s="81">
        <v>46070</v>
      </c>
      <c r="B584" t="s">
        <v>725</v>
      </c>
      <c r="C584" t="s">
        <v>741</v>
      </c>
      <c r="D584">
        <v>2</v>
      </c>
    </row>
    <row r="585" spans="1:4" x14ac:dyDescent="0.25">
      <c r="A585" s="81">
        <v>46070</v>
      </c>
      <c r="B585" t="s">
        <v>689</v>
      </c>
      <c r="C585" t="s">
        <v>741</v>
      </c>
      <c r="D585">
        <v>2</v>
      </c>
    </row>
    <row r="586" spans="1:4" x14ac:dyDescent="0.25">
      <c r="A586" s="81">
        <v>46070</v>
      </c>
      <c r="B586" t="s">
        <v>727</v>
      </c>
      <c r="C586" t="s">
        <v>741</v>
      </c>
      <c r="D586">
        <v>2</v>
      </c>
    </row>
    <row r="587" spans="1:4" x14ac:dyDescent="0.25">
      <c r="A587" s="81">
        <v>46070</v>
      </c>
      <c r="B587" t="s">
        <v>752</v>
      </c>
      <c r="C587" t="s">
        <v>741</v>
      </c>
      <c r="D587">
        <v>2</v>
      </c>
    </row>
    <row r="588" spans="1:4" x14ac:dyDescent="0.25">
      <c r="A588" s="81">
        <v>46070</v>
      </c>
      <c r="B588" t="s">
        <v>720</v>
      </c>
      <c r="C588" t="s">
        <v>741</v>
      </c>
      <c r="D588">
        <v>4</v>
      </c>
    </row>
    <row r="589" spans="1:4" x14ac:dyDescent="0.25">
      <c r="A589" s="81">
        <v>46070</v>
      </c>
      <c r="B589" t="s">
        <v>738</v>
      </c>
      <c r="C589" t="s">
        <v>741</v>
      </c>
      <c r="D589">
        <v>2</v>
      </c>
    </row>
    <row r="590" spans="1:4" x14ac:dyDescent="0.25">
      <c r="A590" s="81">
        <v>46070</v>
      </c>
      <c r="B590" t="s">
        <v>729</v>
      </c>
      <c r="C590" t="s">
        <v>741</v>
      </c>
      <c r="D590">
        <v>2</v>
      </c>
    </row>
    <row r="591" spans="1:4" x14ac:dyDescent="0.25">
      <c r="A591" s="81">
        <v>46070</v>
      </c>
      <c r="B591" t="s">
        <v>805</v>
      </c>
      <c r="C591" t="s">
        <v>741</v>
      </c>
      <c r="D591">
        <v>2</v>
      </c>
    </row>
    <row r="592" spans="1:4" x14ac:dyDescent="0.25">
      <c r="A592" s="81">
        <v>46070</v>
      </c>
      <c r="B592" t="s">
        <v>753</v>
      </c>
      <c r="C592" t="s">
        <v>741</v>
      </c>
      <c r="D592">
        <v>4</v>
      </c>
    </row>
    <row r="593" spans="1:4" x14ac:dyDescent="0.25">
      <c r="A593" s="81">
        <v>46070</v>
      </c>
      <c r="B593" t="s">
        <v>864</v>
      </c>
      <c r="C593" t="s">
        <v>741</v>
      </c>
      <c r="D593">
        <v>2</v>
      </c>
    </row>
    <row r="594" spans="1:4" x14ac:dyDescent="0.25">
      <c r="A594" s="81">
        <v>46070</v>
      </c>
      <c r="B594" t="s">
        <v>865</v>
      </c>
      <c r="C594" t="s">
        <v>741</v>
      </c>
      <c r="D594">
        <v>2</v>
      </c>
    </row>
    <row r="595" spans="1:4" x14ac:dyDescent="0.25">
      <c r="A595" s="81">
        <v>46070</v>
      </c>
      <c r="B595" t="s">
        <v>761</v>
      </c>
      <c r="C595" t="s">
        <v>741</v>
      </c>
      <c r="D595">
        <v>4</v>
      </c>
    </row>
    <row r="596" spans="1:4" x14ac:dyDescent="0.25">
      <c r="A596" s="81">
        <v>46070</v>
      </c>
      <c r="B596" t="s">
        <v>752</v>
      </c>
      <c r="C596" t="s">
        <v>741</v>
      </c>
      <c r="D596">
        <v>4</v>
      </c>
    </row>
    <row r="597" spans="1:4" x14ac:dyDescent="0.25">
      <c r="A597" s="81">
        <v>46071</v>
      </c>
      <c r="B597" t="s">
        <v>791</v>
      </c>
      <c r="C597" t="s">
        <v>743</v>
      </c>
      <c r="D597">
        <v>1</v>
      </c>
    </row>
    <row r="598" spans="1:4" x14ac:dyDescent="0.25">
      <c r="A598" s="81">
        <v>46071</v>
      </c>
      <c r="B598" t="s">
        <v>797</v>
      </c>
      <c r="C598" t="s">
        <v>743</v>
      </c>
      <c r="D598">
        <v>1</v>
      </c>
    </row>
    <row r="599" spans="1:4" x14ac:dyDescent="0.25">
      <c r="A599" s="81">
        <v>46072</v>
      </c>
      <c r="B599" t="s">
        <v>791</v>
      </c>
      <c r="C599" t="s">
        <v>743</v>
      </c>
      <c r="D599">
        <v>1</v>
      </c>
    </row>
    <row r="600" spans="1:4" x14ac:dyDescent="0.25">
      <c r="A600" s="81">
        <v>46072</v>
      </c>
      <c r="B600" t="s">
        <v>871</v>
      </c>
      <c r="C600" t="s">
        <v>743</v>
      </c>
      <c r="D600">
        <v>1</v>
      </c>
    </row>
    <row r="601" spans="1:4" x14ac:dyDescent="0.25">
      <c r="A601" s="81">
        <v>46072</v>
      </c>
      <c r="B601" t="s">
        <v>872</v>
      </c>
      <c r="C601" t="s">
        <v>743</v>
      </c>
      <c r="D601">
        <v>1</v>
      </c>
    </row>
    <row r="602" spans="1:4" x14ac:dyDescent="0.25">
      <c r="A602" s="81">
        <v>46073</v>
      </c>
      <c r="B602" t="s">
        <v>724</v>
      </c>
      <c r="C602" t="s">
        <v>721</v>
      </c>
      <c r="D602">
        <v>1</v>
      </c>
    </row>
    <row r="603" spans="1:4" x14ac:dyDescent="0.25">
      <c r="A603" s="81">
        <v>46073</v>
      </c>
      <c r="B603" t="s">
        <v>873</v>
      </c>
      <c r="C603" t="s">
        <v>721</v>
      </c>
      <c r="D603">
        <v>1</v>
      </c>
    </row>
    <row r="604" spans="1:4" x14ac:dyDescent="0.25">
      <c r="A604" s="81">
        <v>46073</v>
      </c>
      <c r="B604" t="s">
        <v>727</v>
      </c>
      <c r="C604" t="s">
        <v>721</v>
      </c>
      <c r="D604">
        <v>1</v>
      </c>
    </row>
    <row r="605" spans="1:4" x14ac:dyDescent="0.25">
      <c r="A605" s="81">
        <v>46073</v>
      </c>
      <c r="B605" t="s">
        <v>752</v>
      </c>
      <c r="C605" t="s">
        <v>721</v>
      </c>
      <c r="D605">
        <v>1</v>
      </c>
    </row>
    <row r="606" spans="1:4" x14ac:dyDescent="0.25">
      <c r="A606" s="81">
        <v>46073</v>
      </c>
      <c r="B606" t="s">
        <v>761</v>
      </c>
      <c r="C606" t="s">
        <v>721</v>
      </c>
      <c r="D606">
        <v>1</v>
      </c>
    </row>
    <row r="607" spans="1:4" x14ac:dyDescent="0.25">
      <c r="A607" s="81">
        <v>46073</v>
      </c>
      <c r="B607" t="s">
        <v>803</v>
      </c>
      <c r="C607" t="s">
        <v>721</v>
      </c>
      <c r="D607">
        <v>1</v>
      </c>
    </row>
    <row r="608" spans="1:4" x14ac:dyDescent="0.25">
      <c r="A608" s="81">
        <v>46073</v>
      </c>
      <c r="B608" t="s">
        <v>874</v>
      </c>
      <c r="C608" t="s">
        <v>721</v>
      </c>
      <c r="D608">
        <v>1</v>
      </c>
    </row>
    <row r="609" spans="1:4" x14ac:dyDescent="0.25">
      <c r="A609" s="81">
        <v>46073</v>
      </c>
      <c r="B609" t="s">
        <v>720</v>
      </c>
      <c r="C609" t="s">
        <v>721</v>
      </c>
      <c r="D609">
        <v>1</v>
      </c>
    </row>
    <row r="610" spans="1:4" x14ac:dyDescent="0.25">
      <c r="A610" s="81">
        <v>46074</v>
      </c>
      <c r="B610" t="s">
        <v>819</v>
      </c>
      <c r="C610" t="s">
        <v>721</v>
      </c>
      <c r="D610">
        <v>1</v>
      </c>
    </row>
    <row r="611" spans="1:4" x14ac:dyDescent="0.25">
      <c r="A611" s="81">
        <v>46074</v>
      </c>
      <c r="B611" t="s">
        <v>773</v>
      </c>
      <c r="C611" t="s">
        <v>721</v>
      </c>
      <c r="D611">
        <v>1</v>
      </c>
    </row>
    <row r="612" spans="1:4" x14ac:dyDescent="0.25">
      <c r="A612" s="81">
        <v>46074</v>
      </c>
      <c r="B612" t="s">
        <v>875</v>
      </c>
      <c r="C612" t="s">
        <v>721</v>
      </c>
      <c r="D612">
        <v>1</v>
      </c>
    </row>
    <row r="613" spans="1:4" x14ac:dyDescent="0.25">
      <c r="A613" s="81">
        <v>46074</v>
      </c>
      <c r="B613" t="s">
        <v>689</v>
      </c>
      <c r="C613" t="s">
        <v>721</v>
      </c>
      <c r="D613">
        <v>1</v>
      </c>
    </row>
    <row r="614" spans="1:4" x14ac:dyDescent="0.25">
      <c r="A614" s="81">
        <v>46074</v>
      </c>
      <c r="B614" t="s">
        <v>752</v>
      </c>
      <c r="C614" t="s">
        <v>721</v>
      </c>
      <c r="D614">
        <v>1</v>
      </c>
    </row>
    <row r="615" spans="1:4" x14ac:dyDescent="0.25">
      <c r="A615" s="81">
        <v>46074</v>
      </c>
      <c r="B615" t="s">
        <v>761</v>
      </c>
      <c r="C615" t="s">
        <v>721</v>
      </c>
      <c r="D615">
        <v>1</v>
      </c>
    </row>
    <row r="616" spans="1:4" x14ac:dyDescent="0.25">
      <c r="A616" s="81">
        <v>46074</v>
      </c>
      <c r="B616" t="s">
        <v>732</v>
      </c>
      <c r="C616" t="s">
        <v>721</v>
      </c>
      <c r="D616">
        <v>1</v>
      </c>
    </row>
    <row r="617" spans="1:4" x14ac:dyDescent="0.25">
      <c r="A617" s="81">
        <v>46075</v>
      </c>
      <c r="B617" t="s">
        <v>724</v>
      </c>
      <c r="C617" t="s">
        <v>741</v>
      </c>
      <c r="D617">
        <v>1</v>
      </c>
    </row>
    <row r="618" spans="1:4" x14ac:dyDescent="0.25">
      <c r="A618" s="81">
        <v>46075</v>
      </c>
      <c r="B618" t="s">
        <v>689</v>
      </c>
      <c r="C618" t="s">
        <v>741</v>
      </c>
      <c r="D618">
        <v>1</v>
      </c>
    </row>
    <row r="619" spans="1:4" x14ac:dyDescent="0.25">
      <c r="A619" s="81">
        <v>46075</v>
      </c>
      <c r="B619" t="s">
        <v>727</v>
      </c>
      <c r="C619" t="s">
        <v>741</v>
      </c>
      <c r="D619">
        <v>1</v>
      </c>
    </row>
    <row r="620" spans="1:4" x14ac:dyDescent="0.25">
      <c r="A620" s="81">
        <v>46075</v>
      </c>
      <c r="B620" t="s">
        <v>752</v>
      </c>
      <c r="C620" t="s">
        <v>741</v>
      </c>
      <c r="D620">
        <v>1</v>
      </c>
    </row>
    <row r="621" spans="1:4" x14ac:dyDescent="0.25">
      <c r="A621" s="81">
        <v>46075</v>
      </c>
      <c r="B621" t="s">
        <v>761</v>
      </c>
      <c r="C621" t="s">
        <v>741</v>
      </c>
      <c r="D621">
        <v>1</v>
      </c>
    </row>
    <row r="622" spans="1:4" x14ac:dyDescent="0.25">
      <c r="A622" s="81">
        <v>46075</v>
      </c>
      <c r="B622" t="s">
        <v>872</v>
      </c>
      <c r="C622" t="s">
        <v>741</v>
      </c>
      <c r="D622">
        <v>1</v>
      </c>
    </row>
    <row r="623" spans="1:4" x14ac:dyDescent="0.25">
      <c r="A623" s="81">
        <v>46079</v>
      </c>
      <c r="B623" t="s">
        <v>773</v>
      </c>
      <c r="C623" t="s">
        <v>721</v>
      </c>
      <c r="D623">
        <v>1</v>
      </c>
    </row>
    <row r="624" spans="1:4" x14ac:dyDescent="0.25">
      <c r="A624" s="81">
        <v>46079</v>
      </c>
      <c r="B624" t="s">
        <v>876</v>
      </c>
      <c r="C624" t="s">
        <v>721</v>
      </c>
      <c r="D624">
        <v>1</v>
      </c>
    </row>
    <row r="625" spans="1:4" x14ac:dyDescent="0.25">
      <c r="A625" s="81">
        <v>46079</v>
      </c>
      <c r="B625" t="s">
        <v>877</v>
      </c>
      <c r="C625" t="s">
        <v>721</v>
      </c>
      <c r="D625">
        <v>1</v>
      </c>
    </row>
    <row r="626" spans="1:4" x14ac:dyDescent="0.25">
      <c r="A626" s="81">
        <v>46079</v>
      </c>
      <c r="B626" t="s">
        <v>878</v>
      </c>
      <c r="C626" t="s">
        <v>721</v>
      </c>
      <c r="D626">
        <v>1</v>
      </c>
    </row>
    <row r="627" spans="1:4" x14ac:dyDescent="0.25">
      <c r="A627" s="81">
        <v>46079</v>
      </c>
      <c r="B627" t="s">
        <v>879</v>
      </c>
      <c r="C627" t="s">
        <v>721</v>
      </c>
      <c r="D627">
        <v>1</v>
      </c>
    </row>
    <row r="628" spans="1:4" x14ac:dyDescent="0.25">
      <c r="A628" s="81">
        <v>46079</v>
      </c>
      <c r="B628" t="s">
        <v>795</v>
      </c>
      <c r="C628" t="s">
        <v>721</v>
      </c>
      <c r="D628">
        <v>1</v>
      </c>
    </row>
    <row r="629" spans="1:4" x14ac:dyDescent="0.25">
      <c r="A629" s="81">
        <v>46079</v>
      </c>
      <c r="B629" t="s">
        <v>805</v>
      </c>
      <c r="C629" t="s">
        <v>721</v>
      </c>
      <c r="D629">
        <v>1</v>
      </c>
    </row>
    <row r="630" spans="1:4" x14ac:dyDescent="0.25">
      <c r="A630" s="81">
        <v>46080</v>
      </c>
      <c r="B630" t="s">
        <v>876</v>
      </c>
      <c r="C630" t="s">
        <v>721</v>
      </c>
      <c r="D630">
        <v>1</v>
      </c>
    </row>
    <row r="631" spans="1:4" x14ac:dyDescent="0.25">
      <c r="A631" s="81">
        <v>46080</v>
      </c>
      <c r="B631" t="s">
        <v>854</v>
      </c>
      <c r="C631" t="s">
        <v>721</v>
      </c>
      <c r="D631">
        <v>1</v>
      </c>
    </row>
    <row r="632" spans="1:4" x14ac:dyDescent="0.25">
      <c r="A632" s="81">
        <v>46081</v>
      </c>
      <c r="B632" t="s">
        <v>725</v>
      </c>
      <c r="C632" t="s">
        <v>721</v>
      </c>
      <c r="D632">
        <v>1</v>
      </c>
    </row>
    <row r="633" spans="1:4" x14ac:dyDescent="0.25">
      <c r="A633" s="81">
        <v>46081</v>
      </c>
      <c r="B633" t="s">
        <v>877</v>
      </c>
      <c r="C633" t="s">
        <v>721</v>
      </c>
      <c r="D633">
        <v>2</v>
      </c>
    </row>
    <row r="634" spans="1:4" x14ac:dyDescent="0.25">
      <c r="A634" s="81">
        <v>46081</v>
      </c>
      <c r="B634" t="s">
        <v>689</v>
      </c>
      <c r="C634" t="s">
        <v>721</v>
      </c>
      <c r="D634">
        <v>1</v>
      </c>
    </row>
    <row r="635" spans="1:4" x14ac:dyDescent="0.25">
      <c r="A635" s="81">
        <v>46081</v>
      </c>
      <c r="B635" t="s">
        <v>727</v>
      </c>
      <c r="C635" t="s">
        <v>721</v>
      </c>
      <c r="D635">
        <v>1</v>
      </c>
    </row>
    <row r="636" spans="1:4" x14ac:dyDescent="0.25">
      <c r="A636" s="81">
        <v>46081</v>
      </c>
      <c r="B636" t="s">
        <v>752</v>
      </c>
      <c r="C636" t="s">
        <v>721</v>
      </c>
      <c r="D636">
        <v>1</v>
      </c>
    </row>
    <row r="637" spans="1:4" x14ac:dyDescent="0.25">
      <c r="A637" s="81">
        <v>46081</v>
      </c>
      <c r="B637" t="s">
        <v>761</v>
      </c>
      <c r="C637" t="s">
        <v>721</v>
      </c>
      <c r="D637">
        <v>1</v>
      </c>
    </row>
    <row r="638" spans="1:4" x14ac:dyDescent="0.25">
      <c r="A638" s="81">
        <v>46081</v>
      </c>
      <c r="B638" t="s">
        <v>805</v>
      </c>
      <c r="C638" t="s">
        <v>721</v>
      </c>
      <c r="D638">
        <v>1</v>
      </c>
    </row>
    <row r="639" spans="1:4" x14ac:dyDescent="0.25">
      <c r="A639" s="81">
        <v>46081</v>
      </c>
      <c r="B639" t="s">
        <v>876</v>
      </c>
      <c r="C639" t="s">
        <v>721</v>
      </c>
      <c r="D639">
        <v>1</v>
      </c>
    </row>
    <row r="640" spans="1:4" x14ac:dyDescent="0.25">
      <c r="A640" s="81">
        <v>46113</v>
      </c>
      <c r="B640" t="s">
        <v>720</v>
      </c>
      <c r="C640" t="s">
        <v>721</v>
      </c>
      <c r="D640">
        <v>2</v>
      </c>
    </row>
    <row r="641" spans="1:4" x14ac:dyDescent="0.25">
      <c r="A641" s="81">
        <v>46113</v>
      </c>
      <c r="B641" t="s">
        <v>773</v>
      </c>
      <c r="C641" t="s">
        <v>721</v>
      </c>
      <c r="D641">
        <v>1</v>
      </c>
    </row>
    <row r="642" spans="1:4" x14ac:dyDescent="0.25">
      <c r="A642" s="81">
        <v>46113</v>
      </c>
      <c r="B642" t="s">
        <v>880</v>
      </c>
      <c r="C642" t="s">
        <v>721</v>
      </c>
      <c r="D642">
        <v>1</v>
      </c>
    </row>
    <row r="643" spans="1:4" x14ac:dyDescent="0.25">
      <c r="A643" s="81">
        <v>46113</v>
      </c>
      <c r="B643" t="s">
        <v>819</v>
      </c>
      <c r="C643" t="s">
        <v>721</v>
      </c>
      <c r="D643">
        <v>1</v>
      </c>
    </row>
    <row r="644" spans="1:4" x14ac:dyDescent="0.25">
      <c r="A644" s="81">
        <v>46113</v>
      </c>
      <c r="B644" t="s">
        <v>724</v>
      </c>
      <c r="C644" t="s">
        <v>721</v>
      </c>
      <c r="D644">
        <v>1</v>
      </c>
    </row>
    <row r="645" spans="1:4" x14ac:dyDescent="0.25">
      <c r="A645" s="81">
        <v>46113</v>
      </c>
      <c r="B645" t="s">
        <v>689</v>
      </c>
      <c r="C645" t="s">
        <v>721</v>
      </c>
      <c r="D645">
        <v>1</v>
      </c>
    </row>
    <row r="646" spans="1:4" x14ac:dyDescent="0.25">
      <c r="A646" s="81">
        <v>46113</v>
      </c>
      <c r="B646" t="s">
        <v>752</v>
      </c>
      <c r="C646" t="s">
        <v>721</v>
      </c>
      <c r="D646">
        <v>1</v>
      </c>
    </row>
    <row r="647" spans="1:4" x14ac:dyDescent="0.25">
      <c r="A647" s="81">
        <v>46113</v>
      </c>
      <c r="B647" t="s">
        <v>761</v>
      </c>
      <c r="C647" t="s">
        <v>721</v>
      </c>
      <c r="D647">
        <v>1</v>
      </c>
    </row>
    <row r="648" spans="1:4" x14ac:dyDescent="0.25">
      <c r="A648" s="81">
        <v>46113</v>
      </c>
      <c r="B648" t="s">
        <v>805</v>
      </c>
      <c r="C648" t="s">
        <v>721</v>
      </c>
      <c r="D648">
        <v>1</v>
      </c>
    </row>
    <row r="649" spans="1:4" x14ac:dyDescent="0.25">
      <c r="A649" s="81">
        <v>46113</v>
      </c>
      <c r="B649" t="s">
        <v>738</v>
      </c>
      <c r="C649" t="s">
        <v>721</v>
      </c>
      <c r="D649">
        <v>1</v>
      </c>
    </row>
    <row r="650" spans="1:4" x14ac:dyDescent="0.25">
      <c r="A650" s="81">
        <v>46113</v>
      </c>
      <c r="B650" t="s">
        <v>813</v>
      </c>
      <c r="C650" t="s">
        <v>721</v>
      </c>
      <c r="D650">
        <v>1</v>
      </c>
    </row>
    <row r="651" spans="1:4" x14ac:dyDescent="0.25">
      <c r="A651" s="81">
        <v>46113</v>
      </c>
      <c r="B651" t="s">
        <v>881</v>
      </c>
      <c r="C651" t="s">
        <v>721</v>
      </c>
      <c r="D651">
        <v>1</v>
      </c>
    </row>
    <row r="652" spans="1:4" x14ac:dyDescent="0.25">
      <c r="A652" s="81">
        <v>46113</v>
      </c>
      <c r="B652" t="s">
        <v>689</v>
      </c>
      <c r="C652" t="s">
        <v>721</v>
      </c>
      <c r="D652">
        <v>1</v>
      </c>
    </row>
    <row r="653" spans="1:4" x14ac:dyDescent="0.25">
      <c r="A653" s="81">
        <v>46113</v>
      </c>
      <c r="B653" t="s">
        <v>844</v>
      </c>
      <c r="C653" t="s">
        <v>721</v>
      </c>
      <c r="D653">
        <v>1</v>
      </c>
    </row>
    <row r="654" spans="1:4" x14ac:dyDescent="0.25">
      <c r="A654" s="81">
        <v>46114</v>
      </c>
      <c r="B654" t="s">
        <v>882</v>
      </c>
      <c r="C654" t="s">
        <v>721</v>
      </c>
      <c r="D654">
        <v>1</v>
      </c>
    </row>
    <row r="655" spans="1:4" x14ac:dyDescent="0.25">
      <c r="A655" s="81">
        <v>46114</v>
      </c>
      <c r="B655" t="s">
        <v>753</v>
      </c>
      <c r="C655" t="s">
        <v>721</v>
      </c>
      <c r="D655">
        <v>1</v>
      </c>
    </row>
    <row r="656" spans="1:4" x14ac:dyDescent="0.25">
      <c r="A656" s="81">
        <v>46114</v>
      </c>
      <c r="B656" t="s">
        <v>816</v>
      </c>
      <c r="C656" t="s">
        <v>721</v>
      </c>
      <c r="D656">
        <v>1</v>
      </c>
    </row>
    <row r="657" spans="1:4" x14ac:dyDescent="0.25">
      <c r="A657" s="81">
        <v>46114</v>
      </c>
      <c r="B657" t="s">
        <v>730</v>
      </c>
      <c r="C657" t="s">
        <v>721</v>
      </c>
      <c r="D657">
        <v>1</v>
      </c>
    </row>
    <row r="658" spans="1:4" x14ac:dyDescent="0.25">
      <c r="A658" s="81">
        <v>46114</v>
      </c>
      <c r="B658" t="s">
        <v>751</v>
      </c>
      <c r="C658" t="s">
        <v>721</v>
      </c>
      <c r="D658">
        <v>1</v>
      </c>
    </row>
    <row r="659" spans="1:4" x14ac:dyDescent="0.25">
      <c r="A659" s="81">
        <v>46115</v>
      </c>
      <c r="B659" t="s">
        <v>720</v>
      </c>
      <c r="C659" t="s">
        <v>721</v>
      </c>
      <c r="D659">
        <v>2</v>
      </c>
    </row>
    <row r="660" spans="1:4" x14ac:dyDescent="0.25">
      <c r="A660" s="81">
        <v>46115</v>
      </c>
      <c r="B660" t="s">
        <v>725</v>
      </c>
      <c r="C660" t="s">
        <v>721</v>
      </c>
      <c r="D660">
        <v>1</v>
      </c>
    </row>
    <row r="661" spans="1:4" x14ac:dyDescent="0.25">
      <c r="A661" s="81">
        <v>46115</v>
      </c>
      <c r="B661" t="s">
        <v>819</v>
      </c>
      <c r="C661" t="s">
        <v>721</v>
      </c>
      <c r="D661">
        <v>1</v>
      </c>
    </row>
    <row r="662" spans="1:4" x14ac:dyDescent="0.25">
      <c r="A662" s="81">
        <v>46115</v>
      </c>
      <c r="B662" t="s">
        <v>724</v>
      </c>
      <c r="C662" t="s">
        <v>721</v>
      </c>
      <c r="D662">
        <v>1</v>
      </c>
    </row>
    <row r="663" spans="1:4" x14ac:dyDescent="0.25">
      <c r="A663" s="81">
        <v>46115</v>
      </c>
      <c r="B663" t="s">
        <v>785</v>
      </c>
      <c r="C663" t="s">
        <v>721</v>
      </c>
      <c r="D663">
        <v>1</v>
      </c>
    </row>
    <row r="664" spans="1:4" x14ac:dyDescent="0.25">
      <c r="A664" s="81">
        <v>46115</v>
      </c>
      <c r="B664" t="s">
        <v>727</v>
      </c>
      <c r="C664" t="s">
        <v>721</v>
      </c>
      <c r="D664">
        <v>1</v>
      </c>
    </row>
    <row r="665" spans="1:4" x14ac:dyDescent="0.25">
      <c r="A665" s="81">
        <v>46115</v>
      </c>
      <c r="B665" t="s">
        <v>752</v>
      </c>
      <c r="C665" t="s">
        <v>721</v>
      </c>
      <c r="D665">
        <v>1</v>
      </c>
    </row>
    <row r="666" spans="1:4" x14ac:dyDescent="0.25">
      <c r="A666" s="81">
        <v>46115</v>
      </c>
      <c r="B666" t="s">
        <v>761</v>
      </c>
      <c r="C666" t="s">
        <v>721</v>
      </c>
      <c r="D666">
        <v>1</v>
      </c>
    </row>
    <row r="667" spans="1:4" x14ac:dyDescent="0.25">
      <c r="A667" s="81">
        <v>46115</v>
      </c>
      <c r="B667" t="s">
        <v>738</v>
      </c>
      <c r="C667" t="s">
        <v>721</v>
      </c>
      <c r="D667">
        <v>1</v>
      </c>
    </row>
    <row r="668" spans="1:4" x14ac:dyDescent="0.25">
      <c r="A668" s="81">
        <v>46115</v>
      </c>
      <c r="B668" t="s">
        <v>739</v>
      </c>
      <c r="C668" t="s">
        <v>721</v>
      </c>
      <c r="D668">
        <v>1</v>
      </c>
    </row>
    <row r="669" spans="1:4" x14ac:dyDescent="0.25">
      <c r="A669" s="81">
        <v>46115</v>
      </c>
      <c r="B669" t="s">
        <v>805</v>
      </c>
      <c r="C669" t="s">
        <v>721</v>
      </c>
      <c r="D669">
        <v>1</v>
      </c>
    </row>
    <row r="670" spans="1:4" x14ac:dyDescent="0.25">
      <c r="A670" s="81">
        <v>46115</v>
      </c>
      <c r="B670" t="s">
        <v>813</v>
      </c>
      <c r="C670" t="s">
        <v>721</v>
      </c>
      <c r="D670">
        <v>1</v>
      </c>
    </row>
    <row r="671" spans="1:4" x14ac:dyDescent="0.25">
      <c r="A671" s="81">
        <v>46115</v>
      </c>
      <c r="B671" t="s">
        <v>883</v>
      </c>
      <c r="C671" t="s">
        <v>721</v>
      </c>
      <c r="D671">
        <v>1</v>
      </c>
    </row>
    <row r="672" spans="1:4" x14ac:dyDescent="0.25">
      <c r="A672" s="81">
        <v>46115</v>
      </c>
      <c r="B672" t="s">
        <v>753</v>
      </c>
      <c r="C672" t="s">
        <v>721</v>
      </c>
      <c r="D672">
        <v>1</v>
      </c>
    </row>
    <row r="673" spans="1:4" x14ac:dyDescent="0.25">
      <c r="A673" s="81">
        <v>46115</v>
      </c>
      <c r="B673" t="s">
        <v>689</v>
      </c>
      <c r="C673" t="s">
        <v>721</v>
      </c>
      <c r="D673">
        <v>1</v>
      </c>
    </row>
    <row r="674" spans="1:4" x14ac:dyDescent="0.25">
      <c r="A674" s="81">
        <v>46115</v>
      </c>
      <c r="B674" t="s">
        <v>730</v>
      </c>
      <c r="C674" t="s">
        <v>721</v>
      </c>
      <c r="D674">
        <v>1</v>
      </c>
    </row>
    <row r="675" spans="1:4" x14ac:dyDescent="0.25">
      <c r="A675" s="81">
        <v>46115</v>
      </c>
      <c r="B675" t="s">
        <v>751</v>
      </c>
      <c r="C675" t="s">
        <v>721</v>
      </c>
      <c r="D675">
        <v>1</v>
      </c>
    </row>
    <row r="676" spans="1:4" x14ac:dyDescent="0.25">
      <c r="A676" s="81">
        <v>46115</v>
      </c>
      <c r="B676" t="s">
        <v>752</v>
      </c>
      <c r="C676" t="s">
        <v>721</v>
      </c>
      <c r="D676">
        <v>1</v>
      </c>
    </row>
    <row r="677" spans="1:4" x14ac:dyDescent="0.25">
      <c r="A677" s="81">
        <v>46115</v>
      </c>
      <c r="B677" t="s">
        <v>761</v>
      </c>
      <c r="C677" t="s">
        <v>721</v>
      </c>
      <c r="D677">
        <v>1</v>
      </c>
    </row>
    <row r="678" spans="1:4" x14ac:dyDescent="0.25">
      <c r="A678" s="81">
        <v>46116</v>
      </c>
      <c r="B678" t="s">
        <v>883</v>
      </c>
      <c r="C678" t="s">
        <v>721</v>
      </c>
      <c r="D678">
        <v>1</v>
      </c>
    </row>
    <row r="679" spans="1:4" x14ac:dyDescent="0.25">
      <c r="A679" s="81">
        <v>46116</v>
      </c>
      <c r="B679" t="s">
        <v>720</v>
      </c>
      <c r="C679" t="s">
        <v>721</v>
      </c>
      <c r="D679">
        <v>2</v>
      </c>
    </row>
    <row r="680" spans="1:4" x14ac:dyDescent="0.25">
      <c r="A680" s="81">
        <v>46116</v>
      </c>
      <c r="B680" t="s">
        <v>819</v>
      </c>
      <c r="C680" t="s">
        <v>721</v>
      </c>
      <c r="D680">
        <v>1</v>
      </c>
    </row>
    <row r="681" spans="1:4" x14ac:dyDescent="0.25">
      <c r="A681" s="81">
        <v>46116</v>
      </c>
      <c r="B681" t="s">
        <v>753</v>
      </c>
      <c r="C681" t="s">
        <v>721</v>
      </c>
      <c r="D681">
        <v>2</v>
      </c>
    </row>
    <row r="682" spans="1:4" x14ac:dyDescent="0.25">
      <c r="A682" s="81">
        <v>46116</v>
      </c>
      <c r="B682" t="s">
        <v>724</v>
      </c>
      <c r="C682" t="s">
        <v>721</v>
      </c>
      <c r="D682">
        <v>1</v>
      </c>
    </row>
    <row r="683" spans="1:4" x14ac:dyDescent="0.25">
      <c r="A683" s="81">
        <v>46116</v>
      </c>
      <c r="B683" t="s">
        <v>689</v>
      </c>
      <c r="C683" t="s">
        <v>721</v>
      </c>
      <c r="D683">
        <v>1</v>
      </c>
    </row>
    <row r="684" spans="1:4" x14ac:dyDescent="0.25">
      <c r="A684" s="81">
        <v>46116</v>
      </c>
      <c r="B684" t="s">
        <v>730</v>
      </c>
      <c r="C684" t="s">
        <v>721</v>
      </c>
      <c r="D684">
        <v>1</v>
      </c>
    </row>
    <row r="685" spans="1:4" x14ac:dyDescent="0.25">
      <c r="A685" s="81">
        <v>46116</v>
      </c>
      <c r="B685" t="s">
        <v>727</v>
      </c>
      <c r="C685" t="s">
        <v>721</v>
      </c>
      <c r="D685">
        <v>2</v>
      </c>
    </row>
    <row r="686" spans="1:4" x14ac:dyDescent="0.25">
      <c r="A686" s="81">
        <v>46116</v>
      </c>
      <c r="B686" t="s">
        <v>752</v>
      </c>
      <c r="C686" t="s">
        <v>721</v>
      </c>
      <c r="D686">
        <v>1</v>
      </c>
    </row>
    <row r="687" spans="1:4" x14ac:dyDescent="0.25">
      <c r="A687" s="81">
        <v>46116</v>
      </c>
      <c r="B687" t="s">
        <v>761</v>
      </c>
      <c r="C687" t="s">
        <v>721</v>
      </c>
      <c r="D687">
        <v>1</v>
      </c>
    </row>
    <row r="688" spans="1:4" x14ac:dyDescent="0.25">
      <c r="A688" s="81">
        <v>46116</v>
      </c>
      <c r="B688" t="s">
        <v>738</v>
      </c>
      <c r="C688" t="s">
        <v>721</v>
      </c>
      <c r="D688">
        <v>1</v>
      </c>
    </row>
    <row r="689" spans="1:4" x14ac:dyDescent="0.25">
      <c r="A689" s="81">
        <v>46116</v>
      </c>
      <c r="B689" t="s">
        <v>739</v>
      </c>
      <c r="C689" t="s">
        <v>721</v>
      </c>
      <c r="D689">
        <v>1</v>
      </c>
    </row>
    <row r="690" spans="1:4" x14ac:dyDescent="0.25">
      <c r="A690" s="81">
        <v>46116</v>
      </c>
      <c r="B690" t="s">
        <v>805</v>
      </c>
      <c r="C690" t="s">
        <v>721</v>
      </c>
      <c r="D690">
        <v>1</v>
      </c>
    </row>
    <row r="691" spans="1:4" x14ac:dyDescent="0.25">
      <c r="A691" s="81">
        <v>46116</v>
      </c>
      <c r="B691" t="s">
        <v>813</v>
      </c>
      <c r="C691" t="s">
        <v>721</v>
      </c>
      <c r="D691">
        <v>1</v>
      </c>
    </row>
    <row r="692" spans="1:4" x14ac:dyDescent="0.25">
      <c r="A692" s="81">
        <v>46116</v>
      </c>
      <c r="B692" t="s">
        <v>806</v>
      </c>
      <c r="C692" t="s">
        <v>721</v>
      </c>
      <c r="D692">
        <v>1</v>
      </c>
    </row>
    <row r="693" spans="1:4" x14ac:dyDescent="0.25">
      <c r="A693" s="81">
        <v>46116</v>
      </c>
      <c r="B693" t="s">
        <v>752</v>
      </c>
      <c r="C693" t="s">
        <v>721</v>
      </c>
      <c r="D693">
        <v>1</v>
      </c>
    </row>
    <row r="694" spans="1:4" x14ac:dyDescent="0.25">
      <c r="A694" s="81">
        <v>46116</v>
      </c>
      <c r="B694" t="s">
        <v>738</v>
      </c>
      <c r="C694" t="s">
        <v>721</v>
      </c>
      <c r="D694">
        <v>1</v>
      </c>
    </row>
    <row r="695" spans="1:4" x14ac:dyDescent="0.25">
      <c r="A695" s="81">
        <v>46117</v>
      </c>
      <c r="B695" t="s">
        <v>720</v>
      </c>
      <c r="C695" t="s">
        <v>721</v>
      </c>
      <c r="D695">
        <v>2</v>
      </c>
    </row>
    <row r="696" spans="1:4" x14ac:dyDescent="0.25">
      <c r="A696" s="81">
        <v>46117</v>
      </c>
      <c r="B696" t="s">
        <v>773</v>
      </c>
      <c r="C696" t="s">
        <v>721</v>
      </c>
      <c r="D696">
        <v>1</v>
      </c>
    </row>
    <row r="697" spans="1:4" x14ac:dyDescent="0.25">
      <c r="A697" s="81">
        <v>46117</v>
      </c>
      <c r="B697" t="s">
        <v>883</v>
      </c>
      <c r="C697" t="s">
        <v>721</v>
      </c>
      <c r="D697">
        <v>1</v>
      </c>
    </row>
    <row r="698" spans="1:4" x14ac:dyDescent="0.25">
      <c r="A698" s="81">
        <v>46117</v>
      </c>
      <c r="B698" t="s">
        <v>801</v>
      </c>
      <c r="C698" t="s">
        <v>721</v>
      </c>
      <c r="D698">
        <v>1</v>
      </c>
    </row>
    <row r="699" spans="1:4" x14ac:dyDescent="0.25">
      <c r="A699" s="81">
        <v>46117</v>
      </c>
      <c r="B699" t="s">
        <v>753</v>
      </c>
      <c r="C699" t="s">
        <v>721</v>
      </c>
      <c r="D699">
        <v>3</v>
      </c>
    </row>
    <row r="700" spans="1:4" x14ac:dyDescent="0.25">
      <c r="A700" s="81">
        <v>46117</v>
      </c>
      <c r="B700" t="s">
        <v>689</v>
      </c>
      <c r="C700" t="s">
        <v>721</v>
      </c>
      <c r="D700">
        <v>2</v>
      </c>
    </row>
    <row r="701" spans="1:4" x14ac:dyDescent="0.25">
      <c r="A701" s="81">
        <v>46117</v>
      </c>
      <c r="B701" t="s">
        <v>730</v>
      </c>
      <c r="C701" t="s">
        <v>721</v>
      </c>
      <c r="D701">
        <v>2</v>
      </c>
    </row>
    <row r="702" spans="1:4" x14ac:dyDescent="0.25">
      <c r="A702" s="81">
        <v>46117</v>
      </c>
      <c r="B702" t="s">
        <v>727</v>
      </c>
      <c r="C702" t="s">
        <v>721</v>
      </c>
      <c r="D702">
        <v>1</v>
      </c>
    </row>
    <row r="703" spans="1:4" x14ac:dyDescent="0.25">
      <c r="A703" s="81">
        <v>46117</v>
      </c>
      <c r="B703" t="s">
        <v>752</v>
      </c>
      <c r="C703" t="s">
        <v>721</v>
      </c>
      <c r="D703">
        <v>1</v>
      </c>
    </row>
    <row r="704" spans="1:4" x14ac:dyDescent="0.25">
      <c r="A704" s="81">
        <v>46117</v>
      </c>
      <c r="B704" t="s">
        <v>761</v>
      </c>
      <c r="C704" t="s">
        <v>721</v>
      </c>
      <c r="D704">
        <v>1</v>
      </c>
    </row>
    <row r="705" spans="1:4" x14ac:dyDescent="0.25">
      <c r="A705" s="81">
        <v>46117</v>
      </c>
      <c r="B705" t="s">
        <v>738</v>
      </c>
      <c r="C705" t="s">
        <v>721</v>
      </c>
      <c r="D705">
        <v>2</v>
      </c>
    </row>
    <row r="706" spans="1:4" x14ac:dyDescent="0.25">
      <c r="A706" s="81">
        <v>46117</v>
      </c>
      <c r="B706" t="s">
        <v>739</v>
      </c>
      <c r="C706" t="s">
        <v>721</v>
      </c>
      <c r="D706">
        <v>1</v>
      </c>
    </row>
    <row r="707" spans="1:4" x14ac:dyDescent="0.25">
      <c r="A707" s="81">
        <v>46117</v>
      </c>
      <c r="B707" t="s">
        <v>805</v>
      </c>
      <c r="C707" t="s">
        <v>721</v>
      </c>
      <c r="D707">
        <v>1</v>
      </c>
    </row>
    <row r="708" spans="1:4" x14ac:dyDescent="0.25">
      <c r="A708" s="81">
        <v>46117</v>
      </c>
      <c r="B708" t="s">
        <v>813</v>
      </c>
      <c r="C708" t="s">
        <v>721</v>
      </c>
      <c r="D708">
        <v>1</v>
      </c>
    </row>
    <row r="709" spans="1:4" x14ac:dyDescent="0.25">
      <c r="A709" s="81">
        <v>46117</v>
      </c>
      <c r="B709" t="s">
        <v>752</v>
      </c>
      <c r="C709" t="s">
        <v>721</v>
      </c>
      <c r="D709">
        <v>1</v>
      </c>
    </row>
    <row r="710" spans="1:4" x14ac:dyDescent="0.25">
      <c r="A710" s="81">
        <v>46117</v>
      </c>
      <c r="B710" t="s">
        <v>761</v>
      </c>
      <c r="C710" t="s">
        <v>721</v>
      </c>
      <c r="D710">
        <v>1</v>
      </c>
    </row>
    <row r="711" spans="1:4" x14ac:dyDescent="0.25">
      <c r="A711" s="81">
        <v>46121</v>
      </c>
      <c r="B711" t="s">
        <v>819</v>
      </c>
      <c r="C711" t="s">
        <v>721</v>
      </c>
      <c r="D711">
        <v>1</v>
      </c>
    </row>
    <row r="712" spans="1:4" x14ac:dyDescent="0.25">
      <c r="A712" s="81">
        <v>46121</v>
      </c>
      <c r="B712" t="s">
        <v>884</v>
      </c>
      <c r="C712" t="s">
        <v>721</v>
      </c>
      <c r="D712">
        <v>1</v>
      </c>
    </row>
    <row r="713" spans="1:4" x14ac:dyDescent="0.25">
      <c r="A713" s="81">
        <v>46121</v>
      </c>
      <c r="B713" t="s">
        <v>885</v>
      </c>
      <c r="C713" t="s">
        <v>721</v>
      </c>
      <c r="D713">
        <v>1</v>
      </c>
    </row>
    <row r="714" spans="1:4" x14ac:dyDescent="0.25">
      <c r="A714" s="81">
        <v>46121</v>
      </c>
      <c r="B714" t="s">
        <v>886</v>
      </c>
      <c r="C714" t="s">
        <v>721</v>
      </c>
      <c r="D714">
        <v>1</v>
      </c>
    </row>
    <row r="715" spans="1:4" x14ac:dyDescent="0.25">
      <c r="A715" s="81">
        <v>46121</v>
      </c>
      <c r="B715" t="s">
        <v>887</v>
      </c>
      <c r="C715" t="s">
        <v>721</v>
      </c>
      <c r="D715">
        <v>1</v>
      </c>
    </row>
    <row r="716" spans="1:4" x14ac:dyDescent="0.25">
      <c r="A716" s="81">
        <v>46121</v>
      </c>
      <c r="B716" t="s">
        <v>805</v>
      </c>
      <c r="C716" t="s">
        <v>721</v>
      </c>
      <c r="D716">
        <v>1</v>
      </c>
    </row>
    <row r="717" spans="1:4" x14ac:dyDescent="0.25">
      <c r="A717" s="81">
        <v>46122</v>
      </c>
      <c r="B717" t="s">
        <v>720</v>
      </c>
      <c r="C717" t="s">
        <v>721</v>
      </c>
      <c r="D717">
        <v>1</v>
      </c>
    </row>
    <row r="718" spans="1:4" x14ac:dyDescent="0.25">
      <c r="A718" s="81">
        <v>46122</v>
      </c>
      <c r="B718" t="s">
        <v>888</v>
      </c>
      <c r="C718" t="s">
        <v>721</v>
      </c>
      <c r="D718">
        <v>1</v>
      </c>
    </row>
    <row r="719" spans="1:4" x14ac:dyDescent="0.25">
      <c r="A719" s="81">
        <v>46122</v>
      </c>
      <c r="B719" t="s">
        <v>725</v>
      </c>
      <c r="C719" t="s">
        <v>721</v>
      </c>
      <c r="D719">
        <v>1</v>
      </c>
    </row>
    <row r="720" spans="1:4" x14ac:dyDescent="0.25">
      <c r="A720" s="81">
        <v>46122</v>
      </c>
      <c r="B720" t="s">
        <v>727</v>
      </c>
      <c r="C720" t="s">
        <v>721</v>
      </c>
      <c r="D720">
        <v>1</v>
      </c>
    </row>
    <row r="721" spans="1:4" x14ac:dyDescent="0.25">
      <c r="A721" s="81">
        <v>46122</v>
      </c>
      <c r="B721" t="s">
        <v>752</v>
      </c>
      <c r="C721" t="s">
        <v>721</v>
      </c>
      <c r="D721">
        <v>1</v>
      </c>
    </row>
    <row r="722" spans="1:4" x14ac:dyDescent="0.25">
      <c r="A722" s="81">
        <v>46122</v>
      </c>
      <c r="B722" t="s">
        <v>761</v>
      </c>
      <c r="C722" t="s">
        <v>721</v>
      </c>
      <c r="D722">
        <v>1</v>
      </c>
    </row>
    <row r="723" spans="1:4" x14ac:dyDescent="0.25">
      <c r="A723" s="81">
        <v>46122</v>
      </c>
      <c r="B723" t="s">
        <v>739</v>
      </c>
      <c r="C723" t="s">
        <v>721</v>
      </c>
      <c r="D723">
        <v>1</v>
      </c>
    </row>
    <row r="724" spans="1:4" x14ac:dyDescent="0.25">
      <c r="A724" s="81">
        <v>46122</v>
      </c>
      <c r="B724" t="s">
        <v>805</v>
      </c>
      <c r="C724" t="s">
        <v>721</v>
      </c>
      <c r="D724">
        <v>1</v>
      </c>
    </row>
    <row r="725" spans="1:4" x14ac:dyDescent="0.25">
      <c r="A725" s="81">
        <v>46122</v>
      </c>
      <c r="B725" t="s">
        <v>889</v>
      </c>
      <c r="C725" t="s">
        <v>721</v>
      </c>
      <c r="D725">
        <v>1</v>
      </c>
    </row>
    <row r="726" spans="1:4" x14ac:dyDescent="0.25">
      <c r="A726" s="81">
        <v>46122</v>
      </c>
      <c r="B726" t="s">
        <v>885</v>
      </c>
      <c r="C726" t="s">
        <v>721</v>
      </c>
      <c r="D726">
        <v>1</v>
      </c>
    </row>
    <row r="727" spans="1:4" x14ac:dyDescent="0.25">
      <c r="A727" s="81">
        <v>46122</v>
      </c>
      <c r="B727" t="s">
        <v>886</v>
      </c>
      <c r="C727" t="s">
        <v>721</v>
      </c>
      <c r="D727">
        <v>1</v>
      </c>
    </row>
    <row r="728" spans="1:4" x14ac:dyDescent="0.25">
      <c r="A728" s="81">
        <v>46123</v>
      </c>
      <c r="B728" t="s">
        <v>720</v>
      </c>
      <c r="C728" t="s">
        <v>721</v>
      </c>
      <c r="D728">
        <v>2</v>
      </c>
    </row>
    <row r="729" spans="1:4" x14ac:dyDescent="0.25">
      <c r="A729" s="81">
        <v>46123</v>
      </c>
      <c r="B729" t="s">
        <v>689</v>
      </c>
      <c r="C729" t="s">
        <v>721</v>
      </c>
      <c r="D729">
        <v>1</v>
      </c>
    </row>
    <row r="730" spans="1:4" x14ac:dyDescent="0.25">
      <c r="A730" s="81">
        <v>46123</v>
      </c>
      <c r="B730" t="s">
        <v>752</v>
      </c>
      <c r="C730" t="s">
        <v>721</v>
      </c>
      <c r="D730">
        <v>1</v>
      </c>
    </row>
    <row r="731" spans="1:4" x14ac:dyDescent="0.25">
      <c r="A731" s="81">
        <v>46123</v>
      </c>
      <c r="B731" t="s">
        <v>761</v>
      </c>
      <c r="C731" t="s">
        <v>721</v>
      </c>
      <c r="D731">
        <v>1</v>
      </c>
    </row>
    <row r="732" spans="1:4" x14ac:dyDescent="0.25">
      <c r="A732" s="81">
        <v>46123</v>
      </c>
      <c r="B732" t="s">
        <v>826</v>
      </c>
      <c r="C732" t="s">
        <v>721</v>
      </c>
      <c r="D732">
        <v>1</v>
      </c>
    </row>
    <row r="733" spans="1:4" x14ac:dyDescent="0.25">
      <c r="A733" s="81">
        <v>46123</v>
      </c>
      <c r="B733" t="s">
        <v>889</v>
      </c>
      <c r="C733" t="s">
        <v>721</v>
      </c>
      <c r="D733">
        <v>1</v>
      </c>
    </row>
    <row r="734" spans="1:4" x14ac:dyDescent="0.25">
      <c r="A734" s="81">
        <v>46123</v>
      </c>
      <c r="B734" t="s">
        <v>885</v>
      </c>
      <c r="C734" t="s">
        <v>721</v>
      </c>
      <c r="D734">
        <v>1</v>
      </c>
    </row>
    <row r="735" spans="1:4" x14ac:dyDescent="0.25">
      <c r="A735" s="81">
        <v>46124</v>
      </c>
      <c r="B735" t="s">
        <v>791</v>
      </c>
      <c r="C735" t="s">
        <v>743</v>
      </c>
      <c r="D735">
        <v>1</v>
      </c>
    </row>
    <row r="736" spans="1:4" x14ac:dyDescent="0.25">
      <c r="A736" s="81">
        <v>46124</v>
      </c>
      <c r="B736" t="s">
        <v>724</v>
      </c>
      <c r="C736" t="s">
        <v>743</v>
      </c>
      <c r="D736">
        <v>1</v>
      </c>
    </row>
    <row r="737" spans="1:4" x14ac:dyDescent="0.25">
      <c r="A737" s="81">
        <v>46124</v>
      </c>
      <c r="B737" t="s">
        <v>785</v>
      </c>
      <c r="C737" t="s">
        <v>743</v>
      </c>
      <c r="D737">
        <v>1</v>
      </c>
    </row>
    <row r="738" spans="1:4" x14ac:dyDescent="0.25">
      <c r="A738" s="81">
        <v>46124</v>
      </c>
      <c r="B738" t="s">
        <v>727</v>
      </c>
      <c r="C738" t="s">
        <v>743</v>
      </c>
      <c r="D738">
        <v>1</v>
      </c>
    </row>
    <row r="739" spans="1:4" x14ac:dyDescent="0.25">
      <c r="A739" s="81">
        <v>46124</v>
      </c>
      <c r="B739" t="s">
        <v>752</v>
      </c>
      <c r="C739" t="s">
        <v>743</v>
      </c>
      <c r="D739">
        <v>1</v>
      </c>
    </row>
    <row r="740" spans="1:4" x14ac:dyDescent="0.25">
      <c r="A740" s="81">
        <v>46124</v>
      </c>
      <c r="B740" t="s">
        <v>761</v>
      </c>
      <c r="C740" t="s">
        <v>743</v>
      </c>
      <c r="D740">
        <v>1</v>
      </c>
    </row>
    <row r="741" spans="1:4" x14ac:dyDescent="0.25">
      <c r="A741" s="81">
        <v>46124</v>
      </c>
      <c r="B741" t="s">
        <v>805</v>
      </c>
      <c r="C741" t="s">
        <v>743</v>
      </c>
      <c r="D741">
        <v>1</v>
      </c>
    </row>
    <row r="742" spans="1:4" x14ac:dyDescent="0.25">
      <c r="A742" s="81">
        <v>46124</v>
      </c>
      <c r="B742" t="s">
        <v>739</v>
      </c>
      <c r="C742" t="s">
        <v>743</v>
      </c>
      <c r="D742">
        <v>1</v>
      </c>
    </row>
    <row r="743" spans="1:4" x14ac:dyDescent="0.25">
      <c r="A743" s="81">
        <v>46124</v>
      </c>
      <c r="B743" t="s">
        <v>738</v>
      </c>
      <c r="C743" t="s">
        <v>743</v>
      </c>
      <c r="D743">
        <v>1</v>
      </c>
    </row>
    <row r="744" spans="1:4" x14ac:dyDescent="0.25">
      <c r="A744" s="81">
        <v>46124</v>
      </c>
      <c r="B744" t="s">
        <v>871</v>
      </c>
      <c r="C744" t="s">
        <v>743</v>
      </c>
      <c r="D744">
        <v>2</v>
      </c>
    </row>
    <row r="745" spans="1:4" x14ac:dyDescent="0.25">
      <c r="A745" s="81">
        <v>46124</v>
      </c>
      <c r="B745" t="s">
        <v>889</v>
      </c>
      <c r="C745" t="s">
        <v>743</v>
      </c>
      <c r="D745">
        <v>2</v>
      </c>
    </row>
    <row r="746" spans="1:4" x14ac:dyDescent="0.25">
      <c r="A746" s="81">
        <v>46124</v>
      </c>
      <c r="B746" t="s">
        <v>885</v>
      </c>
      <c r="C746" t="s">
        <v>743</v>
      </c>
      <c r="D746">
        <v>1</v>
      </c>
    </row>
    <row r="747" spans="1:4" x14ac:dyDescent="0.25">
      <c r="A747" s="81">
        <v>46124</v>
      </c>
      <c r="B747" t="s">
        <v>890</v>
      </c>
      <c r="C747" t="s">
        <v>743</v>
      </c>
      <c r="D747">
        <v>1</v>
      </c>
    </row>
    <row r="748" spans="1:4" x14ac:dyDescent="0.25">
      <c r="A748" s="81">
        <v>46125</v>
      </c>
      <c r="B748" t="s">
        <v>724</v>
      </c>
      <c r="C748" t="s">
        <v>741</v>
      </c>
      <c r="D748">
        <v>1</v>
      </c>
    </row>
    <row r="749" spans="1:4" x14ac:dyDescent="0.25">
      <c r="A749" s="81">
        <v>46125</v>
      </c>
      <c r="B749" t="s">
        <v>819</v>
      </c>
      <c r="C749" t="s">
        <v>741</v>
      </c>
      <c r="D749">
        <v>1</v>
      </c>
    </row>
    <row r="750" spans="1:4" x14ac:dyDescent="0.25">
      <c r="A750" s="81">
        <v>46125</v>
      </c>
      <c r="B750" t="s">
        <v>720</v>
      </c>
      <c r="C750" t="s">
        <v>741</v>
      </c>
      <c r="D750">
        <v>1</v>
      </c>
    </row>
    <row r="751" spans="1:4" x14ac:dyDescent="0.25">
      <c r="A751" s="81">
        <v>46126</v>
      </c>
      <c r="B751" t="s">
        <v>891</v>
      </c>
      <c r="C751" t="s">
        <v>721</v>
      </c>
      <c r="D751">
        <v>1</v>
      </c>
    </row>
    <row r="752" spans="1:4" x14ac:dyDescent="0.25">
      <c r="A752" s="81">
        <v>46126</v>
      </c>
      <c r="B752" t="s">
        <v>805</v>
      </c>
      <c r="C752" t="s">
        <v>741</v>
      </c>
      <c r="D752">
        <v>1</v>
      </c>
    </row>
    <row r="753" spans="1:4" x14ac:dyDescent="0.25">
      <c r="A753" s="81">
        <v>46127</v>
      </c>
      <c r="B753" t="s">
        <v>720</v>
      </c>
      <c r="C753" t="s">
        <v>743</v>
      </c>
      <c r="D753">
        <v>1</v>
      </c>
    </row>
    <row r="754" spans="1:4" x14ac:dyDescent="0.25">
      <c r="A754" s="81">
        <v>46127</v>
      </c>
      <c r="B754" t="s">
        <v>797</v>
      </c>
      <c r="C754" t="s">
        <v>743</v>
      </c>
      <c r="D754">
        <v>1</v>
      </c>
    </row>
    <row r="755" spans="1:4" x14ac:dyDescent="0.25">
      <c r="A755" s="81">
        <v>46127</v>
      </c>
      <c r="B755" t="s">
        <v>727</v>
      </c>
      <c r="C755" t="s">
        <v>743</v>
      </c>
      <c r="D755">
        <v>1</v>
      </c>
    </row>
    <row r="756" spans="1:4" x14ac:dyDescent="0.25">
      <c r="A756" s="81">
        <v>46127</v>
      </c>
      <c r="B756" t="s">
        <v>738</v>
      </c>
      <c r="C756" t="s">
        <v>743</v>
      </c>
      <c r="D756">
        <v>1</v>
      </c>
    </row>
    <row r="757" spans="1:4" x14ac:dyDescent="0.25">
      <c r="A757" s="81">
        <v>46127</v>
      </c>
      <c r="B757" t="s">
        <v>761</v>
      </c>
      <c r="C757" t="s">
        <v>743</v>
      </c>
      <c r="D757">
        <v>1</v>
      </c>
    </row>
    <row r="758" spans="1:4" x14ac:dyDescent="0.25">
      <c r="A758" s="81">
        <v>46127</v>
      </c>
      <c r="B758" t="s">
        <v>739</v>
      </c>
      <c r="C758" t="s">
        <v>743</v>
      </c>
      <c r="D758">
        <v>1</v>
      </c>
    </row>
    <row r="759" spans="1:4" x14ac:dyDescent="0.25">
      <c r="A759" s="81">
        <v>46127</v>
      </c>
      <c r="B759" t="s">
        <v>720</v>
      </c>
      <c r="C759" t="s">
        <v>743</v>
      </c>
      <c r="D759">
        <v>2</v>
      </c>
    </row>
    <row r="760" spans="1:4" x14ac:dyDescent="0.25">
      <c r="A760" s="81">
        <v>46128</v>
      </c>
      <c r="B760" t="s">
        <v>752</v>
      </c>
      <c r="C760" t="s">
        <v>721</v>
      </c>
      <c r="D760">
        <v>1</v>
      </c>
    </row>
    <row r="761" spans="1:4" x14ac:dyDescent="0.25">
      <c r="A761" s="81">
        <v>46128</v>
      </c>
      <c r="B761" t="s">
        <v>761</v>
      </c>
      <c r="C761" t="s">
        <v>721</v>
      </c>
      <c r="D761">
        <v>1</v>
      </c>
    </row>
    <row r="762" spans="1:4" x14ac:dyDescent="0.25">
      <c r="A762" s="81">
        <v>46128</v>
      </c>
      <c r="B762" t="s">
        <v>795</v>
      </c>
      <c r="C762" t="s">
        <v>721</v>
      </c>
      <c r="D762">
        <v>1</v>
      </c>
    </row>
    <row r="763" spans="1:4" x14ac:dyDescent="0.25">
      <c r="A763" s="81">
        <v>46128</v>
      </c>
      <c r="B763" t="s">
        <v>782</v>
      </c>
      <c r="C763" t="s">
        <v>721</v>
      </c>
      <c r="D763">
        <v>2</v>
      </c>
    </row>
    <row r="764" spans="1:4" x14ac:dyDescent="0.25">
      <c r="A764" s="81">
        <v>46128</v>
      </c>
      <c r="B764" t="s">
        <v>892</v>
      </c>
      <c r="C764" t="s">
        <v>721</v>
      </c>
      <c r="D764">
        <v>1</v>
      </c>
    </row>
    <row r="765" spans="1:4" x14ac:dyDescent="0.25">
      <c r="A765" s="81">
        <v>46128</v>
      </c>
      <c r="B765" t="s">
        <v>891</v>
      </c>
      <c r="C765" t="s">
        <v>721</v>
      </c>
      <c r="D765">
        <v>1</v>
      </c>
    </row>
    <row r="766" spans="1:4" x14ac:dyDescent="0.25">
      <c r="A766" s="81">
        <v>46128</v>
      </c>
      <c r="B766" t="s">
        <v>893</v>
      </c>
      <c r="C766" t="s">
        <v>721</v>
      </c>
      <c r="D766">
        <v>1</v>
      </c>
    </row>
    <row r="767" spans="1:4" x14ac:dyDescent="0.25">
      <c r="A767" s="81">
        <v>46129</v>
      </c>
      <c r="B767" t="s">
        <v>724</v>
      </c>
      <c r="C767" t="s">
        <v>721</v>
      </c>
      <c r="D767">
        <v>1</v>
      </c>
    </row>
    <row r="768" spans="1:4" x14ac:dyDescent="0.25">
      <c r="A768" s="81">
        <v>46129</v>
      </c>
      <c r="B768" t="s">
        <v>773</v>
      </c>
      <c r="C768" t="s">
        <v>721</v>
      </c>
      <c r="D768">
        <v>1</v>
      </c>
    </row>
    <row r="769" spans="1:4" x14ac:dyDescent="0.25">
      <c r="A769" s="81">
        <v>46129</v>
      </c>
      <c r="B769" t="s">
        <v>894</v>
      </c>
      <c r="C769" t="s">
        <v>721</v>
      </c>
      <c r="D769">
        <v>2</v>
      </c>
    </row>
    <row r="770" spans="1:4" x14ac:dyDescent="0.25">
      <c r="A770" s="81">
        <v>46129</v>
      </c>
      <c r="B770" t="s">
        <v>689</v>
      </c>
      <c r="C770" t="s">
        <v>721</v>
      </c>
      <c r="D770">
        <v>1</v>
      </c>
    </row>
    <row r="771" spans="1:4" x14ac:dyDescent="0.25">
      <c r="A771" s="81">
        <v>46129</v>
      </c>
      <c r="B771" t="s">
        <v>727</v>
      </c>
      <c r="C771" t="s">
        <v>721</v>
      </c>
      <c r="D771">
        <v>1</v>
      </c>
    </row>
    <row r="772" spans="1:4" x14ac:dyDescent="0.25">
      <c r="A772" s="81">
        <v>46129</v>
      </c>
      <c r="B772" t="s">
        <v>752</v>
      </c>
      <c r="C772" t="s">
        <v>721</v>
      </c>
      <c r="D772">
        <v>1</v>
      </c>
    </row>
    <row r="773" spans="1:4" x14ac:dyDescent="0.25">
      <c r="A773" s="81">
        <v>46129</v>
      </c>
      <c r="B773" t="s">
        <v>761</v>
      </c>
      <c r="C773" t="s">
        <v>721</v>
      </c>
      <c r="D773">
        <v>1</v>
      </c>
    </row>
    <row r="774" spans="1:4" x14ac:dyDescent="0.25">
      <c r="A774" s="81">
        <v>46129</v>
      </c>
      <c r="B774" t="s">
        <v>729</v>
      </c>
      <c r="C774" t="s">
        <v>721</v>
      </c>
      <c r="D774">
        <v>1</v>
      </c>
    </row>
    <row r="775" spans="1:4" x14ac:dyDescent="0.25">
      <c r="A775" s="81">
        <v>46129</v>
      </c>
      <c r="B775" t="s">
        <v>720</v>
      </c>
      <c r="C775" t="s">
        <v>721</v>
      </c>
      <c r="D775">
        <v>1</v>
      </c>
    </row>
    <row r="776" spans="1:4" x14ac:dyDescent="0.25">
      <c r="A776" s="81">
        <v>46130</v>
      </c>
      <c r="B776" t="s">
        <v>720</v>
      </c>
      <c r="C776" t="s">
        <v>721</v>
      </c>
      <c r="D776">
        <v>1</v>
      </c>
    </row>
    <row r="777" spans="1:4" x14ac:dyDescent="0.25">
      <c r="A777" s="81">
        <v>46130</v>
      </c>
      <c r="B777" t="s">
        <v>895</v>
      </c>
      <c r="C777" t="s">
        <v>721</v>
      </c>
      <c r="D777">
        <v>1</v>
      </c>
    </row>
    <row r="778" spans="1:4" x14ac:dyDescent="0.25">
      <c r="A778" s="81">
        <v>46130</v>
      </c>
      <c r="B778" t="s">
        <v>785</v>
      </c>
      <c r="C778" t="s">
        <v>721</v>
      </c>
      <c r="D778">
        <v>2</v>
      </c>
    </row>
    <row r="779" spans="1:4" x14ac:dyDescent="0.25">
      <c r="A779" s="81">
        <v>46130</v>
      </c>
      <c r="B779" t="s">
        <v>752</v>
      </c>
      <c r="C779" t="s">
        <v>721</v>
      </c>
      <c r="D779">
        <v>1</v>
      </c>
    </row>
    <row r="780" spans="1:4" x14ac:dyDescent="0.25">
      <c r="A780" s="81">
        <v>46130</v>
      </c>
      <c r="B780" t="s">
        <v>761</v>
      </c>
      <c r="C780" t="s">
        <v>721</v>
      </c>
      <c r="D780">
        <v>1</v>
      </c>
    </row>
    <row r="781" spans="1:4" x14ac:dyDescent="0.25">
      <c r="A781" s="81">
        <v>46130</v>
      </c>
      <c r="B781" t="s">
        <v>795</v>
      </c>
      <c r="C781" t="s">
        <v>721</v>
      </c>
      <c r="D781">
        <v>1</v>
      </c>
    </row>
    <row r="782" spans="1:4" x14ac:dyDescent="0.25">
      <c r="A782" s="81">
        <v>46130</v>
      </c>
      <c r="B782" t="s">
        <v>896</v>
      </c>
      <c r="C782" t="s">
        <v>721</v>
      </c>
      <c r="D782">
        <v>1</v>
      </c>
    </row>
    <row r="783" spans="1:4" x14ac:dyDescent="0.25">
      <c r="A783" s="81">
        <v>46130</v>
      </c>
      <c r="B783" t="s">
        <v>768</v>
      </c>
      <c r="C783" t="s">
        <v>721</v>
      </c>
      <c r="D783">
        <v>2</v>
      </c>
    </row>
    <row r="784" spans="1:4" x14ac:dyDescent="0.25">
      <c r="A784" s="81">
        <v>46130</v>
      </c>
      <c r="B784" t="s">
        <v>897</v>
      </c>
      <c r="C784" t="s">
        <v>721</v>
      </c>
      <c r="D784">
        <v>1</v>
      </c>
    </row>
    <row r="785" spans="1:4" x14ac:dyDescent="0.25">
      <c r="A785" s="81">
        <v>46130</v>
      </c>
      <c r="B785" t="s">
        <v>738</v>
      </c>
      <c r="C785" t="s">
        <v>721</v>
      </c>
      <c r="D785">
        <v>1</v>
      </c>
    </row>
    <row r="786" spans="1:4" x14ac:dyDescent="0.25">
      <c r="A786" s="81">
        <v>46131</v>
      </c>
      <c r="B786" t="s">
        <v>791</v>
      </c>
      <c r="C786" t="s">
        <v>721</v>
      </c>
      <c r="D786">
        <v>1</v>
      </c>
    </row>
    <row r="787" spans="1:4" x14ac:dyDescent="0.25">
      <c r="A787" s="81">
        <v>46131</v>
      </c>
      <c r="B787" t="s">
        <v>895</v>
      </c>
      <c r="C787" t="s">
        <v>721</v>
      </c>
      <c r="D787">
        <v>1</v>
      </c>
    </row>
    <row r="788" spans="1:4" x14ac:dyDescent="0.25">
      <c r="A788" s="81">
        <v>46131</v>
      </c>
      <c r="B788" t="s">
        <v>804</v>
      </c>
      <c r="C788" t="s">
        <v>721</v>
      </c>
      <c r="D788">
        <v>2</v>
      </c>
    </row>
    <row r="789" spans="1:4" x14ac:dyDescent="0.25">
      <c r="A789" s="81">
        <v>46131</v>
      </c>
      <c r="B789" t="s">
        <v>724</v>
      </c>
      <c r="C789" t="s">
        <v>721</v>
      </c>
      <c r="D789">
        <v>1</v>
      </c>
    </row>
    <row r="790" spans="1:4" x14ac:dyDescent="0.25">
      <c r="A790" s="81">
        <v>46131</v>
      </c>
      <c r="B790" t="s">
        <v>797</v>
      </c>
      <c r="C790" t="s">
        <v>721</v>
      </c>
      <c r="D790">
        <v>1</v>
      </c>
    </row>
    <row r="791" spans="1:4" x14ac:dyDescent="0.25">
      <c r="A791" s="81">
        <v>46131</v>
      </c>
      <c r="B791" t="s">
        <v>896</v>
      </c>
      <c r="C791" t="s">
        <v>721</v>
      </c>
      <c r="D791">
        <v>1</v>
      </c>
    </row>
    <row r="792" spans="1:4" x14ac:dyDescent="0.25">
      <c r="A792" s="81">
        <v>46131</v>
      </c>
      <c r="B792" t="s">
        <v>785</v>
      </c>
      <c r="C792" t="s">
        <v>721</v>
      </c>
      <c r="D792">
        <v>1</v>
      </c>
    </row>
    <row r="793" spans="1:4" x14ac:dyDescent="0.25">
      <c r="A793" s="81">
        <v>46131</v>
      </c>
      <c r="B793" t="s">
        <v>727</v>
      </c>
      <c r="C793" t="s">
        <v>721</v>
      </c>
      <c r="D793">
        <v>1</v>
      </c>
    </row>
    <row r="794" spans="1:4" x14ac:dyDescent="0.25">
      <c r="A794" s="81">
        <v>46131</v>
      </c>
      <c r="B794" t="s">
        <v>752</v>
      </c>
      <c r="C794" t="s">
        <v>721</v>
      </c>
      <c r="D794">
        <v>1</v>
      </c>
    </row>
    <row r="795" spans="1:4" x14ac:dyDescent="0.25">
      <c r="A795" s="81">
        <v>46131</v>
      </c>
      <c r="B795" t="s">
        <v>761</v>
      </c>
      <c r="C795" t="s">
        <v>721</v>
      </c>
      <c r="D795">
        <v>1</v>
      </c>
    </row>
    <row r="796" spans="1:4" x14ac:dyDescent="0.25">
      <c r="A796" s="81">
        <v>46131</v>
      </c>
      <c r="B796" t="s">
        <v>795</v>
      </c>
      <c r="C796" t="s">
        <v>721</v>
      </c>
      <c r="D796">
        <v>1</v>
      </c>
    </row>
    <row r="797" spans="1:4" x14ac:dyDescent="0.25">
      <c r="A797" s="81">
        <v>46131</v>
      </c>
      <c r="B797" t="s">
        <v>830</v>
      </c>
      <c r="C797" t="s">
        <v>721</v>
      </c>
      <c r="D797">
        <v>1</v>
      </c>
    </row>
    <row r="798" spans="1:4" x14ac:dyDescent="0.25">
      <c r="A798" s="81">
        <v>46131</v>
      </c>
      <c r="B798" t="s">
        <v>805</v>
      </c>
      <c r="C798" t="s">
        <v>721</v>
      </c>
      <c r="D798">
        <v>1</v>
      </c>
    </row>
    <row r="799" spans="1:4" x14ac:dyDescent="0.25">
      <c r="A799" s="81">
        <v>46131</v>
      </c>
      <c r="B799" t="s">
        <v>768</v>
      </c>
      <c r="C799" t="s">
        <v>721</v>
      </c>
      <c r="D799">
        <v>2</v>
      </c>
    </row>
    <row r="800" spans="1:4" x14ac:dyDescent="0.25">
      <c r="A800" s="81">
        <v>46131</v>
      </c>
      <c r="B800" t="s">
        <v>720</v>
      </c>
      <c r="C800" t="s">
        <v>721</v>
      </c>
      <c r="D800">
        <v>1</v>
      </c>
    </row>
    <row r="801" spans="1:4" x14ac:dyDescent="0.25">
      <c r="A801" s="81">
        <v>46131</v>
      </c>
      <c r="B801" t="s">
        <v>785</v>
      </c>
      <c r="C801" t="s">
        <v>721</v>
      </c>
      <c r="D801">
        <v>1</v>
      </c>
    </row>
    <row r="802" spans="1:4" x14ac:dyDescent="0.25">
      <c r="A802" s="81">
        <v>46132</v>
      </c>
      <c r="B802" t="s">
        <v>738</v>
      </c>
      <c r="C802" t="s">
        <v>741</v>
      </c>
      <c r="D802">
        <v>1</v>
      </c>
    </row>
    <row r="803" spans="1:4" x14ac:dyDescent="0.25">
      <c r="A803" s="81">
        <v>46132</v>
      </c>
      <c r="B803" t="s">
        <v>729</v>
      </c>
      <c r="C803" t="s">
        <v>741</v>
      </c>
      <c r="D803">
        <v>1</v>
      </c>
    </row>
    <row r="804" spans="1:4" x14ac:dyDescent="0.25">
      <c r="A804" s="81">
        <v>46132</v>
      </c>
      <c r="B804" t="s">
        <v>795</v>
      </c>
      <c r="C804" t="s">
        <v>741</v>
      </c>
      <c r="D804">
        <v>1</v>
      </c>
    </row>
    <row r="805" spans="1:4" x14ac:dyDescent="0.25">
      <c r="A805" s="81">
        <v>46132</v>
      </c>
      <c r="B805" t="s">
        <v>805</v>
      </c>
      <c r="C805" t="s">
        <v>741</v>
      </c>
      <c r="D805">
        <v>1</v>
      </c>
    </row>
    <row r="806" spans="1:4" x14ac:dyDescent="0.25">
      <c r="A806" s="81">
        <v>46132</v>
      </c>
      <c r="B806" t="s">
        <v>782</v>
      </c>
      <c r="C806" t="s">
        <v>741</v>
      </c>
      <c r="D806">
        <v>4</v>
      </c>
    </row>
    <row r="807" spans="1:4" x14ac:dyDescent="0.25">
      <c r="A807" s="81">
        <v>46132</v>
      </c>
      <c r="B807" t="s">
        <v>894</v>
      </c>
      <c r="C807" t="s">
        <v>741</v>
      </c>
      <c r="D807">
        <v>2</v>
      </c>
    </row>
    <row r="808" spans="1:4" x14ac:dyDescent="0.25">
      <c r="A808" s="81">
        <v>46132</v>
      </c>
      <c r="B808" t="s">
        <v>892</v>
      </c>
      <c r="C808" t="s">
        <v>741</v>
      </c>
      <c r="D808">
        <v>1</v>
      </c>
    </row>
    <row r="809" spans="1:4" x14ac:dyDescent="0.25">
      <c r="A809" s="81">
        <v>46132</v>
      </c>
      <c r="B809" t="s">
        <v>844</v>
      </c>
      <c r="C809" t="s">
        <v>741</v>
      </c>
      <c r="D809">
        <v>1</v>
      </c>
    </row>
    <row r="810" spans="1:4" x14ac:dyDescent="0.25">
      <c r="A810" s="81">
        <v>46132</v>
      </c>
      <c r="B810" t="s">
        <v>720</v>
      </c>
      <c r="C810" t="s">
        <v>741</v>
      </c>
      <c r="D810">
        <v>1</v>
      </c>
    </row>
    <row r="811" spans="1:4" x14ac:dyDescent="0.25">
      <c r="A811" s="81">
        <v>46132</v>
      </c>
      <c r="B811" t="s">
        <v>819</v>
      </c>
      <c r="C811" t="s">
        <v>741</v>
      </c>
      <c r="D811">
        <v>1</v>
      </c>
    </row>
    <row r="812" spans="1:4" x14ac:dyDescent="0.25">
      <c r="A812" s="81">
        <v>46132</v>
      </c>
      <c r="B812" t="s">
        <v>725</v>
      </c>
      <c r="C812" t="s">
        <v>741</v>
      </c>
      <c r="D812">
        <v>1</v>
      </c>
    </row>
    <row r="813" spans="1:4" x14ac:dyDescent="0.25">
      <c r="A813" s="81">
        <v>46132</v>
      </c>
      <c r="B813" t="s">
        <v>724</v>
      </c>
      <c r="C813" t="s">
        <v>741</v>
      </c>
      <c r="D813">
        <v>1</v>
      </c>
    </row>
    <row r="814" spans="1:4" x14ac:dyDescent="0.25">
      <c r="A814" s="81">
        <v>46132</v>
      </c>
      <c r="B814" t="s">
        <v>689</v>
      </c>
      <c r="C814" t="s">
        <v>741</v>
      </c>
      <c r="D814">
        <v>1</v>
      </c>
    </row>
    <row r="815" spans="1:4" x14ac:dyDescent="0.25">
      <c r="A815" s="81">
        <v>46132</v>
      </c>
      <c r="B815" t="s">
        <v>727</v>
      </c>
      <c r="C815" t="s">
        <v>741</v>
      </c>
      <c r="D815">
        <v>1</v>
      </c>
    </row>
    <row r="816" spans="1:4" x14ac:dyDescent="0.25">
      <c r="A816" s="81">
        <v>46132</v>
      </c>
      <c r="B816" t="s">
        <v>752</v>
      </c>
      <c r="C816" t="s">
        <v>741</v>
      </c>
      <c r="D816">
        <v>1</v>
      </c>
    </row>
    <row r="817" spans="1:4" x14ac:dyDescent="0.25">
      <c r="A817" s="81">
        <v>46132</v>
      </c>
      <c r="B817" t="s">
        <v>761</v>
      </c>
      <c r="C817" t="s">
        <v>741</v>
      </c>
      <c r="D817">
        <v>1</v>
      </c>
    </row>
    <row r="818" spans="1:4" x14ac:dyDescent="0.25">
      <c r="A818" s="81">
        <v>46133</v>
      </c>
      <c r="B818" t="s">
        <v>720</v>
      </c>
      <c r="C818" t="s">
        <v>721</v>
      </c>
      <c r="D818">
        <v>2</v>
      </c>
    </row>
    <row r="819" spans="1:4" x14ac:dyDescent="0.25">
      <c r="A819" s="81">
        <v>46133</v>
      </c>
      <c r="B819" t="s">
        <v>791</v>
      </c>
      <c r="C819" t="s">
        <v>721</v>
      </c>
      <c r="D819">
        <v>1</v>
      </c>
    </row>
    <row r="820" spans="1:4" x14ac:dyDescent="0.25">
      <c r="A820" s="81">
        <v>46133</v>
      </c>
      <c r="B820" t="s">
        <v>895</v>
      </c>
      <c r="C820" t="s">
        <v>721</v>
      </c>
      <c r="D820">
        <v>1</v>
      </c>
    </row>
    <row r="821" spans="1:4" x14ac:dyDescent="0.25">
      <c r="A821" s="81">
        <v>46133</v>
      </c>
      <c r="B821" t="s">
        <v>898</v>
      </c>
      <c r="C821" t="s">
        <v>721</v>
      </c>
      <c r="D821">
        <v>1</v>
      </c>
    </row>
    <row r="822" spans="1:4" x14ac:dyDescent="0.25">
      <c r="A822" s="81">
        <v>46133</v>
      </c>
      <c r="B822" t="s">
        <v>768</v>
      </c>
      <c r="C822" t="s">
        <v>721</v>
      </c>
      <c r="D822">
        <v>2</v>
      </c>
    </row>
    <row r="823" spans="1:4" x14ac:dyDescent="0.25">
      <c r="A823" s="81">
        <v>46133</v>
      </c>
      <c r="B823" t="s">
        <v>797</v>
      </c>
      <c r="C823" t="s">
        <v>721</v>
      </c>
      <c r="D823">
        <v>1</v>
      </c>
    </row>
    <row r="824" spans="1:4" x14ac:dyDescent="0.25">
      <c r="A824" s="81">
        <v>46133</v>
      </c>
      <c r="B824" t="s">
        <v>724</v>
      </c>
      <c r="C824" t="s">
        <v>721</v>
      </c>
      <c r="D824">
        <v>1</v>
      </c>
    </row>
    <row r="825" spans="1:4" x14ac:dyDescent="0.25">
      <c r="A825" s="81">
        <v>46133</v>
      </c>
      <c r="B825" t="s">
        <v>785</v>
      </c>
      <c r="C825" t="s">
        <v>721</v>
      </c>
      <c r="D825">
        <v>1</v>
      </c>
    </row>
    <row r="826" spans="1:4" x14ac:dyDescent="0.25">
      <c r="A826" s="81">
        <v>46133</v>
      </c>
      <c r="B826" t="s">
        <v>727</v>
      </c>
      <c r="C826" t="s">
        <v>721</v>
      </c>
      <c r="D826">
        <v>1</v>
      </c>
    </row>
    <row r="827" spans="1:4" x14ac:dyDescent="0.25">
      <c r="A827" s="81">
        <v>46133</v>
      </c>
      <c r="B827" t="s">
        <v>752</v>
      </c>
      <c r="C827" t="s">
        <v>721</v>
      </c>
      <c r="D827">
        <v>1</v>
      </c>
    </row>
    <row r="828" spans="1:4" x14ac:dyDescent="0.25">
      <c r="A828" s="81">
        <v>46133</v>
      </c>
      <c r="B828" t="s">
        <v>761</v>
      </c>
      <c r="C828" t="s">
        <v>721</v>
      </c>
      <c r="D828">
        <v>1</v>
      </c>
    </row>
    <row r="829" spans="1:4" x14ac:dyDescent="0.25">
      <c r="A829" s="81">
        <v>46133</v>
      </c>
      <c r="B829" t="s">
        <v>890</v>
      </c>
      <c r="C829" t="s">
        <v>721</v>
      </c>
      <c r="D829">
        <v>1</v>
      </c>
    </row>
    <row r="830" spans="1:4" x14ac:dyDescent="0.25">
      <c r="A830" s="81">
        <v>46133</v>
      </c>
      <c r="B830" t="s">
        <v>898</v>
      </c>
      <c r="C830" t="s">
        <v>721</v>
      </c>
      <c r="D830">
        <v>1</v>
      </c>
    </row>
    <row r="831" spans="1:4" x14ac:dyDescent="0.25">
      <c r="A831" s="81">
        <v>46133</v>
      </c>
      <c r="B831" t="s">
        <v>785</v>
      </c>
      <c r="C831" t="s">
        <v>721</v>
      </c>
      <c r="D831">
        <v>1</v>
      </c>
    </row>
    <row r="832" spans="1:4" x14ac:dyDescent="0.25">
      <c r="A832" s="81">
        <v>46133</v>
      </c>
      <c r="B832" t="s">
        <v>752</v>
      </c>
      <c r="C832" t="s">
        <v>721</v>
      </c>
      <c r="D832">
        <v>1</v>
      </c>
    </row>
    <row r="833" spans="1:4" x14ac:dyDescent="0.25">
      <c r="A833" s="81">
        <v>46133</v>
      </c>
      <c r="B833" t="s">
        <v>761</v>
      </c>
      <c r="C833" t="s">
        <v>721</v>
      </c>
      <c r="D833">
        <v>1</v>
      </c>
    </row>
    <row r="834" spans="1:4" x14ac:dyDescent="0.25">
      <c r="A834" s="81">
        <v>46133</v>
      </c>
      <c r="B834" t="s">
        <v>738</v>
      </c>
      <c r="C834" t="s">
        <v>721</v>
      </c>
      <c r="D834">
        <v>1</v>
      </c>
    </row>
    <row r="835" spans="1:4" x14ac:dyDescent="0.25">
      <c r="A835" s="81">
        <v>46134</v>
      </c>
      <c r="B835" t="s">
        <v>795</v>
      </c>
      <c r="C835" t="s">
        <v>743</v>
      </c>
      <c r="D835">
        <v>1</v>
      </c>
    </row>
    <row r="836" spans="1:4" x14ac:dyDescent="0.25">
      <c r="A836" s="81">
        <v>46134</v>
      </c>
      <c r="B836" t="s">
        <v>720</v>
      </c>
      <c r="C836" t="s">
        <v>743</v>
      </c>
      <c r="D836">
        <v>1</v>
      </c>
    </row>
    <row r="837" spans="1:4" x14ac:dyDescent="0.25">
      <c r="A837" s="81">
        <v>46134</v>
      </c>
      <c r="B837" t="s">
        <v>899</v>
      </c>
      <c r="C837" t="s">
        <v>743</v>
      </c>
      <c r="D837">
        <v>1</v>
      </c>
    </row>
    <row r="838" spans="1:4" x14ac:dyDescent="0.25">
      <c r="A838" s="81">
        <v>46134</v>
      </c>
      <c r="B838" t="s">
        <v>724</v>
      </c>
      <c r="C838" t="s">
        <v>743</v>
      </c>
      <c r="D838">
        <v>1</v>
      </c>
    </row>
    <row r="839" spans="1:4" x14ac:dyDescent="0.25">
      <c r="A839" s="81">
        <v>46134</v>
      </c>
      <c r="B839" t="s">
        <v>768</v>
      </c>
      <c r="C839" t="s">
        <v>743</v>
      </c>
      <c r="D839">
        <v>1</v>
      </c>
    </row>
    <row r="840" spans="1:4" x14ac:dyDescent="0.25">
      <c r="A840" s="81">
        <v>46134</v>
      </c>
      <c r="B840" t="s">
        <v>785</v>
      </c>
      <c r="C840" t="s">
        <v>743</v>
      </c>
      <c r="D840">
        <v>1</v>
      </c>
    </row>
    <row r="841" spans="1:4" x14ac:dyDescent="0.25">
      <c r="A841" s="81">
        <v>46134</v>
      </c>
      <c r="B841" t="s">
        <v>727</v>
      </c>
      <c r="C841" t="s">
        <v>743</v>
      </c>
      <c r="D841">
        <v>1</v>
      </c>
    </row>
    <row r="842" spans="1:4" x14ac:dyDescent="0.25">
      <c r="A842" s="81">
        <v>46134</v>
      </c>
      <c r="B842" t="s">
        <v>752</v>
      </c>
      <c r="C842" t="s">
        <v>743</v>
      </c>
      <c r="D842">
        <v>1</v>
      </c>
    </row>
    <row r="843" spans="1:4" x14ac:dyDescent="0.25">
      <c r="A843" s="81">
        <v>46134</v>
      </c>
      <c r="B843" t="s">
        <v>761</v>
      </c>
      <c r="C843" t="s">
        <v>743</v>
      </c>
      <c r="D843">
        <v>1</v>
      </c>
    </row>
    <row r="844" spans="1:4" x14ac:dyDescent="0.25">
      <c r="A844" s="81">
        <v>46134</v>
      </c>
      <c r="B844" t="s">
        <v>900</v>
      </c>
      <c r="C844" t="s">
        <v>743</v>
      </c>
      <c r="D844">
        <v>1</v>
      </c>
    </row>
    <row r="845" spans="1:4" x14ac:dyDescent="0.25">
      <c r="A845" s="81">
        <v>46134</v>
      </c>
      <c r="B845" t="s">
        <v>729</v>
      </c>
      <c r="C845" t="s">
        <v>743</v>
      </c>
      <c r="D845">
        <v>1</v>
      </c>
    </row>
    <row r="846" spans="1:4" x14ac:dyDescent="0.25">
      <c r="A846" s="81">
        <v>46136</v>
      </c>
      <c r="B846" t="s">
        <v>727</v>
      </c>
      <c r="C846" t="s">
        <v>721</v>
      </c>
      <c r="D846">
        <v>1</v>
      </c>
    </row>
    <row r="847" spans="1:4" x14ac:dyDescent="0.25">
      <c r="A847" s="81">
        <v>46136</v>
      </c>
      <c r="B847" t="s">
        <v>785</v>
      </c>
      <c r="C847" t="s">
        <v>721</v>
      </c>
      <c r="D847">
        <v>1</v>
      </c>
    </row>
    <row r="848" spans="1:4" x14ac:dyDescent="0.25">
      <c r="A848" s="81">
        <v>46136</v>
      </c>
      <c r="B848" t="s">
        <v>797</v>
      </c>
      <c r="C848" t="s">
        <v>721</v>
      </c>
      <c r="D848">
        <v>1</v>
      </c>
    </row>
    <row r="849" spans="1:4" x14ac:dyDescent="0.25">
      <c r="A849" s="81">
        <v>46136</v>
      </c>
      <c r="B849" t="s">
        <v>791</v>
      </c>
      <c r="C849" t="s">
        <v>721</v>
      </c>
      <c r="D849">
        <v>1</v>
      </c>
    </row>
    <row r="850" spans="1:4" x14ac:dyDescent="0.25">
      <c r="A850" s="81">
        <v>46136</v>
      </c>
      <c r="B850" t="s">
        <v>720</v>
      </c>
      <c r="C850" t="s">
        <v>721</v>
      </c>
      <c r="D850">
        <v>1</v>
      </c>
    </row>
    <row r="851" spans="1:4" x14ac:dyDescent="0.25">
      <c r="A851" s="81">
        <v>46136</v>
      </c>
      <c r="B851" t="s">
        <v>805</v>
      </c>
      <c r="C851" t="s">
        <v>721</v>
      </c>
      <c r="D851">
        <v>1</v>
      </c>
    </row>
    <row r="852" spans="1:4" x14ac:dyDescent="0.25">
      <c r="A852" s="81">
        <v>46137</v>
      </c>
      <c r="B852" t="s">
        <v>805</v>
      </c>
      <c r="C852" t="s">
        <v>721</v>
      </c>
      <c r="D852">
        <v>1</v>
      </c>
    </row>
    <row r="853" spans="1:4" x14ac:dyDescent="0.25">
      <c r="A853" s="81">
        <v>46137</v>
      </c>
      <c r="B853" t="s">
        <v>720</v>
      </c>
      <c r="C853" t="s">
        <v>721</v>
      </c>
      <c r="D853">
        <v>2</v>
      </c>
    </row>
    <row r="854" spans="1:4" x14ac:dyDescent="0.25">
      <c r="A854" s="81">
        <v>46137</v>
      </c>
      <c r="B854" t="s">
        <v>716</v>
      </c>
      <c r="C854" t="s">
        <v>721</v>
      </c>
      <c r="D854">
        <v>1</v>
      </c>
    </row>
    <row r="855" spans="1:4" x14ac:dyDescent="0.25">
      <c r="A855" s="81">
        <v>46137</v>
      </c>
      <c r="B855" t="s">
        <v>901</v>
      </c>
      <c r="C855" t="s">
        <v>721</v>
      </c>
      <c r="D855">
        <v>1</v>
      </c>
    </row>
    <row r="856" spans="1:4" x14ac:dyDescent="0.25">
      <c r="A856" s="81">
        <v>46137</v>
      </c>
      <c r="B856" t="s">
        <v>902</v>
      </c>
      <c r="C856" t="s">
        <v>721</v>
      </c>
      <c r="D856">
        <v>2</v>
      </c>
    </row>
    <row r="857" spans="1:4" x14ac:dyDescent="0.25">
      <c r="A857" s="81">
        <v>46137</v>
      </c>
      <c r="B857" t="s">
        <v>689</v>
      </c>
      <c r="C857" t="s">
        <v>721</v>
      </c>
      <c r="D857">
        <v>1</v>
      </c>
    </row>
    <row r="858" spans="1:4" x14ac:dyDescent="0.25">
      <c r="A858" s="81">
        <v>46137</v>
      </c>
      <c r="B858" t="s">
        <v>727</v>
      </c>
      <c r="C858" t="s">
        <v>721</v>
      </c>
      <c r="D858">
        <v>1</v>
      </c>
    </row>
    <row r="859" spans="1:4" x14ac:dyDescent="0.25">
      <c r="A859" s="81">
        <v>46137</v>
      </c>
      <c r="B859" t="s">
        <v>752</v>
      </c>
      <c r="C859" t="s">
        <v>721</v>
      </c>
      <c r="D859">
        <v>1</v>
      </c>
    </row>
    <row r="860" spans="1:4" x14ac:dyDescent="0.25">
      <c r="A860" s="81">
        <v>46137</v>
      </c>
      <c r="B860" t="s">
        <v>761</v>
      </c>
      <c r="C860" t="s">
        <v>721</v>
      </c>
      <c r="D860">
        <v>1</v>
      </c>
    </row>
    <row r="861" spans="1:4" x14ac:dyDescent="0.25">
      <c r="A861" s="81">
        <v>46137</v>
      </c>
      <c r="B861" t="s">
        <v>900</v>
      </c>
      <c r="C861" t="s">
        <v>721</v>
      </c>
      <c r="D861">
        <v>1</v>
      </c>
    </row>
    <row r="862" spans="1:4" x14ac:dyDescent="0.25">
      <c r="A862" s="81">
        <v>46137</v>
      </c>
      <c r="B862" t="s">
        <v>738</v>
      </c>
      <c r="C862" t="s">
        <v>721</v>
      </c>
      <c r="D862">
        <v>1</v>
      </c>
    </row>
    <row r="863" spans="1:4" x14ac:dyDescent="0.25">
      <c r="A863" s="81">
        <v>46137</v>
      </c>
      <c r="B863" t="s">
        <v>902</v>
      </c>
      <c r="C863" t="s">
        <v>721</v>
      </c>
      <c r="D863">
        <v>2</v>
      </c>
    </row>
    <row r="864" spans="1:4" x14ac:dyDescent="0.25">
      <c r="A864" s="81">
        <v>46137</v>
      </c>
      <c r="B864" t="s">
        <v>903</v>
      </c>
      <c r="C864" t="s">
        <v>721</v>
      </c>
      <c r="D864">
        <v>1</v>
      </c>
    </row>
    <row r="865" spans="1:4" x14ac:dyDescent="0.25">
      <c r="A865" s="81">
        <v>46137</v>
      </c>
      <c r="B865" t="s">
        <v>689</v>
      </c>
      <c r="C865" t="s">
        <v>721</v>
      </c>
      <c r="D865">
        <v>1</v>
      </c>
    </row>
    <row r="866" spans="1:4" x14ac:dyDescent="0.25">
      <c r="A866" s="81">
        <v>46137</v>
      </c>
      <c r="B866" t="s">
        <v>818</v>
      </c>
      <c r="C866" t="s">
        <v>721</v>
      </c>
      <c r="D866">
        <v>1</v>
      </c>
    </row>
    <row r="867" spans="1:4" x14ac:dyDescent="0.25">
      <c r="A867" s="81">
        <v>46138</v>
      </c>
      <c r="B867" t="s">
        <v>898</v>
      </c>
      <c r="C867" t="s">
        <v>741</v>
      </c>
      <c r="D867">
        <v>1</v>
      </c>
    </row>
    <row r="868" spans="1:4" x14ac:dyDescent="0.25">
      <c r="A868" s="81">
        <v>46138</v>
      </c>
      <c r="B868" t="s">
        <v>900</v>
      </c>
      <c r="C868" t="s">
        <v>741</v>
      </c>
      <c r="D868">
        <v>1</v>
      </c>
    </row>
    <row r="869" spans="1:4" x14ac:dyDescent="0.25">
      <c r="A869" s="81">
        <v>46138</v>
      </c>
      <c r="B869" t="s">
        <v>720</v>
      </c>
      <c r="C869" t="s">
        <v>741</v>
      </c>
      <c r="D869">
        <v>2</v>
      </c>
    </row>
    <row r="870" spans="1:4" x14ac:dyDescent="0.25">
      <c r="A870" s="81">
        <v>46138</v>
      </c>
      <c r="B870" t="s">
        <v>724</v>
      </c>
      <c r="C870" t="s">
        <v>741</v>
      </c>
      <c r="D870">
        <v>1</v>
      </c>
    </row>
    <row r="871" spans="1:4" x14ac:dyDescent="0.25">
      <c r="A871" s="81">
        <v>46138</v>
      </c>
      <c r="B871" t="s">
        <v>689</v>
      </c>
      <c r="C871" t="s">
        <v>741</v>
      </c>
      <c r="D871">
        <v>1</v>
      </c>
    </row>
    <row r="872" spans="1:4" x14ac:dyDescent="0.25">
      <c r="A872" s="81">
        <v>46138</v>
      </c>
      <c r="B872" t="s">
        <v>727</v>
      </c>
      <c r="C872" t="s">
        <v>741</v>
      </c>
      <c r="D872">
        <v>1</v>
      </c>
    </row>
    <row r="873" spans="1:4" x14ac:dyDescent="0.25">
      <c r="A873" s="81">
        <v>46138</v>
      </c>
      <c r="B873" t="s">
        <v>752</v>
      </c>
      <c r="C873" t="s">
        <v>741</v>
      </c>
      <c r="D873">
        <v>1</v>
      </c>
    </row>
    <row r="874" spans="1:4" x14ac:dyDescent="0.25">
      <c r="A874" s="81">
        <v>46138</v>
      </c>
      <c r="B874" t="s">
        <v>761</v>
      </c>
      <c r="C874" t="s">
        <v>741</v>
      </c>
      <c r="D874">
        <v>1</v>
      </c>
    </row>
    <row r="875" spans="1:4" x14ac:dyDescent="0.25">
      <c r="A875" s="81">
        <v>46138</v>
      </c>
      <c r="B875" t="s">
        <v>805</v>
      </c>
      <c r="C875" t="s">
        <v>741</v>
      </c>
      <c r="D875">
        <v>1</v>
      </c>
    </row>
    <row r="876" spans="1:4" x14ac:dyDescent="0.25">
      <c r="A876" s="81">
        <v>46138</v>
      </c>
      <c r="B876" t="s">
        <v>902</v>
      </c>
      <c r="C876" t="s">
        <v>741</v>
      </c>
      <c r="D876">
        <v>1</v>
      </c>
    </row>
    <row r="877" spans="1:4" x14ac:dyDescent="0.25">
      <c r="A877" s="81">
        <v>46140</v>
      </c>
      <c r="B877" t="s">
        <v>904</v>
      </c>
      <c r="C877" t="s">
        <v>743</v>
      </c>
      <c r="D877">
        <v>1</v>
      </c>
    </row>
    <row r="878" spans="1:4" x14ac:dyDescent="0.25">
      <c r="A878" s="81">
        <v>46140</v>
      </c>
      <c r="B878" t="s">
        <v>791</v>
      </c>
      <c r="C878" t="s">
        <v>743</v>
      </c>
      <c r="D878">
        <v>1</v>
      </c>
    </row>
    <row r="879" spans="1:4" x14ac:dyDescent="0.25">
      <c r="A879" s="81">
        <v>46140</v>
      </c>
      <c r="B879" t="s">
        <v>724</v>
      </c>
      <c r="C879" t="s">
        <v>743</v>
      </c>
      <c r="D879">
        <v>1</v>
      </c>
    </row>
    <row r="880" spans="1:4" x14ac:dyDescent="0.25">
      <c r="A880" s="81">
        <v>46140</v>
      </c>
      <c r="B880" t="s">
        <v>761</v>
      </c>
      <c r="C880" t="s">
        <v>743</v>
      </c>
      <c r="D880">
        <v>1</v>
      </c>
    </row>
    <row r="881" spans="1:4" x14ac:dyDescent="0.25">
      <c r="A881" s="81">
        <v>46140</v>
      </c>
      <c r="B881" t="s">
        <v>785</v>
      </c>
      <c r="C881" t="s">
        <v>743</v>
      </c>
      <c r="D881">
        <v>1</v>
      </c>
    </row>
    <row r="882" spans="1:4" x14ac:dyDescent="0.25">
      <c r="A882" s="81">
        <v>46142</v>
      </c>
      <c r="B882" t="s">
        <v>900</v>
      </c>
      <c r="C882" t="s">
        <v>721</v>
      </c>
      <c r="D882">
        <v>1</v>
      </c>
    </row>
    <row r="883" spans="1:4" x14ac:dyDescent="0.25">
      <c r="A883" s="81">
        <v>46142</v>
      </c>
      <c r="B883" t="s">
        <v>720</v>
      </c>
      <c r="C883" t="s">
        <v>721</v>
      </c>
      <c r="D883">
        <v>1</v>
      </c>
    </row>
    <row r="884" spans="1:4" x14ac:dyDescent="0.25">
      <c r="A884" s="81">
        <v>46142</v>
      </c>
      <c r="B884" t="s">
        <v>905</v>
      </c>
      <c r="C884" t="s">
        <v>721</v>
      </c>
      <c r="D884">
        <v>1</v>
      </c>
    </row>
    <row r="885" spans="1:4" x14ac:dyDescent="0.25">
      <c r="A885" s="81">
        <v>46142</v>
      </c>
      <c r="B885" t="s">
        <v>795</v>
      </c>
      <c r="C885" t="s">
        <v>721</v>
      </c>
      <c r="D885">
        <v>1</v>
      </c>
    </row>
    <row r="886" spans="1:4" x14ac:dyDescent="0.25">
      <c r="A886" s="81">
        <v>46142</v>
      </c>
      <c r="B886" t="s">
        <v>906</v>
      </c>
      <c r="C886" t="s">
        <v>721</v>
      </c>
      <c r="D886">
        <v>1</v>
      </c>
    </row>
    <row r="887" spans="1:4" x14ac:dyDescent="0.25">
      <c r="A887" s="81">
        <v>46142</v>
      </c>
      <c r="B887" t="s">
        <v>907</v>
      </c>
      <c r="C887" t="s">
        <v>721</v>
      </c>
      <c r="D887">
        <v>1</v>
      </c>
    </row>
    <row r="888" spans="1:4" x14ac:dyDescent="0.25">
      <c r="A888" s="81">
        <v>46143</v>
      </c>
      <c r="B888" t="s">
        <v>805</v>
      </c>
      <c r="C888" t="s">
        <v>721</v>
      </c>
      <c r="D888">
        <v>1</v>
      </c>
    </row>
    <row r="889" spans="1:4" x14ac:dyDescent="0.25">
      <c r="A889" s="81">
        <v>46143</v>
      </c>
      <c r="B889" t="s">
        <v>908</v>
      </c>
      <c r="C889" t="s">
        <v>721</v>
      </c>
      <c r="D889">
        <v>1</v>
      </c>
    </row>
    <row r="890" spans="1:4" x14ac:dyDescent="0.25">
      <c r="A890" s="81">
        <v>46143</v>
      </c>
      <c r="B890" t="s">
        <v>720</v>
      </c>
      <c r="C890" t="s">
        <v>721</v>
      </c>
      <c r="D890">
        <v>2</v>
      </c>
    </row>
    <row r="891" spans="1:4" x14ac:dyDescent="0.25">
      <c r="A891" s="81">
        <v>46143</v>
      </c>
      <c r="B891" t="s">
        <v>819</v>
      </c>
      <c r="C891" t="s">
        <v>721</v>
      </c>
      <c r="D891">
        <v>1</v>
      </c>
    </row>
    <row r="892" spans="1:4" x14ac:dyDescent="0.25">
      <c r="A892" s="81">
        <v>46143</v>
      </c>
      <c r="B892" t="s">
        <v>725</v>
      </c>
      <c r="C892" t="s">
        <v>721</v>
      </c>
      <c r="D892">
        <v>1</v>
      </c>
    </row>
    <row r="893" spans="1:4" x14ac:dyDescent="0.25">
      <c r="A893" s="81">
        <v>46143</v>
      </c>
      <c r="B893" t="s">
        <v>689</v>
      </c>
      <c r="C893" t="s">
        <v>721</v>
      </c>
      <c r="D893">
        <v>1</v>
      </c>
    </row>
    <row r="894" spans="1:4" x14ac:dyDescent="0.25">
      <c r="A894" s="81">
        <v>46143</v>
      </c>
      <c r="B894" t="s">
        <v>727</v>
      </c>
      <c r="C894" t="s">
        <v>721</v>
      </c>
      <c r="D894">
        <v>1</v>
      </c>
    </row>
    <row r="895" spans="1:4" x14ac:dyDescent="0.25">
      <c r="A895" s="81">
        <v>46143</v>
      </c>
      <c r="B895" t="s">
        <v>752</v>
      </c>
      <c r="C895" t="s">
        <v>721</v>
      </c>
      <c r="D895">
        <v>1</v>
      </c>
    </row>
    <row r="896" spans="1:4" x14ac:dyDescent="0.25">
      <c r="A896" s="81">
        <v>46143</v>
      </c>
      <c r="B896" t="s">
        <v>761</v>
      </c>
      <c r="C896" t="s">
        <v>721</v>
      </c>
      <c r="D896">
        <v>1</v>
      </c>
    </row>
    <row r="897" spans="1:4" x14ac:dyDescent="0.25">
      <c r="A897" s="81">
        <v>46143</v>
      </c>
      <c r="B897" t="s">
        <v>907</v>
      </c>
      <c r="C897" t="s">
        <v>721</v>
      </c>
      <c r="D897">
        <v>1</v>
      </c>
    </row>
    <row r="898" spans="1:4" x14ac:dyDescent="0.25">
      <c r="A898" s="81">
        <v>46143</v>
      </c>
      <c r="B898" t="s">
        <v>738</v>
      </c>
      <c r="C898" t="s">
        <v>721</v>
      </c>
      <c r="D898">
        <v>1</v>
      </c>
    </row>
    <row r="899" spans="1:4" x14ac:dyDescent="0.25">
      <c r="A899" s="81">
        <v>46143</v>
      </c>
      <c r="B899" t="s">
        <v>729</v>
      </c>
      <c r="C899" t="s">
        <v>721</v>
      </c>
      <c r="D899">
        <v>1</v>
      </c>
    </row>
    <row r="900" spans="1:4" x14ac:dyDescent="0.25">
      <c r="A900" s="81">
        <v>46143</v>
      </c>
      <c r="B900" t="s">
        <v>905</v>
      </c>
      <c r="C900" t="s">
        <v>721</v>
      </c>
      <c r="D900">
        <v>1</v>
      </c>
    </row>
    <row r="901" spans="1:4" x14ac:dyDescent="0.25">
      <c r="A901" s="81">
        <v>46143</v>
      </c>
      <c r="B901" t="s">
        <v>860</v>
      </c>
      <c r="C901" t="s">
        <v>721</v>
      </c>
      <c r="D901">
        <v>1</v>
      </c>
    </row>
    <row r="902" spans="1:4" x14ac:dyDescent="0.25">
      <c r="A902" s="81">
        <v>46143</v>
      </c>
      <c r="B902" t="s">
        <v>906</v>
      </c>
      <c r="C902" t="s">
        <v>721</v>
      </c>
      <c r="D902">
        <v>1</v>
      </c>
    </row>
    <row r="903" spans="1:4" x14ac:dyDescent="0.25">
      <c r="A903" s="81">
        <v>46144</v>
      </c>
      <c r="B903" t="s">
        <v>720</v>
      </c>
      <c r="C903" t="s">
        <v>721</v>
      </c>
      <c r="D903">
        <v>2</v>
      </c>
    </row>
    <row r="904" spans="1:4" x14ac:dyDescent="0.25">
      <c r="A904" s="81">
        <v>46144</v>
      </c>
      <c r="B904" t="s">
        <v>888</v>
      </c>
      <c r="C904" t="s">
        <v>721</v>
      </c>
      <c r="D904">
        <v>1</v>
      </c>
    </row>
    <row r="905" spans="1:4" x14ac:dyDescent="0.25">
      <c r="A905" s="81">
        <v>46144</v>
      </c>
      <c r="B905" t="s">
        <v>725</v>
      </c>
      <c r="C905" t="s">
        <v>721</v>
      </c>
      <c r="D905">
        <v>1</v>
      </c>
    </row>
    <row r="906" spans="1:4" x14ac:dyDescent="0.25">
      <c r="A906" s="81">
        <v>46144</v>
      </c>
      <c r="B906" t="s">
        <v>724</v>
      </c>
      <c r="C906" t="s">
        <v>721</v>
      </c>
      <c r="D906">
        <v>1</v>
      </c>
    </row>
    <row r="907" spans="1:4" x14ac:dyDescent="0.25">
      <c r="A907" s="81">
        <v>46144</v>
      </c>
      <c r="B907" t="s">
        <v>905</v>
      </c>
      <c r="C907" t="s">
        <v>721</v>
      </c>
      <c r="D907">
        <v>1</v>
      </c>
    </row>
    <row r="908" spans="1:4" x14ac:dyDescent="0.25">
      <c r="A908" s="81">
        <v>46144</v>
      </c>
      <c r="B908" t="s">
        <v>860</v>
      </c>
      <c r="C908" t="s">
        <v>721</v>
      </c>
      <c r="D908">
        <v>1</v>
      </c>
    </row>
    <row r="909" spans="1:4" x14ac:dyDescent="0.25">
      <c r="A909" s="81">
        <v>46144</v>
      </c>
      <c r="B909" t="s">
        <v>909</v>
      </c>
      <c r="C909" t="s">
        <v>721</v>
      </c>
      <c r="D909">
        <v>1</v>
      </c>
    </row>
    <row r="910" spans="1:4" x14ac:dyDescent="0.25">
      <c r="A910" s="81">
        <v>46144</v>
      </c>
      <c r="B910" t="s">
        <v>727</v>
      </c>
      <c r="C910" t="s">
        <v>721</v>
      </c>
      <c r="D910">
        <v>1</v>
      </c>
    </row>
    <row r="911" spans="1:4" x14ac:dyDescent="0.25">
      <c r="A911" s="81">
        <v>46144</v>
      </c>
      <c r="B911" t="s">
        <v>752</v>
      </c>
      <c r="C911" t="s">
        <v>721</v>
      </c>
      <c r="D911">
        <v>2</v>
      </c>
    </row>
    <row r="912" spans="1:4" x14ac:dyDescent="0.25">
      <c r="A912" s="81">
        <v>46144</v>
      </c>
      <c r="B912" t="s">
        <v>761</v>
      </c>
      <c r="C912" t="s">
        <v>721</v>
      </c>
      <c r="D912">
        <v>2</v>
      </c>
    </row>
    <row r="913" spans="1:4" x14ac:dyDescent="0.25">
      <c r="A913" s="81">
        <v>46144</v>
      </c>
      <c r="B913" t="s">
        <v>907</v>
      </c>
      <c r="C913" t="s">
        <v>721</v>
      </c>
      <c r="D913">
        <v>2</v>
      </c>
    </row>
    <row r="914" spans="1:4" x14ac:dyDescent="0.25">
      <c r="A914" s="81">
        <v>46144</v>
      </c>
      <c r="B914" t="s">
        <v>908</v>
      </c>
      <c r="C914" t="s">
        <v>721</v>
      </c>
      <c r="D914">
        <v>1</v>
      </c>
    </row>
    <row r="915" spans="1:4" x14ac:dyDescent="0.25">
      <c r="A915" s="81">
        <v>46144</v>
      </c>
      <c r="B915" t="s">
        <v>729</v>
      </c>
      <c r="C915" t="s">
        <v>721</v>
      </c>
      <c r="D915">
        <v>1</v>
      </c>
    </row>
    <row r="916" spans="1:4" x14ac:dyDescent="0.25">
      <c r="A916" s="81">
        <v>46144</v>
      </c>
      <c r="B916" t="s">
        <v>805</v>
      </c>
      <c r="C916" t="s">
        <v>721</v>
      </c>
      <c r="D916">
        <v>2</v>
      </c>
    </row>
    <row r="917" spans="1:4" x14ac:dyDescent="0.25">
      <c r="A917" s="81">
        <v>46144</v>
      </c>
      <c r="B917" t="s">
        <v>906</v>
      </c>
      <c r="C917" t="s">
        <v>721</v>
      </c>
      <c r="D917">
        <v>1</v>
      </c>
    </row>
    <row r="918" spans="1:4" x14ac:dyDescent="0.25">
      <c r="A918" s="81">
        <v>46144</v>
      </c>
      <c r="B918" t="s">
        <v>738</v>
      </c>
      <c r="C918" t="s">
        <v>721</v>
      </c>
      <c r="D918">
        <v>3</v>
      </c>
    </row>
    <row r="919" spans="1:4" x14ac:dyDescent="0.25">
      <c r="A919" s="81">
        <v>46145</v>
      </c>
      <c r="B919" t="s">
        <v>819</v>
      </c>
      <c r="C919" t="s">
        <v>721</v>
      </c>
      <c r="D919">
        <v>4</v>
      </c>
    </row>
    <row r="920" spans="1:4" x14ac:dyDescent="0.25">
      <c r="A920" s="81">
        <v>46145</v>
      </c>
      <c r="B920" t="s">
        <v>725</v>
      </c>
      <c r="C920" t="s">
        <v>721</v>
      </c>
      <c r="D920">
        <v>4</v>
      </c>
    </row>
    <row r="921" spans="1:4" x14ac:dyDescent="0.25">
      <c r="A921" s="81">
        <v>46145</v>
      </c>
      <c r="B921" t="s">
        <v>724</v>
      </c>
      <c r="C921" t="s">
        <v>721</v>
      </c>
      <c r="D921">
        <v>5</v>
      </c>
    </row>
    <row r="922" spans="1:4" x14ac:dyDescent="0.25">
      <c r="A922" s="81">
        <v>46145</v>
      </c>
      <c r="B922" t="s">
        <v>860</v>
      </c>
      <c r="C922" t="s">
        <v>721</v>
      </c>
      <c r="D922">
        <v>1</v>
      </c>
    </row>
    <row r="923" spans="1:4" x14ac:dyDescent="0.25">
      <c r="A923" s="81">
        <v>46145</v>
      </c>
      <c r="B923" t="s">
        <v>689</v>
      </c>
      <c r="C923" t="s">
        <v>721</v>
      </c>
      <c r="D923">
        <v>3</v>
      </c>
    </row>
    <row r="924" spans="1:4" x14ac:dyDescent="0.25">
      <c r="A924" s="81">
        <v>46145</v>
      </c>
      <c r="B924" t="s">
        <v>727</v>
      </c>
      <c r="C924" t="s">
        <v>721</v>
      </c>
      <c r="D924">
        <v>3</v>
      </c>
    </row>
    <row r="925" spans="1:4" x14ac:dyDescent="0.25">
      <c r="A925" s="81">
        <v>46145</v>
      </c>
      <c r="B925" t="s">
        <v>752</v>
      </c>
      <c r="C925" t="s">
        <v>721</v>
      </c>
      <c r="D925">
        <v>5</v>
      </c>
    </row>
    <row r="926" spans="1:4" x14ac:dyDescent="0.25">
      <c r="A926" s="81">
        <v>46145</v>
      </c>
      <c r="B926" t="s">
        <v>761</v>
      </c>
      <c r="C926" t="s">
        <v>721</v>
      </c>
      <c r="D926">
        <v>6</v>
      </c>
    </row>
    <row r="927" spans="1:4" x14ac:dyDescent="0.25">
      <c r="A927" s="81">
        <v>46145</v>
      </c>
      <c r="B927" t="s">
        <v>907</v>
      </c>
      <c r="C927" t="s">
        <v>721</v>
      </c>
      <c r="D927">
        <v>2</v>
      </c>
    </row>
    <row r="928" spans="1:4" x14ac:dyDescent="0.25">
      <c r="A928" s="81">
        <v>46145</v>
      </c>
      <c r="B928" t="s">
        <v>729</v>
      </c>
      <c r="C928" t="s">
        <v>721</v>
      </c>
      <c r="D928">
        <v>1</v>
      </c>
    </row>
    <row r="929" spans="1:4" x14ac:dyDescent="0.25">
      <c r="A929" s="81">
        <v>46145</v>
      </c>
      <c r="B929" t="s">
        <v>906</v>
      </c>
      <c r="C929" t="s">
        <v>721</v>
      </c>
      <c r="D929">
        <v>1</v>
      </c>
    </row>
    <row r="930" spans="1:4" x14ac:dyDescent="0.25">
      <c r="A930" s="81">
        <v>46145</v>
      </c>
      <c r="B930" t="s">
        <v>805</v>
      </c>
      <c r="C930" t="s">
        <v>741</v>
      </c>
      <c r="D930">
        <v>1</v>
      </c>
    </row>
    <row r="931" spans="1:4" x14ac:dyDescent="0.25">
      <c r="A931" s="81">
        <v>46145</v>
      </c>
      <c r="B931" t="s">
        <v>908</v>
      </c>
      <c r="C931" t="s">
        <v>741</v>
      </c>
      <c r="D931">
        <v>1</v>
      </c>
    </row>
    <row r="932" spans="1:4" x14ac:dyDescent="0.25">
      <c r="A932" s="81">
        <v>46145</v>
      </c>
      <c r="B932" t="s">
        <v>720</v>
      </c>
      <c r="C932" t="s">
        <v>741</v>
      </c>
      <c r="D932">
        <v>2</v>
      </c>
    </row>
    <row r="933" spans="1:4" x14ac:dyDescent="0.25">
      <c r="A933" s="81">
        <v>46149</v>
      </c>
      <c r="B933" t="s">
        <v>720</v>
      </c>
      <c r="C933" t="s">
        <v>721</v>
      </c>
      <c r="D933">
        <v>8</v>
      </c>
    </row>
    <row r="934" spans="1:4" x14ac:dyDescent="0.25">
      <c r="A934" s="81">
        <v>46149</v>
      </c>
      <c r="B934" t="s">
        <v>727</v>
      </c>
      <c r="C934" t="s">
        <v>721</v>
      </c>
      <c r="D934">
        <v>3</v>
      </c>
    </row>
    <row r="935" spans="1:4" x14ac:dyDescent="0.25">
      <c r="A935" s="81">
        <v>46149</v>
      </c>
      <c r="B935" t="s">
        <v>689</v>
      </c>
      <c r="C935" t="s">
        <v>721</v>
      </c>
      <c r="D935">
        <v>6</v>
      </c>
    </row>
    <row r="936" spans="1:4" x14ac:dyDescent="0.25">
      <c r="A936" s="81">
        <v>46149</v>
      </c>
      <c r="B936" t="s">
        <v>752</v>
      </c>
      <c r="C936" t="s">
        <v>721</v>
      </c>
      <c r="D936">
        <v>3</v>
      </c>
    </row>
    <row r="937" spans="1:4" x14ac:dyDescent="0.25">
      <c r="A937" s="81">
        <v>46149</v>
      </c>
      <c r="B937" t="s">
        <v>761</v>
      </c>
      <c r="C937" t="s">
        <v>721</v>
      </c>
      <c r="D937">
        <v>3</v>
      </c>
    </row>
    <row r="938" spans="1:4" x14ac:dyDescent="0.25">
      <c r="A938" s="81">
        <v>46149</v>
      </c>
      <c r="B938" t="s">
        <v>910</v>
      </c>
      <c r="C938" t="s">
        <v>721</v>
      </c>
      <c r="D938">
        <v>1</v>
      </c>
    </row>
    <row r="939" spans="1:4" x14ac:dyDescent="0.25">
      <c r="A939" s="81">
        <v>46149</v>
      </c>
      <c r="B939" t="s">
        <v>813</v>
      </c>
      <c r="C939" t="s">
        <v>721</v>
      </c>
      <c r="D939">
        <v>3</v>
      </c>
    </row>
    <row r="940" spans="1:4" x14ac:dyDescent="0.25">
      <c r="A940" s="81">
        <v>46149</v>
      </c>
      <c r="B940" t="s">
        <v>911</v>
      </c>
      <c r="C940" t="s">
        <v>721</v>
      </c>
      <c r="D940">
        <v>2</v>
      </c>
    </row>
    <row r="941" spans="1:4" x14ac:dyDescent="0.25">
      <c r="A941" s="81">
        <v>46149</v>
      </c>
      <c r="B941" t="s">
        <v>912</v>
      </c>
      <c r="C941" t="s">
        <v>721</v>
      </c>
      <c r="D941">
        <v>4</v>
      </c>
    </row>
    <row r="942" spans="1:4" x14ac:dyDescent="0.25">
      <c r="A942" s="81">
        <v>46149</v>
      </c>
      <c r="B942" t="s">
        <v>913</v>
      </c>
      <c r="C942" t="s">
        <v>721</v>
      </c>
      <c r="D942">
        <v>5</v>
      </c>
    </row>
    <row r="943" spans="1:4" x14ac:dyDescent="0.25">
      <c r="A943" s="81">
        <v>46149</v>
      </c>
      <c r="B943" t="s">
        <v>794</v>
      </c>
      <c r="C943" t="s">
        <v>721</v>
      </c>
      <c r="D943">
        <v>2</v>
      </c>
    </row>
    <row r="944" spans="1:4" x14ac:dyDescent="0.25">
      <c r="A944" s="81">
        <v>46150</v>
      </c>
      <c r="B944" t="s">
        <v>914</v>
      </c>
      <c r="C944" t="s">
        <v>721</v>
      </c>
      <c r="D944">
        <v>3</v>
      </c>
    </row>
    <row r="945" spans="1:4" x14ac:dyDescent="0.25">
      <c r="A945" s="81">
        <v>46152</v>
      </c>
      <c r="B945" t="s">
        <v>913</v>
      </c>
      <c r="C945" t="s">
        <v>741</v>
      </c>
      <c r="D945">
        <v>2</v>
      </c>
    </row>
    <row r="946" spans="1:4" x14ac:dyDescent="0.25">
      <c r="A946" s="81">
        <v>46152</v>
      </c>
      <c r="B946" t="s">
        <v>915</v>
      </c>
      <c r="C946" t="s">
        <v>741</v>
      </c>
      <c r="D946">
        <v>1</v>
      </c>
    </row>
    <row r="947" spans="1:4" x14ac:dyDescent="0.25">
      <c r="A947" s="81">
        <v>46153</v>
      </c>
      <c r="B947" t="s">
        <v>916</v>
      </c>
      <c r="C947" t="s">
        <v>741</v>
      </c>
      <c r="D947">
        <v>1</v>
      </c>
    </row>
    <row r="948" spans="1:4" x14ac:dyDescent="0.25">
      <c r="A948" s="81">
        <v>46153</v>
      </c>
      <c r="B948" t="s">
        <v>915</v>
      </c>
      <c r="C948" t="s">
        <v>741</v>
      </c>
      <c r="D948">
        <v>1</v>
      </c>
    </row>
    <row r="949" spans="1:4" x14ac:dyDescent="0.25">
      <c r="A949" s="81">
        <v>46153</v>
      </c>
      <c r="B949" t="s">
        <v>913</v>
      </c>
      <c r="C949" t="s">
        <v>741</v>
      </c>
      <c r="D949">
        <v>1</v>
      </c>
    </row>
    <row r="950" spans="1:4" x14ac:dyDescent="0.25">
      <c r="A950" s="81">
        <v>46153</v>
      </c>
      <c r="B950" t="s">
        <v>911</v>
      </c>
      <c r="C950" t="s">
        <v>741</v>
      </c>
      <c r="D950">
        <v>1</v>
      </c>
    </row>
    <row r="951" spans="1:4" x14ac:dyDescent="0.25">
      <c r="A951" s="81">
        <v>46153</v>
      </c>
      <c r="B951" t="s">
        <v>819</v>
      </c>
      <c r="C951" t="s">
        <v>741</v>
      </c>
      <c r="D951">
        <v>1</v>
      </c>
    </row>
    <row r="952" spans="1:4" x14ac:dyDescent="0.25">
      <c r="A952" s="81">
        <v>46153</v>
      </c>
      <c r="B952" t="s">
        <v>720</v>
      </c>
      <c r="C952" t="s">
        <v>741</v>
      </c>
      <c r="D952">
        <v>1</v>
      </c>
    </row>
    <row r="953" spans="1:4" x14ac:dyDescent="0.25">
      <c r="A953" s="81">
        <v>46153</v>
      </c>
      <c r="B953" t="s">
        <v>725</v>
      </c>
      <c r="C953" t="s">
        <v>741</v>
      </c>
      <c r="D953">
        <v>1</v>
      </c>
    </row>
    <row r="954" spans="1:4" x14ac:dyDescent="0.25">
      <c r="A954" s="81">
        <v>46153</v>
      </c>
      <c r="B954" t="s">
        <v>724</v>
      </c>
      <c r="C954" t="s">
        <v>741</v>
      </c>
      <c r="D954">
        <v>1</v>
      </c>
    </row>
    <row r="955" spans="1:4" x14ac:dyDescent="0.25">
      <c r="A955" s="81">
        <v>46153</v>
      </c>
      <c r="B955" t="s">
        <v>909</v>
      </c>
      <c r="C955" t="s">
        <v>741</v>
      </c>
      <c r="D955">
        <v>1</v>
      </c>
    </row>
    <row r="956" spans="1:4" x14ac:dyDescent="0.25">
      <c r="A956" s="81">
        <v>46153</v>
      </c>
      <c r="B956" t="s">
        <v>752</v>
      </c>
      <c r="C956" t="s">
        <v>741</v>
      </c>
      <c r="D956">
        <v>1</v>
      </c>
    </row>
    <row r="957" spans="1:4" x14ac:dyDescent="0.25">
      <c r="A957" s="81">
        <v>46153</v>
      </c>
      <c r="B957" t="s">
        <v>761</v>
      </c>
      <c r="C957" t="s">
        <v>741</v>
      </c>
      <c r="D957">
        <v>1</v>
      </c>
    </row>
    <row r="958" spans="1:4" x14ac:dyDescent="0.25">
      <c r="A958" s="81">
        <v>46156</v>
      </c>
      <c r="B958" t="s">
        <v>917</v>
      </c>
      <c r="C958" t="s">
        <v>721</v>
      </c>
      <c r="D958">
        <v>1</v>
      </c>
    </row>
    <row r="959" spans="1:4" x14ac:dyDescent="0.25">
      <c r="A959" s="81">
        <v>46156</v>
      </c>
      <c r="B959" t="s">
        <v>918</v>
      </c>
      <c r="C959" t="s">
        <v>721</v>
      </c>
      <c r="D959">
        <v>3</v>
      </c>
    </row>
    <row r="960" spans="1:4" x14ac:dyDescent="0.25">
      <c r="A960" s="81">
        <v>46156</v>
      </c>
      <c r="B960" t="s">
        <v>919</v>
      </c>
      <c r="C960" t="s">
        <v>721</v>
      </c>
      <c r="D960">
        <v>1</v>
      </c>
    </row>
    <row r="961" spans="1:4" x14ac:dyDescent="0.25">
      <c r="A961" s="81">
        <v>46156</v>
      </c>
      <c r="B961" t="s">
        <v>730</v>
      </c>
      <c r="C961" t="s">
        <v>721</v>
      </c>
      <c r="D961">
        <v>3</v>
      </c>
    </row>
    <row r="962" spans="1:4" x14ac:dyDescent="0.25">
      <c r="A962" s="81">
        <v>46157</v>
      </c>
      <c r="B962" t="s">
        <v>805</v>
      </c>
      <c r="C962" t="s">
        <v>741</v>
      </c>
      <c r="D962">
        <v>1</v>
      </c>
    </row>
    <row r="963" spans="1:4" x14ac:dyDescent="0.25">
      <c r="A963" s="81">
        <v>46157</v>
      </c>
      <c r="B963" t="s">
        <v>729</v>
      </c>
      <c r="C963" t="s">
        <v>741</v>
      </c>
      <c r="D963">
        <v>1</v>
      </c>
    </row>
    <row r="964" spans="1:4" x14ac:dyDescent="0.25">
      <c r="A964" s="81">
        <v>46157</v>
      </c>
      <c r="B964" t="s">
        <v>716</v>
      </c>
      <c r="C964" t="s">
        <v>741</v>
      </c>
      <c r="D964">
        <v>1</v>
      </c>
    </row>
    <row r="965" spans="1:4" x14ac:dyDescent="0.25">
      <c r="A965" s="81">
        <v>46157</v>
      </c>
      <c r="B965" t="s">
        <v>720</v>
      </c>
      <c r="C965" t="s">
        <v>741</v>
      </c>
      <c r="D965">
        <v>1</v>
      </c>
    </row>
    <row r="966" spans="1:4" x14ac:dyDescent="0.25">
      <c r="A966" s="81">
        <v>46157</v>
      </c>
      <c r="B966" t="s">
        <v>724</v>
      </c>
      <c r="C966" t="s">
        <v>741</v>
      </c>
      <c r="D966">
        <v>2</v>
      </c>
    </row>
    <row r="967" spans="1:4" x14ac:dyDescent="0.25">
      <c r="A967" s="81">
        <v>46157</v>
      </c>
      <c r="B967" t="s">
        <v>689</v>
      </c>
      <c r="C967" t="s">
        <v>741</v>
      </c>
      <c r="D967">
        <v>1</v>
      </c>
    </row>
    <row r="968" spans="1:4" x14ac:dyDescent="0.25">
      <c r="A968" s="81">
        <v>46157</v>
      </c>
      <c r="B968" t="s">
        <v>727</v>
      </c>
      <c r="C968" t="s">
        <v>741</v>
      </c>
      <c r="D968">
        <v>2</v>
      </c>
    </row>
    <row r="969" spans="1:4" x14ac:dyDescent="0.25">
      <c r="A969" s="81">
        <v>46157</v>
      </c>
      <c r="B969" t="s">
        <v>752</v>
      </c>
      <c r="C969" t="s">
        <v>741</v>
      </c>
      <c r="D969">
        <v>1</v>
      </c>
    </row>
    <row r="970" spans="1:4" x14ac:dyDescent="0.25">
      <c r="A970" s="81">
        <v>46157</v>
      </c>
      <c r="B970" t="s">
        <v>761</v>
      </c>
      <c r="C970" t="s">
        <v>741</v>
      </c>
      <c r="D970">
        <v>1</v>
      </c>
    </row>
    <row r="971" spans="1:4" x14ac:dyDescent="0.25">
      <c r="A971" s="81">
        <v>46157</v>
      </c>
      <c r="B971" t="s">
        <v>920</v>
      </c>
      <c r="C971" t="s">
        <v>741</v>
      </c>
      <c r="D971">
        <v>1</v>
      </c>
    </row>
    <row r="972" spans="1:4" x14ac:dyDescent="0.25">
      <c r="A972" s="81">
        <v>46157</v>
      </c>
      <c r="B972" t="s">
        <v>918</v>
      </c>
      <c r="C972" t="s">
        <v>741</v>
      </c>
      <c r="D972">
        <v>1</v>
      </c>
    </row>
    <row r="973" spans="1:4" x14ac:dyDescent="0.25">
      <c r="A973" s="81">
        <v>46157</v>
      </c>
      <c r="B973" t="s">
        <v>919</v>
      </c>
      <c r="C973" t="s">
        <v>741</v>
      </c>
      <c r="D973">
        <v>2</v>
      </c>
    </row>
    <row r="974" spans="1:4" x14ac:dyDescent="0.25">
      <c r="A974" s="81">
        <v>46157</v>
      </c>
      <c r="B974" t="s">
        <v>730</v>
      </c>
      <c r="C974" t="s">
        <v>741</v>
      </c>
      <c r="D974">
        <v>1</v>
      </c>
    </row>
    <row r="975" spans="1:4" x14ac:dyDescent="0.25">
      <c r="A975" s="81">
        <v>46161</v>
      </c>
      <c r="B975" t="s">
        <v>921</v>
      </c>
      <c r="C975" t="s">
        <v>721</v>
      </c>
      <c r="D975">
        <v>1</v>
      </c>
    </row>
    <row r="976" spans="1:4" x14ac:dyDescent="0.25">
      <c r="A976" s="81">
        <v>46162</v>
      </c>
      <c r="B976" t="s">
        <v>752</v>
      </c>
      <c r="C976" t="s">
        <v>743</v>
      </c>
      <c r="D976">
        <v>1</v>
      </c>
    </row>
    <row r="977" spans="1:4" x14ac:dyDescent="0.25">
      <c r="A977" s="81">
        <v>46162</v>
      </c>
      <c r="B977" t="s">
        <v>761</v>
      </c>
      <c r="C977" t="s">
        <v>743</v>
      </c>
      <c r="D977">
        <v>1</v>
      </c>
    </row>
    <row r="978" spans="1:4" x14ac:dyDescent="0.25">
      <c r="A978" s="81">
        <v>46162</v>
      </c>
      <c r="B978" t="s">
        <v>805</v>
      </c>
      <c r="C978" t="s">
        <v>743</v>
      </c>
      <c r="D978">
        <v>1</v>
      </c>
    </row>
    <row r="979" spans="1:4" x14ac:dyDescent="0.25">
      <c r="A979" s="81">
        <v>46162</v>
      </c>
      <c r="B979" t="s">
        <v>738</v>
      </c>
      <c r="C979" t="s">
        <v>743</v>
      </c>
      <c r="D979">
        <v>1</v>
      </c>
    </row>
    <row r="980" spans="1:4" x14ac:dyDescent="0.25">
      <c r="A980" s="81">
        <v>46163</v>
      </c>
      <c r="B980" t="s">
        <v>720</v>
      </c>
      <c r="C980" t="s">
        <v>721</v>
      </c>
      <c r="D980">
        <v>1</v>
      </c>
    </row>
    <row r="981" spans="1:4" x14ac:dyDescent="0.25">
      <c r="A981" s="81">
        <v>46163</v>
      </c>
      <c r="B981" t="s">
        <v>877</v>
      </c>
      <c r="C981" t="s">
        <v>721</v>
      </c>
      <c r="D981">
        <v>1</v>
      </c>
    </row>
    <row r="982" spans="1:4" x14ac:dyDescent="0.25">
      <c r="A982" s="81">
        <v>46163</v>
      </c>
      <c r="B982" t="s">
        <v>922</v>
      </c>
      <c r="C982" t="s">
        <v>721</v>
      </c>
      <c r="D982">
        <v>1</v>
      </c>
    </row>
    <row r="983" spans="1:4" x14ac:dyDescent="0.25">
      <c r="A983" s="81">
        <v>46163</v>
      </c>
      <c r="B983" t="s">
        <v>923</v>
      </c>
      <c r="C983" t="s">
        <v>721</v>
      </c>
      <c r="D983">
        <v>1</v>
      </c>
    </row>
    <row r="984" spans="1:4" x14ac:dyDescent="0.25">
      <c r="A984" s="81">
        <v>46163</v>
      </c>
      <c r="B984" t="s">
        <v>924</v>
      </c>
      <c r="C984" t="s">
        <v>721</v>
      </c>
      <c r="D984">
        <v>1</v>
      </c>
    </row>
    <row r="985" spans="1:4" x14ac:dyDescent="0.25">
      <c r="A985" s="81">
        <v>46163</v>
      </c>
      <c r="B985" t="s">
        <v>805</v>
      </c>
      <c r="C985" t="s">
        <v>721</v>
      </c>
      <c r="D985">
        <v>1</v>
      </c>
    </row>
    <row r="986" spans="1:4" x14ac:dyDescent="0.25">
      <c r="A986" s="81">
        <v>46163</v>
      </c>
      <c r="B986" t="s">
        <v>813</v>
      </c>
      <c r="C986" t="s">
        <v>721</v>
      </c>
      <c r="D986">
        <v>1</v>
      </c>
    </row>
    <row r="987" spans="1:4" x14ac:dyDescent="0.25">
      <c r="A987" s="81">
        <v>46164</v>
      </c>
      <c r="B987" t="s">
        <v>716</v>
      </c>
      <c r="C987" t="s">
        <v>721</v>
      </c>
      <c r="D987">
        <v>1</v>
      </c>
    </row>
    <row r="988" spans="1:4" x14ac:dyDescent="0.25">
      <c r="A988" s="81">
        <v>46164</v>
      </c>
      <c r="B988" t="s">
        <v>720</v>
      </c>
      <c r="C988" t="s">
        <v>721</v>
      </c>
      <c r="D988">
        <v>1</v>
      </c>
    </row>
    <row r="989" spans="1:4" x14ac:dyDescent="0.25">
      <c r="A989" s="81">
        <v>46164</v>
      </c>
      <c r="B989" t="s">
        <v>725</v>
      </c>
      <c r="C989" t="s">
        <v>721</v>
      </c>
      <c r="D989">
        <v>1</v>
      </c>
    </row>
    <row r="990" spans="1:4" x14ac:dyDescent="0.25">
      <c r="A990" s="81">
        <v>46164</v>
      </c>
      <c r="B990" t="s">
        <v>724</v>
      </c>
      <c r="C990" t="s">
        <v>721</v>
      </c>
      <c r="D990">
        <v>1</v>
      </c>
    </row>
    <row r="991" spans="1:4" x14ac:dyDescent="0.25">
      <c r="A991" s="81">
        <v>46164</v>
      </c>
      <c r="B991" t="s">
        <v>689</v>
      </c>
      <c r="C991" t="s">
        <v>721</v>
      </c>
      <c r="D991">
        <v>1</v>
      </c>
    </row>
    <row r="992" spans="1:4" x14ac:dyDescent="0.25">
      <c r="A992" s="81">
        <v>46164</v>
      </c>
      <c r="B992" t="s">
        <v>727</v>
      </c>
      <c r="C992" t="s">
        <v>721</v>
      </c>
      <c r="D992">
        <v>1</v>
      </c>
    </row>
    <row r="993" spans="1:4" x14ac:dyDescent="0.25">
      <c r="A993" s="81">
        <v>46164</v>
      </c>
      <c r="B993" t="s">
        <v>752</v>
      </c>
      <c r="C993" t="s">
        <v>721</v>
      </c>
      <c r="D993">
        <v>1</v>
      </c>
    </row>
    <row r="994" spans="1:4" x14ac:dyDescent="0.25">
      <c r="A994" s="81">
        <v>46164</v>
      </c>
      <c r="B994" t="s">
        <v>761</v>
      </c>
      <c r="C994" t="s">
        <v>721</v>
      </c>
      <c r="D994">
        <v>1</v>
      </c>
    </row>
    <row r="995" spans="1:4" x14ac:dyDescent="0.25">
      <c r="A995" s="81">
        <v>46164</v>
      </c>
      <c r="B995" t="s">
        <v>925</v>
      </c>
      <c r="C995" t="s">
        <v>721</v>
      </c>
      <c r="D995">
        <v>2</v>
      </c>
    </row>
    <row r="996" spans="1:4" x14ac:dyDescent="0.25">
      <c r="A996" s="81">
        <v>46164</v>
      </c>
      <c r="B996" t="s">
        <v>877</v>
      </c>
      <c r="C996" t="s">
        <v>721</v>
      </c>
      <c r="D996">
        <v>1</v>
      </c>
    </row>
    <row r="997" spans="1:4" x14ac:dyDescent="0.25">
      <c r="A997" s="81">
        <v>46164</v>
      </c>
      <c r="B997" t="s">
        <v>922</v>
      </c>
      <c r="C997" t="s">
        <v>721</v>
      </c>
      <c r="D997">
        <v>1</v>
      </c>
    </row>
    <row r="998" spans="1:4" x14ac:dyDescent="0.25">
      <c r="A998" s="81">
        <v>46164</v>
      </c>
      <c r="B998" t="s">
        <v>926</v>
      </c>
      <c r="C998" t="s">
        <v>721</v>
      </c>
      <c r="D998">
        <v>1</v>
      </c>
    </row>
    <row r="999" spans="1:4" x14ac:dyDescent="0.25">
      <c r="A999" s="81">
        <v>46165</v>
      </c>
      <c r="B999" t="s">
        <v>877</v>
      </c>
      <c r="C999" t="s">
        <v>721</v>
      </c>
      <c r="D999">
        <v>1</v>
      </c>
    </row>
    <row r="1000" spans="1:4" x14ac:dyDescent="0.25">
      <c r="A1000" s="81">
        <v>46165</v>
      </c>
      <c r="B1000" t="s">
        <v>689</v>
      </c>
      <c r="C1000" t="s">
        <v>721</v>
      </c>
      <c r="D1000">
        <v>1</v>
      </c>
    </row>
    <row r="1001" spans="1:4" x14ac:dyDescent="0.25">
      <c r="A1001" s="81">
        <v>46165</v>
      </c>
      <c r="B1001" t="s">
        <v>752</v>
      </c>
      <c r="C1001" t="s">
        <v>721</v>
      </c>
      <c r="D1001">
        <v>1</v>
      </c>
    </row>
    <row r="1002" spans="1:4" x14ac:dyDescent="0.25">
      <c r="A1002" s="81">
        <v>46165</v>
      </c>
      <c r="B1002" t="s">
        <v>761</v>
      </c>
      <c r="C1002" t="s">
        <v>721</v>
      </c>
      <c r="D1002">
        <v>1</v>
      </c>
    </row>
    <row r="1003" spans="1:4" x14ac:dyDescent="0.25">
      <c r="A1003" s="81">
        <v>46165</v>
      </c>
      <c r="B1003" t="s">
        <v>750</v>
      </c>
      <c r="C1003" t="s">
        <v>721</v>
      </c>
      <c r="D1003">
        <v>1</v>
      </c>
    </row>
    <row r="1004" spans="1:4" x14ac:dyDescent="0.25">
      <c r="A1004" s="81">
        <v>46165</v>
      </c>
      <c r="B1004" t="s">
        <v>720</v>
      </c>
      <c r="C1004" t="s">
        <v>721</v>
      </c>
      <c r="D1004">
        <v>1</v>
      </c>
    </row>
    <row r="1005" spans="1:4" x14ac:dyDescent="0.25">
      <c r="A1005" s="81">
        <v>46165</v>
      </c>
      <c r="B1005" t="s">
        <v>922</v>
      </c>
      <c r="C1005" t="s">
        <v>721</v>
      </c>
      <c r="D1005">
        <v>1</v>
      </c>
    </row>
    <row r="1006" spans="1:4" x14ac:dyDescent="0.25">
      <c r="A1006" s="81">
        <v>46165</v>
      </c>
      <c r="B1006" t="s">
        <v>923</v>
      </c>
      <c r="C1006" t="s">
        <v>721</v>
      </c>
      <c r="D1006">
        <v>1</v>
      </c>
    </row>
    <row r="1007" spans="1:4" x14ac:dyDescent="0.25">
      <c r="A1007" s="81">
        <v>46165</v>
      </c>
      <c r="B1007" t="s">
        <v>925</v>
      </c>
      <c r="C1007" t="s">
        <v>721</v>
      </c>
      <c r="D1007">
        <v>1</v>
      </c>
    </row>
    <row r="1008" spans="1:4" x14ac:dyDescent="0.25">
      <c r="A1008" s="81">
        <v>46166</v>
      </c>
      <c r="B1008" t="s">
        <v>724</v>
      </c>
      <c r="C1008" t="s">
        <v>743</v>
      </c>
      <c r="D1008">
        <v>1</v>
      </c>
    </row>
    <row r="1009" spans="1:4" x14ac:dyDescent="0.25">
      <c r="A1009" s="81">
        <v>46166</v>
      </c>
      <c r="B1009" t="s">
        <v>785</v>
      </c>
      <c r="C1009" t="s">
        <v>743</v>
      </c>
      <c r="D1009">
        <v>1</v>
      </c>
    </row>
    <row r="1010" spans="1:4" x14ac:dyDescent="0.25">
      <c r="A1010" s="81">
        <v>46166</v>
      </c>
      <c r="B1010" t="s">
        <v>752</v>
      </c>
      <c r="C1010" t="s">
        <v>743</v>
      </c>
      <c r="D1010">
        <v>1</v>
      </c>
    </row>
    <row r="1011" spans="1:4" x14ac:dyDescent="0.25">
      <c r="A1011" s="81">
        <v>46166</v>
      </c>
      <c r="B1011" t="s">
        <v>761</v>
      </c>
      <c r="C1011" t="s">
        <v>743</v>
      </c>
      <c r="D1011">
        <v>1</v>
      </c>
    </row>
    <row r="1012" spans="1:4" x14ac:dyDescent="0.25">
      <c r="A1012" s="81">
        <v>46166</v>
      </c>
      <c r="B1012" t="s">
        <v>727</v>
      </c>
      <c r="C1012" t="s">
        <v>743</v>
      </c>
      <c r="D1012">
        <v>1</v>
      </c>
    </row>
    <row r="1013" spans="1:4" x14ac:dyDescent="0.25">
      <c r="A1013" s="81">
        <v>46166</v>
      </c>
      <c r="B1013" t="s">
        <v>805</v>
      </c>
      <c r="C1013" t="s">
        <v>743</v>
      </c>
      <c r="D1013">
        <v>1</v>
      </c>
    </row>
    <row r="1014" spans="1:4" x14ac:dyDescent="0.25">
      <c r="A1014" s="81">
        <v>46166</v>
      </c>
      <c r="B1014" t="s">
        <v>804</v>
      </c>
      <c r="C1014" t="s">
        <v>743</v>
      </c>
      <c r="D1014">
        <v>1</v>
      </c>
    </row>
    <row r="1015" spans="1:4" x14ac:dyDescent="0.25">
      <c r="A1015" s="81">
        <v>46167</v>
      </c>
      <c r="B1015" t="s">
        <v>927</v>
      </c>
      <c r="C1015" t="s">
        <v>741</v>
      </c>
      <c r="D1015">
        <v>1</v>
      </c>
    </row>
    <row r="1016" spans="1:4" x14ac:dyDescent="0.25">
      <c r="A1016" s="81">
        <v>46167</v>
      </c>
      <c r="B1016" t="s">
        <v>727</v>
      </c>
      <c r="C1016" t="s">
        <v>741</v>
      </c>
      <c r="D1016">
        <v>1</v>
      </c>
    </row>
    <row r="1017" spans="1:4" x14ac:dyDescent="0.25">
      <c r="A1017" s="81">
        <v>46168</v>
      </c>
      <c r="B1017" t="s">
        <v>750</v>
      </c>
      <c r="C1017" t="s">
        <v>721</v>
      </c>
      <c r="D1017">
        <v>1</v>
      </c>
    </row>
    <row r="1018" spans="1:4" x14ac:dyDescent="0.25">
      <c r="A1018" s="81">
        <v>46170</v>
      </c>
      <c r="B1018" t="s">
        <v>724</v>
      </c>
      <c r="C1018" t="s">
        <v>743</v>
      </c>
      <c r="D1018">
        <v>1</v>
      </c>
    </row>
    <row r="1019" spans="1:4" x14ac:dyDescent="0.25">
      <c r="A1019" s="81">
        <v>46170</v>
      </c>
      <c r="B1019" t="s">
        <v>785</v>
      </c>
      <c r="C1019" t="s">
        <v>743</v>
      </c>
      <c r="D1019">
        <v>1</v>
      </c>
    </row>
    <row r="1020" spans="1:4" x14ac:dyDescent="0.25">
      <c r="A1020" s="81">
        <v>46170</v>
      </c>
      <c r="B1020" t="s">
        <v>752</v>
      </c>
      <c r="C1020" t="s">
        <v>743</v>
      </c>
      <c r="D1020">
        <v>1</v>
      </c>
    </row>
    <row r="1021" spans="1:4" x14ac:dyDescent="0.25">
      <c r="A1021" s="81">
        <v>46170</v>
      </c>
      <c r="B1021" t="s">
        <v>761</v>
      </c>
      <c r="C1021" t="s">
        <v>743</v>
      </c>
      <c r="D1021">
        <v>1</v>
      </c>
    </row>
    <row r="1022" spans="1:4" x14ac:dyDescent="0.25">
      <c r="A1022" s="81">
        <v>46170</v>
      </c>
      <c r="B1022" t="s">
        <v>738</v>
      </c>
      <c r="C1022" t="s">
        <v>743</v>
      </c>
      <c r="D1022">
        <v>1</v>
      </c>
    </row>
    <row r="1023" spans="1:4" x14ac:dyDescent="0.25">
      <c r="A1023" s="81">
        <v>46170</v>
      </c>
      <c r="B1023" t="s">
        <v>826</v>
      </c>
      <c r="C1023" t="s">
        <v>743</v>
      </c>
      <c r="D1023">
        <v>1</v>
      </c>
    </row>
    <row r="1024" spans="1:4" x14ac:dyDescent="0.25">
      <c r="A1024" s="81">
        <v>46170</v>
      </c>
      <c r="B1024" t="s">
        <v>805</v>
      </c>
      <c r="C1024" t="s">
        <v>743</v>
      </c>
      <c r="D1024">
        <v>1</v>
      </c>
    </row>
    <row r="1025" spans="1:4" x14ac:dyDescent="0.25">
      <c r="A1025" s="81">
        <v>46170</v>
      </c>
      <c r="B1025" t="s">
        <v>727</v>
      </c>
      <c r="C1025" t="s">
        <v>743</v>
      </c>
      <c r="D1025">
        <v>1</v>
      </c>
    </row>
    <row r="1026" spans="1:4" x14ac:dyDescent="0.25">
      <c r="A1026" s="81">
        <v>46171</v>
      </c>
      <c r="B1026" t="s">
        <v>753</v>
      </c>
      <c r="C1026" t="s">
        <v>721</v>
      </c>
      <c r="D1026">
        <v>2</v>
      </c>
    </row>
    <row r="1027" spans="1:4" x14ac:dyDescent="0.25">
      <c r="A1027" s="81">
        <v>46171</v>
      </c>
      <c r="B1027" t="s">
        <v>865</v>
      </c>
      <c r="C1027" t="s">
        <v>721</v>
      </c>
      <c r="D1027">
        <v>1</v>
      </c>
    </row>
    <row r="1028" spans="1:4" x14ac:dyDescent="0.25">
      <c r="A1028" s="81">
        <v>46171</v>
      </c>
      <c r="B1028" t="s">
        <v>689</v>
      </c>
      <c r="C1028" t="s">
        <v>721</v>
      </c>
      <c r="D1028">
        <v>1</v>
      </c>
    </row>
    <row r="1029" spans="1:4" x14ac:dyDescent="0.25">
      <c r="A1029" s="81">
        <v>46171</v>
      </c>
      <c r="B1029" t="s">
        <v>752</v>
      </c>
      <c r="C1029" t="s">
        <v>721</v>
      </c>
      <c r="D1029">
        <v>1</v>
      </c>
    </row>
    <row r="1030" spans="1:4" x14ac:dyDescent="0.25">
      <c r="A1030" s="81">
        <v>46171</v>
      </c>
      <c r="B1030" t="s">
        <v>761</v>
      </c>
      <c r="C1030" t="s">
        <v>721</v>
      </c>
      <c r="D1030">
        <v>1</v>
      </c>
    </row>
    <row r="1031" spans="1:4" x14ac:dyDescent="0.25">
      <c r="A1031" s="81">
        <v>46172</v>
      </c>
      <c r="B1031" t="s">
        <v>720</v>
      </c>
      <c r="C1031" t="s">
        <v>721</v>
      </c>
      <c r="D1031">
        <v>1</v>
      </c>
    </row>
    <row r="1032" spans="1:4" x14ac:dyDescent="0.25">
      <c r="A1032" s="81">
        <v>46172</v>
      </c>
      <c r="B1032" t="s">
        <v>753</v>
      </c>
      <c r="C1032" t="s">
        <v>721</v>
      </c>
      <c r="D1032">
        <v>2</v>
      </c>
    </row>
    <row r="1033" spans="1:4" x14ac:dyDescent="0.25">
      <c r="A1033" s="81">
        <v>46172</v>
      </c>
      <c r="B1033" t="s">
        <v>865</v>
      </c>
      <c r="C1033" t="s">
        <v>721</v>
      </c>
      <c r="D1033">
        <v>1</v>
      </c>
    </row>
    <row r="1034" spans="1:4" x14ac:dyDescent="0.25">
      <c r="A1034" s="81">
        <v>46172</v>
      </c>
      <c r="B1034" t="s">
        <v>689</v>
      </c>
      <c r="C1034" t="s">
        <v>721</v>
      </c>
      <c r="D1034">
        <v>1</v>
      </c>
    </row>
    <row r="1035" spans="1:4" x14ac:dyDescent="0.25">
      <c r="A1035" s="81">
        <v>46172</v>
      </c>
      <c r="B1035" t="s">
        <v>805</v>
      </c>
      <c r="C1035" t="s">
        <v>721</v>
      </c>
      <c r="D1035">
        <v>1</v>
      </c>
    </row>
    <row r="1036" spans="1:4" x14ac:dyDescent="0.25">
      <c r="A1036" s="81">
        <v>46172</v>
      </c>
      <c r="B1036" t="s">
        <v>720</v>
      </c>
      <c r="C1036" t="s">
        <v>721</v>
      </c>
      <c r="D1036">
        <v>1</v>
      </c>
    </row>
    <row r="1037" spans="1:4" x14ac:dyDescent="0.25">
      <c r="A1037" s="81">
        <v>46173</v>
      </c>
      <c r="B1037" t="s">
        <v>753</v>
      </c>
      <c r="C1037" t="s">
        <v>741</v>
      </c>
      <c r="D1037">
        <v>2</v>
      </c>
    </row>
    <row r="1038" spans="1:4" x14ac:dyDescent="0.25">
      <c r="A1038" s="81">
        <v>46173</v>
      </c>
      <c r="B1038" t="s">
        <v>928</v>
      </c>
      <c r="C1038" t="s">
        <v>741</v>
      </c>
      <c r="D1038">
        <v>1</v>
      </c>
    </row>
    <row r="1039" spans="1:4" x14ac:dyDescent="0.25">
      <c r="A1039" s="81">
        <v>46173</v>
      </c>
      <c r="B1039" t="s">
        <v>865</v>
      </c>
      <c r="C1039" t="s">
        <v>741</v>
      </c>
      <c r="D1039">
        <v>1</v>
      </c>
    </row>
    <row r="1040" spans="1:4" x14ac:dyDescent="0.25">
      <c r="A1040" s="81">
        <v>46173</v>
      </c>
      <c r="B1040" t="s">
        <v>720</v>
      </c>
      <c r="C1040" t="s">
        <v>741</v>
      </c>
      <c r="D1040">
        <v>1</v>
      </c>
    </row>
    <row r="1041" spans="1:4" x14ac:dyDescent="0.25">
      <c r="A1041" s="81">
        <v>46173</v>
      </c>
      <c r="B1041" t="s">
        <v>724</v>
      </c>
      <c r="C1041" t="s">
        <v>741</v>
      </c>
      <c r="D1041">
        <v>1</v>
      </c>
    </row>
    <row r="1042" spans="1:4" x14ac:dyDescent="0.25">
      <c r="A1042" s="81">
        <v>46173</v>
      </c>
      <c r="B1042" t="s">
        <v>689</v>
      </c>
      <c r="C1042" t="s">
        <v>741</v>
      </c>
      <c r="D1042">
        <v>1</v>
      </c>
    </row>
    <row r="1043" spans="1:4" x14ac:dyDescent="0.25">
      <c r="A1043" s="81">
        <v>46173</v>
      </c>
      <c r="B1043" t="s">
        <v>727</v>
      </c>
      <c r="C1043" t="s">
        <v>741</v>
      </c>
      <c r="D1043">
        <v>1</v>
      </c>
    </row>
    <row r="1044" spans="1:4" x14ac:dyDescent="0.25">
      <c r="A1044" s="81">
        <v>46173</v>
      </c>
      <c r="B1044" t="s">
        <v>761</v>
      </c>
      <c r="C1044" t="s">
        <v>741</v>
      </c>
      <c r="D1044">
        <v>1</v>
      </c>
    </row>
    <row r="1045" spans="1:4" x14ac:dyDescent="0.25">
      <c r="A1045" s="81">
        <v>46177</v>
      </c>
      <c r="B1045" t="s">
        <v>716</v>
      </c>
      <c r="C1045" t="s">
        <v>721</v>
      </c>
      <c r="D1045">
        <v>3</v>
      </c>
    </row>
    <row r="1046" spans="1:4" x14ac:dyDescent="0.25">
      <c r="A1046" s="81">
        <v>46177</v>
      </c>
      <c r="B1046" t="s">
        <v>929</v>
      </c>
      <c r="C1046" t="s">
        <v>721</v>
      </c>
      <c r="D1046">
        <v>2</v>
      </c>
    </row>
    <row r="1047" spans="1:4" x14ac:dyDescent="0.25">
      <c r="A1047" s="81">
        <v>46177</v>
      </c>
      <c r="B1047" t="s">
        <v>720</v>
      </c>
      <c r="C1047" t="s">
        <v>721</v>
      </c>
      <c r="D1047">
        <v>4</v>
      </c>
    </row>
    <row r="1048" spans="1:4" x14ac:dyDescent="0.25">
      <c r="A1048" s="81">
        <v>46177</v>
      </c>
      <c r="B1048" t="s">
        <v>773</v>
      </c>
      <c r="C1048" t="s">
        <v>721</v>
      </c>
      <c r="D1048">
        <v>2</v>
      </c>
    </row>
    <row r="1049" spans="1:4" x14ac:dyDescent="0.25">
      <c r="A1049" s="81">
        <v>46177</v>
      </c>
      <c r="B1049" t="s">
        <v>724</v>
      </c>
      <c r="C1049" t="s">
        <v>721</v>
      </c>
      <c r="D1049">
        <v>3</v>
      </c>
    </row>
    <row r="1050" spans="1:4" x14ac:dyDescent="0.25">
      <c r="A1050" s="81">
        <v>46177</v>
      </c>
      <c r="B1050" t="s">
        <v>859</v>
      </c>
      <c r="C1050" t="s">
        <v>721</v>
      </c>
      <c r="D1050">
        <v>4</v>
      </c>
    </row>
    <row r="1051" spans="1:4" x14ac:dyDescent="0.25">
      <c r="A1051" s="81">
        <v>46177</v>
      </c>
      <c r="B1051" t="s">
        <v>727</v>
      </c>
      <c r="C1051" t="s">
        <v>721</v>
      </c>
      <c r="D1051">
        <v>4</v>
      </c>
    </row>
    <row r="1052" spans="1:4" x14ac:dyDescent="0.25">
      <c r="A1052" s="81">
        <v>46177</v>
      </c>
      <c r="B1052" t="s">
        <v>752</v>
      </c>
      <c r="C1052" t="s">
        <v>721</v>
      </c>
      <c r="D1052">
        <v>3</v>
      </c>
    </row>
    <row r="1053" spans="1:4" x14ac:dyDescent="0.25">
      <c r="A1053" s="81">
        <v>46177</v>
      </c>
      <c r="B1053" t="s">
        <v>751</v>
      </c>
      <c r="C1053" t="s">
        <v>721</v>
      </c>
      <c r="D1053">
        <v>4</v>
      </c>
    </row>
    <row r="1054" spans="1:4" x14ac:dyDescent="0.25">
      <c r="A1054" s="81">
        <v>46177</v>
      </c>
      <c r="B1054" t="s">
        <v>761</v>
      </c>
      <c r="C1054" t="s">
        <v>721</v>
      </c>
      <c r="D1054">
        <v>5</v>
      </c>
    </row>
    <row r="1055" spans="1:4" x14ac:dyDescent="0.25">
      <c r="A1055" s="81">
        <v>46177</v>
      </c>
      <c r="B1055" t="s">
        <v>826</v>
      </c>
      <c r="C1055" t="s">
        <v>721</v>
      </c>
      <c r="D1055">
        <v>1</v>
      </c>
    </row>
    <row r="1056" spans="1:4" x14ac:dyDescent="0.25">
      <c r="A1056" s="81">
        <v>46178</v>
      </c>
      <c r="B1056" t="s">
        <v>769</v>
      </c>
      <c r="C1056" t="s">
        <v>721</v>
      </c>
      <c r="D1056">
        <v>3</v>
      </c>
    </row>
    <row r="1057" spans="1:4" x14ac:dyDescent="0.25">
      <c r="A1057" s="81">
        <v>46178</v>
      </c>
      <c r="B1057" t="s">
        <v>909</v>
      </c>
      <c r="C1057" t="s">
        <v>721</v>
      </c>
      <c r="D1057">
        <v>3</v>
      </c>
    </row>
    <row r="1058" spans="1:4" x14ac:dyDescent="0.25">
      <c r="A1058" s="81">
        <v>46178</v>
      </c>
      <c r="B1058" t="s">
        <v>738</v>
      </c>
      <c r="C1058" t="s">
        <v>721</v>
      </c>
      <c r="D1058">
        <v>2</v>
      </c>
    </row>
    <row r="1059" spans="1:4" x14ac:dyDescent="0.25">
      <c r="A1059" s="81">
        <v>46178</v>
      </c>
      <c r="B1059" t="s">
        <v>805</v>
      </c>
      <c r="C1059" t="s">
        <v>721</v>
      </c>
      <c r="D1059">
        <v>1</v>
      </c>
    </row>
    <row r="1060" spans="1:4" x14ac:dyDescent="0.25">
      <c r="A1060" s="81">
        <v>46178</v>
      </c>
      <c r="B1060" t="s">
        <v>826</v>
      </c>
      <c r="C1060" t="s">
        <v>721</v>
      </c>
      <c r="D1060">
        <v>1</v>
      </c>
    </row>
    <row r="1061" spans="1:4" x14ac:dyDescent="0.25">
      <c r="A1061" s="81">
        <v>46181</v>
      </c>
      <c r="B1061" t="s">
        <v>805</v>
      </c>
      <c r="C1061" t="s">
        <v>741</v>
      </c>
      <c r="D1061">
        <v>1</v>
      </c>
    </row>
    <row r="1062" spans="1:4" x14ac:dyDescent="0.25">
      <c r="A1062" s="81">
        <v>46181</v>
      </c>
      <c r="B1062" t="s">
        <v>930</v>
      </c>
      <c r="C1062" t="s">
        <v>741</v>
      </c>
      <c r="D1062">
        <v>1</v>
      </c>
    </row>
    <row r="1063" spans="1:4" x14ac:dyDescent="0.25">
      <c r="A1063" s="81">
        <v>46183</v>
      </c>
      <c r="B1063" t="s">
        <v>931</v>
      </c>
      <c r="C1063" t="s">
        <v>721</v>
      </c>
      <c r="D1063">
        <v>1</v>
      </c>
    </row>
    <row r="1064" spans="1:4" x14ac:dyDescent="0.25">
      <c r="A1064" s="81">
        <v>46183</v>
      </c>
      <c r="B1064" t="s">
        <v>902</v>
      </c>
      <c r="C1064" t="s">
        <v>721</v>
      </c>
      <c r="D1064">
        <v>1</v>
      </c>
    </row>
    <row r="1065" spans="1:4" x14ac:dyDescent="0.25">
      <c r="A1065" s="81">
        <v>46185</v>
      </c>
      <c r="B1065" t="s">
        <v>752</v>
      </c>
      <c r="C1065" t="s">
        <v>721</v>
      </c>
      <c r="D1065">
        <v>1</v>
      </c>
    </row>
    <row r="1066" spans="1:4" x14ac:dyDescent="0.25">
      <c r="A1066" s="81">
        <v>46185</v>
      </c>
      <c r="B1066" t="s">
        <v>872</v>
      </c>
      <c r="C1066" t="s">
        <v>721</v>
      </c>
      <c r="D1066">
        <v>1</v>
      </c>
    </row>
    <row r="1067" spans="1:4" x14ac:dyDescent="0.25">
      <c r="A1067" s="81">
        <v>46186</v>
      </c>
      <c r="B1067" t="s">
        <v>932</v>
      </c>
      <c r="C1067" t="s">
        <v>721</v>
      </c>
      <c r="D1067">
        <v>1</v>
      </c>
    </row>
    <row r="1068" spans="1:4" x14ac:dyDescent="0.25">
      <c r="A1068" s="81">
        <v>46186</v>
      </c>
      <c r="B1068" t="s">
        <v>720</v>
      </c>
      <c r="C1068" t="s">
        <v>721</v>
      </c>
      <c r="D1068">
        <v>1</v>
      </c>
    </row>
    <row r="1069" spans="1:4" x14ac:dyDescent="0.25">
      <c r="A1069" s="81">
        <v>46186</v>
      </c>
      <c r="B1069" t="s">
        <v>724</v>
      </c>
      <c r="C1069" t="s">
        <v>721</v>
      </c>
      <c r="D1069">
        <v>1</v>
      </c>
    </row>
    <row r="1070" spans="1:4" x14ac:dyDescent="0.25">
      <c r="A1070" s="81">
        <v>46186</v>
      </c>
      <c r="B1070" t="s">
        <v>689</v>
      </c>
      <c r="C1070" t="s">
        <v>721</v>
      </c>
      <c r="D1070">
        <v>1</v>
      </c>
    </row>
    <row r="1071" spans="1:4" x14ac:dyDescent="0.25">
      <c r="A1071" s="81">
        <v>46186</v>
      </c>
      <c r="B1071" t="s">
        <v>727</v>
      </c>
      <c r="C1071" t="s">
        <v>721</v>
      </c>
      <c r="D1071">
        <v>1</v>
      </c>
    </row>
    <row r="1072" spans="1:4" x14ac:dyDescent="0.25">
      <c r="A1072" s="81">
        <v>46186</v>
      </c>
      <c r="B1072" t="s">
        <v>933</v>
      </c>
      <c r="C1072" t="s">
        <v>721</v>
      </c>
      <c r="D1072">
        <v>1</v>
      </c>
    </row>
    <row r="1073" spans="1:4" x14ac:dyDescent="0.25">
      <c r="A1073" s="81">
        <v>46187</v>
      </c>
      <c r="B1073" t="s">
        <v>837</v>
      </c>
      <c r="C1073" t="s">
        <v>741</v>
      </c>
      <c r="D1073">
        <v>1</v>
      </c>
    </row>
    <row r="1074" spans="1:4" x14ac:dyDescent="0.25">
      <c r="A1074" s="81">
        <v>46187</v>
      </c>
      <c r="B1074" t="s">
        <v>729</v>
      </c>
      <c r="C1074" t="s">
        <v>741</v>
      </c>
      <c r="D1074">
        <v>1</v>
      </c>
    </row>
    <row r="1075" spans="1:4" x14ac:dyDescent="0.25">
      <c r="A1075" s="81">
        <v>46187</v>
      </c>
      <c r="B1075" t="s">
        <v>716</v>
      </c>
      <c r="C1075" t="s">
        <v>741</v>
      </c>
      <c r="D1075">
        <v>1</v>
      </c>
    </row>
    <row r="1076" spans="1:4" x14ac:dyDescent="0.25">
      <c r="A1076" s="81">
        <v>46187</v>
      </c>
      <c r="B1076" t="s">
        <v>773</v>
      </c>
      <c r="C1076" t="s">
        <v>741</v>
      </c>
      <c r="D1076">
        <v>1</v>
      </c>
    </row>
    <row r="1077" spans="1:4" x14ac:dyDescent="0.25">
      <c r="A1077" s="81">
        <v>46187</v>
      </c>
      <c r="B1077" t="s">
        <v>872</v>
      </c>
      <c r="C1077" t="s">
        <v>741</v>
      </c>
      <c r="D1077">
        <v>1</v>
      </c>
    </row>
    <row r="1078" spans="1:4" x14ac:dyDescent="0.25">
      <c r="A1078" s="81">
        <v>46188</v>
      </c>
      <c r="B1078" t="s">
        <v>934</v>
      </c>
      <c r="C1078" t="s">
        <v>721</v>
      </c>
      <c r="D1078">
        <v>1</v>
      </c>
    </row>
    <row r="1079" spans="1:4" x14ac:dyDescent="0.25">
      <c r="A1079" s="81">
        <v>46190</v>
      </c>
      <c r="B1079" t="s">
        <v>854</v>
      </c>
      <c r="C1079" t="s">
        <v>743</v>
      </c>
      <c r="D1079">
        <v>1</v>
      </c>
    </row>
    <row r="1080" spans="1:4" x14ac:dyDescent="0.25">
      <c r="A1080" s="81">
        <v>46190</v>
      </c>
      <c r="B1080" t="s">
        <v>761</v>
      </c>
      <c r="C1080" t="s">
        <v>743</v>
      </c>
      <c r="D1080">
        <v>1</v>
      </c>
    </row>
    <row r="1081" spans="1:4" x14ac:dyDescent="0.25">
      <c r="A1081" s="81">
        <v>46191</v>
      </c>
      <c r="B1081" t="s">
        <v>752</v>
      </c>
      <c r="C1081" t="s">
        <v>743</v>
      </c>
      <c r="D1081">
        <v>1</v>
      </c>
    </row>
    <row r="1082" spans="1:4" x14ac:dyDescent="0.25">
      <c r="A1082" s="81">
        <v>46191</v>
      </c>
      <c r="B1082" t="s">
        <v>935</v>
      </c>
      <c r="C1082" t="s">
        <v>743</v>
      </c>
      <c r="D1082">
        <v>1</v>
      </c>
    </row>
    <row r="1083" spans="1:4" x14ac:dyDescent="0.25">
      <c r="A1083" s="81">
        <v>46191</v>
      </c>
      <c r="B1083" t="s">
        <v>936</v>
      </c>
      <c r="C1083" t="s">
        <v>743</v>
      </c>
      <c r="D1083">
        <v>1</v>
      </c>
    </row>
    <row r="1084" spans="1:4" x14ac:dyDescent="0.25">
      <c r="A1084" s="81">
        <v>46191</v>
      </c>
      <c r="B1084" t="s">
        <v>937</v>
      </c>
      <c r="C1084" t="s">
        <v>743</v>
      </c>
      <c r="D1084">
        <v>1</v>
      </c>
    </row>
    <row r="1085" spans="1:4" x14ac:dyDescent="0.25">
      <c r="A1085" s="81">
        <v>46191</v>
      </c>
      <c r="B1085" t="s">
        <v>854</v>
      </c>
      <c r="C1085" t="s">
        <v>743</v>
      </c>
      <c r="D1085">
        <v>1</v>
      </c>
    </row>
    <row r="1086" spans="1:4" x14ac:dyDescent="0.25">
      <c r="A1086" s="81">
        <v>46192</v>
      </c>
      <c r="B1086" t="s">
        <v>761</v>
      </c>
      <c r="C1086" t="s">
        <v>743</v>
      </c>
      <c r="D1086">
        <v>1</v>
      </c>
    </row>
    <row r="1087" spans="1:4" x14ac:dyDescent="0.25">
      <c r="A1087" s="81">
        <v>46192</v>
      </c>
      <c r="B1087" t="s">
        <v>805</v>
      </c>
      <c r="C1087" t="s">
        <v>743</v>
      </c>
      <c r="D1087">
        <v>1</v>
      </c>
    </row>
    <row r="1088" spans="1:4" x14ac:dyDescent="0.25">
      <c r="A1088" s="81">
        <v>46192</v>
      </c>
      <c r="B1088" t="s">
        <v>813</v>
      </c>
      <c r="C1088" t="s">
        <v>743</v>
      </c>
      <c r="D1088">
        <v>1</v>
      </c>
    </row>
    <row r="1089" spans="1:4" x14ac:dyDescent="0.25">
      <c r="A1089" s="81">
        <v>46192</v>
      </c>
      <c r="B1089" t="s">
        <v>935</v>
      </c>
      <c r="C1089" t="s">
        <v>743</v>
      </c>
      <c r="D1089">
        <v>1</v>
      </c>
    </row>
    <row r="1090" spans="1:4" x14ac:dyDescent="0.25">
      <c r="A1090" s="81">
        <v>46192</v>
      </c>
      <c r="B1090" t="s">
        <v>936</v>
      </c>
      <c r="C1090" t="s">
        <v>743</v>
      </c>
      <c r="D1090">
        <v>1</v>
      </c>
    </row>
    <row r="1091" spans="1:4" x14ac:dyDescent="0.25">
      <c r="A1091" s="81">
        <v>46192</v>
      </c>
      <c r="B1091" t="s">
        <v>937</v>
      </c>
      <c r="C1091" t="s">
        <v>743</v>
      </c>
      <c r="D1091">
        <v>1</v>
      </c>
    </row>
    <row r="1092" spans="1:4" x14ac:dyDescent="0.25">
      <c r="A1092" s="81">
        <v>46193</v>
      </c>
      <c r="B1092" t="s">
        <v>724</v>
      </c>
      <c r="C1092" t="s">
        <v>743</v>
      </c>
      <c r="D1092">
        <v>1</v>
      </c>
    </row>
    <row r="1093" spans="1:4" x14ac:dyDescent="0.25">
      <c r="A1093" s="81">
        <v>46193</v>
      </c>
      <c r="B1093" t="s">
        <v>785</v>
      </c>
      <c r="C1093" t="s">
        <v>743</v>
      </c>
      <c r="D1093">
        <v>1</v>
      </c>
    </row>
    <row r="1094" spans="1:4" x14ac:dyDescent="0.25">
      <c r="A1094" s="81">
        <v>46193</v>
      </c>
      <c r="B1094" t="s">
        <v>727</v>
      </c>
      <c r="C1094" t="s">
        <v>743</v>
      </c>
      <c r="D1094">
        <v>1</v>
      </c>
    </row>
    <row r="1095" spans="1:4" x14ac:dyDescent="0.25">
      <c r="A1095" s="81">
        <v>46193</v>
      </c>
      <c r="B1095" t="s">
        <v>752</v>
      </c>
      <c r="C1095" t="s">
        <v>743</v>
      </c>
      <c r="D1095">
        <v>1</v>
      </c>
    </row>
    <row r="1096" spans="1:4" x14ac:dyDescent="0.25">
      <c r="A1096" s="81">
        <v>46193</v>
      </c>
      <c r="B1096" t="s">
        <v>761</v>
      </c>
      <c r="C1096" t="s">
        <v>743</v>
      </c>
      <c r="D1096">
        <v>1</v>
      </c>
    </row>
    <row r="1097" spans="1:4" x14ac:dyDescent="0.25">
      <c r="A1097" s="81">
        <v>46194</v>
      </c>
      <c r="B1097" t="s">
        <v>791</v>
      </c>
      <c r="C1097" t="s">
        <v>743</v>
      </c>
      <c r="D1097">
        <v>1</v>
      </c>
    </row>
    <row r="1098" spans="1:4" x14ac:dyDescent="0.25">
      <c r="A1098" s="81">
        <v>46194</v>
      </c>
      <c r="B1098" t="s">
        <v>935</v>
      </c>
      <c r="C1098" t="s">
        <v>743</v>
      </c>
      <c r="D1098">
        <v>1</v>
      </c>
    </row>
    <row r="1099" spans="1:4" x14ac:dyDescent="0.25">
      <c r="A1099" s="81">
        <v>46194</v>
      </c>
      <c r="B1099" t="s">
        <v>936</v>
      </c>
      <c r="C1099" t="s">
        <v>743</v>
      </c>
      <c r="D1099">
        <v>1</v>
      </c>
    </row>
    <row r="1100" spans="1:4" x14ac:dyDescent="0.25">
      <c r="A1100" s="81">
        <v>46194</v>
      </c>
      <c r="B1100" t="s">
        <v>785</v>
      </c>
      <c r="C1100" t="s">
        <v>743</v>
      </c>
      <c r="D1100">
        <v>1</v>
      </c>
    </row>
    <row r="1101" spans="1:4" x14ac:dyDescent="0.25">
      <c r="A1101" s="81">
        <v>46194</v>
      </c>
      <c r="B1101" t="s">
        <v>761</v>
      </c>
      <c r="C1101" t="s">
        <v>743</v>
      </c>
      <c r="D1101">
        <v>1</v>
      </c>
    </row>
    <row r="1102" spans="1:4" x14ac:dyDescent="0.25">
      <c r="A1102" s="81">
        <v>46194</v>
      </c>
      <c r="B1102" t="s">
        <v>738</v>
      </c>
      <c r="C1102" t="s">
        <v>743</v>
      </c>
      <c r="D1102">
        <v>1</v>
      </c>
    </row>
    <row r="1103" spans="1:4" x14ac:dyDescent="0.25">
      <c r="A1103" s="81">
        <v>46195</v>
      </c>
      <c r="B1103" t="s">
        <v>850</v>
      </c>
      <c r="C1103" t="s">
        <v>743</v>
      </c>
      <c r="D1103">
        <v>1</v>
      </c>
    </row>
    <row r="1104" spans="1:4" x14ac:dyDescent="0.25">
      <c r="A1104" s="81">
        <v>46195</v>
      </c>
      <c r="B1104" t="s">
        <v>938</v>
      </c>
      <c r="C1104" t="s">
        <v>743</v>
      </c>
      <c r="D1104">
        <v>1</v>
      </c>
    </row>
    <row r="1105" spans="1:4" x14ac:dyDescent="0.25">
      <c r="A1105" s="81">
        <v>46195</v>
      </c>
      <c r="B1105" t="s">
        <v>939</v>
      </c>
      <c r="C1105" t="s">
        <v>743</v>
      </c>
      <c r="D1105">
        <v>1</v>
      </c>
    </row>
    <row r="1106" spans="1:4" x14ac:dyDescent="0.25">
      <c r="A1106" s="81">
        <v>46195</v>
      </c>
      <c r="B1106" t="s">
        <v>940</v>
      </c>
      <c r="C1106" t="s">
        <v>743</v>
      </c>
      <c r="D1106">
        <v>1</v>
      </c>
    </row>
    <row r="1107" spans="1:4" x14ac:dyDescent="0.25">
      <c r="A1107" s="81">
        <v>46196</v>
      </c>
      <c r="B1107" t="s">
        <v>720</v>
      </c>
      <c r="C1107" t="s">
        <v>743</v>
      </c>
      <c r="D1107">
        <v>1</v>
      </c>
    </row>
    <row r="1108" spans="1:4" x14ac:dyDescent="0.25">
      <c r="A1108" s="81">
        <v>46196</v>
      </c>
      <c r="B1108" t="s">
        <v>797</v>
      </c>
      <c r="C1108" t="s">
        <v>743</v>
      </c>
      <c r="D1108">
        <v>1</v>
      </c>
    </row>
    <row r="1109" spans="1:4" x14ac:dyDescent="0.25">
      <c r="A1109" s="81">
        <v>46196</v>
      </c>
      <c r="B1109" t="s">
        <v>727</v>
      </c>
      <c r="C1109" t="s">
        <v>743</v>
      </c>
      <c r="D1109">
        <v>1</v>
      </c>
    </row>
    <row r="1110" spans="1:4" x14ac:dyDescent="0.25">
      <c r="A1110" s="81">
        <v>46196</v>
      </c>
      <c r="B1110" t="s">
        <v>752</v>
      </c>
      <c r="C1110" t="s">
        <v>743</v>
      </c>
      <c r="D1110">
        <v>1</v>
      </c>
    </row>
    <row r="1111" spans="1:4" x14ac:dyDescent="0.25">
      <c r="A1111" s="81">
        <v>46196</v>
      </c>
      <c r="B1111" t="s">
        <v>805</v>
      </c>
      <c r="C1111" t="s">
        <v>743</v>
      </c>
      <c r="D1111">
        <v>1</v>
      </c>
    </row>
    <row r="1112" spans="1:4" x14ac:dyDescent="0.25">
      <c r="A1112" s="81">
        <v>46196</v>
      </c>
      <c r="B1112" t="s">
        <v>940</v>
      </c>
      <c r="C1112" t="s">
        <v>743</v>
      </c>
      <c r="D1112">
        <v>1</v>
      </c>
    </row>
    <row r="1113" spans="1:4" x14ac:dyDescent="0.25">
      <c r="A1113" s="81">
        <v>46200</v>
      </c>
      <c r="B1113" t="s">
        <v>791</v>
      </c>
      <c r="C1113" t="s">
        <v>721</v>
      </c>
      <c r="D1113">
        <v>1</v>
      </c>
    </row>
    <row r="1114" spans="1:4" x14ac:dyDescent="0.25">
      <c r="A1114" s="81">
        <v>46200</v>
      </c>
      <c r="B1114" t="s">
        <v>854</v>
      </c>
      <c r="C1114" t="s">
        <v>721</v>
      </c>
      <c r="D1114">
        <v>1</v>
      </c>
    </row>
    <row r="1115" spans="1:4" x14ac:dyDescent="0.25">
      <c r="A1115" s="81">
        <v>46200</v>
      </c>
      <c r="B1115" t="s">
        <v>724</v>
      </c>
      <c r="C1115" t="s">
        <v>721</v>
      </c>
      <c r="D1115">
        <v>1</v>
      </c>
    </row>
    <row r="1116" spans="1:4" x14ac:dyDescent="0.25">
      <c r="A1116" s="81">
        <v>46200</v>
      </c>
      <c r="B1116" t="s">
        <v>727</v>
      </c>
      <c r="C1116" t="s">
        <v>721</v>
      </c>
      <c r="D1116">
        <v>1</v>
      </c>
    </row>
    <row r="1117" spans="1:4" x14ac:dyDescent="0.25">
      <c r="A1117" s="81">
        <v>46200</v>
      </c>
      <c r="B1117" t="s">
        <v>752</v>
      </c>
      <c r="C1117" t="s">
        <v>721</v>
      </c>
      <c r="D1117">
        <v>1</v>
      </c>
    </row>
    <row r="1118" spans="1:4" x14ac:dyDescent="0.25">
      <c r="A1118" s="81">
        <v>46200</v>
      </c>
      <c r="B1118" t="s">
        <v>761</v>
      </c>
      <c r="C1118" t="s">
        <v>721</v>
      </c>
      <c r="D1118">
        <v>1</v>
      </c>
    </row>
    <row r="1119" spans="1:4" x14ac:dyDescent="0.25">
      <c r="A1119" s="81">
        <v>46200</v>
      </c>
      <c r="B1119" t="s">
        <v>940</v>
      </c>
      <c r="C1119" t="s">
        <v>721</v>
      </c>
      <c r="D1119">
        <v>1</v>
      </c>
    </row>
    <row r="1120" spans="1:4" x14ac:dyDescent="0.25">
      <c r="A1120" s="81">
        <v>46200</v>
      </c>
      <c r="B1120" t="s">
        <v>805</v>
      </c>
      <c r="C1120" t="s">
        <v>721</v>
      </c>
      <c r="D1120">
        <v>1</v>
      </c>
    </row>
    <row r="1121" spans="1:4" x14ac:dyDescent="0.25">
      <c r="A1121" s="81">
        <v>46200</v>
      </c>
      <c r="B1121" t="s">
        <v>805</v>
      </c>
      <c r="C1121" t="s">
        <v>743</v>
      </c>
      <c r="D1121">
        <v>1</v>
      </c>
    </row>
    <row r="1122" spans="1:4" x14ac:dyDescent="0.25">
      <c r="A1122" s="81">
        <v>46203</v>
      </c>
      <c r="B1122" t="s">
        <v>791</v>
      </c>
      <c r="C1122" t="s">
        <v>743</v>
      </c>
      <c r="D1122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14"/>
  <sheetViews>
    <sheetView workbookViewId="0"/>
  </sheetViews>
  <sheetFormatPr defaultRowHeight="15" x14ac:dyDescent="0.25"/>
  <sheetData>
    <row r="1" spans="1:19" x14ac:dyDescent="0.25">
      <c r="A1" t="s">
        <v>653</v>
      </c>
      <c r="B1" t="s">
        <v>941</v>
      </c>
      <c r="C1" t="s">
        <v>942</v>
      </c>
      <c r="D1" t="s">
        <v>943</v>
      </c>
      <c r="E1" t="s">
        <v>944</v>
      </c>
      <c r="F1" t="s">
        <v>945</v>
      </c>
      <c r="G1" t="s">
        <v>946</v>
      </c>
      <c r="H1" t="s">
        <v>947</v>
      </c>
      <c r="I1" t="s">
        <v>948</v>
      </c>
      <c r="J1" t="s">
        <v>949</v>
      </c>
      <c r="K1" t="s">
        <v>950</v>
      </c>
      <c r="L1" t="s">
        <v>951</v>
      </c>
      <c r="M1" t="s">
        <v>952</v>
      </c>
      <c r="N1" t="s">
        <v>953</v>
      </c>
      <c r="O1" t="s">
        <v>954</v>
      </c>
      <c r="P1" t="s">
        <v>955</v>
      </c>
      <c r="Q1" t="s">
        <v>956</v>
      </c>
      <c r="R1" t="s">
        <v>957</v>
      </c>
      <c r="S1" t="s">
        <v>958</v>
      </c>
    </row>
    <row r="2" spans="1:19" x14ac:dyDescent="0.25">
      <c r="A2" t="s">
        <v>715</v>
      </c>
      <c r="B2">
        <v>173</v>
      </c>
      <c r="C2">
        <v>9</v>
      </c>
      <c r="D2">
        <v>24</v>
      </c>
      <c r="E2">
        <v>8</v>
      </c>
      <c r="F2">
        <v>21</v>
      </c>
      <c r="G2">
        <v>16</v>
      </c>
      <c r="H2">
        <v>7.1</v>
      </c>
      <c r="I2">
        <v>13</v>
      </c>
      <c r="J2">
        <v>4.5</v>
      </c>
      <c r="K2">
        <v>21</v>
      </c>
      <c r="L2">
        <v>3.4</v>
      </c>
      <c r="M2">
        <v>5</v>
      </c>
      <c r="N2">
        <v>0</v>
      </c>
      <c r="O2">
        <v>0</v>
      </c>
      <c r="P2">
        <v>54</v>
      </c>
      <c r="Q2">
        <v>2</v>
      </c>
      <c r="R2" t="s">
        <v>959</v>
      </c>
      <c r="S2" t="s">
        <v>959</v>
      </c>
    </row>
    <row r="3" spans="1:19" x14ac:dyDescent="0.25">
      <c r="A3" t="s">
        <v>717</v>
      </c>
      <c r="B3">
        <v>207</v>
      </c>
      <c r="C3">
        <v>10</v>
      </c>
      <c r="D3">
        <v>27</v>
      </c>
      <c r="E3">
        <v>9</v>
      </c>
      <c r="F3">
        <v>24</v>
      </c>
      <c r="G3">
        <v>20</v>
      </c>
      <c r="H3">
        <v>9.3000000000000007</v>
      </c>
      <c r="I3">
        <v>17</v>
      </c>
      <c r="J3">
        <v>5.0999999999999996</v>
      </c>
      <c r="K3">
        <v>23</v>
      </c>
      <c r="L3">
        <v>3.7</v>
      </c>
      <c r="M3">
        <v>5</v>
      </c>
      <c r="N3">
        <v>0</v>
      </c>
      <c r="O3">
        <v>1</v>
      </c>
      <c r="P3">
        <v>53</v>
      </c>
      <c r="Q3">
        <v>2</v>
      </c>
      <c r="R3" t="s">
        <v>959</v>
      </c>
      <c r="S3" t="s">
        <v>959</v>
      </c>
    </row>
    <row r="4" spans="1:19" x14ac:dyDescent="0.25">
      <c r="A4" t="s">
        <v>960</v>
      </c>
      <c r="B4">
        <v>185</v>
      </c>
      <c r="C4">
        <v>9</v>
      </c>
      <c r="D4">
        <v>27</v>
      </c>
      <c r="E4">
        <v>9</v>
      </c>
      <c r="F4">
        <v>23</v>
      </c>
      <c r="G4">
        <v>18</v>
      </c>
      <c r="H4">
        <v>6.7</v>
      </c>
      <c r="I4">
        <v>12</v>
      </c>
      <c r="J4">
        <v>3.3</v>
      </c>
      <c r="K4">
        <v>15</v>
      </c>
      <c r="L4">
        <v>3.7</v>
      </c>
      <c r="M4">
        <v>5</v>
      </c>
      <c r="N4">
        <v>0</v>
      </c>
      <c r="O4">
        <v>1</v>
      </c>
      <c r="P4">
        <v>55</v>
      </c>
      <c r="Q4">
        <v>2</v>
      </c>
      <c r="R4" t="s">
        <v>959</v>
      </c>
      <c r="S4" t="s">
        <v>959</v>
      </c>
    </row>
    <row r="5" spans="1:19" x14ac:dyDescent="0.25">
      <c r="A5" t="s">
        <v>716</v>
      </c>
      <c r="B5">
        <v>180</v>
      </c>
      <c r="C5">
        <v>9</v>
      </c>
      <c r="D5">
        <v>29</v>
      </c>
      <c r="E5">
        <v>10</v>
      </c>
      <c r="F5">
        <v>23</v>
      </c>
      <c r="G5">
        <v>19</v>
      </c>
      <c r="H5">
        <v>5.5</v>
      </c>
      <c r="I5">
        <v>10</v>
      </c>
      <c r="J5">
        <v>3.5</v>
      </c>
      <c r="K5">
        <v>16</v>
      </c>
      <c r="L5">
        <v>3.8</v>
      </c>
      <c r="M5">
        <v>5</v>
      </c>
      <c r="N5">
        <v>0</v>
      </c>
      <c r="O5">
        <v>0</v>
      </c>
      <c r="P5">
        <v>58</v>
      </c>
      <c r="Q5">
        <v>2</v>
      </c>
      <c r="R5" t="s">
        <v>959</v>
      </c>
      <c r="S5" t="s">
        <v>959</v>
      </c>
    </row>
    <row r="6" spans="1:19" x14ac:dyDescent="0.25">
      <c r="A6" t="s">
        <v>696</v>
      </c>
      <c r="B6">
        <v>190</v>
      </c>
      <c r="C6">
        <v>9</v>
      </c>
      <c r="D6">
        <v>30</v>
      </c>
      <c r="E6">
        <v>10</v>
      </c>
      <c r="F6">
        <v>26</v>
      </c>
      <c r="G6">
        <v>18</v>
      </c>
      <c r="H6">
        <v>5.6</v>
      </c>
      <c r="I6">
        <v>10</v>
      </c>
      <c r="J6">
        <v>3.5</v>
      </c>
      <c r="K6">
        <v>16</v>
      </c>
      <c r="L6">
        <v>5.2</v>
      </c>
      <c r="M6">
        <v>7</v>
      </c>
      <c r="N6">
        <v>0</v>
      </c>
      <c r="O6">
        <v>0</v>
      </c>
      <c r="P6">
        <v>172</v>
      </c>
      <c r="Q6">
        <v>7</v>
      </c>
      <c r="R6" t="s">
        <v>959</v>
      </c>
      <c r="S6" t="s">
        <v>959</v>
      </c>
    </row>
    <row r="7" spans="1:19" x14ac:dyDescent="0.25">
      <c r="A7" t="s">
        <v>689</v>
      </c>
      <c r="B7">
        <v>219</v>
      </c>
      <c r="C7">
        <v>11</v>
      </c>
      <c r="D7">
        <v>25</v>
      </c>
      <c r="E7">
        <v>8</v>
      </c>
      <c r="F7">
        <v>22</v>
      </c>
      <c r="G7">
        <v>17</v>
      </c>
      <c r="H7">
        <v>11.1</v>
      </c>
      <c r="I7">
        <v>20</v>
      </c>
      <c r="J7">
        <v>3.1</v>
      </c>
      <c r="K7">
        <v>14</v>
      </c>
      <c r="L7">
        <v>4.7</v>
      </c>
      <c r="M7">
        <v>6</v>
      </c>
      <c r="N7">
        <v>0.8</v>
      </c>
      <c r="O7">
        <v>3</v>
      </c>
      <c r="P7">
        <v>108</v>
      </c>
      <c r="Q7">
        <v>4</v>
      </c>
      <c r="R7" t="s">
        <v>959</v>
      </c>
      <c r="S7" t="s">
        <v>959</v>
      </c>
    </row>
    <row r="8" spans="1:19" x14ac:dyDescent="0.25">
      <c r="A8" t="s">
        <v>659</v>
      </c>
      <c r="B8">
        <v>186</v>
      </c>
      <c r="C8">
        <v>9</v>
      </c>
      <c r="D8">
        <v>23</v>
      </c>
      <c r="E8">
        <v>8</v>
      </c>
      <c r="F8">
        <v>18</v>
      </c>
      <c r="G8">
        <v>12</v>
      </c>
      <c r="H8">
        <v>8.6</v>
      </c>
      <c r="I8">
        <v>16</v>
      </c>
      <c r="J8">
        <v>3.1</v>
      </c>
      <c r="K8">
        <v>14</v>
      </c>
      <c r="L8">
        <v>5.4</v>
      </c>
      <c r="M8">
        <v>7</v>
      </c>
      <c r="N8">
        <v>1</v>
      </c>
      <c r="O8">
        <v>4</v>
      </c>
      <c r="P8">
        <v>148</v>
      </c>
      <c r="Q8">
        <v>6</v>
      </c>
      <c r="R8" t="s">
        <v>959</v>
      </c>
      <c r="S8" t="s">
        <v>959</v>
      </c>
    </row>
    <row r="9" spans="1:19" x14ac:dyDescent="0.25">
      <c r="A9" t="s">
        <v>714</v>
      </c>
      <c r="B9">
        <v>195</v>
      </c>
      <c r="C9">
        <v>10</v>
      </c>
      <c r="D9">
        <v>25</v>
      </c>
      <c r="E9">
        <v>8</v>
      </c>
      <c r="F9">
        <v>20</v>
      </c>
      <c r="G9">
        <v>14</v>
      </c>
      <c r="H9">
        <v>9.4</v>
      </c>
      <c r="I9">
        <v>17</v>
      </c>
      <c r="J9">
        <v>5.8</v>
      </c>
      <c r="K9">
        <v>26</v>
      </c>
      <c r="L9">
        <v>4.5</v>
      </c>
      <c r="M9">
        <v>6</v>
      </c>
      <c r="N9">
        <v>2.1</v>
      </c>
      <c r="O9">
        <v>8</v>
      </c>
      <c r="P9">
        <v>53</v>
      </c>
      <c r="Q9">
        <v>2</v>
      </c>
      <c r="R9" t="s">
        <v>959</v>
      </c>
      <c r="S9" t="s">
        <v>959</v>
      </c>
    </row>
    <row r="10" spans="1:19" x14ac:dyDescent="0.25">
      <c r="A10" t="s">
        <v>961</v>
      </c>
      <c r="B10">
        <v>178</v>
      </c>
      <c r="C10">
        <v>9</v>
      </c>
      <c r="D10">
        <v>26</v>
      </c>
      <c r="E10">
        <v>9</v>
      </c>
      <c r="F10">
        <v>18</v>
      </c>
      <c r="G10">
        <v>14</v>
      </c>
      <c r="H10">
        <v>7.6</v>
      </c>
      <c r="I10">
        <v>14</v>
      </c>
      <c r="J10">
        <v>3.4</v>
      </c>
      <c r="K10">
        <v>16</v>
      </c>
      <c r="L10">
        <v>4.9000000000000004</v>
      </c>
      <c r="M10">
        <v>6</v>
      </c>
      <c r="N10">
        <v>2.4</v>
      </c>
      <c r="O10">
        <v>9</v>
      </c>
      <c r="P10">
        <v>40</v>
      </c>
      <c r="Q10">
        <v>2</v>
      </c>
      <c r="R10" t="s">
        <v>959</v>
      </c>
      <c r="S10" t="s">
        <v>959</v>
      </c>
    </row>
    <row r="11" spans="1:19" x14ac:dyDescent="0.25">
      <c r="A11" t="s">
        <v>294</v>
      </c>
      <c r="B11">
        <v>111</v>
      </c>
      <c r="C11">
        <v>6</v>
      </c>
      <c r="D11">
        <v>27</v>
      </c>
      <c r="E11">
        <v>9</v>
      </c>
      <c r="F11">
        <v>21</v>
      </c>
      <c r="G11">
        <v>19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1.1000000000000001</v>
      </c>
      <c r="O11">
        <v>4</v>
      </c>
      <c r="P11">
        <v>0</v>
      </c>
      <c r="Q11">
        <v>0</v>
      </c>
      <c r="R11" t="s">
        <v>962</v>
      </c>
      <c r="S11" t="s">
        <v>959</v>
      </c>
    </row>
    <row r="12" spans="1:19" x14ac:dyDescent="0.25">
      <c r="A12" t="s">
        <v>963</v>
      </c>
      <c r="B12">
        <v>109</v>
      </c>
      <c r="C12">
        <v>5</v>
      </c>
      <c r="D12">
        <v>27</v>
      </c>
      <c r="E12">
        <v>9</v>
      </c>
      <c r="F12">
        <v>20</v>
      </c>
      <c r="G12">
        <v>20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1.7</v>
      </c>
      <c r="O12">
        <v>7</v>
      </c>
      <c r="P12">
        <v>6</v>
      </c>
      <c r="Q12">
        <v>0</v>
      </c>
      <c r="R12" t="s">
        <v>962</v>
      </c>
      <c r="S12" t="s">
        <v>959</v>
      </c>
    </row>
    <row r="13" spans="1:19" x14ac:dyDescent="0.25">
      <c r="A13" t="s">
        <v>146</v>
      </c>
      <c r="B13">
        <v>121</v>
      </c>
      <c r="C13">
        <v>6</v>
      </c>
      <c r="D13">
        <v>6</v>
      </c>
      <c r="E13">
        <v>2</v>
      </c>
      <c r="F13">
        <v>5.3</v>
      </c>
      <c r="G13">
        <v>0</v>
      </c>
      <c r="H13">
        <v>6.5</v>
      </c>
      <c r="I13">
        <v>12</v>
      </c>
      <c r="J13">
        <v>5.2</v>
      </c>
      <c r="K13">
        <v>23</v>
      </c>
      <c r="L13">
        <v>3.3</v>
      </c>
      <c r="M13">
        <v>4</v>
      </c>
      <c r="N13">
        <v>3.4</v>
      </c>
      <c r="O13">
        <v>14</v>
      </c>
      <c r="P13">
        <v>53</v>
      </c>
      <c r="Q13">
        <v>2</v>
      </c>
      <c r="R13" t="s">
        <v>959</v>
      </c>
      <c r="S13" t="s">
        <v>962</v>
      </c>
    </row>
    <row r="14" spans="1:19" x14ac:dyDescent="0.25">
      <c r="A14" t="s">
        <v>155</v>
      </c>
      <c r="B14">
        <v>123</v>
      </c>
      <c r="C14">
        <v>6</v>
      </c>
      <c r="D14">
        <v>7.3</v>
      </c>
      <c r="E14">
        <v>2</v>
      </c>
      <c r="F14">
        <v>5.5</v>
      </c>
      <c r="G14">
        <v>0</v>
      </c>
      <c r="H14">
        <v>5.9</v>
      </c>
      <c r="I14">
        <v>11</v>
      </c>
      <c r="J14">
        <v>2</v>
      </c>
      <c r="K14">
        <v>9</v>
      </c>
      <c r="L14">
        <v>4.5999999999999996</v>
      </c>
      <c r="M14">
        <v>6</v>
      </c>
      <c r="N14">
        <v>4.0999999999999996</v>
      </c>
      <c r="O14">
        <v>16</v>
      </c>
      <c r="P14">
        <v>99</v>
      </c>
      <c r="Q14">
        <v>4</v>
      </c>
      <c r="R14" t="s">
        <v>959</v>
      </c>
      <c r="S14" t="s">
        <v>962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6"/>
  <sheetViews>
    <sheetView workbookViewId="0"/>
  </sheetViews>
  <sheetFormatPr defaultRowHeight="15" x14ac:dyDescent="0.25"/>
  <sheetData>
    <row r="1" spans="1:3" x14ac:dyDescent="0.25">
      <c r="A1" t="s">
        <v>964</v>
      </c>
      <c r="B1" t="s">
        <v>965</v>
      </c>
      <c r="C1" t="s">
        <v>8</v>
      </c>
    </row>
    <row r="2" spans="1:3" x14ac:dyDescent="0.25">
      <c r="A2" t="s">
        <v>966</v>
      </c>
      <c r="B2">
        <v>100000</v>
      </c>
      <c r="C2" t="s">
        <v>967</v>
      </c>
    </row>
    <row r="3" spans="1:3" x14ac:dyDescent="0.25">
      <c r="A3" t="s">
        <v>968</v>
      </c>
      <c r="B3">
        <v>32</v>
      </c>
      <c r="C3" t="s">
        <v>969</v>
      </c>
    </row>
    <row r="4" spans="1:3" x14ac:dyDescent="0.25">
      <c r="A4" t="s">
        <v>970</v>
      </c>
      <c r="B4">
        <v>28</v>
      </c>
      <c r="C4" t="s">
        <v>969</v>
      </c>
    </row>
    <row r="5" spans="1:3" x14ac:dyDescent="0.25">
      <c r="A5" t="s">
        <v>971</v>
      </c>
      <c r="B5">
        <v>5</v>
      </c>
      <c r="C5" t="s">
        <v>969</v>
      </c>
    </row>
    <row r="6" spans="1:3" x14ac:dyDescent="0.25">
      <c r="A6" t="s">
        <v>972</v>
      </c>
      <c r="B6">
        <v>15000</v>
      </c>
      <c r="C6" t="s">
        <v>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Lançamentos</vt:lpstr>
      <vt:lpstr>Detalhado</vt:lpstr>
      <vt:lpstr>Estoque</vt:lpstr>
      <vt:lpstr>Cartão Crédito</vt:lpstr>
      <vt:lpstr>Boletos Futuros</vt:lpstr>
      <vt:lpstr>NOV_25</vt:lpstr>
      <vt:lpstr>DEZ_25</vt:lpstr>
      <vt:lpstr>JAN_26</vt:lpstr>
      <vt:lpstr>FEV_25</vt:lpstr>
      <vt:lpstr>MAR_26</vt:lpstr>
      <vt:lpstr>ABR_26</vt:lpstr>
      <vt:lpstr>MAIO_26</vt:lpstr>
      <vt:lpstr>JUN_26</vt:lpstr>
      <vt:lpstr>Sabores_Receitas</vt:lpstr>
      <vt:lpstr>Valor_Cuba</vt:lpstr>
      <vt:lpstr>Producao_Cubas</vt:lpstr>
      <vt:lpstr>Nutricional</vt:lpstr>
      <vt:lpstr>Metas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Ciop</cp:lastModifiedBy>
  <dcterms:created xsi:type="dcterms:W3CDTF">2025-11-02T20:34:46Z</dcterms:created>
  <dcterms:modified xsi:type="dcterms:W3CDTF">2026-07-22T15:51:00Z</dcterms:modified>
</cp:coreProperties>
</file>
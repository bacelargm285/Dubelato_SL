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iop\Downloads\"/>
    </mc:Choice>
  </mc:AlternateContent>
  <xr:revisionPtr revIDLastSave="0" documentId="8_{89B02B07-077A-4782-B38C-750F18997BF1}" xr6:coauthVersionLast="47" xr6:coauthVersionMax="47" xr10:uidLastSave="{00000000-0000-0000-0000-000000000000}"/>
  <bookViews>
    <workbookView xWindow="1605" yWindow="2325" windowWidth="26085" windowHeight="12720" xr2:uid="{00000000-000D-0000-FFFF-FFFF00000000}"/>
  </bookViews>
  <sheets>
    <sheet name="Lançamentos" sheetId="17" r:id="rId1"/>
    <sheet name="Detalhado" sheetId="18" r:id="rId2"/>
    <sheet name="Estoque" sheetId="19" r:id="rId3"/>
    <sheet name="Cartão Crédito" sheetId="20" r:id="rId4"/>
    <sheet name="Boletos Futuros" sheetId="21" r:id="rId5"/>
    <sheet name="NOV_25" sheetId="6" r:id="rId6"/>
    <sheet name="DEZ_25" sheetId="7" r:id="rId7"/>
    <sheet name="JAN_26" sheetId="8" r:id="rId8"/>
    <sheet name="FEV_25" sheetId="9" r:id="rId9"/>
    <sheet name="MAR_26" sheetId="10" r:id="rId10"/>
    <sheet name="ABR_26" sheetId="11" r:id="rId11"/>
    <sheet name="JUN_26" sheetId="12" r:id="rId12"/>
    <sheet name="MAIO_26" sheetId="13" r:id="rId13"/>
    <sheet name="Valor_Cuba" sheetId="14" r:id="rId14"/>
    <sheet name="Producao_Cubas" sheetId="15" r:id="rId15"/>
    <sheet name="Nutricional" sheetId="16" r:id="rId16"/>
  </sheets>
  <definedNames>
    <definedName name="_xlnm._FilterDatabase" localSheetId="4" hidden="1">'Boletos Futuros'!$N$2:$P$26</definedName>
    <definedName name="_xlnm._FilterDatabase" localSheetId="6" hidden="1">DEZ_25!$A$1:$K$195</definedName>
    <definedName name="_xlnm._FilterDatabase" localSheetId="9" hidden="1">MAR_26!$A$1:$K$188</definedName>
    <definedName name="_xlnm._FilterDatabase" localSheetId="5" hidden="1">NOV_25!$A$1:$K$183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21" l="1"/>
  <c r="H50" i="21"/>
  <c r="L50" i="21"/>
  <c r="P50" i="21"/>
  <c r="T50" i="21"/>
  <c r="X50" i="21"/>
  <c r="E4" i="20"/>
  <c r="B3" i="18"/>
  <c r="B4" i="18"/>
  <c r="B5" i="18" s="1"/>
  <c r="B46" i="18"/>
  <c r="C46" i="18"/>
  <c r="B50" i="18"/>
  <c r="B51" i="18"/>
  <c r="C59" i="18"/>
  <c r="C65" i="18"/>
  <c r="B68" i="18"/>
  <c r="C68" i="18"/>
  <c r="B114" i="18"/>
  <c r="C114" i="18"/>
  <c r="B137" i="18"/>
  <c r="C137" i="18"/>
  <c r="B160" i="18"/>
  <c r="C160" i="18"/>
  <c r="B183" i="18"/>
  <c r="C183" i="18"/>
  <c r="B187" i="18"/>
  <c r="B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 s="1"/>
  <c r="B206" i="18"/>
  <c r="J3" i="17"/>
  <c r="K3" i="17"/>
  <c r="J4" i="17"/>
  <c r="K4" i="17"/>
  <c r="J5" i="17"/>
  <c r="K5" i="17"/>
  <c r="J6" i="17"/>
  <c r="K6" i="17"/>
  <c r="J7" i="17"/>
  <c r="K7" i="17"/>
  <c r="J8" i="17"/>
  <c r="K8" i="17"/>
  <c r="J9" i="17"/>
  <c r="K9" i="17"/>
  <c r="J10" i="17"/>
  <c r="K10" i="17"/>
  <c r="J11" i="17"/>
  <c r="K11" i="17"/>
  <c r="J12" i="17"/>
  <c r="K12" i="17"/>
  <c r="J13" i="17"/>
  <c r="K13" i="17"/>
  <c r="J14" i="17"/>
  <c r="K14" i="17"/>
  <c r="J15" i="17"/>
  <c r="K15" i="17"/>
  <c r="J16" i="17"/>
  <c r="K16" i="17"/>
  <c r="J17" i="17"/>
  <c r="K17" i="17"/>
  <c r="J18" i="17"/>
  <c r="K18" i="17"/>
  <c r="J19" i="17"/>
  <c r="K19" i="17"/>
  <c r="J20" i="17"/>
  <c r="K20" i="17"/>
  <c r="J21" i="17"/>
  <c r="K21" i="17"/>
  <c r="J22" i="17"/>
  <c r="K22" i="17"/>
  <c r="J23" i="17"/>
  <c r="K23" i="17"/>
  <c r="J24" i="17"/>
  <c r="K24" i="17"/>
  <c r="J25" i="17"/>
  <c r="K25" i="17"/>
  <c r="J26" i="17"/>
  <c r="K26" i="17"/>
  <c r="J27" i="17"/>
  <c r="K27" i="17"/>
  <c r="J28" i="17"/>
  <c r="K28" i="17"/>
  <c r="J29" i="17"/>
  <c r="K29" i="17"/>
  <c r="J30" i="17"/>
  <c r="K30" i="17"/>
  <c r="J31" i="17"/>
  <c r="K31" i="17"/>
  <c r="J32" i="17"/>
  <c r="K32" i="17"/>
  <c r="J33" i="17"/>
  <c r="K33" i="17"/>
  <c r="J34" i="17"/>
  <c r="K34" i="17"/>
  <c r="J35" i="17"/>
  <c r="K35" i="17"/>
  <c r="J36" i="17"/>
  <c r="K36" i="17"/>
  <c r="J37" i="17"/>
  <c r="K37" i="17"/>
  <c r="J38" i="17"/>
  <c r="K38" i="17"/>
  <c r="J39" i="17"/>
  <c r="K39" i="17"/>
  <c r="J40" i="17"/>
  <c r="K40" i="17"/>
  <c r="J41" i="17"/>
  <c r="K41" i="17"/>
  <c r="J42" i="17"/>
  <c r="K42" i="17"/>
  <c r="J43" i="17"/>
  <c r="K43" i="17"/>
  <c r="J44" i="17"/>
  <c r="K44" i="17"/>
  <c r="J45" i="17"/>
  <c r="K45" i="17"/>
  <c r="J46" i="17"/>
  <c r="K46" i="17"/>
  <c r="J47" i="17"/>
  <c r="K47" i="17"/>
  <c r="J48" i="17"/>
  <c r="K48" i="17"/>
  <c r="J49" i="17"/>
  <c r="K49" i="17"/>
  <c r="J50" i="17"/>
  <c r="K50" i="17"/>
  <c r="J51" i="17"/>
  <c r="K51" i="17"/>
  <c r="J52" i="17"/>
  <c r="K52" i="17"/>
  <c r="J53" i="17"/>
  <c r="K53" i="17"/>
  <c r="J54" i="17"/>
  <c r="K54" i="17"/>
  <c r="J55" i="17"/>
  <c r="K55" i="17"/>
  <c r="J56" i="17"/>
  <c r="K56" i="17"/>
  <c r="J57" i="17"/>
  <c r="K57" i="17"/>
  <c r="J58" i="17"/>
  <c r="K58" i="17"/>
  <c r="J59" i="17"/>
  <c r="K59" i="17"/>
  <c r="J60" i="17"/>
  <c r="K60" i="17"/>
  <c r="J61" i="17"/>
  <c r="K61" i="17"/>
  <c r="J62" i="17"/>
  <c r="K62" i="17"/>
  <c r="J63" i="17"/>
  <c r="K63" i="17"/>
  <c r="J64" i="17"/>
  <c r="K64" i="17"/>
  <c r="J65" i="17"/>
  <c r="K65" i="17"/>
  <c r="J66" i="17"/>
  <c r="K66" i="17"/>
  <c r="J67" i="17"/>
  <c r="K67" i="17"/>
  <c r="J68" i="17"/>
  <c r="K68" i="17"/>
  <c r="J69" i="17"/>
  <c r="K69" i="17"/>
  <c r="J70" i="17"/>
  <c r="K70" i="17"/>
  <c r="J71" i="17"/>
  <c r="K71" i="17"/>
  <c r="J72" i="17"/>
  <c r="K72" i="17"/>
  <c r="J73" i="17"/>
  <c r="K73" i="17"/>
  <c r="J74" i="17"/>
  <c r="K74" i="17"/>
  <c r="J75" i="17"/>
  <c r="K75" i="17"/>
  <c r="J76" i="17"/>
  <c r="K76" i="17"/>
  <c r="J77" i="17"/>
  <c r="K77" i="17"/>
  <c r="J78" i="17"/>
  <c r="K78" i="17"/>
  <c r="J79" i="17"/>
  <c r="K79" i="17"/>
  <c r="K80" i="17" s="1"/>
  <c r="K81" i="17" s="1"/>
  <c r="K82" i="17" s="1"/>
  <c r="K83" i="17" s="1"/>
  <c r="K84" i="17" s="1"/>
  <c r="K85" i="17" s="1"/>
  <c r="K86" i="17" s="1"/>
  <c r="K87" i="17" s="1"/>
  <c r="K88" i="17" s="1"/>
  <c r="K89" i="17" s="1"/>
  <c r="K90" i="17" s="1"/>
  <c r="K91" i="17" s="1"/>
  <c r="K92" i="17" s="1"/>
  <c r="K93" i="17" s="1"/>
  <c r="K94" i="17" s="1"/>
  <c r="K95" i="17" s="1"/>
  <c r="K96" i="17" s="1"/>
  <c r="K97" i="17" s="1"/>
  <c r="K98" i="17" s="1"/>
  <c r="K99" i="17" s="1"/>
  <c r="K100" i="17" s="1"/>
  <c r="K101" i="17" s="1"/>
  <c r="K102" i="17" s="1"/>
  <c r="K103" i="17" s="1"/>
  <c r="K104" i="17" s="1"/>
  <c r="K105" i="17" s="1"/>
  <c r="K106" i="17" s="1"/>
  <c r="K107" i="17" s="1"/>
  <c r="K108" i="17" s="1"/>
  <c r="K109" i="17" s="1"/>
  <c r="K110" i="17" s="1"/>
  <c r="K111" i="17" s="1"/>
  <c r="K112" i="17" s="1"/>
  <c r="K113" i="17" s="1"/>
  <c r="K114" i="17" s="1"/>
  <c r="K115" i="17" s="1"/>
  <c r="K116" i="17" s="1"/>
  <c r="K117" i="17" s="1"/>
  <c r="K118" i="17" s="1"/>
  <c r="K119" i="17" s="1"/>
  <c r="K120" i="17" s="1"/>
  <c r="K121" i="17" s="1"/>
  <c r="K122" i="17" s="1"/>
  <c r="K123" i="17" s="1"/>
  <c r="K124" i="17" s="1"/>
  <c r="K125" i="17" s="1"/>
  <c r="K126" i="17" s="1"/>
  <c r="K127" i="17" s="1"/>
  <c r="K128" i="17" s="1"/>
  <c r="K129" i="17" s="1"/>
  <c r="K130" i="17" s="1"/>
  <c r="K131" i="17" s="1"/>
  <c r="K132" i="17" s="1"/>
  <c r="K133" i="17" s="1"/>
  <c r="K134" i="17" s="1"/>
  <c r="K135" i="17" s="1"/>
  <c r="K136" i="17" s="1"/>
  <c r="K137" i="17" s="1"/>
  <c r="K138" i="17" s="1"/>
  <c r="K139" i="17" s="1"/>
  <c r="K140" i="17" s="1"/>
  <c r="K141" i="17" s="1"/>
  <c r="K142" i="17" s="1"/>
  <c r="K143" i="17" s="1"/>
  <c r="K144" i="17" s="1"/>
  <c r="K145" i="17" s="1"/>
  <c r="K146" i="17" s="1"/>
  <c r="K147" i="17" s="1"/>
  <c r="K148" i="17" s="1"/>
  <c r="K149" i="17" s="1"/>
  <c r="K150" i="17" s="1"/>
  <c r="K151" i="17" s="1"/>
  <c r="K152" i="17" s="1"/>
  <c r="K153" i="17" s="1"/>
  <c r="K154" i="17" s="1"/>
  <c r="K155" i="17" s="1"/>
  <c r="K156" i="17" s="1"/>
  <c r="K157" i="17" s="1"/>
  <c r="K158" i="17" s="1"/>
  <c r="K159" i="17" s="1"/>
  <c r="K160" i="17" s="1"/>
  <c r="K161" i="17" s="1"/>
  <c r="K162" i="17" s="1"/>
  <c r="K163" i="17" s="1"/>
  <c r="K164" i="17" s="1"/>
  <c r="K165" i="17" s="1"/>
  <c r="K166" i="17" s="1"/>
  <c r="K167" i="17" s="1"/>
  <c r="K168" i="17" s="1"/>
  <c r="K169" i="17" s="1"/>
  <c r="K170" i="17" s="1"/>
  <c r="K171" i="17" s="1"/>
  <c r="K172" i="17" s="1"/>
  <c r="K173" i="17" s="1"/>
  <c r="K174" i="17" s="1"/>
  <c r="K175" i="17" s="1"/>
  <c r="K176" i="17" s="1"/>
  <c r="K177" i="17" s="1"/>
  <c r="K178" i="17" s="1"/>
  <c r="K179" i="17" s="1"/>
  <c r="K180" i="17" s="1"/>
  <c r="K181" i="17" s="1"/>
  <c r="K182" i="17" s="1"/>
  <c r="K183" i="17" s="1"/>
  <c r="K184" i="17" s="1"/>
  <c r="K185" i="17" s="1"/>
  <c r="K186" i="17" s="1"/>
  <c r="K187" i="17" s="1"/>
  <c r="K188" i="17" s="1"/>
  <c r="K189" i="17" s="1"/>
  <c r="K190" i="17" s="1"/>
  <c r="K191" i="17" s="1"/>
  <c r="K192" i="17" s="1"/>
  <c r="K193" i="17" s="1"/>
  <c r="K194" i="17" s="1"/>
  <c r="K195" i="17" s="1"/>
  <c r="K196" i="17" s="1"/>
  <c r="K197" i="17" s="1"/>
  <c r="K198" i="17" s="1"/>
  <c r="K199" i="17" s="1"/>
  <c r="K200" i="17" s="1"/>
  <c r="K201" i="17" s="1"/>
  <c r="K202" i="17" s="1"/>
  <c r="K203" i="17" s="1"/>
  <c r="K204" i="17" s="1"/>
  <c r="K205" i="17" s="1"/>
  <c r="K206" i="17" s="1"/>
  <c r="K207" i="17" s="1"/>
  <c r="K208" i="17" s="1"/>
  <c r="K209" i="17" s="1"/>
  <c r="K210" i="17" s="1"/>
  <c r="K211" i="17" s="1"/>
  <c r="K212" i="17" s="1"/>
  <c r="K213" i="17" s="1"/>
  <c r="K214" i="17" s="1"/>
  <c r="K215" i="17" s="1"/>
  <c r="K216" i="17" s="1"/>
  <c r="K217" i="17" s="1"/>
  <c r="K218" i="17" s="1"/>
  <c r="K219" i="17" s="1"/>
  <c r="K220" i="17" s="1"/>
  <c r="K221" i="17" s="1"/>
  <c r="K222" i="17" s="1"/>
  <c r="K223" i="17" s="1"/>
  <c r="K224" i="17" s="1"/>
  <c r="K225" i="17" s="1"/>
  <c r="K226" i="17" s="1"/>
  <c r="K227" i="17" s="1"/>
  <c r="K228" i="17" s="1"/>
  <c r="K229" i="17" s="1"/>
  <c r="K230" i="17" s="1"/>
  <c r="K231" i="17" s="1"/>
  <c r="K232" i="17" s="1"/>
  <c r="K233" i="17" s="1"/>
  <c r="K234" i="17" s="1"/>
  <c r="K235" i="17" s="1"/>
  <c r="K236" i="17" s="1"/>
  <c r="K237" i="17" s="1"/>
  <c r="K238" i="17" s="1"/>
  <c r="K239" i="17" s="1"/>
  <c r="K240" i="17" s="1"/>
  <c r="K241" i="17" s="1"/>
  <c r="K242" i="17" s="1"/>
  <c r="K243" i="17" s="1"/>
  <c r="K244" i="17" s="1"/>
  <c r="K245" i="17" s="1"/>
  <c r="K246" i="17" s="1"/>
  <c r="K247" i="17" s="1"/>
  <c r="K248" i="17" s="1"/>
  <c r="K249" i="17" s="1"/>
  <c r="K250" i="17" s="1"/>
  <c r="K251" i="17" s="1"/>
  <c r="K252" i="17" s="1"/>
  <c r="K253" i="17" s="1"/>
  <c r="K254" i="17" s="1"/>
  <c r="K255" i="17" s="1"/>
  <c r="K256" i="17" s="1"/>
  <c r="K257" i="17" s="1"/>
  <c r="K258" i="17" s="1"/>
  <c r="K259" i="17" s="1"/>
  <c r="K260" i="17" s="1"/>
  <c r="K261" i="17" s="1"/>
  <c r="K262" i="17" s="1"/>
  <c r="K263" i="17" s="1"/>
  <c r="K264" i="17" s="1"/>
  <c r="K265" i="17" s="1"/>
  <c r="K266" i="17" s="1"/>
  <c r="K267" i="17" s="1"/>
  <c r="K268" i="17" s="1"/>
  <c r="K269" i="17" s="1"/>
  <c r="K270" i="17" s="1"/>
  <c r="K271" i="17" s="1"/>
  <c r="K272" i="17" s="1"/>
  <c r="K273" i="17" s="1"/>
  <c r="K274" i="17" s="1"/>
  <c r="K275" i="17" s="1"/>
  <c r="K276" i="17" s="1"/>
  <c r="K277" i="17" s="1"/>
  <c r="K278" i="17" s="1"/>
  <c r="K279" i="17" s="1"/>
  <c r="K280" i="17" s="1"/>
  <c r="K281" i="17" s="1"/>
  <c r="K282" i="17" s="1"/>
  <c r="K283" i="17" s="1"/>
  <c r="K284" i="17" s="1"/>
  <c r="K285" i="17" s="1"/>
  <c r="K286" i="17" s="1"/>
  <c r="K287" i="17" s="1"/>
  <c r="K288" i="17" s="1"/>
  <c r="K289" i="17" s="1"/>
  <c r="K290" i="17" s="1"/>
  <c r="K291" i="17" s="1"/>
  <c r="K292" i="17" s="1"/>
  <c r="K293" i="17" s="1"/>
  <c r="K294" i="17" s="1"/>
  <c r="K295" i="17" s="1"/>
  <c r="K296" i="17" s="1"/>
  <c r="K297" i="17" s="1"/>
  <c r="K298" i="17" s="1"/>
  <c r="K299" i="17" s="1"/>
  <c r="K300" i="17" s="1"/>
  <c r="K301" i="17" s="1"/>
  <c r="K302" i="17" s="1"/>
  <c r="K303" i="17" s="1"/>
  <c r="K304" i="17" s="1"/>
  <c r="K305" i="17" s="1"/>
  <c r="K306" i="17" s="1"/>
  <c r="K307" i="17" s="1"/>
  <c r="K308" i="17" s="1"/>
  <c r="K309" i="17" s="1"/>
  <c r="K310" i="17" s="1"/>
  <c r="K311" i="17" s="1"/>
  <c r="K312" i="17" s="1"/>
  <c r="K313" i="17" s="1"/>
  <c r="K314" i="17" s="1"/>
  <c r="K315" i="17" s="1"/>
  <c r="K316" i="17" s="1"/>
  <c r="K317" i="17" s="1"/>
  <c r="K318" i="17" s="1"/>
  <c r="K319" i="17" s="1"/>
  <c r="K320" i="17" s="1"/>
  <c r="K321" i="17" s="1"/>
  <c r="K322" i="17" s="1"/>
  <c r="K323" i="17" s="1"/>
  <c r="K324" i="17" s="1"/>
  <c r="K325" i="17" s="1"/>
  <c r="K326" i="17" s="1"/>
  <c r="K327" i="17" s="1"/>
  <c r="K328" i="17" s="1"/>
  <c r="K329" i="17" s="1"/>
  <c r="K330" i="17" s="1"/>
  <c r="K331" i="17" s="1"/>
  <c r="K332" i="17" s="1"/>
  <c r="K333" i="17" s="1"/>
  <c r="K334" i="17" s="1"/>
  <c r="K335" i="17" s="1"/>
  <c r="K336" i="17" s="1"/>
  <c r="K337" i="17" s="1"/>
  <c r="K338" i="17" s="1"/>
  <c r="K339" i="17" s="1"/>
  <c r="K340" i="17" s="1"/>
  <c r="K341" i="17" s="1"/>
  <c r="K342" i="17" s="1"/>
  <c r="K343" i="17" s="1"/>
  <c r="K344" i="17" s="1"/>
  <c r="K345" i="17" s="1"/>
  <c r="K346" i="17" s="1"/>
  <c r="K347" i="17" s="1"/>
  <c r="K348" i="17" s="1"/>
  <c r="K349" i="17" s="1"/>
  <c r="K350" i="17" s="1"/>
  <c r="K351" i="17" s="1"/>
  <c r="K352" i="17" s="1"/>
  <c r="K353" i="17" s="1"/>
  <c r="K354" i="17" s="1"/>
  <c r="K355" i="17" s="1"/>
  <c r="K356" i="17" s="1"/>
  <c r="K357" i="17" s="1"/>
  <c r="K358" i="17" s="1"/>
  <c r="K359" i="17" s="1"/>
  <c r="K360" i="17" s="1"/>
  <c r="K361" i="17" s="1"/>
  <c r="K362" i="17" s="1"/>
  <c r="K363" i="17" s="1"/>
  <c r="K364" i="17" s="1"/>
  <c r="K365" i="17" s="1"/>
  <c r="K366" i="17" s="1"/>
  <c r="K367" i="17" s="1"/>
  <c r="K368" i="17" s="1"/>
  <c r="K369" i="17" s="1"/>
  <c r="K370" i="17" s="1"/>
  <c r="K371" i="17" s="1"/>
  <c r="K372" i="17" s="1"/>
  <c r="K373" i="17" s="1"/>
  <c r="K374" i="17" s="1"/>
  <c r="K375" i="17" s="1"/>
  <c r="K376" i="17" s="1"/>
  <c r="K377" i="17" s="1"/>
  <c r="K378" i="17" s="1"/>
  <c r="K379" i="17" s="1"/>
  <c r="K380" i="17" s="1"/>
  <c r="K381" i="17" s="1"/>
  <c r="K382" i="17" s="1"/>
  <c r="K383" i="17" s="1"/>
  <c r="K384" i="17" s="1"/>
  <c r="K385" i="17" s="1"/>
  <c r="K386" i="17" s="1"/>
  <c r="K387" i="17" s="1"/>
  <c r="K388" i="17" s="1"/>
  <c r="K389" i="17" s="1"/>
  <c r="K390" i="17" s="1"/>
  <c r="K391" i="17" s="1"/>
  <c r="K392" i="17" s="1"/>
  <c r="K393" i="17" s="1"/>
  <c r="K394" i="17" s="1"/>
  <c r="K395" i="17" s="1"/>
  <c r="K396" i="17" s="1"/>
  <c r="K397" i="17" s="1"/>
  <c r="K398" i="17" s="1"/>
  <c r="K399" i="17" s="1"/>
  <c r="K400" i="17" s="1"/>
  <c r="K401" i="17" s="1"/>
  <c r="K402" i="17" s="1"/>
  <c r="K403" i="17" s="1"/>
  <c r="K404" i="17" s="1"/>
  <c r="K405" i="17" s="1"/>
  <c r="K406" i="17" s="1"/>
  <c r="K407" i="17" s="1"/>
  <c r="K408" i="17" s="1"/>
  <c r="K409" i="17" s="1"/>
  <c r="K410" i="17" s="1"/>
  <c r="K411" i="17" s="1"/>
  <c r="K412" i="17" s="1"/>
  <c r="K413" i="17" s="1"/>
  <c r="K414" i="17" s="1"/>
  <c r="K415" i="17" s="1"/>
  <c r="K416" i="17" s="1"/>
  <c r="K417" i="17" s="1"/>
  <c r="K418" i="17" s="1"/>
  <c r="K419" i="17" s="1"/>
  <c r="K420" i="17" s="1"/>
  <c r="K421" i="17" s="1"/>
  <c r="K422" i="17" s="1"/>
  <c r="K423" i="17" s="1"/>
  <c r="K424" i="17" s="1"/>
  <c r="K425" i="17" s="1"/>
  <c r="K426" i="17" s="1"/>
  <c r="K427" i="17" s="1"/>
  <c r="K428" i="17" s="1"/>
  <c r="K429" i="17" s="1"/>
  <c r="K430" i="17" s="1"/>
  <c r="K431" i="17" s="1"/>
  <c r="K432" i="17" s="1"/>
  <c r="K433" i="17" s="1"/>
  <c r="K434" i="17" s="1"/>
  <c r="K435" i="17" s="1"/>
  <c r="K436" i="17" s="1"/>
  <c r="K437" i="17" s="1"/>
  <c r="K438" i="17" s="1"/>
  <c r="K439" i="17" s="1"/>
  <c r="K440" i="17" s="1"/>
  <c r="K441" i="17" s="1"/>
  <c r="K442" i="17" s="1"/>
  <c r="K443" i="17" s="1"/>
  <c r="K444" i="17" s="1"/>
  <c r="K445" i="17" s="1"/>
  <c r="K446" i="17" s="1"/>
  <c r="K447" i="17" s="1"/>
  <c r="K448" i="17" s="1"/>
  <c r="K449" i="17" s="1"/>
  <c r="K450" i="17" s="1"/>
  <c r="K451" i="17" s="1"/>
  <c r="K452" i="17" s="1"/>
  <c r="K453" i="17" s="1"/>
  <c r="K454" i="17" s="1"/>
  <c r="K455" i="17" s="1"/>
  <c r="K456" i="17" s="1"/>
  <c r="K457" i="17" s="1"/>
  <c r="K458" i="17" s="1"/>
  <c r="K459" i="17" s="1"/>
  <c r="K460" i="17" s="1"/>
  <c r="K461" i="17" s="1"/>
  <c r="K462" i="17" s="1"/>
  <c r="K463" i="17" s="1"/>
  <c r="K464" i="17" s="1"/>
  <c r="K465" i="17" s="1"/>
  <c r="K466" i="17" s="1"/>
  <c r="K467" i="17" s="1"/>
  <c r="K468" i="17" s="1"/>
  <c r="K469" i="17" s="1"/>
  <c r="K470" i="17" s="1"/>
  <c r="K471" i="17" s="1"/>
  <c r="K472" i="17" s="1"/>
  <c r="K473" i="17" s="1"/>
  <c r="K474" i="17" s="1"/>
  <c r="K475" i="17" s="1"/>
  <c r="K476" i="17" s="1"/>
  <c r="K477" i="17" s="1"/>
  <c r="K478" i="17" s="1"/>
  <c r="K479" i="17" s="1"/>
  <c r="K480" i="17" s="1"/>
  <c r="K481" i="17" s="1"/>
  <c r="K482" i="17" s="1"/>
  <c r="K483" i="17" s="1"/>
  <c r="K484" i="17" s="1"/>
  <c r="K485" i="17" s="1"/>
  <c r="K486" i="17" s="1"/>
  <c r="K487" i="17" s="1"/>
  <c r="K488" i="17" s="1"/>
  <c r="K489" i="17" s="1"/>
  <c r="K490" i="17" s="1"/>
  <c r="K491" i="17" s="1"/>
  <c r="K492" i="17" s="1"/>
  <c r="K493" i="17" s="1"/>
  <c r="K494" i="17" s="1"/>
  <c r="K495" i="17" s="1"/>
  <c r="K496" i="17" s="1"/>
  <c r="K497" i="17" s="1"/>
  <c r="K498" i="17" s="1"/>
  <c r="K499" i="17" s="1"/>
  <c r="K500" i="17" s="1"/>
  <c r="K501" i="17" s="1"/>
  <c r="K502" i="17" s="1"/>
  <c r="K503" i="17" s="1"/>
  <c r="K504" i="17" s="1"/>
  <c r="K505" i="17" s="1"/>
  <c r="K506" i="17" s="1"/>
  <c r="K507" i="17" s="1"/>
  <c r="K508" i="17" s="1"/>
  <c r="K509" i="17" s="1"/>
  <c r="K510" i="17" s="1"/>
  <c r="K511" i="17" s="1"/>
  <c r="K512" i="17" s="1"/>
  <c r="K513" i="17" s="1"/>
  <c r="K514" i="17" s="1"/>
  <c r="K515" i="17" s="1"/>
  <c r="K516" i="17" s="1"/>
  <c r="K517" i="17" s="1"/>
  <c r="K518" i="17" s="1"/>
  <c r="K519" i="17" s="1"/>
  <c r="K520" i="17" s="1"/>
  <c r="K521" i="17" s="1"/>
  <c r="K522" i="17" s="1"/>
  <c r="K523" i="17" s="1"/>
  <c r="K524" i="17" s="1"/>
  <c r="K525" i="17" s="1"/>
  <c r="K526" i="17" s="1"/>
  <c r="K527" i="17" s="1"/>
  <c r="K528" i="17" s="1"/>
  <c r="K529" i="17" s="1"/>
  <c r="K530" i="17" s="1"/>
  <c r="K531" i="17" s="1"/>
  <c r="K532" i="17" s="1"/>
  <c r="K533" i="17" s="1"/>
  <c r="K534" i="17" s="1"/>
  <c r="K535" i="17" s="1"/>
  <c r="K536" i="17" s="1"/>
  <c r="K537" i="17" s="1"/>
  <c r="K538" i="17" s="1"/>
  <c r="K539" i="17" s="1"/>
  <c r="K540" i="17" s="1"/>
  <c r="K541" i="17" s="1"/>
  <c r="K542" i="17" s="1"/>
  <c r="K543" i="17" s="1"/>
  <c r="K544" i="17" s="1"/>
  <c r="K545" i="17" s="1"/>
  <c r="K546" i="17" s="1"/>
  <c r="K547" i="17" s="1"/>
  <c r="K548" i="17" s="1"/>
  <c r="K549" i="17" s="1"/>
  <c r="K550" i="17" s="1"/>
  <c r="K551" i="17" s="1"/>
  <c r="K552" i="17" s="1"/>
  <c r="K553" i="17" s="1"/>
  <c r="K554" i="17" s="1"/>
  <c r="K555" i="17" s="1"/>
  <c r="K556" i="17" s="1"/>
  <c r="K557" i="17" s="1"/>
  <c r="K558" i="17" s="1"/>
  <c r="K559" i="17" s="1"/>
  <c r="K560" i="17" s="1"/>
  <c r="K561" i="17" s="1"/>
  <c r="K562" i="17" s="1"/>
  <c r="K563" i="17" s="1"/>
  <c r="K564" i="17" s="1"/>
  <c r="K565" i="17" s="1"/>
  <c r="K566" i="17" s="1"/>
  <c r="K567" i="17" s="1"/>
  <c r="K568" i="17" s="1"/>
  <c r="K569" i="17" s="1"/>
  <c r="K570" i="17" s="1"/>
  <c r="K571" i="17" s="1"/>
  <c r="K572" i="17" s="1"/>
  <c r="K573" i="17" s="1"/>
  <c r="K574" i="17" s="1"/>
  <c r="K575" i="17" s="1"/>
  <c r="K576" i="17" s="1"/>
  <c r="K577" i="17" s="1"/>
  <c r="K578" i="17" s="1"/>
  <c r="K579" i="17" s="1"/>
  <c r="K580" i="17" s="1"/>
  <c r="K581" i="17" s="1"/>
  <c r="K582" i="17" s="1"/>
  <c r="K583" i="17" s="1"/>
  <c r="K584" i="17" s="1"/>
  <c r="K585" i="17" s="1"/>
  <c r="K586" i="17" s="1"/>
  <c r="K587" i="17" s="1"/>
  <c r="K588" i="17" s="1"/>
  <c r="K589" i="17" s="1"/>
  <c r="K590" i="17" s="1"/>
  <c r="K591" i="17" s="1"/>
  <c r="K592" i="17" s="1"/>
  <c r="K593" i="17" s="1"/>
  <c r="K594" i="17" s="1"/>
  <c r="K595" i="17" s="1"/>
  <c r="K596" i="17" s="1"/>
  <c r="K597" i="17" s="1"/>
  <c r="K598" i="17" s="1"/>
  <c r="K599" i="17" s="1"/>
  <c r="K600" i="17" s="1"/>
  <c r="K601" i="17" s="1"/>
  <c r="K602" i="17" s="1"/>
  <c r="K603" i="17" s="1"/>
  <c r="K604" i="17" s="1"/>
  <c r="K605" i="17" s="1"/>
  <c r="K606" i="17" s="1"/>
  <c r="K607" i="17" s="1"/>
  <c r="K608" i="17" s="1"/>
  <c r="K609" i="17" s="1"/>
  <c r="K610" i="17" s="1"/>
  <c r="K611" i="17" s="1"/>
  <c r="K612" i="17" s="1"/>
  <c r="K613" i="17" s="1"/>
  <c r="K614" i="17" s="1"/>
  <c r="K615" i="17" s="1"/>
  <c r="K616" i="17" s="1"/>
  <c r="K617" i="17" s="1"/>
  <c r="K618" i="17" s="1"/>
  <c r="K619" i="17" s="1"/>
  <c r="K620" i="17" s="1"/>
  <c r="K621" i="17" s="1"/>
  <c r="K622" i="17" s="1"/>
  <c r="K623" i="17" s="1"/>
  <c r="K624" i="17" s="1"/>
  <c r="K625" i="17" s="1"/>
  <c r="K626" i="17" s="1"/>
  <c r="K627" i="17" s="1"/>
  <c r="K628" i="17" s="1"/>
  <c r="K629" i="17" s="1"/>
  <c r="K630" i="17" s="1"/>
  <c r="K631" i="17" s="1"/>
  <c r="K632" i="17" s="1"/>
  <c r="K633" i="17" s="1"/>
  <c r="K634" i="17" s="1"/>
  <c r="K635" i="17" s="1"/>
  <c r="K636" i="17" s="1"/>
  <c r="K637" i="17" s="1"/>
  <c r="K638" i="17" s="1"/>
  <c r="K639" i="17" s="1"/>
  <c r="K640" i="17" s="1"/>
  <c r="K641" i="17" s="1"/>
  <c r="K642" i="17" s="1"/>
  <c r="K643" i="17" s="1"/>
  <c r="K644" i="17" s="1"/>
  <c r="K645" i="17" s="1"/>
  <c r="K646" i="17" s="1"/>
  <c r="K647" i="17" s="1"/>
  <c r="K648" i="17" s="1"/>
  <c r="K649" i="17" s="1"/>
  <c r="K650" i="17" s="1"/>
  <c r="K651" i="17" s="1"/>
  <c r="K652" i="17" s="1"/>
  <c r="K653" i="17" s="1"/>
  <c r="K654" i="17" s="1"/>
  <c r="K655" i="17" s="1"/>
  <c r="K656" i="17" s="1"/>
  <c r="K657" i="17" s="1"/>
  <c r="K658" i="17" s="1"/>
  <c r="K659" i="17" s="1"/>
  <c r="K660" i="17" s="1"/>
  <c r="K661" i="17" s="1"/>
  <c r="K662" i="17" s="1"/>
  <c r="K663" i="17" s="1"/>
  <c r="K664" i="17" s="1"/>
  <c r="K665" i="17" s="1"/>
  <c r="K666" i="17" s="1"/>
  <c r="K667" i="17" s="1"/>
  <c r="K668" i="17" s="1"/>
  <c r="K669" i="17" s="1"/>
  <c r="K670" i="17" s="1"/>
  <c r="K671" i="17" s="1"/>
  <c r="K672" i="17" s="1"/>
  <c r="K673" i="17" s="1"/>
  <c r="K674" i="17" s="1"/>
  <c r="K675" i="17" s="1"/>
  <c r="K676" i="17" s="1"/>
  <c r="K677" i="17" s="1"/>
  <c r="K678" i="17" s="1"/>
  <c r="K679" i="17" s="1"/>
  <c r="K680" i="17" s="1"/>
  <c r="K681" i="17" s="1"/>
  <c r="K682" i="17" s="1"/>
  <c r="K683" i="17" s="1"/>
  <c r="K684" i="17" s="1"/>
  <c r="K685" i="17" s="1"/>
  <c r="K686" i="17" s="1"/>
  <c r="K687" i="17" s="1"/>
  <c r="K688" i="17" s="1"/>
  <c r="K689" i="17" s="1"/>
  <c r="K690" i="17" s="1"/>
  <c r="K691" i="17" s="1"/>
  <c r="K692" i="17" s="1"/>
  <c r="K693" i="17" s="1"/>
  <c r="K694" i="17" s="1"/>
  <c r="K695" i="17" s="1"/>
  <c r="K696" i="17" s="1"/>
  <c r="K697" i="17" s="1"/>
  <c r="K698" i="17" s="1"/>
  <c r="K699" i="17" s="1"/>
  <c r="K700" i="17" s="1"/>
  <c r="K701" i="17" s="1"/>
  <c r="K702" i="17" s="1"/>
  <c r="K703" i="17" s="1"/>
  <c r="K704" i="17" s="1"/>
  <c r="K705" i="17" s="1"/>
  <c r="K706" i="17" s="1"/>
  <c r="K707" i="17" s="1"/>
  <c r="K708" i="17" s="1"/>
  <c r="K709" i="17" s="1"/>
  <c r="K710" i="17" s="1"/>
  <c r="K711" i="17" s="1"/>
  <c r="K712" i="17" s="1"/>
  <c r="K713" i="17" s="1"/>
  <c r="K714" i="17" s="1"/>
  <c r="K715" i="17" s="1"/>
  <c r="K716" i="17" s="1"/>
  <c r="K717" i="17" s="1"/>
  <c r="K718" i="17" s="1"/>
  <c r="K719" i="17" s="1"/>
  <c r="K720" i="17" s="1"/>
  <c r="K721" i="17" s="1"/>
  <c r="K722" i="17" s="1"/>
  <c r="K723" i="17" s="1"/>
  <c r="K724" i="17" s="1"/>
  <c r="K725" i="17" s="1"/>
  <c r="K726" i="17" s="1"/>
  <c r="K727" i="17" s="1"/>
  <c r="K728" i="17" s="1"/>
  <c r="K729" i="17" s="1"/>
  <c r="K730" i="17" s="1"/>
  <c r="K731" i="17" s="1"/>
  <c r="K732" i="17" s="1"/>
  <c r="K733" i="17" s="1"/>
  <c r="K734" i="17" s="1"/>
  <c r="K735" i="17" s="1"/>
  <c r="K736" i="17" s="1"/>
  <c r="K737" i="17" s="1"/>
  <c r="K738" i="17" s="1"/>
  <c r="K739" i="17" s="1"/>
  <c r="K740" i="17" s="1"/>
  <c r="K741" i="17" s="1"/>
  <c r="K742" i="17" s="1"/>
  <c r="K743" i="17" s="1"/>
  <c r="K744" i="17" s="1"/>
  <c r="K745" i="17" s="1"/>
  <c r="K746" i="17" s="1"/>
  <c r="K747" i="17" s="1"/>
  <c r="K748" i="17" s="1"/>
  <c r="K749" i="17" s="1"/>
  <c r="K750" i="17" s="1"/>
  <c r="K751" i="17" s="1"/>
  <c r="K752" i="17" s="1"/>
  <c r="K753" i="17" s="1"/>
  <c r="K754" i="17" s="1"/>
  <c r="K755" i="17" s="1"/>
  <c r="K756" i="17" s="1"/>
  <c r="K757" i="17" s="1"/>
  <c r="K758" i="17" s="1"/>
  <c r="K759" i="17" s="1"/>
  <c r="K760" i="17" s="1"/>
  <c r="K761" i="17" s="1"/>
  <c r="K762" i="17" s="1"/>
  <c r="K763" i="17" s="1"/>
  <c r="K764" i="17" s="1"/>
  <c r="K765" i="17" s="1"/>
  <c r="K766" i="17" s="1"/>
  <c r="K767" i="17" s="1"/>
  <c r="K768" i="17" s="1"/>
  <c r="K769" i="17" s="1"/>
  <c r="K770" i="17" s="1"/>
  <c r="K771" i="17" s="1"/>
  <c r="K772" i="17" s="1"/>
  <c r="K773" i="17" s="1"/>
  <c r="K774" i="17" s="1"/>
  <c r="K775" i="17" s="1"/>
  <c r="K776" i="17" s="1"/>
  <c r="K777" i="17" s="1"/>
  <c r="K778" i="17" s="1"/>
  <c r="K779" i="17" s="1"/>
  <c r="K780" i="17" s="1"/>
  <c r="K781" i="17" s="1"/>
  <c r="K782" i="17" s="1"/>
  <c r="K783" i="17" s="1"/>
  <c r="K784" i="17" s="1"/>
  <c r="K785" i="17" s="1"/>
  <c r="K786" i="17" s="1"/>
  <c r="K787" i="17" s="1"/>
  <c r="K788" i="17" s="1"/>
  <c r="K789" i="17" s="1"/>
  <c r="K790" i="17" s="1"/>
  <c r="K791" i="17" s="1"/>
  <c r="K792" i="17" s="1"/>
  <c r="K793" i="17" s="1"/>
  <c r="K794" i="17" s="1"/>
  <c r="K795" i="17" s="1"/>
  <c r="K796" i="17" s="1"/>
  <c r="K797" i="17" s="1"/>
  <c r="K798" i="17" s="1"/>
  <c r="K799" i="17" s="1"/>
  <c r="K800" i="17" s="1"/>
  <c r="K801" i="17" s="1"/>
  <c r="K802" i="17" s="1"/>
  <c r="K803" i="17" s="1"/>
  <c r="K804" i="17" s="1"/>
  <c r="K805" i="17" s="1"/>
  <c r="K806" i="17" s="1"/>
  <c r="K807" i="17" s="1"/>
  <c r="K808" i="17" s="1"/>
  <c r="K809" i="17" s="1"/>
  <c r="K810" i="17" s="1"/>
  <c r="K811" i="17" s="1"/>
  <c r="K812" i="17" s="1"/>
  <c r="K813" i="17" s="1"/>
  <c r="K814" i="17" s="1"/>
  <c r="K815" i="17" s="1"/>
  <c r="K816" i="17" s="1"/>
  <c r="K817" i="17" s="1"/>
  <c r="K818" i="17" s="1"/>
  <c r="K819" i="17" s="1"/>
  <c r="K820" i="17" s="1"/>
  <c r="K821" i="17" s="1"/>
  <c r="K822" i="17" s="1"/>
  <c r="K823" i="17" s="1"/>
  <c r="K824" i="17" s="1"/>
  <c r="K825" i="17" s="1"/>
  <c r="K826" i="17" s="1"/>
  <c r="K827" i="17" s="1"/>
  <c r="K828" i="17" s="1"/>
  <c r="K829" i="17" s="1"/>
  <c r="K830" i="17" s="1"/>
  <c r="K831" i="17" s="1"/>
  <c r="K832" i="17" s="1"/>
  <c r="K833" i="17" s="1"/>
  <c r="K834" i="17" s="1"/>
  <c r="K835" i="17" s="1"/>
  <c r="K836" i="17" s="1"/>
  <c r="K837" i="17" s="1"/>
  <c r="K838" i="17" s="1"/>
  <c r="K839" i="17" s="1"/>
  <c r="K840" i="17" s="1"/>
  <c r="K841" i="17" s="1"/>
  <c r="K842" i="17" s="1"/>
  <c r="K843" i="17" s="1"/>
  <c r="K844" i="17" s="1"/>
  <c r="K845" i="17" s="1"/>
  <c r="K846" i="17" s="1"/>
  <c r="K847" i="17" s="1"/>
  <c r="K848" i="17" s="1"/>
  <c r="K849" i="17" s="1"/>
  <c r="K850" i="17" s="1"/>
  <c r="K851" i="17" s="1"/>
  <c r="K852" i="17" s="1"/>
  <c r="K853" i="17" s="1"/>
  <c r="K854" i="17" s="1"/>
  <c r="K855" i="17" s="1"/>
  <c r="K856" i="17" s="1"/>
  <c r="K857" i="17" s="1"/>
  <c r="K858" i="17" s="1"/>
  <c r="K859" i="17" s="1"/>
  <c r="K860" i="17" s="1"/>
  <c r="K861" i="17" s="1"/>
  <c r="K862" i="17" s="1"/>
  <c r="K863" i="17" s="1"/>
  <c r="K864" i="17" s="1"/>
  <c r="K865" i="17" s="1"/>
  <c r="K866" i="17" s="1"/>
  <c r="K867" i="17" s="1"/>
  <c r="K868" i="17" s="1"/>
  <c r="K869" i="17" s="1"/>
  <c r="K870" i="17" s="1"/>
  <c r="K871" i="17" s="1"/>
  <c r="K872" i="17" s="1"/>
  <c r="K873" i="17" s="1"/>
  <c r="K874" i="17" s="1"/>
  <c r="K875" i="17" s="1"/>
  <c r="K876" i="17" s="1"/>
  <c r="K877" i="17" s="1"/>
  <c r="K878" i="17" s="1"/>
  <c r="K879" i="17" s="1"/>
  <c r="K880" i="17" s="1"/>
  <c r="K881" i="17" s="1"/>
  <c r="K882" i="17" s="1"/>
  <c r="K883" i="17" s="1"/>
  <c r="K884" i="17" s="1"/>
  <c r="K885" i="17" s="1"/>
  <c r="K886" i="17" s="1"/>
  <c r="K887" i="17" s="1"/>
  <c r="K888" i="17" s="1"/>
  <c r="K889" i="17" s="1"/>
  <c r="K890" i="17" s="1"/>
  <c r="K891" i="17" s="1"/>
  <c r="K892" i="17" s="1"/>
  <c r="K893" i="17" s="1"/>
  <c r="K894" i="17" s="1"/>
  <c r="K895" i="17" s="1"/>
  <c r="K896" i="17" s="1"/>
  <c r="K897" i="17" s="1"/>
  <c r="K898" i="17" s="1"/>
  <c r="K899" i="17" s="1"/>
  <c r="K900" i="17" s="1"/>
  <c r="K901" i="17" s="1"/>
  <c r="K902" i="17" s="1"/>
  <c r="K903" i="17" s="1"/>
  <c r="K904" i="17" s="1"/>
  <c r="K905" i="17" s="1"/>
  <c r="K906" i="17" s="1"/>
  <c r="K907" i="17" s="1"/>
  <c r="K908" i="17" s="1"/>
  <c r="K909" i="17" s="1"/>
  <c r="K910" i="17" s="1"/>
  <c r="K911" i="17" s="1"/>
  <c r="K912" i="17" s="1"/>
  <c r="K913" i="17" s="1"/>
  <c r="K914" i="17" s="1"/>
  <c r="K915" i="17" s="1"/>
  <c r="K916" i="17" s="1"/>
  <c r="K917" i="17" s="1"/>
  <c r="K918" i="17" s="1"/>
  <c r="K919" i="17" s="1"/>
  <c r="K920" i="17" s="1"/>
  <c r="K921" i="17" s="1"/>
  <c r="K922" i="17" s="1"/>
  <c r="K923" i="17" s="1"/>
  <c r="K924" i="17" s="1"/>
  <c r="K925" i="17" s="1"/>
  <c r="K926" i="17" s="1"/>
  <c r="K927" i="17" s="1"/>
  <c r="K928" i="17" s="1"/>
  <c r="K929" i="17" s="1"/>
  <c r="K930" i="17" s="1"/>
  <c r="K931" i="17" s="1"/>
  <c r="K932" i="17" s="1"/>
  <c r="K933" i="17" s="1"/>
  <c r="K934" i="17" s="1"/>
  <c r="K935" i="17" s="1"/>
  <c r="K936" i="17" s="1"/>
  <c r="K937" i="17" s="1"/>
  <c r="K938" i="17" s="1"/>
  <c r="K939" i="17" s="1"/>
  <c r="K940" i="17" s="1"/>
  <c r="K941" i="17" s="1"/>
  <c r="K942" i="17" s="1"/>
  <c r="K943" i="17" s="1"/>
  <c r="K944" i="17" s="1"/>
  <c r="K945" i="17" s="1"/>
  <c r="K946" i="17" s="1"/>
  <c r="K947" i="17" s="1"/>
  <c r="K948" i="17" s="1"/>
  <c r="K949" i="17" s="1"/>
  <c r="K950" i="17" s="1"/>
  <c r="K951" i="17" s="1"/>
  <c r="K952" i="17" s="1"/>
  <c r="K953" i="17" s="1"/>
  <c r="K954" i="17" s="1"/>
  <c r="K955" i="17" s="1"/>
  <c r="K956" i="17" s="1"/>
  <c r="K957" i="17" s="1"/>
  <c r="K958" i="17" s="1"/>
  <c r="K959" i="17" s="1"/>
  <c r="K960" i="17" s="1"/>
  <c r="K961" i="17" s="1"/>
  <c r="K962" i="17" s="1"/>
  <c r="K963" i="17" s="1"/>
  <c r="K964" i="17" s="1"/>
  <c r="K965" i="17" s="1"/>
  <c r="K966" i="17" s="1"/>
  <c r="K967" i="17" s="1"/>
  <c r="K968" i="17" s="1"/>
  <c r="K969" i="17" s="1"/>
  <c r="K970" i="17" s="1"/>
  <c r="K971" i="17" s="1"/>
  <c r="K972" i="17" s="1"/>
  <c r="K973" i="17" s="1"/>
  <c r="K974" i="17" s="1"/>
  <c r="K975" i="17" s="1"/>
  <c r="K976" i="17" s="1"/>
  <c r="K977" i="17" s="1"/>
  <c r="K978" i="17" s="1"/>
  <c r="K979" i="17" s="1"/>
  <c r="K980" i="17" s="1"/>
  <c r="K981" i="17" s="1"/>
  <c r="K982" i="17" s="1"/>
  <c r="K983" i="17" s="1"/>
  <c r="K984" i="17" s="1"/>
  <c r="K985" i="17" s="1"/>
  <c r="K986" i="17" s="1"/>
  <c r="K987" i="17" s="1"/>
  <c r="K988" i="17" s="1"/>
  <c r="K989" i="17" s="1"/>
  <c r="K990" i="17" s="1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8" i="17"/>
  <c r="J109" i="17"/>
  <c r="J110" i="17"/>
  <c r="J111" i="17"/>
  <c r="J112" i="17"/>
  <c r="J113" i="17"/>
  <c r="J114" i="17"/>
  <c r="J115" i="17"/>
  <c r="J116" i="17"/>
  <c r="J117" i="17"/>
  <c r="J118" i="17"/>
  <c r="J119" i="17"/>
  <c r="J120" i="17"/>
  <c r="J121" i="17"/>
  <c r="J122" i="17"/>
  <c r="J123" i="17"/>
  <c r="J124" i="17"/>
  <c r="J125" i="17"/>
  <c r="J126" i="17"/>
  <c r="J127" i="17"/>
  <c r="J128" i="17"/>
  <c r="J129" i="17"/>
  <c r="J130" i="17"/>
  <c r="J131" i="17"/>
  <c r="J132" i="17"/>
  <c r="J133" i="17"/>
  <c r="J134" i="17"/>
  <c r="J135" i="17"/>
  <c r="J136" i="17"/>
  <c r="J137" i="17"/>
  <c r="J138" i="17"/>
  <c r="J139" i="17"/>
  <c r="J140" i="17"/>
  <c r="J141" i="17"/>
  <c r="J142" i="17"/>
  <c r="J143" i="17"/>
  <c r="J144" i="17"/>
  <c r="J145" i="17"/>
  <c r="J146" i="17"/>
  <c r="J147" i="17"/>
  <c r="J148" i="17"/>
  <c r="J149" i="17"/>
  <c r="J150" i="17"/>
  <c r="J151" i="17"/>
  <c r="J152" i="17"/>
  <c r="J153" i="17"/>
  <c r="J154" i="17"/>
  <c r="J155" i="17"/>
  <c r="J156" i="17"/>
  <c r="J157" i="17"/>
  <c r="J158" i="17"/>
  <c r="J159" i="17"/>
  <c r="J160" i="17"/>
  <c r="J161" i="17"/>
  <c r="J162" i="17"/>
  <c r="J163" i="17"/>
  <c r="J164" i="17"/>
  <c r="J165" i="17"/>
  <c r="J166" i="17"/>
  <c r="J167" i="17"/>
  <c r="J168" i="17"/>
  <c r="J169" i="17"/>
  <c r="J170" i="17"/>
  <c r="J171" i="17"/>
  <c r="J172" i="17"/>
  <c r="J173" i="17"/>
  <c r="J174" i="17"/>
  <c r="J175" i="17"/>
  <c r="J176" i="17"/>
  <c r="J177" i="17"/>
  <c r="J178" i="17"/>
  <c r="J179" i="17"/>
  <c r="J180" i="17"/>
  <c r="J181" i="17"/>
  <c r="J182" i="17"/>
  <c r="J183" i="17"/>
  <c r="J184" i="17"/>
  <c r="J185" i="17"/>
  <c r="J186" i="17"/>
  <c r="J187" i="17"/>
  <c r="J188" i="17"/>
  <c r="J189" i="17"/>
  <c r="J190" i="17"/>
  <c r="J191" i="17"/>
  <c r="J192" i="17"/>
  <c r="J193" i="17"/>
  <c r="J194" i="17"/>
  <c r="J195" i="17"/>
  <c r="J196" i="17"/>
  <c r="J197" i="17"/>
  <c r="J198" i="17"/>
  <c r="J199" i="17"/>
  <c r="J200" i="17"/>
  <c r="J201" i="17"/>
  <c r="J202" i="17"/>
  <c r="J203" i="17"/>
  <c r="J204" i="17"/>
  <c r="J205" i="17"/>
  <c r="J206" i="17"/>
  <c r="J207" i="17"/>
  <c r="J208" i="17"/>
  <c r="J209" i="17"/>
  <c r="J210" i="17"/>
  <c r="J211" i="17"/>
  <c r="J212" i="17"/>
  <c r="J213" i="17"/>
  <c r="J214" i="17"/>
  <c r="J215" i="17"/>
  <c r="J216" i="17"/>
  <c r="J217" i="17"/>
  <c r="J218" i="17"/>
  <c r="J219" i="17"/>
  <c r="J220" i="17"/>
  <c r="J221" i="17"/>
  <c r="J222" i="17"/>
  <c r="J223" i="17"/>
  <c r="J224" i="17"/>
  <c r="J225" i="17"/>
  <c r="J226" i="17"/>
  <c r="J227" i="17"/>
  <c r="J228" i="17"/>
  <c r="J229" i="17"/>
  <c r="J230" i="17"/>
  <c r="J231" i="17"/>
  <c r="J232" i="17"/>
  <c r="J233" i="17"/>
  <c r="J234" i="17"/>
  <c r="J235" i="17"/>
  <c r="J236" i="17"/>
  <c r="J237" i="17"/>
  <c r="J238" i="17"/>
  <c r="J239" i="17"/>
  <c r="J240" i="17"/>
  <c r="J241" i="17"/>
  <c r="J242" i="17"/>
  <c r="J243" i="17"/>
  <c r="J244" i="17"/>
  <c r="J245" i="17"/>
  <c r="J246" i="17"/>
  <c r="J247" i="17"/>
  <c r="J248" i="17"/>
  <c r="J249" i="17"/>
  <c r="J250" i="17"/>
  <c r="J251" i="17"/>
  <c r="J252" i="17"/>
  <c r="J253" i="17"/>
  <c r="J254" i="17"/>
  <c r="J255" i="17"/>
  <c r="J256" i="17"/>
  <c r="J257" i="17"/>
  <c r="J258" i="17"/>
  <c r="J259" i="17"/>
  <c r="J260" i="17"/>
  <c r="J261" i="17"/>
  <c r="J262" i="17"/>
  <c r="J263" i="17"/>
  <c r="J264" i="17"/>
  <c r="J265" i="17"/>
  <c r="J266" i="17"/>
  <c r="J267" i="17"/>
  <c r="J268" i="17"/>
  <c r="J269" i="17"/>
  <c r="J270" i="17"/>
  <c r="J271" i="17"/>
  <c r="J272" i="17"/>
  <c r="J273" i="17"/>
  <c r="J274" i="17"/>
  <c r="J275" i="17"/>
  <c r="J276" i="17"/>
  <c r="J277" i="17"/>
  <c r="J278" i="17"/>
  <c r="J279" i="17"/>
  <c r="J280" i="17"/>
  <c r="J281" i="17"/>
  <c r="J282" i="17"/>
  <c r="J283" i="17"/>
  <c r="J284" i="17"/>
  <c r="J285" i="17"/>
  <c r="J286" i="17"/>
  <c r="J287" i="17"/>
  <c r="J288" i="17"/>
  <c r="J289" i="17"/>
  <c r="J290" i="17"/>
  <c r="J291" i="17"/>
  <c r="J292" i="17"/>
  <c r="J293" i="17"/>
  <c r="J294" i="17"/>
  <c r="J295" i="17"/>
  <c r="J296" i="17"/>
  <c r="J297" i="17"/>
  <c r="J298" i="17"/>
  <c r="J299" i="17"/>
  <c r="J300" i="17"/>
  <c r="J301" i="17"/>
  <c r="J302" i="17"/>
  <c r="J303" i="17"/>
  <c r="J304" i="17"/>
  <c r="J305" i="17"/>
  <c r="J306" i="17"/>
  <c r="J307" i="17"/>
  <c r="J308" i="17"/>
  <c r="J309" i="17"/>
  <c r="J310" i="17"/>
  <c r="J311" i="17"/>
  <c r="J312" i="17"/>
  <c r="J313" i="17"/>
  <c r="J314" i="17"/>
  <c r="J315" i="17"/>
  <c r="J316" i="17"/>
  <c r="J317" i="17"/>
  <c r="J318" i="17"/>
  <c r="J319" i="17"/>
  <c r="J320" i="17"/>
  <c r="J321" i="17"/>
  <c r="J322" i="17"/>
  <c r="J323" i="17"/>
  <c r="J324" i="17"/>
  <c r="J325" i="17"/>
  <c r="J326" i="17"/>
  <c r="J327" i="17"/>
  <c r="J328" i="17"/>
  <c r="J329" i="17"/>
  <c r="J330" i="17"/>
  <c r="J331" i="17"/>
  <c r="J332" i="17"/>
  <c r="J333" i="17"/>
  <c r="J334" i="17"/>
  <c r="J335" i="17"/>
  <c r="J336" i="17"/>
  <c r="J337" i="17"/>
  <c r="J338" i="17"/>
  <c r="J339" i="17"/>
  <c r="J340" i="17"/>
  <c r="J341" i="17"/>
  <c r="J342" i="17"/>
  <c r="J343" i="17"/>
  <c r="J344" i="17"/>
  <c r="J345" i="17"/>
  <c r="J346" i="17"/>
  <c r="J347" i="17"/>
  <c r="J348" i="17"/>
  <c r="J349" i="17"/>
  <c r="J350" i="17"/>
  <c r="J351" i="17"/>
  <c r="J352" i="17"/>
  <c r="J353" i="17"/>
  <c r="J354" i="17"/>
  <c r="J355" i="17"/>
  <c r="J356" i="17"/>
  <c r="J357" i="17"/>
  <c r="J358" i="17"/>
  <c r="J359" i="17"/>
  <c r="J360" i="17"/>
  <c r="J361" i="17"/>
  <c r="J362" i="17"/>
  <c r="J363" i="17"/>
  <c r="J364" i="17"/>
  <c r="J365" i="17"/>
  <c r="J366" i="17"/>
  <c r="J367" i="17"/>
  <c r="J368" i="17"/>
  <c r="J369" i="17"/>
  <c r="J370" i="17"/>
  <c r="J371" i="17"/>
  <c r="J372" i="17"/>
  <c r="J373" i="17"/>
  <c r="J374" i="17"/>
  <c r="J375" i="17"/>
  <c r="J376" i="17"/>
  <c r="J377" i="17"/>
  <c r="J378" i="17"/>
  <c r="J379" i="17"/>
  <c r="J380" i="17"/>
  <c r="J381" i="17"/>
  <c r="J382" i="17"/>
  <c r="J383" i="17"/>
  <c r="J384" i="17"/>
  <c r="J385" i="17"/>
  <c r="J386" i="17"/>
  <c r="J387" i="17"/>
  <c r="J388" i="17"/>
  <c r="J389" i="17"/>
  <c r="J390" i="17"/>
  <c r="J391" i="17"/>
  <c r="J392" i="17"/>
  <c r="J393" i="17"/>
  <c r="J394" i="17"/>
  <c r="J395" i="17"/>
  <c r="J396" i="17"/>
  <c r="J397" i="17"/>
  <c r="J398" i="17"/>
  <c r="J399" i="17"/>
  <c r="J400" i="17"/>
  <c r="J401" i="17"/>
  <c r="J402" i="17"/>
  <c r="J403" i="17"/>
  <c r="J404" i="17"/>
  <c r="J405" i="17"/>
  <c r="J406" i="17"/>
  <c r="J407" i="17"/>
  <c r="J408" i="17"/>
  <c r="J409" i="17"/>
  <c r="J410" i="17"/>
  <c r="J411" i="17"/>
  <c r="J412" i="17"/>
  <c r="J413" i="17"/>
  <c r="J414" i="17"/>
  <c r="J415" i="17"/>
  <c r="J416" i="17"/>
  <c r="J417" i="17"/>
  <c r="J418" i="17"/>
  <c r="J419" i="17"/>
  <c r="J420" i="17"/>
  <c r="J421" i="17"/>
  <c r="J422" i="17"/>
  <c r="J423" i="17"/>
  <c r="J424" i="17"/>
  <c r="J425" i="17"/>
  <c r="J426" i="17"/>
  <c r="J427" i="17"/>
  <c r="J428" i="17"/>
  <c r="J429" i="17"/>
  <c r="J430" i="17"/>
  <c r="J431" i="17"/>
  <c r="J432" i="17"/>
  <c r="J433" i="17"/>
  <c r="J434" i="17"/>
  <c r="J435" i="17"/>
  <c r="J436" i="17"/>
  <c r="J437" i="17"/>
  <c r="J438" i="17"/>
  <c r="J439" i="17"/>
  <c r="J440" i="17"/>
  <c r="J441" i="17"/>
  <c r="J442" i="17"/>
  <c r="J443" i="17"/>
  <c r="J444" i="17"/>
  <c r="J445" i="17"/>
  <c r="J446" i="17"/>
  <c r="J447" i="17"/>
  <c r="J448" i="17"/>
  <c r="J449" i="17"/>
  <c r="J450" i="17"/>
  <c r="J451" i="17"/>
  <c r="J452" i="17"/>
  <c r="J453" i="17"/>
  <c r="J454" i="17"/>
  <c r="J455" i="17"/>
  <c r="J456" i="17"/>
  <c r="J457" i="17"/>
  <c r="J458" i="17"/>
  <c r="J459" i="17"/>
  <c r="J460" i="17"/>
  <c r="J461" i="17"/>
  <c r="J462" i="17"/>
  <c r="J463" i="17"/>
  <c r="J464" i="17"/>
  <c r="J465" i="17"/>
  <c r="J466" i="17"/>
  <c r="J467" i="17"/>
  <c r="J468" i="17"/>
  <c r="J469" i="17"/>
  <c r="J470" i="17"/>
  <c r="J471" i="17"/>
  <c r="J472" i="17"/>
  <c r="J473" i="17"/>
  <c r="J474" i="17"/>
  <c r="J475" i="17"/>
  <c r="J476" i="17"/>
  <c r="J477" i="17"/>
  <c r="J478" i="17"/>
  <c r="J479" i="17"/>
  <c r="J480" i="17"/>
  <c r="J481" i="17"/>
  <c r="J482" i="17"/>
  <c r="J483" i="17"/>
  <c r="J484" i="17"/>
  <c r="J485" i="17"/>
  <c r="J486" i="17"/>
  <c r="J487" i="17"/>
  <c r="J488" i="17"/>
  <c r="J489" i="17"/>
  <c r="J490" i="17"/>
  <c r="J491" i="17"/>
  <c r="J492" i="17"/>
  <c r="J493" i="17"/>
  <c r="J494" i="17"/>
  <c r="J495" i="17"/>
  <c r="J496" i="17"/>
  <c r="J497" i="17"/>
  <c r="J498" i="17"/>
  <c r="J499" i="17"/>
  <c r="J500" i="17"/>
  <c r="J501" i="17"/>
  <c r="J502" i="17"/>
  <c r="J503" i="17"/>
  <c r="J504" i="17"/>
  <c r="J505" i="17"/>
  <c r="J506" i="17"/>
  <c r="J507" i="17"/>
  <c r="J508" i="17"/>
  <c r="J509" i="17"/>
  <c r="J510" i="17"/>
  <c r="J511" i="17"/>
  <c r="J512" i="17"/>
  <c r="J513" i="17"/>
  <c r="J514" i="17"/>
  <c r="J515" i="17"/>
  <c r="J516" i="17"/>
  <c r="J517" i="17"/>
  <c r="J518" i="17"/>
  <c r="J519" i="17"/>
  <c r="J520" i="17"/>
  <c r="J521" i="17"/>
  <c r="J522" i="17"/>
  <c r="J523" i="17"/>
  <c r="J524" i="17"/>
  <c r="J525" i="17"/>
  <c r="J526" i="17"/>
  <c r="J527" i="17"/>
  <c r="J528" i="17"/>
  <c r="J529" i="17"/>
  <c r="J530" i="17"/>
  <c r="J531" i="17"/>
  <c r="J532" i="17"/>
  <c r="J533" i="17"/>
  <c r="J534" i="17"/>
  <c r="J535" i="17"/>
  <c r="J536" i="17"/>
  <c r="J537" i="17"/>
  <c r="J538" i="17"/>
  <c r="J539" i="17"/>
  <c r="J540" i="17"/>
  <c r="J541" i="17"/>
  <c r="J542" i="17"/>
  <c r="J543" i="17"/>
  <c r="J544" i="17"/>
  <c r="J545" i="17"/>
  <c r="J546" i="17"/>
  <c r="J547" i="17"/>
  <c r="J548" i="17"/>
  <c r="J549" i="17"/>
  <c r="J550" i="17"/>
  <c r="J551" i="17"/>
  <c r="J552" i="17"/>
  <c r="J553" i="17"/>
  <c r="J554" i="17"/>
  <c r="J555" i="17"/>
  <c r="J556" i="17"/>
  <c r="J557" i="17"/>
  <c r="J558" i="17"/>
  <c r="J559" i="17"/>
  <c r="J560" i="17"/>
  <c r="J561" i="17"/>
  <c r="J562" i="17"/>
  <c r="J563" i="17"/>
  <c r="J564" i="17"/>
  <c r="J565" i="17"/>
  <c r="J566" i="17"/>
  <c r="J567" i="17"/>
  <c r="J568" i="17"/>
  <c r="J569" i="17"/>
  <c r="J570" i="17"/>
  <c r="J571" i="17"/>
  <c r="J572" i="17"/>
  <c r="J573" i="17"/>
  <c r="J574" i="17"/>
  <c r="J575" i="17"/>
  <c r="J576" i="17"/>
  <c r="J577" i="17"/>
  <c r="J578" i="17"/>
  <c r="J579" i="17"/>
  <c r="J580" i="17"/>
  <c r="J581" i="17"/>
  <c r="J582" i="17"/>
  <c r="J583" i="17"/>
  <c r="J584" i="17"/>
  <c r="J585" i="17"/>
  <c r="J586" i="17"/>
  <c r="J587" i="17"/>
  <c r="J588" i="17"/>
  <c r="J589" i="17"/>
  <c r="J590" i="17"/>
  <c r="J591" i="17"/>
  <c r="J592" i="17"/>
  <c r="J593" i="17"/>
  <c r="J594" i="17"/>
  <c r="J595" i="17"/>
  <c r="J596" i="17"/>
  <c r="J597" i="17"/>
  <c r="J598" i="17"/>
  <c r="J599" i="17"/>
  <c r="J600" i="17"/>
  <c r="J601" i="17"/>
  <c r="J602" i="17"/>
  <c r="J603" i="17"/>
  <c r="J604" i="17"/>
  <c r="J605" i="17"/>
  <c r="J606" i="17"/>
  <c r="J607" i="17"/>
  <c r="J608" i="17"/>
  <c r="J609" i="17"/>
  <c r="J610" i="17"/>
  <c r="J611" i="17"/>
  <c r="J612" i="17"/>
  <c r="J613" i="17"/>
  <c r="J614" i="17"/>
  <c r="J615" i="17"/>
  <c r="J616" i="17"/>
  <c r="J617" i="17"/>
  <c r="J618" i="17"/>
  <c r="J619" i="17"/>
  <c r="J620" i="17"/>
  <c r="J621" i="17"/>
  <c r="J622" i="17"/>
  <c r="J623" i="17"/>
  <c r="J624" i="17"/>
  <c r="J625" i="17"/>
  <c r="J626" i="17"/>
  <c r="J627" i="17"/>
  <c r="J628" i="17"/>
  <c r="J629" i="17"/>
  <c r="J630" i="17"/>
  <c r="J631" i="17"/>
  <c r="J632" i="17"/>
  <c r="J633" i="17"/>
  <c r="J634" i="17"/>
  <c r="J635" i="17"/>
  <c r="J636" i="17"/>
  <c r="J637" i="17"/>
  <c r="J638" i="17"/>
  <c r="J639" i="17"/>
  <c r="J640" i="17"/>
  <c r="J641" i="17"/>
  <c r="J642" i="17"/>
  <c r="J643" i="17"/>
  <c r="J644" i="17"/>
  <c r="J645" i="17"/>
  <c r="J646" i="17"/>
  <c r="J647" i="17"/>
  <c r="J648" i="17"/>
  <c r="J649" i="17"/>
  <c r="J650" i="17"/>
  <c r="J651" i="17"/>
  <c r="J652" i="17"/>
  <c r="J653" i="17"/>
  <c r="J654" i="17"/>
  <c r="J655" i="17"/>
  <c r="J656" i="17"/>
  <c r="J657" i="17"/>
  <c r="J658" i="17"/>
  <c r="J659" i="17"/>
  <c r="J660" i="17"/>
  <c r="J661" i="17"/>
  <c r="J662" i="17"/>
  <c r="J663" i="17"/>
  <c r="J664" i="17"/>
  <c r="J665" i="17"/>
  <c r="J666" i="17"/>
  <c r="J667" i="17"/>
  <c r="J668" i="17"/>
  <c r="J669" i="17"/>
  <c r="J670" i="17"/>
  <c r="J671" i="17"/>
  <c r="J672" i="17"/>
  <c r="J673" i="17"/>
  <c r="J674" i="17"/>
  <c r="J675" i="17"/>
  <c r="J676" i="17"/>
  <c r="J677" i="17"/>
  <c r="J678" i="17"/>
  <c r="J679" i="17"/>
  <c r="J680" i="17"/>
  <c r="J681" i="17"/>
  <c r="J682" i="17"/>
  <c r="J683" i="17"/>
  <c r="J684" i="17"/>
  <c r="J685" i="17"/>
  <c r="J686" i="17"/>
  <c r="J687" i="17"/>
  <c r="J688" i="17"/>
  <c r="J689" i="17"/>
  <c r="J690" i="17"/>
  <c r="J691" i="17"/>
  <c r="J692" i="17"/>
  <c r="J693" i="17"/>
  <c r="J694" i="17"/>
  <c r="J695" i="17"/>
  <c r="J696" i="17"/>
  <c r="J697" i="17"/>
  <c r="J698" i="17"/>
  <c r="J699" i="17"/>
  <c r="J700" i="17"/>
  <c r="J701" i="17"/>
  <c r="J702" i="17"/>
  <c r="J703" i="17"/>
  <c r="J704" i="17"/>
  <c r="J705" i="17"/>
  <c r="J706" i="17"/>
  <c r="J707" i="17"/>
  <c r="J708" i="17"/>
  <c r="J709" i="17"/>
  <c r="J710" i="17"/>
  <c r="J711" i="17"/>
  <c r="J712" i="17"/>
  <c r="J713" i="17"/>
  <c r="J714" i="17"/>
  <c r="J715" i="17"/>
  <c r="J716" i="17"/>
  <c r="J717" i="17"/>
  <c r="J718" i="17"/>
  <c r="J719" i="17"/>
  <c r="J720" i="17"/>
  <c r="J721" i="17"/>
  <c r="J722" i="17"/>
  <c r="J723" i="17"/>
  <c r="J724" i="17"/>
  <c r="J725" i="17"/>
  <c r="J726" i="17"/>
  <c r="J727" i="17"/>
  <c r="J728" i="17"/>
  <c r="J729" i="17"/>
  <c r="J730" i="17"/>
  <c r="J731" i="17"/>
  <c r="J732" i="17"/>
  <c r="J733" i="17"/>
  <c r="J734" i="17"/>
  <c r="J735" i="17"/>
  <c r="J736" i="17"/>
  <c r="J737" i="17"/>
  <c r="J738" i="17"/>
  <c r="J739" i="17"/>
  <c r="J740" i="17"/>
  <c r="J741" i="17"/>
  <c r="J742" i="17"/>
  <c r="J743" i="17"/>
  <c r="J744" i="17"/>
  <c r="J745" i="17"/>
  <c r="J746" i="17"/>
  <c r="J747" i="17"/>
  <c r="J748" i="17"/>
  <c r="J749" i="17"/>
  <c r="J750" i="17"/>
  <c r="J751" i="17"/>
  <c r="J752" i="17"/>
  <c r="J753" i="17"/>
  <c r="J754" i="17"/>
  <c r="J755" i="17"/>
  <c r="J756" i="17"/>
  <c r="J757" i="17"/>
  <c r="J758" i="17"/>
  <c r="J759" i="17"/>
  <c r="J760" i="17"/>
  <c r="J761" i="17"/>
  <c r="J762" i="17"/>
  <c r="J763" i="17"/>
  <c r="J764" i="17"/>
  <c r="J765" i="17"/>
  <c r="J766" i="17"/>
  <c r="J767" i="17"/>
  <c r="J768" i="17"/>
  <c r="J769" i="17"/>
  <c r="J770" i="17"/>
  <c r="J771" i="17"/>
  <c r="J772" i="17"/>
  <c r="J773" i="17"/>
  <c r="J774" i="17"/>
  <c r="J775" i="17"/>
  <c r="J776" i="17"/>
  <c r="J777" i="17"/>
  <c r="J778" i="17"/>
  <c r="J779" i="17"/>
  <c r="J780" i="17"/>
  <c r="J781" i="17"/>
  <c r="J782" i="17"/>
  <c r="J783" i="17"/>
  <c r="J784" i="17"/>
  <c r="J785" i="17"/>
  <c r="J786" i="17"/>
  <c r="J787" i="17"/>
  <c r="J788" i="17"/>
  <c r="J789" i="17"/>
  <c r="J790" i="17"/>
  <c r="J791" i="17"/>
  <c r="J792" i="17"/>
  <c r="J793" i="17"/>
  <c r="J794" i="17"/>
  <c r="J795" i="17"/>
  <c r="J796" i="17"/>
  <c r="J797" i="17"/>
  <c r="J798" i="17"/>
  <c r="J799" i="17"/>
  <c r="J800" i="17"/>
  <c r="J801" i="17"/>
  <c r="J802" i="17"/>
  <c r="J803" i="17"/>
  <c r="J804" i="17"/>
  <c r="J805" i="17"/>
  <c r="J806" i="17"/>
  <c r="J807" i="17"/>
  <c r="J808" i="17"/>
  <c r="J809" i="17"/>
  <c r="J810" i="17"/>
  <c r="J811" i="17"/>
  <c r="J812" i="17"/>
  <c r="J813" i="17"/>
  <c r="J814" i="17"/>
  <c r="J815" i="17"/>
  <c r="J816" i="17"/>
  <c r="J817" i="17"/>
  <c r="J818" i="17"/>
  <c r="J819" i="17"/>
  <c r="J820" i="17"/>
  <c r="J821" i="17"/>
  <c r="J822" i="17"/>
  <c r="J823" i="17"/>
  <c r="J824" i="17"/>
  <c r="J825" i="17"/>
  <c r="J826" i="17"/>
  <c r="J827" i="17"/>
  <c r="J828" i="17"/>
  <c r="J829" i="17"/>
  <c r="J830" i="17"/>
  <c r="J831" i="17"/>
  <c r="J832" i="17"/>
  <c r="J833" i="17"/>
  <c r="J834" i="17"/>
  <c r="J835" i="17"/>
  <c r="J836" i="17"/>
  <c r="J837" i="17"/>
  <c r="J838" i="17"/>
  <c r="J839" i="17"/>
  <c r="J840" i="17"/>
  <c r="J841" i="17"/>
  <c r="J842" i="17"/>
  <c r="J843" i="17"/>
  <c r="J844" i="17"/>
  <c r="J845" i="17"/>
  <c r="J846" i="17"/>
  <c r="J847" i="17"/>
  <c r="J848" i="17"/>
  <c r="J849" i="17"/>
  <c r="J850" i="17"/>
  <c r="J851" i="17"/>
  <c r="J852" i="17"/>
  <c r="J853" i="17"/>
  <c r="J854" i="17"/>
  <c r="J855" i="17"/>
  <c r="J856" i="17"/>
  <c r="J857" i="17"/>
  <c r="J858" i="17"/>
  <c r="J859" i="17"/>
  <c r="J860" i="17"/>
  <c r="J861" i="17"/>
  <c r="J862" i="17"/>
  <c r="J863" i="17"/>
  <c r="J864" i="17"/>
  <c r="J865" i="17"/>
  <c r="J866" i="17"/>
  <c r="J867" i="17"/>
  <c r="J868" i="17"/>
  <c r="J869" i="17"/>
  <c r="J870" i="17"/>
  <c r="J871" i="17"/>
  <c r="J872" i="17"/>
  <c r="J873" i="17"/>
  <c r="J874" i="17"/>
  <c r="J875" i="17"/>
  <c r="J876" i="17"/>
  <c r="J877" i="17"/>
  <c r="J878" i="17"/>
  <c r="J879" i="17"/>
  <c r="J880" i="17"/>
  <c r="J881" i="17"/>
  <c r="J882" i="17"/>
  <c r="J883" i="17"/>
  <c r="J884" i="17"/>
  <c r="J885" i="17"/>
  <c r="J886" i="17"/>
  <c r="J887" i="17"/>
  <c r="J888" i="17"/>
  <c r="J889" i="17"/>
  <c r="J890" i="17"/>
  <c r="J891" i="17"/>
  <c r="J892" i="17"/>
  <c r="J893" i="17"/>
  <c r="J894" i="17"/>
  <c r="J895" i="17"/>
  <c r="J896" i="17"/>
  <c r="J897" i="17"/>
  <c r="J898" i="17"/>
  <c r="J899" i="17"/>
  <c r="J900" i="17"/>
  <c r="J901" i="17"/>
  <c r="J902" i="17"/>
  <c r="J903" i="17"/>
  <c r="J904" i="17"/>
  <c r="J905" i="17"/>
  <c r="J906" i="17"/>
  <c r="J907" i="17"/>
  <c r="J908" i="17"/>
  <c r="J909" i="17"/>
  <c r="J910" i="17"/>
  <c r="J911" i="17"/>
  <c r="J912" i="17"/>
  <c r="J913" i="17"/>
  <c r="J914" i="17"/>
  <c r="J915" i="17"/>
  <c r="J916" i="17"/>
  <c r="J917" i="17"/>
  <c r="J918" i="17"/>
  <c r="J919" i="17"/>
  <c r="J920" i="17"/>
  <c r="J921" i="17"/>
  <c r="J922" i="17"/>
  <c r="J923" i="17"/>
  <c r="J924" i="17"/>
  <c r="J925" i="17"/>
  <c r="J926" i="17"/>
  <c r="J927" i="17"/>
  <c r="J928" i="17"/>
  <c r="J929" i="17"/>
  <c r="J930" i="17"/>
  <c r="J931" i="17"/>
  <c r="J932" i="17"/>
  <c r="J933" i="17"/>
  <c r="J934" i="17"/>
  <c r="J935" i="17"/>
  <c r="J936" i="17"/>
  <c r="J937" i="17"/>
  <c r="J938" i="17"/>
  <c r="J939" i="17"/>
  <c r="J940" i="17"/>
  <c r="J941" i="17"/>
  <c r="J942" i="17"/>
  <c r="J943" i="17"/>
  <c r="J944" i="17"/>
  <c r="J945" i="17"/>
  <c r="J946" i="17"/>
  <c r="J947" i="17"/>
  <c r="J948" i="17"/>
  <c r="J949" i="17"/>
  <c r="J950" i="17"/>
  <c r="J951" i="17"/>
  <c r="J952" i="17"/>
  <c r="J953" i="17"/>
  <c r="J954" i="17"/>
  <c r="J955" i="17"/>
  <c r="J956" i="17"/>
  <c r="J957" i="17"/>
  <c r="J958" i="17"/>
  <c r="J959" i="17"/>
  <c r="J960" i="17"/>
  <c r="J961" i="17"/>
  <c r="J962" i="17"/>
  <c r="J963" i="17"/>
  <c r="J964" i="17"/>
  <c r="J965" i="17"/>
  <c r="J966" i="17"/>
  <c r="J967" i="17"/>
  <c r="J968" i="17"/>
  <c r="J969" i="17"/>
  <c r="J970" i="17"/>
  <c r="J971" i="17"/>
  <c r="J972" i="17"/>
  <c r="J973" i="17"/>
  <c r="J974" i="17"/>
  <c r="J975" i="17"/>
  <c r="J976" i="17"/>
  <c r="J977" i="17"/>
  <c r="J978" i="17"/>
  <c r="J979" i="17"/>
  <c r="J980" i="17"/>
  <c r="J981" i="17"/>
  <c r="J982" i="17"/>
  <c r="J983" i="17"/>
  <c r="J984" i="17"/>
  <c r="J985" i="17"/>
  <c r="J986" i="17"/>
  <c r="J987" i="17"/>
  <c r="J988" i="17"/>
  <c r="J989" i="17"/>
  <c r="J990" i="17"/>
  <c r="J176" i="12"/>
  <c r="J175" i="12"/>
  <c r="J174" i="12"/>
  <c r="J173" i="12"/>
  <c r="J172" i="12"/>
  <c r="J171" i="12"/>
  <c r="J170" i="12"/>
  <c r="J169" i="12"/>
  <c r="J168" i="12"/>
  <c r="J167" i="12"/>
  <c r="J166" i="12"/>
  <c r="J165" i="12"/>
  <c r="J164" i="12"/>
  <c r="J163" i="12"/>
  <c r="J162" i="12"/>
  <c r="J161" i="12"/>
  <c r="J160" i="12"/>
  <c r="J159" i="12"/>
  <c r="J158" i="12"/>
  <c r="J157" i="12"/>
  <c r="J156" i="12"/>
  <c r="J155" i="12"/>
  <c r="J154" i="12"/>
  <c r="J153" i="12"/>
  <c r="J152" i="12"/>
  <c r="J151" i="12"/>
  <c r="J150" i="12"/>
  <c r="J149" i="12"/>
  <c r="J148" i="12"/>
  <c r="J147" i="12"/>
  <c r="J146" i="12"/>
  <c r="J145" i="12"/>
  <c r="J144" i="12"/>
  <c r="J143" i="12"/>
  <c r="J142" i="12"/>
  <c r="J141" i="12"/>
  <c r="J140" i="12"/>
  <c r="J139" i="12"/>
  <c r="J138" i="12"/>
  <c r="J137" i="12"/>
  <c r="J136" i="12"/>
  <c r="J135" i="12"/>
  <c r="J134" i="12"/>
  <c r="J133" i="12"/>
  <c r="J132" i="12"/>
  <c r="J131" i="12"/>
  <c r="J130" i="12"/>
  <c r="J129" i="12"/>
  <c r="J128" i="12"/>
  <c r="J127" i="12"/>
  <c r="J126" i="12"/>
  <c r="J125" i="12"/>
  <c r="J124" i="12"/>
  <c r="J123" i="12"/>
  <c r="J122" i="12"/>
  <c r="J121" i="12"/>
  <c r="J120" i="12"/>
  <c r="J119" i="12"/>
  <c r="J118" i="12"/>
  <c r="J117" i="12"/>
  <c r="J116" i="12"/>
  <c r="J115" i="12"/>
  <c r="J114" i="12"/>
  <c r="J113" i="12"/>
  <c r="J112" i="12"/>
  <c r="J111" i="12"/>
  <c r="J110" i="12"/>
  <c r="J109" i="12"/>
  <c r="J108" i="12"/>
  <c r="J107" i="12"/>
  <c r="J106" i="12"/>
  <c r="J105" i="12"/>
  <c r="J104" i="12"/>
  <c r="J103" i="12"/>
  <c r="J102" i="12"/>
  <c r="J101" i="12"/>
  <c r="J100" i="12"/>
  <c r="J99" i="12"/>
  <c r="J98" i="12"/>
  <c r="J97" i="12"/>
  <c r="J96" i="12"/>
  <c r="J95" i="12"/>
  <c r="J94" i="12"/>
  <c r="J93" i="12"/>
  <c r="J92" i="12"/>
  <c r="J91" i="12"/>
  <c r="J90" i="12"/>
  <c r="J89" i="12"/>
  <c r="J88" i="12"/>
  <c r="J87" i="12"/>
  <c r="J86" i="12"/>
  <c r="J85" i="12"/>
  <c r="J84" i="12"/>
  <c r="J83" i="12"/>
  <c r="J82" i="12"/>
  <c r="J81" i="12"/>
  <c r="J80" i="12"/>
  <c r="J79" i="12"/>
  <c r="J78" i="12"/>
  <c r="J77" i="12"/>
  <c r="J76" i="12"/>
  <c r="J75" i="12"/>
  <c r="J74" i="12"/>
  <c r="J73" i="12"/>
  <c r="J72" i="12"/>
  <c r="J71" i="12"/>
  <c r="J69" i="12"/>
  <c r="J68" i="12"/>
  <c r="J67" i="12"/>
  <c r="J66" i="12"/>
  <c r="J65" i="12"/>
  <c r="J64" i="12"/>
  <c r="J63" i="12"/>
  <c r="J62" i="12"/>
  <c r="J61" i="12"/>
  <c r="J60" i="12"/>
  <c r="J59" i="12"/>
  <c r="J58" i="12"/>
  <c r="J57" i="12"/>
  <c r="J56" i="12"/>
  <c r="J55" i="12"/>
  <c r="J54" i="12"/>
  <c r="J53" i="12"/>
  <c r="J52" i="12"/>
  <c r="J51" i="12"/>
  <c r="J50" i="12"/>
  <c r="J49" i="12"/>
  <c r="J48" i="12"/>
  <c r="J47" i="12"/>
  <c r="J46" i="12"/>
  <c r="J45" i="12"/>
  <c r="J44" i="12"/>
  <c r="J43" i="12"/>
  <c r="J42" i="12"/>
  <c r="J41" i="12"/>
  <c r="J40" i="12"/>
  <c r="J39" i="12"/>
  <c r="J38" i="12"/>
  <c r="J37" i="12"/>
  <c r="J36" i="12"/>
  <c r="J35" i="12"/>
  <c r="J34" i="12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J2" i="12"/>
  <c r="C49" i="18" l="1"/>
  <c r="C94" i="18"/>
  <c r="C186" i="18"/>
  <c r="B49" i="18"/>
  <c r="B94" i="18"/>
  <c r="D94" i="18" s="1"/>
  <c r="B186" i="18"/>
  <c r="D186" i="18" s="1"/>
  <c r="K83" i="12"/>
  <c r="K84" i="12"/>
  <c r="K85" i="12" s="1"/>
  <c r="K86" i="12" s="1"/>
  <c r="K87" i="12" s="1"/>
  <c r="K88" i="12" s="1"/>
  <c r="K89" i="12" s="1"/>
  <c r="K90" i="12" s="1"/>
  <c r="K91" i="12" s="1"/>
  <c r="K92" i="12" s="1"/>
  <c r="K93" i="12" s="1"/>
  <c r="K94" i="12" s="1"/>
  <c r="K95" i="12" s="1"/>
  <c r="K96" i="12" s="1"/>
  <c r="K97" i="12" s="1"/>
  <c r="K98" i="12" s="1"/>
  <c r="K99" i="12" s="1"/>
  <c r="K100" i="12" s="1"/>
  <c r="K101" i="12" s="1"/>
  <c r="K102" i="12" s="1"/>
  <c r="K103" i="12" s="1"/>
  <c r="K104" i="12" s="1"/>
  <c r="K105" i="12" s="1"/>
  <c r="K106" i="12" s="1"/>
  <c r="K107" i="12" s="1"/>
  <c r="K108" i="12" s="1"/>
  <c r="K109" i="12" s="1"/>
  <c r="K110" i="12" s="1"/>
  <c r="K111" i="12" s="1"/>
  <c r="K112" i="12" s="1"/>
  <c r="K113" i="12" s="1"/>
  <c r="K114" i="12" s="1"/>
  <c r="K115" i="12" s="1"/>
  <c r="K116" i="12" s="1"/>
  <c r="K117" i="12" s="1"/>
  <c r="K118" i="12" s="1"/>
  <c r="K119" i="12" s="1"/>
  <c r="K120" i="12" s="1"/>
  <c r="K121" i="12" s="1"/>
  <c r="K122" i="12" s="1"/>
  <c r="K123" i="12" s="1"/>
  <c r="K124" i="12" s="1"/>
  <c r="K125" i="12" s="1"/>
  <c r="K126" i="12" s="1"/>
  <c r="K127" i="12" s="1"/>
  <c r="K128" i="12" s="1"/>
  <c r="K129" i="12" s="1"/>
  <c r="K130" i="12" s="1"/>
  <c r="K131" i="12" s="1"/>
  <c r="K132" i="12" s="1"/>
  <c r="K133" i="12" s="1"/>
  <c r="K134" i="12" s="1"/>
  <c r="K135" i="12" s="1"/>
  <c r="K136" i="12" s="1"/>
  <c r="K137" i="12" s="1"/>
  <c r="K138" i="12" s="1"/>
  <c r="K139" i="12" s="1"/>
  <c r="K140" i="12" s="1"/>
  <c r="K141" i="12" s="1"/>
  <c r="K142" i="12" s="1"/>
  <c r="K143" i="12" s="1"/>
  <c r="K144" i="12" s="1"/>
  <c r="K145" i="12" s="1"/>
  <c r="K146" i="12" s="1"/>
  <c r="K147" i="12" s="1"/>
  <c r="K148" i="12" s="1"/>
  <c r="K149" i="12" s="1"/>
  <c r="K150" i="12" s="1"/>
  <c r="K151" i="12" s="1"/>
  <c r="K152" i="12" s="1"/>
  <c r="K153" i="12" s="1"/>
  <c r="K154" i="12" s="1"/>
  <c r="K155" i="12" s="1"/>
  <c r="K156" i="12" s="1"/>
  <c r="K157" i="12" s="1"/>
  <c r="K158" i="12" s="1"/>
  <c r="K159" i="12" s="1"/>
  <c r="K160" i="12" s="1"/>
  <c r="K161" i="12" s="1"/>
  <c r="K162" i="12" s="1"/>
  <c r="K163" i="12" s="1"/>
  <c r="K164" i="12" s="1"/>
  <c r="K165" i="12" s="1"/>
  <c r="K166" i="12" s="1"/>
  <c r="K167" i="12" s="1"/>
  <c r="K168" i="12" s="1"/>
  <c r="K169" i="12" s="1"/>
  <c r="K170" i="12" s="1"/>
  <c r="K171" i="12" s="1"/>
  <c r="K172" i="12" s="1"/>
  <c r="K173" i="12" s="1"/>
  <c r="K174" i="12" s="1"/>
  <c r="K175" i="12" s="1"/>
  <c r="K176" i="12" s="1"/>
  <c r="D49" i="18" l="1"/>
</calcChain>
</file>

<file path=xl/sharedStrings.xml><?xml version="1.0" encoding="utf-8"?>
<sst xmlns="http://schemas.openxmlformats.org/spreadsheetml/2006/main" count="11584" uniqueCount="995">
  <si>
    <t>,</t>
  </si>
  <si>
    <t>Data</t>
  </si>
  <si>
    <t>Descrição</t>
  </si>
  <si>
    <t>Tipo</t>
  </si>
  <si>
    <t>Categoria</t>
  </si>
  <si>
    <t>Conta</t>
  </si>
  <si>
    <t>Forma de pagamento</t>
  </si>
  <si>
    <t>Valor</t>
  </si>
  <si>
    <t>Obs</t>
  </si>
  <si>
    <t>Mês</t>
  </si>
  <si>
    <t>Saldo acumulado</t>
  </si>
  <si>
    <t>Leite</t>
  </si>
  <si>
    <t>Saída</t>
  </si>
  <si>
    <t>Vendas</t>
  </si>
  <si>
    <t>Caixa</t>
  </si>
  <si>
    <t>Dinheiro</t>
  </si>
  <si>
    <t>Tortelli</t>
  </si>
  <si>
    <t>Banco Principal</t>
  </si>
  <si>
    <t xml:space="preserve">Ecila </t>
  </si>
  <si>
    <t>Matéria Prima</t>
  </si>
  <si>
    <t>Entrada</t>
  </si>
  <si>
    <t>Vendas Ifood</t>
  </si>
  <si>
    <t>Vendas iFood</t>
  </si>
  <si>
    <t>Motoboy</t>
  </si>
  <si>
    <t>iFood</t>
  </si>
  <si>
    <t>Pix</t>
  </si>
  <si>
    <t>Faxina</t>
  </si>
  <si>
    <t>Salário</t>
  </si>
  <si>
    <t xml:space="preserve">Canteiros ( reembolsar) </t>
  </si>
  <si>
    <t>Manutenção</t>
  </si>
  <si>
    <t xml:space="preserve">Vendas </t>
  </si>
  <si>
    <t>Frutas</t>
  </si>
  <si>
    <t>Folga Luany</t>
  </si>
  <si>
    <t>Freelancer</t>
  </si>
  <si>
    <t>Vebdas Ifood</t>
  </si>
  <si>
    <t>Motoby</t>
  </si>
  <si>
    <t xml:space="preserve">Extra Nathalia (já tinha pago, mandei pra conta Tais) </t>
  </si>
  <si>
    <t xml:space="preserve">Croissant </t>
  </si>
  <si>
    <t xml:space="preserve">Aluguel </t>
  </si>
  <si>
    <t>CustoFixo</t>
  </si>
  <si>
    <t xml:space="preserve">IPTU </t>
  </si>
  <si>
    <t xml:space="preserve">Alarme </t>
  </si>
  <si>
    <t xml:space="preserve">Polar </t>
  </si>
  <si>
    <t xml:space="preserve">Riber </t>
  </si>
  <si>
    <t xml:space="preserve">Vendas iFood </t>
  </si>
  <si>
    <t xml:space="preserve">Motoboy </t>
  </si>
  <si>
    <t>Visão geral</t>
  </si>
  <si>
    <t>Entradas</t>
  </si>
  <si>
    <t>Saídas</t>
  </si>
  <si>
    <t>Saldo</t>
  </si>
  <si>
    <t>Entradas no mês</t>
  </si>
  <si>
    <t>Saídas no mês</t>
  </si>
  <si>
    <t>Saldo no mês</t>
  </si>
  <si>
    <t>NOVEMBRO</t>
  </si>
  <si>
    <t>2025-11</t>
  </si>
  <si>
    <t>Vendas - IFood</t>
  </si>
  <si>
    <t>Salario</t>
  </si>
  <si>
    <t>Custo FIxo</t>
  </si>
  <si>
    <t>Impostos</t>
  </si>
  <si>
    <t>Materia Prima</t>
  </si>
  <si>
    <t>Frete</t>
  </si>
  <si>
    <t>Cartão de Crédito</t>
  </si>
  <si>
    <t>Mat Consumo</t>
  </si>
  <si>
    <t>iFood - Moto</t>
  </si>
  <si>
    <t>Contabilidade</t>
  </si>
  <si>
    <t>Demissão</t>
  </si>
  <si>
    <t>Royalt</t>
  </si>
  <si>
    <t>Papelaria</t>
  </si>
  <si>
    <t>Marketing</t>
  </si>
  <si>
    <t>TOTAL</t>
  </si>
  <si>
    <t>DEZEMBRO</t>
  </si>
  <si>
    <t>2025-12</t>
  </si>
  <si>
    <t>JANEIRO</t>
  </si>
  <si>
    <t>Celso</t>
  </si>
  <si>
    <t>FEVEREIRO</t>
  </si>
  <si>
    <t>MARÇO</t>
  </si>
  <si>
    <t>ABRIL</t>
  </si>
  <si>
    <t>MAIO</t>
  </si>
  <si>
    <t>JUNHO</t>
  </si>
  <si>
    <t>JULHO</t>
  </si>
  <si>
    <t>Item</t>
  </si>
  <si>
    <t>Qt</t>
  </si>
  <si>
    <t>Produção</t>
  </si>
  <si>
    <t xml:space="preserve">Acucar mascavo </t>
  </si>
  <si>
    <t>Açúcar invertido</t>
  </si>
  <si>
    <t>Prod Atendimento</t>
  </si>
  <si>
    <t>Agua c/ gás</t>
  </si>
  <si>
    <t>Supermercado</t>
  </si>
  <si>
    <t>Açúcar confeiteiro</t>
  </si>
  <si>
    <t>Embalagens</t>
  </si>
  <si>
    <t>Copo G</t>
  </si>
  <si>
    <t>fechados</t>
  </si>
  <si>
    <t>Amarena</t>
  </si>
  <si>
    <t>Água sem gás</t>
  </si>
  <si>
    <t>Açúcar cristal</t>
  </si>
  <si>
    <t>em uso</t>
  </si>
  <si>
    <t>Amêndoa</t>
  </si>
  <si>
    <t>Café</t>
  </si>
  <si>
    <t>Açúcar refinado</t>
  </si>
  <si>
    <t>Copo M</t>
  </si>
  <si>
    <t>Avelã grao</t>
  </si>
  <si>
    <t>Canudo</t>
  </si>
  <si>
    <t>1 pacote</t>
  </si>
  <si>
    <t>Creme de leite caixinha</t>
  </si>
  <si>
    <t>Base 6</t>
  </si>
  <si>
    <t>Desmoldante</t>
  </si>
  <si>
    <t>Leite de coco</t>
  </si>
  <si>
    <t>Copo P</t>
  </si>
  <si>
    <t>Base fruta Milk free</t>
  </si>
  <si>
    <t>Gás sifão</t>
  </si>
  <si>
    <t>2caixas</t>
  </si>
  <si>
    <t>Óleo</t>
  </si>
  <si>
    <t>Base G creme</t>
  </si>
  <si>
    <t>Guardanapo</t>
  </si>
  <si>
    <t>Sal</t>
  </si>
  <si>
    <t>Delivery 0,5 litro</t>
  </si>
  <si>
    <t>caixa em uso</t>
  </si>
  <si>
    <t>Base G fruta</t>
  </si>
  <si>
    <t>1 em uso</t>
  </si>
  <si>
    <t>Farinha de trigo</t>
  </si>
  <si>
    <t>fechada</t>
  </si>
  <si>
    <t>Bombom Mescla</t>
  </si>
  <si>
    <t>Bombom Pasta</t>
  </si>
  <si>
    <t>Baunilha Franch</t>
  </si>
  <si>
    <t>Nutella</t>
  </si>
  <si>
    <t>Delivery 0,80 ml</t>
  </si>
  <si>
    <t>Brunela Caramelo</t>
  </si>
  <si>
    <t>Cacau Vermelho</t>
  </si>
  <si>
    <t>Blend</t>
  </si>
  <si>
    <t>Paçoquita</t>
  </si>
  <si>
    <t>Delivery 1 litro</t>
  </si>
  <si>
    <t>Canela</t>
  </si>
  <si>
    <t>Pazinha degustação</t>
  </si>
  <si>
    <t>Caramelo Salgado pó</t>
  </si>
  <si>
    <t>Delivery 180 ml</t>
  </si>
  <si>
    <t>Caramelo salgado crispy</t>
  </si>
  <si>
    <t>Pazinha gelato</t>
  </si>
  <si>
    <t>Delivery 300 ml</t>
  </si>
  <si>
    <t>Castanha de caju</t>
  </si>
  <si>
    <t>Sacola maior</t>
  </si>
  <si>
    <t>Choc branco</t>
  </si>
  <si>
    <t>Creme Chantilly</t>
  </si>
  <si>
    <t>Sacola menor</t>
  </si>
  <si>
    <t>Choc meio amargo</t>
  </si>
  <si>
    <t>Creme cheesecake</t>
  </si>
  <si>
    <t>Crock Dubai</t>
  </si>
  <si>
    <t>Creme Noce</t>
  </si>
  <si>
    <t>Coco</t>
  </si>
  <si>
    <t>Creme pistache diamante</t>
  </si>
  <si>
    <t>Doce de leite</t>
  </si>
  <si>
    <t>Fecula</t>
  </si>
  <si>
    <t>Fibra Plus</t>
  </si>
  <si>
    <t>Fikissimo</t>
  </si>
  <si>
    <t>Fior di Arancia</t>
  </si>
  <si>
    <t>Fio di bosco</t>
  </si>
  <si>
    <t>Fio di maracujá</t>
  </si>
  <si>
    <t>Gianduia</t>
  </si>
  <si>
    <t>Glucose</t>
  </si>
  <si>
    <t>La Cubaneira</t>
  </si>
  <si>
    <t>Iogumix</t>
  </si>
  <si>
    <t>Leite condensado</t>
  </si>
  <si>
    <t>Leite em pó</t>
  </si>
  <si>
    <t>Limone Fabri</t>
  </si>
  <si>
    <t>Mandorla</t>
  </si>
  <si>
    <t>Mescla Pipoca</t>
  </si>
  <si>
    <t>Mesclado latissimo</t>
  </si>
  <si>
    <t>Nozes</t>
  </si>
  <si>
    <t>Ouro Branco</t>
  </si>
  <si>
    <t>Ovomaline</t>
  </si>
  <si>
    <t>Pasta Café</t>
  </si>
  <si>
    <t>Pasta amendoim</t>
  </si>
  <si>
    <t>Pasta Pipoca</t>
  </si>
  <si>
    <t>Pasta avelã</t>
  </si>
  <si>
    <t>Pasta Kitkat</t>
  </si>
  <si>
    <t>Pasta fragola</t>
  </si>
  <si>
    <t>Pasta pistache verde</t>
  </si>
  <si>
    <t>Pistache grão</t>
  </si>
  <si>
    <t>Quarquimix</t>
  </si>
  <si>
    <t>Quella/Brunella</t>
  </si>
  <si>
    <t>Stracciatella branca</t>
  </si>
  <si>
    <t>Stracciatella latissimo</t>
  </si>
  <si>
    <t>Sonho de Valsa</t>
  </si>
  <si>
    <t>Stracciatella Meio amargo</t>
  </si>
  <si>
    <t>Trufa branca</t>
  </si>
  <si>
    <t>Cartão Crédito</t>
  </si>
  <si>
    <t>Total Nov</t>
  </si>
  <si>
    <t>Gancho para corda</t>
  </si>
  <si>
    <t>Abc (acucar fino + oleo)</t>
  </si>
  <si>
    <t>Abc (saco de lixo)</t>
  </si>
  <si>
    <t>Pilha</t>
  </si>
  <si>
    <t>Papelaria- Clipe</t>
  </si>
  <si>
    <t>Bodevan</t>
  </si>
  <si>
    <t xml:space="preserve">Abc </t>
  </si>
  <si>
    <t xml:space="preserve">Shop ( delivery e tapetinho) </t>
  </si>
  <si>
    <t>Abc</t>
  </si>
  <si>
    <t xml:space="preserve">Bodevan, papel toalha, saquinhos e pote brownie </t>
  </si>
  <si>
    <t xml:space="preserve">Goiabada cremosa </t>
  </si>
  <si>
    <t xml:space="preserve">Bobina fiscal </t>
  </si>
  <si>
    <t xml:space="preserve">Carrossel </t>
  </si>
  <si>
    <t>Pote pazinhas</t>
  </si>
  <si>
    <t xml:space="preserve">Queijo </t>
  </si>
  <si>
    <t xml:space="preserve">Abc cappuccino </t>
  </si>
  <si>
    <t>cupom ifood</t>
  </si>
  <si>
    <t xml:space="preserve">Crédito </t>
  </si>
  <si>
    <t xml:space="preserve">Carrossel, manteiga e ovo </t>
  </si>
  <si>
    <t xml:space="preserve">Defletor para ar + novo código consumidor </t>
  </si>
  <si>
    <t xml:space="preserve">Copinhos na shop </t>
  </si>
  <si>
    <t xml:space="preserve">Cartão novo nubank. </t>
  </si>
  <si>
    <t xml:space="preserve">Tiarinhas carnaval </t>
  </si>
  <si>
    <t xml:space="preserve">Copinhos shop </t>
  </si>
  <si>
    <t xml:space="preserve">Bandaid </t>
  </si>
  <si>
    <t xml:space="preserve">Caixas p bolachinhas e cascões </t>
  </si>
  <si>
    <t xml:space="preserve">Lâmpadas varal deck </t>
  </si>
  <si>
    <t>Pinga Doces Da Vovo</t>
  </si>
  <si>
    <t>Amendoim</t>
  </si>
  <si>
    <t xml:space="preserve">Trem pro carnaval </t>
  </si>
  <si>
    <t xml:space="preserve">Ferramenta p cascata </t>
  </si>
  <si>
    <t xml:space="preserve">Enfeite carnaval </t>
  </si>
  <si>
    <t>Bodevan (papel toalha e higienico)</t>
  </si>
  <si>
    <t xml:space="preserve">Caixinha funcionários </t>
  </si>
  <si>
    <t>Pote delivery shop</t>
  </si>
  <si>
    <t xml:space="preserve">Abc, desintupidor </t>
  </si>
  <si>
    <t>abc, compras</t>
  </si>
  <si>
    <t xml:space="preserve">Fonte led </t>
  </si>
  <si>
    <t xml:space="preserve">Papelaria </t>
  </si>
  <si>
    <t xml:space="preserve">Tapete pra Cuba </t>
  </si>
  <si>
    <t>Shop, copinho 2 sabores delivery</t>
  </si>
  <si>
    <t xml:space="preserve">Shop copinhos delivery 3 sabores </t>
  </si>
  <si>
    <t>paplearia fita cola tudo</t>
  </si>
  <si>
    <t>papelaria, quadrinho, canetas, papel rascunho, grampeador</t>
  </si>
  <si>
    <t>farmacia, bandaid e luva</t>
  </si>
  <si>
    <t>bodeva, papel higienico, colherzinha, guardanapo, forminha pascoa</t>
  </si>
  <si>
    <t xml:space="preserve">Tela cascata </t>
  </si>
  <si>
    <t>abc</t>
  </si>
  <si>
    <t>coelhinhos decor</t>
  </si>
  <si>
    <t>2x</t>
  </si>
  <si>
    <t xml:space="preserve">carrosel cafe </t>
  </si>
  <si>
    <t xml:space="preserve">Pão de queijo café reunião </t>
  </si>
  <si>
    <t xml:space="preserve">Papelaria quadrinhos </t>
  </si>
  <si>
    <t xml:space="preserve">Máquina de lavar shop </t>
  </si>
  <si>
    <t>papelaria</t>
  </si>
  <si>
    <t>mel</t>
  </si>
  <si>
    <t>bolacha</t>
  </si>
  <si>
    <t xml:space="preserve">Copinhos 80 ml shop </t>
  </si>
  <si>
    <t xml:space="preserve">granulado </t>
  </si>
  <si>
    <t xml:space="preserve">Manteiga abc </t>
  </si>
  <si>
    <t xml:space="preserve">Luva Cascao </t>
  </si>
  <si>
    <t>lavadora</t>
  </si>
  <si>
    <t xml:space="preserve">Pote para Pacoquita </t>
  </si>
  <si>
    <t xml:space="preserve">Paçoca carrossel </t>
  </si>
  <si>
    <t xml:space="preserve">Paçoca e suspiro </t>
  </si>
  <si>
    <t>Bobina Fiscal Mercado Livre</t>
  </si>
  <si>
    <t>Abc - IFOOD</t>
  </si>
  <si>
    <t xml:space="preserve">Bodevan </t>
  </si>
  <si>
    <t>farmacia (luva + bandaid)</t>
  </si>
  <si>
    <t>copia chave</t>
  </si>
  <si>
    <t>padaria san remo</t>
  </si>
  <si>
    <t>ABC - IFOOD</t>
  </si>
  <si>
    <t>biscoito para tiramisu</t>
  </si>
  <si>
    <t>balanca, garrafa de cafe e leiteira</t>
  </si>
  <si>
    <t xml:space="preserve">Fita dupla face </t>
  </si>
  <si>
    <t xml:space="preserve">Porta detergente </t>
  </si>
  <si>
    <t xml:space="preserve">Geleia Me Lambuzei </t>
  </si>
  <si>
    <t>Pé de moleque</t>
  </si>
  <si>
    <t>doce de abobora</t>
  </si>
  <si>
    <t>Detergente</t>
  </si>
  <si>
    <t xml:space="preserve">Bodevan coleirinhas </t>
  </si>
  <si>
    <t>abc detergente</t>
  </si>
  <si>
    <t>cola no chines</t>
  </si>
  <si>
    <t>carrossel</t>
  </si>
  <si>
    <t xml:space="preserve">abc </t>
  </si>
  <si>
    <t>mercado livre, nibs de cacau</t>
  </si>
  <si>
    <t>Pote 80ml shopp</t>
  </si>
  <si>
    <t>Padaria, cafe reunião</t>
  </si>
  <si>
    <t xml:space="preserve">Copinhos 2 sabores shop </t>
  </si>
  <si>
    <t>Março</t>
  </si>
  <si>
    <t>Abril</t>
  </si>
  <si>
    <t>Maio</t>
  </si>
  <si>
    <t xml:space="preserve">Junho </t>
  </si>
  <si>
    <t>Julho</t>
  </si>
  <si>
    <t>Agosto</t>
  </si>
  <si>
    <t>Diniz</t>
  </si>
  <si>
    <t>Riber</t>
  </si>
  <si>
    <t>Polar</t>
  </si>
  <si>
    <t>Mec 3</t>
  </si>
  <si>
    <t xml:space="preserve">Mec 3 </t>
  </si>
  <si>
    <t>Guardanapos</t>
  </si>
  <si>
    <t>Ecila</t>
  </si>
  <si>
    <t xml:space="preserve">Diniz </t>
  </si>
  <si>
    <t xml:space="preserve">Frete mec 3 </t>
  </si>
  <si>
    <t xml:space="preserve">Unigra </t>
  </si>
  <si>
    <t>MEC 3</t>
  </si>
  <si>
    <t xml:space="preserve">Boleto odontológico </t>
  </si>
  <si>
    <t>Unigra</t>
  </si>
  <si>
    <t>Castanha</t>
  </si>
  <si>
    <t>Morango</t>
  </si>
  <si>
    <t>ICMS</t>
  </si>
  <si>
    <t>1/3 unigra</t>
  </si>
  <si>
    <t>Pregel</t>
  </si>
  <si>
    <t>Andaluz</t>
  </si>
  <si>
    <t xml:space="preserve">DARF </t>
  </si>
  <si>
    <t>Diniz(Thales)</t>
  </si>
  <si>
    <t>Ecila (+ Thales)</t>
  </si>
  <si>
    <t>Sistema</t>
  </si>
  <si>
    <t xml:space="preserve">Tráfego pago </t>
  </si>
  <si>
    <t xml:space="preserve">FGTS </t>
  </si>
  <si>
    <t xml:space="preserve">Simples </t>
  </si>
  <si>
    <t>Venda de produto</t>
  </si>
  <si>
    <t>IFood</t>
  </si>
  <si>
    <t>Boleto Unigra</t>
  </si>
  <si>
    <t>Luz e água mês 10</t>
  </si>
  <si>
    <t>Inteirar luz e água mês 10</t>
  </si>
  <si>
    <t>Venda de produtos</t>
  </si>
  <si>
    <t>Boleto</t>
  </si>
  <si>
    <t xml:space="preserve">Boleto </t>
  </si>
  <si>
    <t xml:space="preserve">Vale alimentação </t>
  </si>
  <si>
    <t>Impressão  PAPELARIA</t>
  </si>
  <si>
    <t>Impressão Holerite</t>
  </si>
  <si>
    <t xml:space="preserve">IFood </t>
  </si>
  <si>
    <t xml:space="preserve">Boleto alarme </t>
  </si>
  <si>
    <t>2024-11</t>
  </si>
  <si>
    <t>Aluguel</t>
  </si>
  <si>
    <t>IPTU</t>
  </si>
  <si>
    <t xml:space="preserve">Boleto fruta congelada </t>
  </si>
  <si>
    <t xml:space="preserve">Exame demissional </t>
  </si>
  <si>
    <t xml:space="preserve">Exame demissional Adriana </t>
  </si>
  <si>
    <t xml:space="preserve">Carrão de crédito </t>
  </si>
  <si>
    <t>Cartao de Credito</t>
  </si>
  <si>
    <t xml:space="preserve">Tudo que compro no crédito </t>
  </si>
  <si>
    <t xml:space="preserve">Estava no cartão de crédito </t>
  </si>
  <si>
    <t xml:space="preserve">Vendas do dia </t>
  </si>
  <si>
    <t>IFood vendas</t>
  </si>
  <si>
    <t>Cubas</t>
  </si>
  <si>
    <t>Paguei a Cubas</t>
  </si>
  <si>
    <t>06/11/0205</t>
  </si>
  <si>
    <t xml:space="preserve">IFood vendas </t>
  </si>
  <si>
    <t>0205-11</t>
  </si>
  <si>
    <t xml:space="preserve">Salários </t>
  </si>
  <si>
    <t>freelancer</t>
  </si>
  <si>
    <t xml:space="preserve">Freelance </t>
  </si>
  <si>
    <t xml:space="preserve">Royalt + marketing </t>
  </si>
  <si>
    <t>Moça Faxina</t>
  </si>
  <si>
    <t>Salário Tais</t>
  </si>
  <si>
    <t>Ainda falta 1.5000</t>
  </si>
  <si>
    <t>Boleto Polar</t>
  </si>
  <si>
    <t xml:space="preserve">Plano saúde boleto </t>
  </si>
  <si>
    <t>leite</t>
  </si>
  <si>
    <t>1125-11-01</t>
  </si>
  <si>
    <t xml:space="preserve">Boleto Unigra </t>
  </si>
  <si>
    <t>1125-11</t>
  </si>
  <si>
    <t xml:space="preserve">Boleto Ecila </t>
  </si>
  <si>
    <t>Boleto Mec 3</t>
  </si>
  <si>
    <t>Boleto Riber</t>
  </si>
  <si>
    <t xml:space="preserve">Boleto Andaluz </t>
  </si>
  <si>
    <t xml:space="preserve">Boleto Diniz </t>
  </si>
  <si>
    <t xml:space="preserve">Vendas IFood </t>
  </si>
  <si>
    <t>FGTS</t>
  </si>
  <si>
    <t xml:space="preserve">Venda iFood </t>
  </si>
  <si>
    <t xml:space="preserve">Maracujá </t>
  </si>
  <si>
    <t xml:space="preserve">Canequinha para pazinhas </t>
  </si>
  <si>
    <t>motoboy</t>
  </si>
  <si>
    <t>vendas</t>
  </si>
  <si>
    <t>vendasifood</t>
  </si>
  <si>
    <t>Praline</t>
  </si>
  <si>
    <t xml:space="preserve">Restante salário Tais </t>
  </si>
  <si>
    <t>Copinhos</t>
  </si>
  <si>
    <t xml:space="preserve">Água </t>
  </si>
  <si>
    <t xml:space="preserve">Internet </t>
  </si>
  <si>
    <t xml:space="preserve">Boleto Plano odontológico </t>
  </si>
  <si>
    <t xml:space="preserve">Boleto Riber </t>
  </si>
  <si>
    <t xml:space="preserve">Creme de leite </t>
  </si>
  <si>
    <t>Boleto Guardanapo</t>
  </si>
  <si>
    <t>Vendas do dia</t>
  </si>
  <si>
    <t xml:space="preserve">Copinhos natal </t>
  </si>
  <si>
    <t>Boleto DARF</t>
  </si>
  <si>
    <t xml:space="preserve">Extra cascão Luany </t>
  </si>
  <si>
    <t xml:space="preserve">Adiantamento Luany </t>
  </si>
  <si>
    <t xml:space="preserve">Adiantamento Bruna </t>
  </si>
  <si>
    <t>2022-11</t>
  </si>
  <si>
    <t>Adiantamento Nathalia</t>
  </si>
  <si>
    <t>Boleto Andaluz</t>
  </si>
  <si>
    <t>Acerto Adriana</t>
  </si>
  <si>
    <t>FGTS recisao Adriana</t>
  </si>
  <si>
    <t xml:space="preserve">Vendad do dia </t>
  </si>
  <si>
    <t>Pano de Prato</t>
  </si>
  <si>
    <t>Freelancer (110+120+35)</t>
  </si>
  <si>
    <t>Paguei na verdade dia 24/11</t>
  </si>
  <si>
    <t xml:space="preserve">Simples Nacional </t>
  </si>
  <si>
    <t xml:space="preserve">Frete copinhos </t>
  </si>
  <si>
    <t xml:space="preserve">Boleto Pregel </t>
  </si>
  <si>
    <t xml:space="preserve">Boleto Polar </t>
  </si>
  <si>
    <t>Frete copinhos Natal</t>
  </si>
  <si>
    <t>Boleto Brastec(papeltoalha)</t>
  </si>
  <si>
    <t>Boleto riber</t>
  </si>
  <si>
    <t xml:space="preserve">Boleto riber </t>
  </si>
  <si>
    <t xml:space="preserve">Boleto frutas </t>
  </si>
  <si>
    <t>13 pessoal</t>
  </si>
  <si>
    <t>1899-12</t>
  </si>
  <si>
    <t>Caixa_Novembro_25</t>
  </si>
  <si>
    <t>Caixa_mes_anterior</t>
  </si>
  <si>
    <t xml:space="preserve">Boleto sistema </t>
  </si>
  <si>
    <t xml:space="preserve">Leite </t>
  </si>
  <si>
    <t xml:space="preserve">Peça da máquina produtora </t>
  </si>
  <si>
    <t xml:space="preserve">Tráfego Pago </t>
  </si>
  <si>
    <t xml:space="preserve">Tortelli </t>
  </si>
  <si>
    <t>Boleto Ecila</t>
  </si>
  <si>
    <t xml:space="preserve">Boleto Mec 3 </t>
  </si>
  <si>
    <t xml:space="preserve">Creme de Leite </t>
  </si>
  <si>
    <t xml:space="preserve">Supermercado </t>
  </si>
  <si>
    <t xml:space="preserve">Impressão holerite </t>
  </si>
  <si>
    <t xml:space="preserve">Boleto Alarme </t>
  </si>
  <si>
    <t>Venda Ifood</t>
  </si>
  <si>
    <t>Salario Pessoal</t>
  </si>
  <si>
    <t>Cartão de credito</t>
  </si>
  <si>
    <t xml:space="preserve">Restante cubas </t>
  </si>
  <si>
    <t xml:space="preserve">Frutas </t>
  </si>
  <si>
    <t xml:space="preserve">Tráfego pago cartão de crédito </t>
  </si>
  <si>
    <t xml:space="preserve">Luz e água </t>
  </si>
  <si>
    <t xml:space="preserve">Boleto pregel </t>
  </si>
  <si>
    <t xml:space="preserve">Boleto andaluz </t>
  </si>
  <si>
    <t xml:space="preserve">Salário Tais </t>
  </si>
  <si>
    <t xml:space="preserve">Águas </t>
  </si>
  <si>
    <t xml:space="preserve">Royalty </t>
  </si>
  <si>
    <t xml:space="preserve">Marketing </t>
  </si>
  <si>
    <t>2002-12</t>
  </si>
  <si>
    <t>Conserto liquidificador</t>
  </si>
  <si>
    <t>COnserto liquidificador</t>
  </si>
  <si>
    <t>Vendas do Ifood</t>
  </si>
  <si>
    <t>Vale Luany</t>
  </si>
  <si>
    <t>Restante salario Tais</t>
  </si>
  <si>
    <t xml:space="preserve">Seguro de Vida </t>
  </si>
  <si>
    <t xml:space="preserve">Contabilidade </t>
  </si>
  <si>
    <t>Internet</t>
  </si>
  <si>
    <t xml:space="preserve">Plano odontológico </t>
  </si>
  <si>
    <t>15/15/25</t>
  </si>
  <si>
    <t xml:space="preserve">Boleto morango </t>
  </si>
  <si>
    <t xml:space="preserve">Vendas ifood </t>
  </si>
  <si>
    <t>Vale</t>
  </si>
  <si>
    <t>13 salário</t>
  </si>
  <si>
    <t>13 Tais</t>
  </si>
  <si>
    <t xml:space="preserve">Extra Luany Cascao </t>
  </si>
  <si>
    <t>DARF 13</t>
  </si>
  <si>
    <t xml:space="preserve">Boleto Unigra  </t>
  </si>
  <si>
    <t xml:space="preserve">ICMS </t>
  </si>
  <si>
    <t>22/12-25</t>
  </si>
  <si>
    <t xml:space="preserve">DAS </t>
  </si>
  <si>
    <t>2025-12/22</t>
  </si>
  <si>
    <t xml:space="preserve">Boleto riber  </t>
  </si>
  <si>
    <t>23-12/25</t>
  </si>
  <si>
    <t>2024-12</t>
  </si>
  <si>
    <t xml:space="preserve">Agua </t>
  </si>
  <si>
    <t xml:space="preserve">Freelancer Produção de quarta </t>
  </si>
  <si>
    <t xml:space="preserve">Extra cascão e bolachinha </t>
  </si>
  <si>
    <t>Carrossel (leite e ouro branco)</t>
  </si>
  <si>
    <t>(200 dinheiro e 48.76 pix)</t>
  </si>
  <si>
    <t xml:space="preserve">Papel toalha </t>
  </si>
  <si>
    <t xml:space="preserve">Extra cascão </t>
  </si>
  <si>
    <t>29/15/25</t>
  </si>
  <si>
    <t>Henrique - Trafego Pago</t>
  </si>
  <si>
    <t>Boleto Riberdoce</t>
  </si>
  <si>
    <t>Vale Transporte Natalia</t>
  </si>
  <si>
    <t>2026-01</t>
  </si>
  <si>
    <t>Celso Boleto</t>
  </si>
  <si>
    <t>Celso Pix</t>
  </si>
  <si>
    <t>2026-02</t>
  </si>
  <si>
    <t>Boleto Potes Delivery</t>
  </si>
  <si>
    <t>Frutas Congeladas</t>
  </si>
  <si>
    <t>Creme de Leite</t>
  </si>
  <si>
    <t>Trafego Pago</t>
  </si>
  <si>
    <t>Boleto Mec3</t>
  </si>
  <si>
    <t>Boleto Alarme</t>
  </si>
  <si>
    <t>Boleto Pregel</t>
  </si>
  <si>
    <t xml:space="preserve">Frete guardanapos </t>
  </si>
  <si>
    <t>Salarios</t>
  </si>
  <si>
    <t>Salario Tais</t>
  </si>
  <si>
    <t>2021-01</t>
  </si>
  <si>
    <t>2025-01</t>
  </si>
  <si>
    <t>Vendas ifood</t>
  </si>
  <si>
    <t xml:space="preserve">Boleto Pazotti </t>
  </si>
  <si>
    <t xml:space="preserve">Fabi faxina </t>
  </si>
  <si>
    <t xml:space="preserve">Patrícia Faxina </t>
  </si>
  <si>
    <t>Seguro de vida</t>
  </si>
  <si>
    <t xml:space="preserve">Liquidificador </t>
  </si>
  <si>
    <t>1956-01</t>
  </si>
  <si>
    <t xml:space="preserve">Creme de leite e lâmpada </t>
  </si>
  <si>
    <t>Boleto potes delivery</t>
  </si>
  <si>
    <t>Freelancer Luany</t>
  </si>
  <si>
    <t>Vendas Ifoood</t>
  </si>
  <si>
    <t xml:space="preserve">Papel Higienico </t>
  </si>
  <si>
    <t>Creme de leite</t>
  </si>
  <si>
    <t>Dedetização</t>
  </si>
  <si>
    <t>Leite mercado</t>
  </si>
  <si>
    <t>Freelancer Mau fds</t>
  </si>
  <si>
    <t>Impressao</t>
  </si>
  <si>
    <t>Acerto Iris</t>
  </si>
  <si>
    <t xml:space="preserve">Freelancer </t>
  </si>
  <si>
    <t>Rafaela Teste</t>
  </si>
  <si>
    <t>Adiantamento</t>
  </si>
  <si>
    <t xml:space="preserve">Limpeza dos ares </t>
  </si>
  <si>
    <t>Icms</t>
  </si>
  <si>
    <t>Fgts</t>
  </si>
  <si>
    <t>Darf</t>
  </si>
  <si>
    <t>Das</t>
  </si>
  <si>
    <t>Vendas  ifood</t>
  </si>
  <si>
    <t>Vale Tais</t>
  </si>
  <si>
    <t>Frete Copinhos</t>
  </si>
  <si>
    <t>Boleto Morango</t>
  </si>
  <si>
    <t>Exame Admissonal Rafaela</t>
  </si>
  <si>
    <t>Conserto peca produtora</t>
  </si>
  <si>
    <t>foi no dia 21, lancei dia 22</t>
  </si>
  <si>
    <t>Motooboy</t>
  </si>
  <si>
    <t xml:space="preserve">Conserto liquidificador </t>
  </si>
  <si>
    <t>Dias Rafaela teste</t>
  </si>
  <si>
    <t>Mooboy</t>
  </si>
  <si>
    <t>2002-01</t>
  </si>
  <si>
    <t>Freelancer (Ju 105 + 55 Rafala teste)</t>
  </si>
  <si>
    <t xml:space="preserve">Leite b </t>
  </si>
  <si>
    <t xml:space="preserve">Luz e agua </t>
  </si>
  <si>
    <t xml:space="preserve">boleto Ecila </t>
  </si>
  <si>
    <t xml:space="preserve">Sistema </t>
  </si>
  <si>
    <t xml:space="preserve">Vale transporte Nathalia </t>
  </si>
  <si>
    <t>Art Geovana</t>
  </si>
  <si>
    <t xml:space="preserve">Henrique </t>
  </si>
  <si>
    <t>Dias Amanda teste</t>
  </si>
  <si>
    <t xml:space="preserve">Exame adimissional </t>
  </si>
  <si>
    <t xml:space="preserve">Plaquinha e adesivo </t>
  </si>
  <si>
    <t>Agua</t>
  </si>
  <si>
    <t>Boleto mec 3</t>
  </si>
  <si>
    <t xml:space="preserve">Paçoca </t>
  </si>
  <si>
    <t xml:space="preserve">Salarios </t>
  </si>
  <si>
    <t>Salrio Tais</t>
  </si>
  <si>
    <t xml:space="preserve">Cartão </t>
  </si>
  <si>
    <t>Amanda teste</t>
  </si>
  <si>
    <t xml:space="preserve">Conserto ar condicionado </t>
  </si>
  <si>
    <t xml:space="preserve">Baldes 50 litros </t>
  </si>
  <si>
    <t>Boleto Seguro de vida</t>
  </si>
  <si>
    <t>Banner</t>
  </si>
  <si>
    <t>Pazinhas Thales</t>
  </si>
  <si>
    <t xml:space="preserve">Boleto. Andaluz </t>
  </si>
  <si>
    <t xml:space="preserve">Uniformes </t>
  </si>
  <si>
    <t>Luanny</t>
  </si>
  <si>
    <t>Cachaça</t>
  </si>
  <si>
    <t>Farmacia bandaid e curativo</t>
  </si>
  <si>
    <t xml:space="preserve">Cascão </t>
  </si>
  <si>
    <t>Boleto Internet</t>
  </si>
  <si>
    <t>Boleto Licença Funcionamento</t>
  </si>
  <si>
    <t xml:space="preserve">Adiantamento </t>
  </si>
  <si>
    <t>DARF</t>
  </si>
  <si>
    <t xml:space="preserve">Carlinhos arrumou estante e portas </t>
  </si>
  <si>
    <t xml:space="preserve">Bolo e refri meninas </t>
  </si>
  <si>
    <t xml:space="preserve">Limpeza máquinas </t>
  </si>
  <si>
    <t xml:space="preserve">Conserto ar </t>
  </si>
  <si>
    <t xml:space="preserve">Boleto mec 3 </t>
  </si>
  <si>
    <t>Boleto Mec 3plaqui</t>
  </si>
  <si>
    <t>Bolo aniversario</t>
  </si>
  <si>
    <t xml:space="preserve">Plaquinha gelato </t>
  </si>
  <si>
    <t xml:space="preserve">Ibérica </t>
  </si>
  <si>
    <t>Cairé ( fonte e luzinhas)</t>
  </si>
  <si>
    <t xml:space="preserve">Cartão de crédito </t>
  </si>
  <si>
    <t xml:space="preserve">Vale transporte </t>
  </si>
  <si>
    <t xml:space="preserve">Cafés </t>
  </si>
  <si>
    <t>Vidro Vitrine</t>
  </si>
  <si>
    <t xml:space="preserve">Entrada flores para dia das mulheres </t>
  </si>
  <si>
    <t xml:space="preserve">Refil carimbo fidelidade </t>
  </si>
  <si>
    <t>Vale Alimentação</t>
  </si>
  <si>
    <t>2023-02</t>
  </si>
  <si>
    <t>2026-03</t>
  </si>
  <si>
    <t xml:space="preserve">Faxina </t>
  </si>
  <si>
    <t>Boleto polar (Thales)</t>
  </si>
  <si>
    <t xml:space="preserve">Luz + água </t>
  </si>
  <si>
    <t xml:space="preserve">Adesivo </t>
  </si>
  <si>
    <t xml:space="preserve">Adesivos </t>
  </si>
  <si>
    <t xml:space="preserve">Cartão de crédito restante </t>
  </si>
  <si>
    <t xml:space="preserve">Restante dias Amanda </t>
  </si>
  <si>
    <t>Frete Mec 3</t>
  </si>
  <si>
    <t xml:space="preserve">Simples do mês de fevereiro </t>
  </si>
  <si>
    <t>Aguas</t>
  </si>
  <si>
    <t>Plaquinhas</t>
  </si>
  <si>
    <t xml:space="preserve">Boleto Odontológico </t>
  </si>
  <si>
    <t>Arfrye</t>
  </si>
  <si>
    <t xml:space="preserve">Filtro água </t>
  </si>
  <si>
    <t>Boleto Morangos</t>
  </si>
  <si>
    <t>Vendas IFood</t>
  </si>
  <si>
    <t>Frete Castanhas</t>
  </si>
  <si>
    <t>Adiantamentos</t>
  </si>
  <si>
    <t>Coisas Thales vai trazer ( potes, sacos de lixo…)</t>
  </si>
  <si>
    <t>Limpeza Filtro AR</t>
  </si>
  <si>
    <t>Castanha do Brasil</t>
  </si>
  <si>
    <t xml:space="preserve">Chocolate Blend </t>
  </si>
  <si>
    <t xml:space="preserve">Vale Luany </t>
  </si>
  <si>
    <t xml:space="preserve">Certificado digital </t>
  </si>
  <si>
    <t>Enforca gato</t>
  </si>
  <si>
    <t xml:space="preserve">Conserto máquina cascão </t>
  </si>
  <si>
    <t xml:space="preserve">Frutas cenoura </t>
  </si>
  <si>
    <t>2026-04</t>
  </si>
  <si>
    <t>Hora extra Luany</t>
  </si>
  <si>
    <t>Ovinhos meninas</t>
  </si>
  <si>
    <t xml:space="preserve">Pagamento Tais </t>
  </si>
  <si>
    <t xml:space="preserve">Boleto guardanapos </t>
  </si>
  <si>
    <t xml:space="preserve">Pagamentos funcionários </t>
  </si>
  <si>
    <t xml:space="preserve">Castanhas promo </t>
  </si>
  <si>
    <t>Exame Demissional</t>
  </si>
  <si>
    <t>Mel</t>
  </si>
  <si>
    <t xml:space="preserve">Café </t>
  </si>
  <si>
    <t xml:space="preserve">Boleto Seguro de vida </t>
  </si>
  <si>
    <t>Creme de leite de caixinha</t>
  </si>
  <si>
    <t xml:space="preserve">Boleto castanhas </t>
  </si>
  <si>
    <t xml:space="preserve">Boleto Odonto </t>
  </si>
  <si>
    <t xml:space="preserve">Paçoca zero açúcar </t>
  </si>
  <si>
    <t>2025-04</t>
  </si>
  <si>
    <t xml:space="preserve">Demissão Rafaela </t>
  </si>
  <si>
    <t>FOLGA LUANY</t>
  </si>
  <si>
    <t xml:space="preserve">SIMPLES </t>
  </si>
  <si>
    <t>FRutas</t>
  </si>
  <si>
    <t xml:space="preserve">Folga Luany </t>
  </si>
  <si>
    <t>Vale transporte Nathalia</t>
  </si>
  <si>
    <t>Ovo</t>
  </si>
  <si>
    <t>Torteli</t>
  </si>
  <si>
    <t xml:space="preserve">Suspiro </t>
  </si>
  <si>
    <t>Boleto Diniz</t>
  </si>
  <si>
    <t xml:space="preserve">Limão </t>
  </si>
  <si>
    <t>Paflo, lampada e cola</t>
  </si>
  <si>
    <t xml:space="preserve">Luany domingo adiantado </t>
  </si>
  <si>
    <t>Alarme</t>
  </si>
  <si>
    <t>Trafego pago</t>
  </si>
  <si>
    <t xml:space="preserve">Boleto vigilância sanitária </t>
  </si>
  <si>
    <t xml:space="preserve">Dedetizacao </t>
  </si>
  <si>
    <t>Royalty</t>
  </si>
  <si>
    <t>Plano de Saude</t>
  </si>
  <si>
    <t>Adiantamento Tais</t>
  </si>
  <si>
    <t>Moyoboy</t>
  </si>
  <si>
    <t xml:space="preserve">Vendas Ifood </t>
  </si>
  <si>
    <t xml:space="preserve">Boleto odonto </t>
  </si>
  <si>
    <t>Croiassant</t>
  </si>
  <si>
    <t>DAE</t>
  </si>
  <si>
    <t>Adesivo + plaquinha</t>
  </si>
  <si>
    <t>Maracujá</t>
  </si>
  <si>
    <t>Cafés</t>
  </si>
  <si>
    <t>Papelaria (impressoes + fita crepe)</t>
  </si>
  <si>
    <t>VEndas</t>
  </si>
  <si>
    <t>Simples</t>
  </si>
  <si>
    <t xml:space="preserve">Acerto Nathalia </t>
  </si>
  <si>
    <t>35 de Cuba</t>
  </si>
  <si>
    <t xml:space="preserve">Creme de leite Thales doq estou devendo ele </t>
  </si>
  <si>
    <t>Thales produtos q peguei</t>
  </si>
  <si>
    <t>Boleto Ecad</t>
  </si>
  <si>
    <t xml:space="preserve">Creme de Leite  </t>
  </si>
  <si>
    <t>Nathalia extra produção</t>
  </si>
  <si>
    <t xml:space="preserve">Boletos Diniz </t>
  </si>
  <si>
    <t>2026-05</t>
  </si>
  <si>
    <t>Diferenca caixa</t>
  </si>
  <si>
    <t xml:space="preserve">Luz e água mês março </t>
  </si>
  <si>
    <t xml:space="preserve">Morango </t>
  </si>
  <si>
    <t>Impressos</t>
  </si>
  <si>
    <t xml:space="preserve">1/3 férias Tais </t>
  </si>
  <si>
    <t xml:space="preserve">Cubas </t>
  </si>
  <si>
    <t>VEndas Ifood</t>
  </si>
  <si>
    <t xml:space="preserve">Plano odontológico mês 02 </t>
  </si>
  <si>
    <t xml:space="preserve">Royalt </t>
  </si>
  <si>
    <t xml:space="preserve">Seguro de vida </t>
  </si>
  <si>
    <t xml:space="preserve">Boleto polar </t>
  </si>
  <si>
    <t xml:space="preserve">Recisao Rafaela </t>
  </si>
  <si>
    <t>Plaquinha sabor</t>
  </si>
  <si>
    <t>Frete Guardanapos</t>
  </si>
  <si>
    <t>Boleto Amoras</t>
  </si>
  <si>
    <t xml:space="preserve">Odonto </t>
  </si>
  <si>
    <t>Maracuja</t>
  </si>
  <si>
    <t>18/25/26</t>
  </si>
  <si>
    <t>Boleto Ecila (parte thales)</t>
  </si>
  <si>
    <t>SIMPLES</t>
  </si>
  <si>
    <t>Ecad musica</t>
  </si>
  <si>
    <t>Boleto Ecila ( 195,59 Thales)</t>
  </si>
  <si>
    <t xml:space="preserve">Adesivos plaquinhas </t>
  </si>
  <si>
    <t xml:space="preserve">Boleto Diniz 195,69 Thales </t>
  </si>
  <si>
    <t xml:space="preserve">Impressões </t>
  </si>
  <si>
    <t>Sabor</t>
  </si>
  <si>
    <t>Mdd</t>
  </si>
  <si>
    <t>Qtd</t>
  </si>
  <si>
    <t>Proporção em %</t>
  </si>
  <si>
    <t xml:space="preserve">Valor </t>
  </si>
  <si>
    <t xml:space="preserve">Valores da Materia Prima </t>
  </si>
  <si>
    <t>Pistache</t>
  </si>
  <si>
    <t>Gelato</t>
  </si>
  <si>
    <t>Leite Integral Fresco</t>
  </si>
  <si>
    <t>Gramas</t>
  </si>
  <si>
    <t>Peso Prod</t>
  </si>
  <si>
    <t>1 kg</t>
  </si>
  <si>
    <t>Creme de Leite 70%</t>
  </si>
  <si>
    <t xml:space="preserve">1kg </t>
  </si>
  <si>
    <t>Copinho Pequeno</t>
  </si>
  <si>
    <t>Sacarose</t>
  </si>
  <si>
    <t>Copinho Médio</t>
  </si>
  <si>
    <t>5kg</t>
  </si>
  <si>
    <t>Grandissimo</t>
  </si>
  <si>
    <t>Base 6 MEC 3</t>
  </si>
  <si>
    <t>Açúcar fino</t>
  </si>
  <si>
    <t>Pequeno Viagem</t>
  </si>
  <si>
    <t>Glucose em pó 38DE</t>
  </si>
  <si>
    <t>Grande Viagem</t>
  </si>
  <si>
    <t>Leite em pó desnatado</t>
  </si>
  <si>
    <t>30kg</t>
  </si>
  <si>
    <t>Cascao 1 Bola</t>
  </si>
  <si>
    <t>Pistache Califórnia</t>
  </si>
  <si>
    <t>25kg</t>
  </si>
  <si>
    <t>Cascao 2 Bola</t>
  </si>
  <si>
    <t>Pistache Diamante</t>
  </si>
  <si>
    <t>Pistache granel</t>
  </si>
  <si>
    <t>Mescla</t>
  </si>
  <si>
    <t>Cacau em pó Holandês</t>
  </si>
  <si>
    <t>Avelã</t>
  </si>
  <si>
    <t>2,5kg</t>
  </si>
  <si>
    <t>Kinder Bueno</t>
  </si>
  <si>
    <t>3,5kg</t>
  </si>
  <si>
    <t>Nocciola Pasta</t>
  </si>
  <si>
    <t>Quella</t>
  </si>
  <si>
    <t>3kg</t>
  </si>
  <si>
    <t>Creme Cheese Cake Aromitalia</t>
  </si>
  <si>
    <t>Fior di Bosco</t>
  </si>
  <si>
    <t>Doce de Leite</t>
  </si>
  <si>
    <t>9.8kg</t>
  </si>
  <si>
    <t>Chocolate Blend</t>
  </si>
  <si>
    <t>2,1kg</t>
  </si>
  <si>
    <t>Yogomix</t>
  </si>
  <si>
    <t>2kg</t>
  </si>
  <si>
    <t xml:space="preserve">AROMITALIA MESCLA STRAC BR STAND </t>
  </si>
  <si>
    <t>3,25KG</t>
  </si>
  <si>
    <t>LEITE COND AUREA BAG 5KG</t>
  </si>
  <si>
    <t>Cheese Cake com Fior di Bosco</t>
  </si>
  <si>
    <t>RECHEIO KIT KAT NESTLE 1,01KG</t>
  </si>
  <si>
    <t>1kg</t>
  </si>
  <si>
    <t>AROMITALIA MESCLA TRUFA BRANCA 3,5KG</t>
  </si>
  <si>
    <t>CHOC BRANCO KIBBLES CARGILL 25KG</t>
  </si>
  <si>
    <t>PASTA DE AMENDOIM INT BALSAMO 5KG</t>
  </si>
  <si>
    <t>5 kg</t>
  </si>
  <si>
    <t>Leite em Pó Desnatado</t>
  </si>
  <si>
    <t>Água</t>
  </si>
  <si>
    <t>Chocolate Belga</t>
  </si>
  <si>
    <t>Fior di Latte</t>
  </si>
  <si>
    <t>Iogurte com Amarena</t>
  </si>
  <si>
    <t>Nutellina</t>
  </si>
  <si>
    <t>Produtor</t>
  </si>
  <si>
    <t>Quantidade</t>
  </si>
  <si>
    <t>cheese cake</t>
  </si>
  <si>
    <t>Natalia+Alisson</t>
  </si>
  <si>
    <t>chocolate Nero</t>
  </si>
  <si>
    <t>Iogurte com amarena</t>
  </si>
  <si>
    <t>nutellina</t>
  </si>
  <si>
    <t>fior de latte</t>
  </si>
  <si>
    <t>leite ninho c/ Nutella</t>
  </si>
  <si>
    <t>doce de leite</t>
  </si>
  <si>
    <t>abacaxi</t>
  </si>
  <si>
    <t>limão</t>
  </si>
  <si>
    <t>sonho de valsa</t>
  </si>
  <si>
    <t>mascarpone c/maracujá e pista</t>
  </si>
  <si>
    <t>coco zero</t>
  </si>
  <si>
    <t>paçoca zero</t>
  </si>
  <si>
    <t>Kinder Bueno branco</t>
  </si>
  <si>
    <t>Red Velvet</t>
  </si>
  <si>
    <t>dolce stracciatela</t>
  </si>
  <si>
    <t>chocolate belga</t>
  </si>
  <si>
    <t>morango</t>
  </si>
  <si>
    <t>manga</t>
  </si>
  <si>
    <t>Iogurte c/Amarena</t>
  </si>
  <si>
    <t>Natalia</t>
  </si>
  <si>
    <t>mascarpone c/maracujá</t>
  </si>
  <si>
    <t>Alisson</t>
  </si>
  <si>
    <t>Troppo Latte</t>
  </si>
  <si>
    <t>cheese cake com fragola</t>
  </si>
  <si>
    <t>mascarpone c/goiabada</t>
  </si>
  <si>
    <t>White Dubai</t>
  </si>
  <si>
    <t>Charge</t>
  </si>
  <si>
    <t>Caramelo Salgado</t>
  </si>
  <si>
    <t>maracujá</t>
  </si>
  <si>
    <t>kit Kat</t>
  </si>
  <si>
    <t>pistache</t>
  </si>
  <si>
    <t>Kinder ovo</t>
  </si>
  <si>
    <t>franui de pistache</t>
  </si>
  <si>
    <t>Crunch cacau</t>
  </si>
  <si>
    <t>Floresta Branca</t>
  </si>
  <si>
    <t>mousse de maracujá c/ nutella</t>
  </si>
  <si>
    <t>café com doce de leite</t>
  </si>
  <si>
    <t>nero</t>
  </si>
  <si>
    <t>manga zero</t>
  </si>
  <si>
    <t>belga</t>
  </si>
  <si>
    <t>Crunch Cacao</t>
  </si>
  <si>
    <t>yogurt com amarena</t>
  </si>
  <si>
    <t>Torta de limao</t>
  </si>
  <si>
    <t>Kinder bueno</t>
  </si>
  <si>
    <t>Chocolate 50%</t>
  </si>
  <si>
    <t>leite ninho com palha italiana</t>
  </si>
  <si>
    <t>laka oreo</t>
  </si>
  <si>
    <t>pé de moleque</t>
  </si>
  <si>
    <t>stela di natale</t>
  </si>
  <si>
    <t>coco branco</t>
  </si>
  <si>
    <t>leite ninho com morango</t>
  </si>
  <si>
    <t>fior di Latte</t>
  </si>
  <si>
    <t>ninho c/palha italiana</t>
  </si>
  <si>
    <t>Laka Oreo</t>
  </si>
  <si>
    <t>Stella de Natale</t>
  </si>
  <si>
    <t>iorgurt com amarena</t>
  </si>
  <si>
    <t>Coco branco</t>
  </si>
  <si>
    <t>Leite ninho com morango</t>
  </si>
  <si>
    <t>Chocolate belga</t>
  </si>
  <si>
    <t>Leite ninho com palha italiana</t>
  </si>
  <si>
    <t>Laka oreo</t>
  </si>
  <si>
    <t>Cheese cake</t>
  </si>
  <si>
    <t>Stela di natale</t>
  </si>
  <si>
    <t>kinder bueno</t>
  </si>
  <si>
    <t>Cheese Cake</t>
  </si>
  <si>
    <t>Franui</t>
  </si>
  <si>
    <t>cheese cake fior di bosco</t>
  </si>
  <si>
    <t>cheese cake com maracuja</t>
  </si>
  <si>
    <t>stella di natale</t>
  </si>
  <si>
    <t>iogurt com amarena</t>
  </si>
  <si>
    <t>mascarpone com laranja e pistache</t>
  </si>
  <si>
    <t>kinder ovo</t>
  </si>
  <si>
    <t>nozes com figo</t>
  </si>
  <si>
    <t>paçoca</t>
  </si>
  <si>
    <t>Nero</t>
  </si>
  <si>
    <t>fior di latte</t>
  </si>
  <si>
    <t>kitkat</t>
  </si>
  <si>
    <t>crunch Itália</t>
  </si>
  <si>
    <t>cheese Cake</t>
  </si>
  <si>
    <t>ninho com Nutella</t>
  </si>
  <si>
    <t>Chocotone</t>
  </si>
  <si>
    <t>chocolate zero</t>
  </si>
  <si>
    <t>maracuja</t>
  </si>
  <si>
    <t>coco</t>
  </si>
  <si>
    <t>ninho com nutella</t>
  </si>
  <si>
    <t>crunch italia</t>
  </si>
  <si>
    <t>leite ninho com nutella</t>
  </si>
  <si>
    <t>chocotone</t>
  </si>
  <si>
    <t>crunch brasil</t>
  </si>
  <si>
    <t>bombom de nozes</t>
  </si>
  <si>
    <t>panetone</t>
  </si>
  <si>
    <t>gianduia</t>
  </si>
  <si>
    <t>iogurt  com amarena</t>
  </si>
  <si>
    <t>pezzo</t>
  </si>
  <si>
    <t>ouro branco</t>
  </si>
  <si>
    <t>zabaione</t>
  </si>
  <si>
    <t>manga com maracujá</t>
  </si>
  <si>
    <t>iogurte com Amarena</t>
  </si>
  <si>
    <t>Fior de latte</t>
  </si>
  <si>
    <t>Ouro branco</t>
  </si>
  <si>
    <t>Avelã  zero</t>
  </si>
  <si>
    <t>Mascarpone com goiabada</t>
  </si>
  <si>
    <t>Pezzo del nord</t>
  </si>
  <si>
    <t>tiramissu</t>
  </si>
  <si>
    <t>avelã</t>
  </si>
  <si>
    <t>marcarpone com laranja e pistache</t>
  </si>
  <si>
    <t>torta de limao</t>
  </si>
  <si>
    <t>leite ninho com maracuja</t>
  </si>
  <si>
    <t>limao</t>
  </si>
  <si>
    <t>iogurt com laranja</t>
  </si>
  <si>
    <t>troppo late</t>
  </si>
  <si>
    <t>ovomaltine</t>
  </si>
  <si>
    <t>kinde bueno</t>
  </si>
  <si>
    <t>troppo latte</t>
  </si>
  <si>
    <t>diamante negro</t>
  </si>
  <si>
    <t>cappuccino</t>
  </si>
  <si>
    <t>cheese cake caramelo salgado</t>
  </si>
  <si>
    <t>dubai nocciola</t>
  </si>
  <si>
    <t>romeu e julieta</t>
  </si>
  <si>
    <t>morango com abacaxi</t>
  </si>
  <si>
    <t>Cheese cake caramelo salgado</t>
  </si>
  <si>
    <t>Romeu e Julieta</t>
  </si>
  <si>
    <t>chocolate 50%</t>
  </si>
  <si>
    <t>Leite ninho c/ Nutella</t>
  </si>
  <si>
    <t>Franui de pistache</t>
  </si>
  <si>
    <t>cremino de pistache</t>
  </si>
  <si>
    <t>white dubai</t>
  </si>
  <si>
    <t>laka com diamante</t>
  </si>
  <si>
    <t>rafaello</t>
  </si>
  <si>
    <t>la cubaneira</t>
  </si>
  <si>
    <t>laka diamante</t>
  </si>
  <si>
    <t>la cubanera</t>
  </si>
  <si>
    <t>cheesecake</t>
  </si>
  <si>
    <t>diamante Laka</t>
  </si>
  <si>
    <t>morango com Nutella</t>
  </si>
  <si>
    <t>maracujá com nutella</t>
  </si>
  <si>
    <t>Paçoca com nutella</t>
  </si>
  <si>
    <t>Pezzo Bianco</t>
  </si>
  <si>
    <t>paçoca com Nutella</t>
  </si>
  <si>
    <t>coco zero (antes do Alisson chegar)</t>
  </si>
  <si>
    <t>maracuja com nutella</t>
  </si>
  <si>
    <t>caipirinha de maracujá</t>
  </si>
  <si>
    <t>folia de carnaval</t>
  </si>
  <si>
    <t>charge</t>
  </si>
  <si>
    <t>Iogurte com Amarena (antes do Alisson chegar )</t>
  </si>
  <si>
    <t>cheese cake (antes do Alisson chegar )</t>
  </si>
  <si>
    <t>fior de latte (antes do Alisson chegar )</t>
  </si>
  <si>
    <t>nutellina (antes do Alisson chegar)</t>
  </si>
  <si>
    <t>caipirinha</t>
  </si>
  <si>
    <t>mascarpone com goiabada</t>
  </si>
  <si>
    <t>chocolate com laranja</t>
  </si>
  <si>
    <t>chiclete da Barbie</t>
  </si>
  <si>
    <t>pitaya com maracujá</t>
  </si>
  <si>
    <t>pitaya</t>
  </si>
  <si>
    <t>mousse de pistache</t>
  </si>
  <si>
    <t>troppo Latte</t>
  </si>
  <si>
    <t>nozes com doce de leite</t>
  </si>
  <si>
    <t>pistache .</t>
  </si>
  <si>
    <t>iogurte com maracujá</t>
  </si>
  <si>
    <t>floresta branca</t>
  </si>
  <si>
    <t>bolo de cenoura 🥕</t>
  </si>
  <si>
    <t>bolo de cenoura</t>
  </si>
  <si>
    <t>chocobiscoito branco</t>
  </si>
  <si>
    <t>pão de mel</t>
  </si>
  <si>
    <t>50% com maracujá</t>
  </si>
  <si>
    <t>nocciola</t>
  </si>
  <si>
    <t>iogurte</t>
  </si>
  <si>
    <t>chocobiscoito</t>
  </si>
  <si>
    <t>50% com maracuja</t>
  </si>
  <si>
    <t>caramel macchiato</t>
  </si>
  <si>
    <t>Danoninho</t>
  </si>
  <si>
    <t>coco batido</t>
  </si>
  <si>
    <t>maracujá com brigadeiro</t>
  </si>
  <si>
    <t>danoninho</t>
  </si>
  <si>
    <t>caramel machiatto</t>
  </si>
  <si>
    <t>maracuja com brigadeiro</t>
  </si>
  <si>
    <t>mascarpone</t>
  </si>
  <si>
    <t>iogurt</t>
  </si>
  <si>
    <t>0.5</t>
  </si>
  <si>
    <t>Mascarpone com l e p</t>
  </si>
  <si>
    <t>white Dubai</t>
  </si>
  <si>
    <t>menta com chocolate</t>
  </si>
  <si>
    <t>Tentação</t>
  </si>
  <si>
    <t>banoffe</t>
  </si>
  <si>
    <t>Ferrero Rocher</t>
  </si>
  <si>
    <t>chocolate com Amarena</t>
  </si>
  <si>
    <t>ninho com morango</t>
  </si>
  <si>
    <t>kinder Bueno</t>
  </si>
  <si>
    <t>leite ninho zero</t>
  </si>
  <si>
    <t>caramelo salgado</t>
  </si>
  <si>
    <t>coco com doce de leite</t>
  </si>
  <si>
    <t>merengue</t>
  </si>
  <si>
    <t>amora</t>
  </si>
  <si>
    <t>ninho zero</t>
  </si>
  <si>
    <t>Amora</t>
  </si>
  <si>
    <t>marcarpone com o l e p</t>
  </si>
  <si>
    <t>Tiramisu</t>
  </si>
  <si>
    <t>macadâmia</t>
  </si>
  <si>
    <t>mascarpone L e P</t>
  </si>
  <si>
    <t>iogurte  com Amarena</t>
  </si>
  <si>
    <t>torta de limão</t>
  </si>
  <si>
    <t>café com chocolate</t>
  </si>
  <si>
    <t>Matilda cake</t>
  </si>
  <si>
    <t>lá cubanera</t>
  </si>
  <si>
    <t>café c/ chocolate</t>
  </si>
  <si>
    <t>Iogurte</t>
  </si>
  <si>
    <t>dolce stracciatella</t>
  </si>
  <si>
    <t>Iogurte com mexerica</t>
  </si>
  <si>
    <t>coco com abóbora</t>
  </si>
  <si>
    <t>franui pistache</t>
  </si>
  <si>
    <t>parmesão com doce de leite</t>
  </si>
  <si>
    <t>brigadeiro belga</t>
  </si>
  <si>
    <t>pipoca</t>
  </si>
  <si>
    <t>passione e pistache</t>
  </si>
  <si>
    <t>chocolate branco</t>
  </si>
  <si>
    <t>churros</t>
  </si>
  <si>
    <t>paçoca com nutella</t>
  </si>
  <si>
    <t>ferrero rocher</t>
  </si>
  <si>
    <t>matilda</t>
  </si>
  <si>
    <t>Kcal</t>
  </si>
  <si>
    <t>VD Kcal %</t>
  </si>
  <si>
    <t>Carboidratos g</t>
  </si>
  <si>
    <t>VD Carb %</t>
  </si>
  <si>
    <t>Açúcares Totais g</t>
  </si>
  <si>
    <t>Açúcares Adicionados g</t>
  </si>
  <si>
    <t>Gorduras Totais g</t>
  </si>
  <si>
    <t>VD Gord %</t>
  </si>
  <si>
    <t>Gorduras Saturadas g</t>
  </si>
  <si>
    <t>VD Sat %</t>
  </si>
  <si>
    <t>Proteína g</t>
  </si>
  <si>
    <t>VD Prot %</t>
  </si>
  <si>
    <t>Fibra g</t>
  </si>
  <si>
    <t>VD Fibra %</t>
  </si>
  <si>
    <t>Sódio mg</t>
  </si>
  <si>
    <t>VD Sódio %</t>
  </si>
  <si>
    <t>Contém Leite</t>
  </si>
  <si>
    <t>Contém Açúcar</t>
  </si>
  <si>
    <t>Sim</t>
  </si>
  <si>
    <t>Cheesecake de Frutas Vermelhas</t>
  </si>
  <si>
    <t>Pezzo del Nord</t>
  </si>
  <si>
    <t>Não</t>
  </si>
  <si>
    <t>Limão Siciliano</t>
  </si>
  <si>
    <t xml:space="preserve">Adiantamento Tais </t>
  </si>
  <si>
    <t xml:space="preserve">Pacoquita e goiabada </t>
  </si>
  <si>
    <t>Salarios + cubas</t>
  </si>
  <si>
    <t>Iptu</t>
  </si>
  <si>
    <t>Folga Luany 50+100</t>
  </si>
  <si>
    <t>Tais salário ja pago mes passado de adiantamento</t>
  </si>
  <si>
    <t>Choc 70%</t>
  </si>
  <si>
    <t xml:space="preserve">Comprei na farmácia tb p Bruna </t>
  </si>
  <si>
    <t>As coisas do croiassant, 53,50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</si>
</sst>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&quot;R$&quot;\ #,##0.00"/>
    <numFmt numFmtId="166" formatCode="dd/mm/yy"/>
    <numFmt numFmtId="167" formatCode="yyyy\-mm"/>
    <numFmt numFmtId="168" formatCode="[$R$ -416]#,##0.00"/>
    <numFmt numFmtId="169" formatCode="d/m/yy"/>
    <numFmt numFmtId="170" formatCode="d\-m\-yy"/>
    <numFmt numFmtId="171" formatCode="d/m/yyyy"/>
    <numFmt numFmtId="172" formatCode="dd\-mm\-yy"/>
  </numFmts>
  <fonts count="13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</font>
    <font>
      <b/>
      <sz val="14"/>
      <color theme="1"/>
      <name val="Calibri"/>
      <scheme val="minor"/>
    </font>
    <font>
      <sz val="11"/>
      <name val="Calibri"/>
    </font>
    <font>
      <b/>
      <sz val="18"/>
      <color theme="1"/>
      <name val="Calibri"/>
      <scheme val="minor"/>
    </font>
    <font>
      <sz val="11"/>
      <color rgb="FFFFFFFF"/>
      <name val="Calibri"/>
      <scheme val="minor"/>
    </font>
    <font>
      <sz val="12"/>
      <color rgb="FF000000"/>
      <name val="Calibri"/>
    </font>
    <font>
      <b/>
      <i/>
      <sz val="11"/>
      <color theme="1"/>
      <name val="Calibri"/>
      <scheme val="minor"/>
    </font>
    <font>
      <b/>
      <sz val="15"/>
      <color theme="1"/>
      <name val="Calibri"/>
      <scheme val="minor"/>
    </font>
    <font>
      <sz val="11"/>
      <color rgb="FFCC0000"/>
      <name val="Calibri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B6D7A8"/>
        <bgColor rgb="FFB6D7A8"/>
      </patternFill>
    </fill>
    <fill>
      <patternFill patternType="solid">
        <fgColor rgb="FFFCE4D6"/>
        <bgColor rgb="FFFCE4D6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E2EFDA"/>
        <bgColor rgb="FFE2EFDA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</fills>
  <borders count="1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4" fontId="3" fillId="0" borderId="2" xfId="0" applyNumberFormat="1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right"/>
    </xf>
    <xf numFmtId="0" fontId="3" fillId="0" borderId="2" xfId="0" applyFont="1" applyBorder="1"/>
    <xf numFmtId="165" fontId="3" fillId="0" borderId="2" xfId="0" applyNumberFormat="1" applyFont="1" applyBorder="1"/>
    <xf numFmtId="164" fontId="3" fillId="0" borderId="0" xfId="0" applyNumberFormat="1" applyFont="1" applyAlignment="1">
      <alignment horizontal="right"/>
    </xf>
    <xf numFmtId="166" fontId="3" fillId="0" borderId="2" xfId="0" applyNumberFormat="1" applyFont="1" applyBorder="1"/>
    <xf numFmtId="164" fontId="4" fillId="0" borderId="2" xfId="0" applyNumberFormat="1" applyFont="1" applyBorder="1"/>
    <xf numFmtId="164" fontId="3" fillId="0" borderId="0" xfId="0" applyNumberFormat="1" applyFont="1"/>
    <xf numFmtId="0" fontId="2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3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1" fillId="4" borderId="2" xfId="0" applyFont="1" applyFill="1" applyBorder="1"/>
    <xf numFmtId="0" fontId="1" fillId="5" borderId="2" xfId="0" applyFont="1" applyFill="1" applyBorder="1" applyAlignment="1">
      <alignment horizontal="center"/>
    </xf>
    <xf numFmtId="0" fontId="2" fillId="0" borderId="0" xfId="0" applyFont="1"/>
    <xf numFmtId="0" fontId="1" fillId="6" borderId="2" xfId="0" applyFont="1" applyFill="1" applyBorder="1" applyAlignment="1">
      <alignment horizontal="center"/>
    </xf>
    <xf numFmtId="165" fontId="2" fillId="6" borderId="2" xfId="0" applyNumberFormat="1" applyFont="1" applyFill="1" applyBorder="1" applyAlignment="1">
      <alignment horizontal="center"/>
    </xf>
    <xf numFmtId="165" fontId="2" fillId="0" borderId="0" xfId="0" applyNumberFormat="1" applyFont="1"/>
    <xf numFmtId="0" fontId="1" fillId="0" borderId="2" xfId="0" applyFont="1" applyBorder="1" applyAlignment="1">
      <alignment horizontal="center"/>
    </xf>
    <xf numFmtId="165" fontId="2" fillId="0" borderId="2" xfId="0" applyNumberFormat="1" applyFont="1" applyBorder="1" applyAlignment="1">
      <alignment horizontal="center"/>
    </xf>
    <xf numFmtId="165" fontId="3" fillId="0" borderId="0" xfId="0" applyNumberFormat="1" applyFont="1"/>
    <xf numFmtId="0" fontId="1" fillId="3" borderId="2" xfId="0" applyFont="1" applyFill="1" applyBorder="1" applyAlignment="1">
      <alignment horizontal="center"/>
    </xf>
    <xf numFmtId="165" fontId="2" fillId="3" borderId="2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/>
    </xf>
    <xf numFmtId="167" fontId="2" fillId="0" borderId="2" xfId="0" applyNumberFormat="1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5" fontId="2" fillId="9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9" borderId="2" xfId="0" applyNumberFormat="1" applyFont="1" applyFill="1" applyBorder="1" applyAlignment="1">
      <alignment horizontal="center"/>
    </xf>
    <xf numFmtId="165" fontId="2" fillId="7" borderId="2" xfId="0" applyNumberFormat="1" applyFont="1" applyFill="1" applyBorder="1" applyAlignment="1">
      <alignment horizontal="center"/>
    </xf>
    <xf numFmtId="165" fontId="4" fillId="7" borderId="2" xfId="0" applyNumberFormat="1" applyFont="1" applyFill="1" applyBorder="1" applyAlignment="1">
      <alignment horizontal="center"/>
    </xf>
    <xf numFmtId="167" fontId="2" fillId="0" borderId="0" xfId="0" applyNumberFormat="1" applyFont="1"/>
    <xf numFmtId="165" fontId="1" fillId="5" borderId="2" xfId="0" applyNumberFormat="1" applyFont="1" applyFill="1" applyBorder="1" applyAlignment="1">
      <alignment horizontal="center"/>
    </xf>
    <xf numFmtId="165" fontId="4" fillId="6" borderId="2" xfId="0" applyNumberFormat="1" applyFont="1" applyFill="1" applyBorder="1" applyAlignment="1">
      <alignment horizontal="center"/>
    </xf>
    <xf numFmtId="0" fontId="2" fillId="6" borderId="0" xfId="0" applyFont="1" applyFill="1"/>
    <xf numFmtId="0" fontId="8" fillId="10" borderId="2" xfId="0" applyFont="1" applyFill="1" applyBorder="1" applyAlignment="1">
      <alignment horizontal="center"/>
    </xf>
    <xf numFmtId="0" fontId="9" fillId="11" borderId="2" xfId="0" applyFont="1" applyFill="1" applyBorder="1"/>
    <xf numFmtId="0" fontId="9" fillId="11" borderId="2" xfId="0" applyFont="1" applyFill="1" applyBorder="1" applyAlignment="1">
      <alignment horizontal="center"/>
    </xf>
    <xf numFmtId="0" fontId="9" fillId="8" borderId="2" xfId="0" applyFont="1" applyFill="1" applyBorder="1"/>
    <xf numFmtId="0" fontId="9" fillId="8" borderId="2" xfId="0" applyFont="1" applyFill="1" applyBorder="1" applyAlignment="1">
      <alignment horizontal="center"/>
    </xf>
    <xf numFmtId="0" fontId="9" fillId="0" borderId="0" xfId="0" applyFont="1"/>
    <xf numFmtId="0" fontId="9" fillId="6" borderId="2" xfId="0" applyFont="1" applyFill="1" applyBorder="1"/>
    <xf numFmtId="0" fontId="9" fillId="6" borderId="2" xfId="0" applyFont="1" applyFill="1" applyBorder="1" applyAlignment="1">
      <alignment horizontal="center"/>
    </xf>
    <xf numFmtId="0" fontId="9" fillId="12" borderId="2" xfId="0" applyFont="1" applyFill="1" applyBorder="1"/>
    <xf numFmtId="0" fontId="9" fillId="12" borderId="2" xfId="0" applyFont="1" applyFill="1" applyBorder="1" applyAlignment="1">
      <alignment horizontal="center"/>
    </xf>
    <xf numFmtId="0" fontId="9" fillId="0" borderId="10" xfId="0" applyFont="1" applyBorder="1"/>
    <xf numFmtId="0" fontId="9" fillId="7" borderId="0" xfId="0" applyFont="1" applyFill="1" applyAlignment="1">
      <alignment horizontal="center"/>
    </xf>
    <xf numFmtId="0" fontId="9" fillId="12" borderId="7" xfId="0" applyFont="1" applyFill="1" applyBorder="1"/>
    <xf numFmtId="0" fontId="9" fillId="12" borderId="7" xfId="0" applyFont="1" applyFill="1" applyBorder="1" applyAlignment="1">
      <alignment horizontal="center"/>
    </xf>
    <xf numFmtId="0" fontId="9" fillId="7" borderId="0" xfId="0" applyFont="1" applyFill="1"/>
    <xf numFmtId="0" fontId="10" fillId="0" borderId="2" xfId="0" applyFont="1" applyBorder="1" applyAlignment="1">
      <alignment horizontal="center"/>
    </xf>
    <xf numFmtId="168" fontId="10" fillId="0" borderId="2" xfId="0" applyNumberFormat="1" applyFont="1" applyBorder="1" applyAlignment="1">
      <alignment horizontal="center"/>
    </xf>
    <xf numFmtId="169" fontId="2" fillId="0" borderId="2" xfId="0" applyNumberFormat="1" applyFont="1" applyBorder="1" applyAlignment="1">
      <alignment horizontal="center"/>
    </xf>
    <xf numFmtId="168" fontId="2" fillId="0" borderId="2" xfId="0" applyNumberFormat="1" applyFont="1" applyBorder="1" applyAlignment="1">
      <alignment horizontal="center"/>
    </xf>
    <xf numFmtId="166" fontId="2" fillId="0" borderId="2" xfId="0" applyNumberFormat="1" applyFont="1" applyBorder="1" applyAlignment="1">
      <alignment horizontal="center"/>
    </xf>
    <xf numFmtId="170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14" fontId="2" fillId="0" borderId="2" xfId="0" applyNumberFormat="1" applyFont="1" applyBorder="1" applyAlignment="1">
      <alignment horizontal="center"/>
    </xf>
    <xf numFmtId="0" fontId="2" fillId="15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168" fontId="2" fillId="13" borderId="2" xfId="0" applyNumberFormat="1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168" fontId="2" fillId="16" borderId="2" xfId="0" applyNumberFormat="1" applyFont="1" applyFill="1" applyBorder="1" applyAlignment="1">
      <alignment horizontal="center"/>
    </xf>
    <xf numFmtId="171" fontId="2" fillId="0" borderId="0" xfId="0" applyNumberFormat="1" applyFont="1"/>
    <xf numFmtId="164" fontId="2" fillId="0" borderId="2" xfId="0" applyNumberFormat="1" applyFont="1" applyBorder="1"/>
    <xf numFmtId="165" fontId="2" fillId="0" borderId="2" xfId="0" applyNumberFormat="1" applyFont="1" applyBorder="1"/>
    <xf numFmtId="14" fontId="2" fillId="0" borderId="2" xfId="0" applyNumberFormat="1" applyFont="1" applyBorder="1"/>
    <xf numFmtId="169" fontId="2" fillId="0" borderId="2" xfId="0" applyNumberFormat="1" applyFont="1" applyBorder="1"/>
    <xf numFmtId="164" fontId="2" fillId="0" borderId="0" xfId="0" applyNumberFormat="1" applyFont="1"/>
    <xf numFmtId="14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166" fontId="2" fillId="0" borderId="0" xfId="0" applyNumberFormat="1" applyFont="1"/>
    <xf numFmtId="172" fontId="2" fillId="0" borderId="0" xfId="0" applyNumberFormat="1" applyFont="1"/>
    <xf numFmtId="164" fontId="2" fillId="0" borderId="2" xfId="0" applyNumberFormat="1" applyFont="1" applyBorder="1" applyAlignment="1">
      <alignment horizontal="center"/>
    </xf>
    <xf numFmtId="0" fontId="2" fillId="13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4" fontId="0" fillId="0" borderId="0" xfId="0" applyNumberFormat="1"/>
    <xf numFmtId="0" fontId="5" fillId="13" borderId="0" xfId="0" applyFont="1" applyFill="1" applyAlignment="1">
      <alignment horizontal="center"/>
    </xf>
    <xf numFmtId="0" fontId="0" fillId="0" borderId="0" xfId="0"/>
    <xf numFmtId="0" fontId="6" fillId="0" borderId="9" xfId="0" applyFont="1" applyBorder="1"/>
    <xf numFmtId="0" fontId="6" fillId="0" borderId="8" xfId="0" applyFont="1" applyBorder="1"/>
    <xf numFmtId="0" fontId="7" fillId="6" borderId="7" xfId="0" applyFont="1" applyFill="1" applyBorder="1" applyAlignment="1">
      <alignment horizontal="center" vertical="center" textRotation="255"/>
    </xf>
    <xf numFmtId="0" fontId="6" fillId="0" borderId="6" xfId="0" applyFont="1" applyBorder="1"/>
    <xf numFmtId="0" fontId="6" fillId="0" borderId="5" xfId="0" applyFont="1" applyBorder="1"/>
    <xf numFmtId="0" fontId="5" fillId="0" borderId="4" xfId="0" applyFont="1" applyBorder="1" applyAlignment="1">
      <alignment horizontal="center"/>
    </xf>
    <xf numFmtId="0" fontId="6" fillId="0" borderId="14" xfId="0" applyFont="1" applyBorder="1"/>
    <xf numFmtId="0" fontId="6" fillId="0" borderId="13" xfId="0" applyFont="1" applyBorder="1"/>
    <xf numFmtId="0" fontId="6" fillId="0" borderId="12" xfId="0" applyFont="1" applyBorder="1"/>
    <xf numFmtId="168" fontId="11" fillId="14" borderId="11" xfId="0" applyNumberFormat="1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/>
    </xf>
    <xf numFmtId="0" fontId="2" fillId="13" borderId="4" xfId="0" applyFont="1" applyFill="1" applyBorder="1" applyAlignment="1">
      <alignment horizontal="center"/>
    </xf>
    <xf numFmtId="0" fontId="5" fillId="14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C4D4-EEE3-4A1F-A079-5F20CC71F53D}">
  <dimension ref="A1:K99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2" width="32" customWidth="1"/>
    <col min="3" max="3" width="14" customWidth="1"/>
    <col min="4" max="4" width="19" customWidth="1"/>
    <col min="5" max="5" width="16" customWidth="1"/>
    <col min="6" max="6" width="20" customWidth="1"/>
    <col min="7" max="7" width="14.140625" customWidth="1"/>
    <col min="8" max="8" width="12" customWidth="1"/>
    <col min="9" max="9" width="18.140625" customWidth="1"/>
    <col min="10" max="10" width="10" customWidth="1"/>
    <col min="11" max="11" width="16" customWidth="1"/>
    <col min="12" max="27" width="8.7109375" customWidth="1"/>
  </cols>
  <sheetData>
    <row r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/>
      <c r="I2" s="2" t="s">
        <v>8</v>
      </c>
      <c r="J2" s="2" t="s">
        <v>9</v>
      </c>
      <c r="K2" s="2" t="s">
        <v>10</v>
      </c>
    </row>
    <row r="3" spans="1:11" x14ac:dyDescent="0.25">
      <c r="A3" s="3">
        <v>46204</v>
      </c>
      <c r="B3" s="4" t="s">
        <v>11</v>
      </c>
      <c r="C3" s="5" t="s">
        <v>12</v>
      </c>
      <c r="D3" s="6" t="s">
        <v>13</v>
      </c>
      <c r="E3" s="6" t="s">
        <v>14</v>
      </c>
      <c r="F3" s="6" t="s">
        <v>15</v>
      </c>
      <c r="G3" s="7"/>
      <c r="H3" s="7"/>
      <c r="I3" s="5"/>
      <c r="J3" s="5" t="str">
        <f>TEXT(A3,"yyyy-mm")</f>
        <v>yyyy-07</v>
      </c>
      <c r="K3" s="7">
        <f>G3</f>
        <v>0</v>
      </c>
    </row>
    <row r="4" spans="1:11" x14ac:dyDescent="0.25">
      <c r="A4" s="3">
        <v>46204</v>
      </c>
      <c r="B4" s="4" t="s">
        <v>16</v>
      </c>
      <c r="C4" s="5" t="s">
        <v>12</v>
      </c>
      <c r="D4" s="6" t="s">
        <v>13</v>
      </c>
      <c r="E4" s="6" t="s">
        <v>17</v>
      </c>
      <c r="F4" s="6"/>
      <c r="G4" s="7"/>
      <c r="H4" s="7"/>
      <c r="I4" s="5"/>
      <c r="J4" s="5" t="str">
        <f>TEXT(A4,"yyyy-mm")</f>
        <v>yyyy-07</v>
      </c>
      <c r="K4" s="7">
        <f>K3 + IF(C4="Entrada", G4, -G4)</f>
        <v>0</v>
      </c>
    </row>
    <row r="5" spans="1:11" x14ac:dyDescent="0.25">
      <c r="A5" s="8">
        <v>46204</v>
      </c>
      <c r="B5" s="9" t="s">
        <v>18</v>
      </c>
      <c r="C5" s="6" t="s">
        <v>12</v>
      </c>
      <c r="D5" s="6" t="s">
        <v>19</v>
      </c>
      <c r="E5" s="6" t="s">
        <v>17</v>
      </c>
      <c r="F5" s="9"/>
      <c r="G5" s="7">
        <v>115.8</v>
      </c>
      <c r="H5" s="10"/>
      <c r="I5" s="9"/>
      <c r="J5" s="5" t="str">
        <f>TEXT(A5,"yyyy-mm")</f>
        <v>yyyy-07</v>
      </c>
      <c r="K5" s="7">
        <f>K4 + IF(C5="Entrada", G5, -G5)</f>
        <v>-115.8</v>
      </c>
    </row>
    <row r="6" spans="1:11" x14ac:dyDescent="0.25">
      <c r="A6" s="8">
        <v>46204</v>
      </c>
      <c r="B6" s="9" t="s">
        <v>13</v>
      </c>
      <c r="C6" s="6" t="s">
        <v>20</v>
      </c>
      <c r="D6" s="6" t="s">
        <v>13</v>
      </c>
      <c r="E6" s="9"/>
      <c r="F6" s="9"/>
      <c r="G6" s="7">
        <v>1762</v>
      </c>
      <c r="H6" s="10"/>
      <c r="I6" s="9"/>
      <c r="J6" s="5" t="str">
        <f>TEXT(A6,"yyyy-mm")</f>
        <v>yyyy-07</v>
      </c>
      <c r="K6" s="7">
        <f>K5 + IF(C6="Entrada", G6, -G6)</f>
        <v>1646.2</v>
      </c>
    </row>
    <row r="7" spans="1:11" x14ac:dyDescent="0.25">
      <c r="A7" s="8">
        <v>46204</v>
      </c>
      <c r="B7" s="9" t="s">
        <v>21</v>
      </c>
      <c r="C7" s="6" t="s">
        <v>20</v>
      </c>
      <c r="D7" s="6" t="s">
        <v>22</v>
      </c>
      <c r="E7" s="6" t="s">
        <v>17</v>
      </c>
      <c r="F7" s="9"/>
      <c r="G7" s="7">
        <v>82</v>
      </c>
      <c r="H7" s="10"/>
      <c r="I7" s="9"/>
      <c r="J7" s="5" t="str">
        <f>TEXT(A7,"yyyy-mm")</f>
        <v>yyyy-07</v>
      </c>
      <c r="K7" s="7">
        <f>K6 + IF(C7="Entrada", G7, -G7)</f>
        <v>1728.2</v>
      </c>
    </row>
    <row r="8" spans="1:11" x14ac:dyDescent="0.25">
      <c r="A8" s="8">
        <v>46204</v>
      </c>
      <c r="B8" s="9" t="s">
        <v>23</v>
      </c>
      <c r="C8" s="6" t="s">
        <v>12</v>
      </c>
      <c r="D8" s="6" t="s">
        <v>24</v>
      </c>
      <c r="E8" s="6" t="s">
        <v>17</v>
      </c>
      <c r="F8" s="6" t="s">
        <v>25</v>
      </c>
      <c r="G8" s="7">
        <v>9</v>
      </c>
      <c r="H8" s="10"/>
      <c r="I8" s="9"/>
      <c r="J8" s="5" t="str">
        <f>TEXT(A8,"yyyy-mm")</f>
        <v>yyyy-07</v>
      </c>
      <c r="K8" s="7">
        <f>K7 + IF(C8="Entrada", G8, -G8)</f>
        <v>1719.2</v>
      </c>
    </row>
    <row r="9" spans="1:11" x14ac:dyDescent="0.25">
      <c r="A9" s="8">
        <v>46204</v>
      </c>
      <c r="B9" s="9" t="s">
        <v>26</v>
      </c>
      <c r="C9" s="6" t="s">
        <v>12</v>
      </c>
      <c r="D9" s="6" t="s">
        <v>27</v>
      </c>
      <c r="E9" s="6" t="s">
        <v>17</v>
      </c>
      <c r="F9" s="6" t="s">
        <v>25</v>
      </c>
      <c r="G9" s="7">
        <v>1100</v>
      </c>
      <c r="H9" s="10"/>
      <c r="I9" s="9"/>
      <c r="J9" s="5" t="str">
        <f>TEXT(A9,"yyyy-mm")</f>
        <v>yyyy-07</v>
      </c>
      <c r="K9" s="7">
        <f>K8 + IF(C9="Entrada", G9, -G9)</f>
        <v>619.20000000000005</v>
      </c>
    </row>
    <row r="10" spans="1:11" x14ac:dyDescent="0.25">
      <c r="A10" s="8">
        <v>46204</v>
      </c>
      <c r="B10" s="9" t="s">
        <v>28</v>
      </c>
      <c r="C10" s="6" t="s">
        <v>12</v>
      </c>
      <c r="D10" s="6" t="s">
        <v>29</v>
      </c>
      <c r="E10" s="6" t="s">
        <v>17</v>
      </c>
      <c r="F10" s="6" t="s">
        <v>25</v>
      </c>
      <c r="G10" s="7">
        <v>400</v>
      </c>
      <c r="H10" s="10"/>
      <c r="I10" s="9"/>
      <c r="J10" s="5" t="str">
        <f>TEXT(A10,"yyyy-mm")</f>
        <v>yyyy-07</v>
      </c>
      <c r="K10" s="7">
        <f>K9 + IF(C10="Entrada", G10, -G10)</f>
        <v>219.20000000000005</v>
      </c>
    </row>
    <row r="11" spans="1:11" x14ac:dyDescent="0.25">
      <c r="A11" s="8">
        <v>46204</v>
      </c>
      <c r="B11" s="9" t="s">
        <v>991</v>
      </c>
      <c r="C11" s="6" t="s">
        <v>12</v>
      </c>
      <c r="D11" s="6" t="s">
        <v>27</v>
      </c>
      <c r="E11" s="6" t="s">
        <v>17</v>
      </c>
      <c r="F11" s="6" t="s">
        <v>25</v>
      </c>
      <c r="G11" s="7">
        <v>3000</v>
      </c>
      <c r="H11" s="10"/>
      <c r="I11" s="9"/>
      <c r="J11" s="5" t="str">
        <f>TEXT(A11,"yyyy-mm")</f>
        <v>yyyy-07</v>
      </c>
      <c r="K11" s="7">
        <f>K10 + IF(C11="Entrada", G11, -G11)</f>
        <v>-2780.8</v>
      </c>
    </row>
    <row r="12" spans="1:11" x14ac:dyDescent="0.25">
      <c r="A12" s="8">
        <v>46205</v>
      </c>
      <c r="B12" s="9" t="s">
        <v>13</v>
      </c>
      <c r="C12" s="6" t="s">
        <v>20</v>
      </c>
      <c r="D12" s="6" t="s">
        <v>13</v>
      </c>
      <c r="E12" s="9"/>
      <c r="F12" s="9"/>
      <c r="G12" s="7">
        <v>1659</v>
      </c>
      <c r="H12" s="10"/>
      <c r="I12" s="9"/>
      <c r="J12" s="5" t="str">
        <f>TEXT(A12,"yyyy-mm")</f>
        <v>yyyy-07</v>
      </c>
      <c r="K12" s="7">
        <f>K11 + IF(C12="Entrada", G12, -G12)</f>
        <v>-1121.8000000000002</v>
      </c>
    </row>
    <row r="13" spans="1:11" x14ac:dyDescent="0.25">
      <c r="A13" s="8">
        <v>46205</v>
      </c>
      <c r="B13" s="9" t="s">
        <v>21</v>
      </c>
      <c r="C13" s="6" t="s">
        <v>20</v>
      </c>
      <c r="D13" s="6" t="s">
        <v>22</v>
      </c>
      <c r="E13" s="6" t="s">
        <v>17</v>
      </c>
      <c r="F13" s="9"/>
      <c r="G13" s="7">
        <v>0</v>
      </c>
      <c r="H13" s="10"/>
      <c r="I13" s="9"/>
      <c r="J13" s="5" t="str">
        <f>TEXT(A13,"yyyy-mm")</f>
        <v>yyyy-07</v>
      </c>
      <c r="K13" s="7">
        <f>K12 + IF(C13="Entrada", G13, -G13)</f>
        <v>-1121.8000000000002</v>
      </c>
    </row>
    <row r="14" spans="1:11" x14ac:dyDescent="0.25">
      <c r="A14" s="8">
        <v>46205</v>
      </c>
      <c r="B14" s="9" t="s">
        <v>23</v>
      </c>
      <c r="C14" s="6" t="s">
        <v>12</v>
      </c>
      <c r="D14" s="6" t="s">
        <v>24</v>
      </c>
      <c r="E14" s="6" t="s">
        <v>17</v>
      </c>
      <c r="F14" s="6" t="s">
        <v>25</v>
      </c>
      <c r="G14" s="7">
        <v>0</v>
      </c>
      <c r="H14" s="10"/>
      <c r="I14" s="9"/>
      <c r="J14" s="5" t="str">
        <f>TEXT(A14,"yyyy-mm")</f>
        <v>yyyy-07</v>
      </c>
      <c r="K14" s="7">
        <f>K13 + IF(C14="Entrada", G14, -G14)</f>
        <v>-1121.8000000000002</v>
      </c>
    </row>
    <row r="15" spans="1:11" x14ac:dyDescent="0.25">
      <c r="A15" s="8">
        <v>46205</v>
      </c>
      <c r="B15" s="9" t="s">
        <v>11</v>
      </c>
      <c r="C15" s="6" t="s">
        <v>12</v>
      </c>
      <c r="D15" s="6" t="s">
        <v>19</v>
      </c>
      <c r="E15" s="6" t="s">
        <v>14</v>
      </c>
      <c r="F15" s="6" t="s">
        <v>15</v>
      </c>
      <c r="G15" s="7">
        <v>240</v>
      </c>
      <c r="H15" s="10"/>
      <c r="I15" s="9"/>
      <c r="J15" s="5" t="str">
        <f>TEXT(A15,"yyyy-mm")</f>
        <v>yyyy-07</v>
      </c>
      <c r="K15" s="7">
        <f>K14 + IF(C15="Entrada", G15, -G15)</f>
        <v>-1361.8000000000002</v>
      </c>
    </row>
    <row r="16" spans="1:11" x14ac:dyDescent="0.25">
      <c r="A16" s="8">
        <v>46206</v>
      </c>
      <c r="B16" s="9" t="s">
        <v>30</v>
      </c>
      <c r="C16" s="6" t="s">
        <v>20</v>
      </c>
      <c r="D16" s="6" t="s">
        <v>13</v>
      </c>
      <c r="E16" s="9"/>
      <c r="F16" s="9"/>
      <c r="G16" s="7">
        <v>3246</v>
      </c>
      <c r="H16" s="10"/>
      <c r="I16" s="9"/>
      <c r="J16" s="5" t="str">
        <f>TEXT(A16,"yyyy-mm")</f>
        <v>yyyy-07</v>
      </c>
      <c r="K16" s="7">
        <f>K15 + IF(C16="Entrada", G16, -G16)</f>
        <v>1884.1999999999998</v>
      </c>
    </row>
    <row r="17" spans="1:11" x14ac:dyDescent="0.25">
      <c r="A17" s="8">
        <v>46206</v>
      </c>
      <c r="B17" s="9" t="s">
        <v>21</v>
      </c>
      <c r="C17" s="6" t="s">
        <v>20</v>
      </c>
      <c r="D17" s="6" t="s">
        <v>22</v>
      </c>
      <c r="E17" s="6" t="s">
        <v>17</v>
      </c>
      <c r="F17" s="9"/>
      <c r="G17" s="7">
        <v>106</v>
      </c>
      <c r="H17" s="10"/>
      <c r="I17" s="9"/>
      <c r="J17" s="5" t="str">
        <f>TEXT(A17,"yyyy-mm")</f>
        <v>yyyy-07</v>
      </c>
      <c r="K17" s="7">
        <f>K16 + IF(C17="Entrada", G17, -G17)</f>
        <v>1990.1999999999998</v>
      </c>
    </row>
    <row r="18" spans="1:11" ht="15.75" customHeight="1" x14ac:dyDescent="0.25">
      <c r="A18" s="8">
        <v>46206</v>
      </c>
      <c r="B18" s="9" t="s">
        <v>23</v>
      </c>
      <c r="C18" s="6" t="s">
        <v>12</v>
      </c>
      <c r="D18" s="6" t="s">
        <v>24</v>
      </c>
      <c r="E18" s="6" t="s">
        <v>17</v>
      </c>
      <c r="F18" s="6" t="s">
        <v>25</v>
      </c>
      <c r="G18" s="7">
        <v>18</v>
      </c>
      <c r="H18" s="10"/>
      <c r="I18" s="9"/>
      <c r="J18" s="5" t="str">
        <f>TEXT(A18,"yyyy-mm")</f>
        <v>yyyy-07</v>
      </c>
      <c r="K18" s="7">
        <f>K17 + IF(C18="Entrada", G18, -G18)</f>
        <v>1972.1999999999998</v>
      </c>
    </row>
    <row r="19" spans="1:11" ht="15.75" customHeight="1" x14ac:dyDescent="0.25">
      <c r="A19" s="8">
        <v>46206</v>
      </c>
      <c r="B19" s="9" t="s">
        <v>31</v>
      </c>
      <c r="C19" s="6" t="s">
        <v>12</v>
      </c>
      <c r="D19" s="6" t="s">
        <v>19</v>
      </c>
      <c r="E19" s="6" t="s">
        <v>17</v>
      </c>
      <c r="F19" s="6" t="s">
        <v>25</v>
      </c>
      <c r="G19" s="7">
        <v>164</v>
      </c>
      <c r="H19" s="10"/>
      <c r="I19" s="9"/>
      <c r="J19" s="5" t="str">
        <f>TEXT(A19,"yyyy-mm")</f>
        <v>yyyy-07</v>
      </c>
      <c r="K19" s="7">
        <f>K18 + IF(C19="Entrada", G19, -G19)</f>
        <v>1808.1999999999998</v>
      </c>
    </row>
    <row r="20" spans="1:11" ht="15.75" customHeight="1" x14ac:dyDescent="0.25">
      <c r="A20" s="8">
        <v>46206</v>
      </c>
      <c r="B20" s="9" t="s">
        <v>11</v>
      </c>
      <c r="C20" s="6" t="s">
        <v>12</v>
      </c>
      <c r="D20" s="6" t="s">
        <v>19</v>
      </c>
      <c r="E20" s="6" t="s">
        <v>14</v>
      </c>
      <c r="F20" s="6" t="s">
        <v>15</v>
      </c>
      <c r="G20" s="7">
        <v>376</v>
      </c>
      <c r="H20" s="10"/>
      <c r="I20" s="9"/>
      <c r="J20" s="5" t="str">
        <f>TEXT(A20,"yyyy-mm")</f>
        <v>yyyy-07</v>
      </c>
      <c r="K20" s="7">
        <f>K19 + IF(C20="Entrada", G20, -G20)</f>
        <v>1432.1999999999998</v>
      </c>
    </row>
    <row r="21" spans="1:11" ht="15.75" customHeight="1" x14ac:dyDescent="0.25">
      <c r="A21" s="8">
        <v>46206</v>
      </c>
      <c r="B21" s="9" t="s">
        <v>990</v>
      </c>
      <c r="C21" s="6" t="s">
        <v>12</v>
      </c>
      <c r="D21" s="6" t="s">
        <v>33</v>
      </c>
      <c r="E21" s="6" t="s">
        <v>17</v>
      </c>
      <c r="F21" s="6" t="s">
        <v>25</v>
      </c>
      <c r="G21" s="7">
        <v>150</v>
      </c>
      <c r="H21" s="10"/>
      <c r="I21" s="9"/>
      <c r="J21" s="5" t="str">
        <f>TEXT(A21,"yyyy-mm")</f>
        <v>yyyy-07</v>
      </c>
      <c r="K21" s="7">
        <f>K20 + IF(C21="Entrada", G21, -G21)</f>
        <v>1282.1999999999998</v>
      </c>
    </row>
    <row r="22" spans="1:11" ht="15.75" customHeight="1" x14ac:dyDescent="0.25">
      <c r="A22" s="8">
        <v>46207</v>
      </c>
      <c r="B22" s="9" t="s">
        <v>30</v>
      </c>
      <c r="C22" s="6" t="s">
        <v>20</v>
      </c>
      <c r="D22" s="6" t="s">
        <v>13</v>
      </c>
      <c r="E22" s="9"/>
      <c r="F22" s="9"/>
      <c r="G22" s="7">
        <v>5206</v>
      </c>
      <c r="H22" s="10"/>
      <c r="I22" s="9"/>
      <c r="J22" s="5" t="str">
        <f>TEXT(A22,"yyyy-mm")</f>
        <v>yyyy-07</v>
      </c>
      <c r="K22" s="7">
        <f>K21 + IF(C22="Entrada", G22, -G22)</f>
        <v>6488.2</v>
      </c>
    </row>
    <row r="23" spans="1:11" ht="15.75" customHeight="1" x14ac:dyDescent="0.25">
      <c r="A23" s="8">
        <v>46207</v>
      </c>
      <c r="B23" s="9" t="s">
        <v>34</v>
      </c>
      <c r="C23" s="6" t="s">
        <v>20</v>
      </c>
      <c r="D23" s="6" t="s">
        <v>22</v>
      </c>
      <c r="E23" s="6" t="s">
        <v>17</v>
      </c>
      <c r="F23" s="9"/>
      <c r="G23" s="7">
        <v>150</v>
      </c>
      <c r="H23" s="10"/>
      <c r="I23" s="9"/>
      <c r="J23" s="5" t="str">
        <f>TEXT(A23,"yyyy-mm")</f>
        <v>yyyy-07</v>
      </c>
      <c r="K23" s="7">
        <f>K22 + IF(C23="Entrada", G23, -G23)</f>
        <v>6638.2</v>
      </c>
    </row>
    <row r="24" spans="1:11" ht="15.75" customHeight="1" x14ac:dyDescent="0.25">
      <c r="A24" s="11">
        <v>46207</v>
      </c>
      <c r="B24" s="9" t="s">
        <v>23</v>
      </c>
      <c r="C24" s="6" t="s">
        <v>12</v>
      </c>
      <c r="D24" s="6" t="s">
        <v>24</v>
      </c>
      <c r="E24" s="6" t="s">
        <v>17</v>
      </c>
      <c r="F24" s="6" t="s">
        <v>25</v>
      </c>
      <c r="G24" s="7">
        <v>35</v>
      </c>
      <c r="H24" s="10"/>
      <c r="I24" s="9"/>
      <c r="J24" s="5" t="str">
        <f>TEXT(A24,"yyyy-mm")</f>
        <v>yyyy-07</v>
      </c>
      <c r="K24" s="7">
        <f>K23 + IF(C24="Entrada", G24, -G24)</f>
        <v>6603.2</v>
      </c>
    </row>
    <row r="25" spans="1:11" ht="15.75" customHeight="1" x14ac:dyDescent="0.25">
      <c r="A25" s="8">
        <v>46207</v>
      </c>
      <c r="B25" s="9" t="s">
        <v>33</v>
      </c>
      <c r="C25" s="6" t="s">
        <v>12</v>
      </c>
      <c r="D25" s="6" t="s">
        <v>33</v>
      </c>
      <c r="E25" s="6" t="s">
        <v>14</v>
      </c>
      <c r="F25" s="6" t="s">
        <v>15</v>
      </c>
      <c r="G25" s="7">
        <v>150</v>
      </c>
      <c r="H25" s="10"/>
      <c r="I25" s="9"/>
      <c r="J25" s="5" t="str">
        <f>TEXT(A25,"yyyy-mm")</f>
        <v>yyyy-07</v>
      </c>
      <c r="K25" s="7">
        <f>K24 + IF(C25="Entrada", G25, -G25)</f>
        <v>6453.2</v>
      </c>
    </row>
    <row r="26" spans="1:11" ht="15.75" customHeight="1" x14ac:dyDescent="0.25">
      <c r="A26" s="8">
        <v>46178</v>
      </c>
      <c r="B26" s="9" t="s">
        <v>13</v>
      </c>
      <c r="C26" s="6" t="s">
        <v>20</v>
      </c>
      <c r="D26" s="6" t="s">
        <v>13</v>
      </c>
      <c r="E26" s="9"/>
      <c r="F26" s="9"/>
      <c r="G26" s="7">
        <v>4084</v>
      </c>
      <c r="H26" s="10"/>
      <c r="I26" s="9"/>
      <c r="J26" s="5" t="str">
        <f>TEXT(A26,"yyyy-mm")</f>
        <v>yyyy-06</v>
      </c>
      <c r="K26" s="7">
        <f>K25 + IF(C26="Entrada", G26, -G26)</f>
        <v>10537.2</v>
      </c>
    </row>
    <row r="27" spans="1:11" ht="15.75" customHeight="1" x14ac:dyDescent="0.25">
      <c r="A27" s="8">
        <v>46178</v>
      </c>
      <c r="B27" s="9" t="s">
        <v>21</v>
      </c>
      <c r="C27" s="6" t="s">
        <v>20</v>
      </c>
      <c r="D27" s="6" t="s">
        <v>22</v>
      </c>
      <c r="E27" s="6" t="s">
        <v>17</v>
      </c>
      <c r="F27" s="9"/>
      <c r="G27" s="7">
        <v>394</v>
      </c>
      <c r="H27" s="10"/>
      <c r="I27" s="9"/>
      <c r="J27" s="5" t="str">
        <f>TEXT(A27,"yyyy-mm")</f>
        <v>yyyy-06</v>
      </c>
      <c r="K27" s="7">
        <f>K26 + IF(C27="Entrada", G27, -G27)</f>
        <v>10931.2</v>
      </c>
    </row>
    <row r="28" spans="1:11" ht="15.75" customHeight="1" x14ac:dyDescent="0.25">
      <c r="A28" s="8">
        <v>46178</v>
      </c>
      <c r="B28" s="9" t="s">
        <v>35</v>
      </c>
      <c r="C28" s="6" t="s">
        <v>12</v>
      </c>
      <c r="D28" s="6" t="s">
        <v>24</v>
      </c>
      <c r="E28" s="6" t="s">
        <v>17</v>
      </c>
      <c r="F28" s="6" t="s">
        <v>25</v>
      </c>
      <c r="G28" s="7">
        <v>35</v>
      </c>
      <c r="H28" s="10"/>
      <c r="I28" s="9"/>
      <c r="J28" s="5" t="str">
        <f>TEXT(A28,"yyyy-mm")</f>
        <v>yyyy-06</v>
      </c>
      <c r="K28" s="7">
        <f>K27 + IF(C28="Entrada", G28, -G28)</f>
        <v>10896.2</v>
      </c>
    </row>
    <row r="29" spans="1:11" ht="15.75" customHeight="1" x14ac:dyDescent="0.25">
      <c r="A29" s="8">
        <v>46178</v>
      </c>
      <c r="B29" s="9" t="s">
        <v>33</v>
      </c>
      <c r="C29" s="6" t="s">
        <v>12</v>
      </c>
      <c r="D29" s="6" t="s">
        <v>33</v>
      </c>
      <c r="E29" s="6" t="s">
        <v>14</v>
      </c>
      <c r="F29" s="6" t="s">
        <v>15</v>
      </c>
      <c r="G29" s="7">
        <v>150</v>
      </c>
      <c r="H29" s="10"/>
      <c r="I29" s="9"/>
      <c r="J29" s="5" t="str">
        <f>TEXT(A29,"yyyy-mm")</f>
        <v>yyyy-06</v>
      </c>
      <c r="K29" s="7">
        <f>K28 + IF(C29="Entrada", G29, -G29)</f>
        <v>10746.2</v>
      </c>
    </row>
    <row r="30" spans="1:11" ht="15.75" customHeight="1" x14ac:dyDescent="0.25">
      <c r="A30" s="8">
        <v>46209</v>
      </c>
      <c r="B30" s="9" t="s">
        <v>13</v>
      </c>
      <c r="C30" s="6" t="s">
        <v>20</v>
      </c>
      <c r="D30" s="6" t="s">
        <v>13</v>
      </c>
      <c r="E30" s="9"/>
      <c r="F30" s="9"/>
      <c r="G30" s="10">
        <v>1513</v>
      </c>
      <c r="H30" s="10"/>
      <c r="I30" s="9"/>
      <c r="J30" s="5" t="str">
        <f>TEXT(A30,"yyyy-mm")</f>
        <v>yyyy-07</v>
      </c>
      <c r="K30" s="7">
        <f>K29 + IF(C30="Entrada", G30, -G30)</f>
        <v>12259.2</v>
      </c>
    </row>
    <row r="31" spans="1:11" ht="15.75" customHeight="1" x14ac:dyDescent="0.25">
      <c r="A31" s="8">
        <v>46209</v>
      </c>
      <c r="B31" s="9" t="s">
        <v>21</v>
      </c>
      <c r="C31" s="6" t="s">
        <v>20</v>
      </c>
      <c r="D31" s="6" t="s">
        <v>22</v>
      </c>
      <c r="E31" s="6" t="s">
        <v>17</v>
      </c>
      <c r="F31" s="9"/>
      <c r="G31" s="10">
        <v>151</v>
      </c>
      <c r="H31" s="10"/>
      <c r="I31" s="9"/>
      <c r="J31" s="5" t="str">
        <f>TEXT(A31,"yyyy-mm")</f>
        <v>yyyy-07</v>
      </c>
      <c r="K31" s="7">
        <f>K30 + IF(C31="Entrada", G31, -G31)</f>
        <v>12410.2</v>
      </c>
    </row>
    <row r="32" spans="1:11" ht="15.75" customHeight="1" x14ac:dyDescent="0.25">
      <c r="A32" s="8">
        <v>46209</v>
      </c>
      <c r="B32" s="9" t="s">
        <v>23</v>
      </c>
      <c r="C32" s="6" t="s">
        <v>12</v>
      </c>
      <c r="D32" s="6" t="s">
        <v>24</v>
      </c>
      <c r="E32" s="6" t="s">
        <v>17</v>
      </c>
      <c r="F32" s="6" t="s">
        <v>25</v>
      </c>
      <c r="G32" s="10">
        <v>18</v>
      </c>
      <c r="H32" s="10"/>
      <c r="I32" s="9"/>
      <c r="J32" s="5" t="str">
        <f>TEXT(A32,"yyyy-mm")</f>
        <v>yyyy-07</v>
      </c>
      <c r="K32" s="7">
        <f>K31 + IF(C32="Entrada", G32, -G32)</f>
        <v>12392.2</v>
      </c>
    </row>
    <row r="33" spans="1:11" ht="15.75" customHeight="1" x14ac:dyDescent="0.25">
      <c r="A33" s="8">
        <v>46207</v>
      </c>
      <c r="B33" s="9" t="s">
        <v>36</v>
      </c>
      <c r="C33" s="6" t="s">
        <v>12</v>
      </c>
      <c r="D33" s="6" t="s">
        <v>33</v>
      </c>
      <c r="E33" s="6" t="s">
        <v>17</v>
      </c>
      <c r="F33" s="6" t="s">
        <v>25</v>
      </c>
      <c r="G33" s="7">
        <v>300</v>
      </c>
      <c r="H33" s="10"/>
      <c r="I33" s="9"/>
      <c r="J33" s="5" t="str">
        <f>TEXT(A33,"yyyy-mm")</f>
        <v>yyyy-07</v>
      </c>
      <c r="K33" s="7">
        <f>K32 + IF(C33="Entrada", G33, -G33)</f>
        <v>12092.2</v>
      </c>
    </row>
    <row r="34" spans="1:11" ht="15.75" customHeight="1" x14ac:dyDescent="0.25">
      <c r="A34" s="8">
        <v>46208</v>
      </c>
      <c r="B34" s="9" t="s">
        <v>37</v>
      </c>
      <c r="C34" s="6" t="s">
        <v>12</v>
      </c>
      <c r="D34" s="6" t="s">
        <v>19</v>
      </c>
      <c r="E34" s="6" t="s">
        <v>17</v>
      </c>
      <c r="F34" s="6" t="s">
        <v>25</v>
      </c>
      <c r="G34" s="7">
        <v>225</v>
      </c>
      <c r="H34" s="10"/>
      <c r="I34" s="9"/>
      <c r="J34" s="5" t="str">
        <f>TEXT(A34,"yyyy-mm")</f>
        <v>yyyy-07</v>
      </c>
      <c r="K34" s="7">
        <f>K33 + IF(C34="Entrada", G34, -G34)</f>
        <v>11867.2</v>
      </c>
    </row>
    <row r="35" spans="1:11" ht="15.75" customHeight="1" x14ac:dyDescent="0.25">
      <c r="A35" s="8">
        <v>46209</v>
      </c>
      <c r="B35" s="9" t="s">
        <v>38</v>
      </c>
      <c r="C35" s="6" t="s">
        <v>12</v>
      </c>
      <c r="D35" s="6" t="s">
        <v>39</v>
      </c>
      <c r="E35" s="6" t="s">
        <v>17</v>
      </c>
      <c r="F35" s="9"/>
      <c r="G35" s="7">
        <v>8918.64</v>
      </c>
      <c r="H35" s="10"/>
      <c r="I35" s="9"/>
      <c r="J35" s="5" t="str">
        <f>TEXT(A35,"yyyy-mm")</f>
        <v>yyyy-07</v>
      </c>
      <c r="K35" s="7">
        <f>K34 + IF(C35="Entrada", G35, -G35)</f>
        <v>2948.5600000000013</v>
      </c>
    </row>
    <row r="36" spans="1:11" ht="15.75" customHeight="1" x14ac:dyDescent="0.25">
      <c r="A36" s="8">
        <v>46209</v>
      </c>
      <c r="B36" s="21" t="s">
        <v>989</v>
      </c>
      <c r="C36" s="6" t="s">
        <v>12</v>
      </c>
      <c r="D36" s="6" t="s">
        <v>39</v>
      </c>
      <c r="E36" s="6" t="s">
        <v>17</v>
      </c>
      <c r="F36" s="6" t="s">
        <v>25</v>
      </c>
      <c r="G36" s="7">
        <v>94.9</v>
      </c>
      <c r="H36" s="10"/>
      <c r="I36" s="9"/>
      <c r="J36" s="5" t="str">
        <f>TEXT(A36,"yyyy-mm")</f>
        <v>yyyy-07</v>
      </c>
      <c r="K36" s="7">
        <f>K35 + IF(C36="Entrada", G36, -G36)</f>
        <v>2853.6600000000012</v>
      </c>
    </row>
    <row r="37" spans="1:11" ht="15.75" customHeight="1" x14ac:dyDescent="0.25">
      <c r="A37" s="8">
        <v>46209</v>
      </c>
      <c r="B37" s="9" t="s">
        <v>623</v>
      </c>
      <c r="C37" s="6" t="s">
        <v>12</v>
      </c>
      <c r="D37" s="6" t="s">
        <v>39</v>
      </c>
      <c r="E37" s="6" t="s">
        <v>17</v>
      </c>
      <c r="F37" s="9"/>
      <c r="G37" s="7">
        <v>100</v>
      </c>
      <c r="H37" s="10"/>
      <c r="I37" s="9"/>
      <c r="J37" s="5" t="str">
        <f>TEXT(A37,"yyyy-mm")</f>
        <v>yyyy-07</v>
      </c>
      <c r="K37" s="7">
        <f>K36 + IF(C37="Entrada", G37, -G37)</f>
        <v>2753.6600000000012</v>
      </c>
    </row>
    <row r="38" spans="1:11" ht="15.75" customHeight="1" x14ac:dyDescent="0.25">
      <c r="A38" s="8">
        <v>46209</v>
      </c>
      <c r="B38" s="9" t="s">
        <v>42</v>
      </c>
      <c r="C38" s="6" t="s">
        <v>12</v>
      </c>
      <c r="D38" s="6" t="s">
        <v>19</v>
      </c>
      <c r="E38" s="6" t="s">
        <v>17</v>
      </c>
      <c r="F38" s="9"/>
      <c r="G38" s="7">
        <v>177.86</v>
      </c>
      <c r="H38" s="10"/>
      <c r="I38" s="9"/>
      <c r="J38" s="5" t="str">
        <f>TEXT(A38,"yyyy-mm")</f>
        <v>yyyy-07</v>
      </c>
      <c r="K38" s="7">
        <f>K37 + IF(C38="Entrada", G38, -G38)</f>
        <v>2575.8000000000011</v>
      </c>
    </row>
    <row r="39" spans="1:11" ht="15.75" customHeight="1" x14ac:dyDescent="0.25">
      <c r="A39" s="8">
        <v>46209</v>
      </c>
      <c r="B39" s="9" t="s">
        <v>42</v>
      </c>
      <c r="C39" s="6" t="s">
        <v>12</v>
      </c>
      <c r="D39" s="6" t="s">
        <v>19</v>
      </c>
      <c r="E39" s="6" t="s">
        <v>17</v>
      </c>
      <c r="F39" s="9"/>
      <c r="G39" s="7">
        <v>321.07</v>
      </c>
      <c r="H39" s="10"/>
      <c r="I39" s="9"/>
      <c r="J39" s="5" t="str">
        <f>TEXT(A39,"yyyy-mm")</f>
        <v>yyyy-07</v>
      </c>
      <c r="K39" s="7">
        <f>K38 + IF(C39="Entrada", G39, -G39)</f>
        <v>2254.7300000000009</v>
      </c>
    </row>
    <row r="40" spans="1:11" ht="15.75" customHeight="1" x14ac:dyDescent="0.25">
      <c r="A40" s="8">
        <v>46210</v>
      </c>
      <c r="B40" s="9" t="s">
        <v>43</v>
      </c>
      <c r="C40" s="6" t="s">
        <v>12</v>
      </c>
      <c r="D40" s="6" t="s">
        <v>19</v>
      </c>
      <c r="E40" s="6" t="s">
        <v>17</v>
      </c>
      <c r="F40" s="9"/>
      <c r="G40" s="7">
        <v>529.5</v>
      </c>
      <c r="H40" s="10"/>
      <c r="I40" s="9"/>
      <c r="J40" s="5" t="str">
        <f>TEXT(A40,"yyyy-mm")</f>
        <v>yyyy-07</v>
      </c>
      <c r="K40" s="7">
        <f>K39 + IF(C40="Entrada", G40, -G40)</f>
        <v>1725.2300000000009</v>
      </c>
    </row>
    <row r="41" spans="1:11" ht="15.75" customHeight="1" x14ac:dyDescent="0.25">
      <c r="A41" s="8">
        <v>46210</v>
      </c>
      <c r="B41" s="9" t="s">
        <v>30</v>
      </c>
      <c r="C41" s="6" t="s">
        <v>20</v>
      </c>
      <c r="D41" s="6" t="s">
        <v>13</v>
      </c>
      <c r="E41" s="9"/>
      <c r="F41" s="9"/>
      <c r="G41" s="10">
        <v>1628</v>
      </c>
      <c r="H41" s="10"/>
      <c r="I41" s="9"/>
      <c r="J41" s="5" t="str">
        <f>TEXT(A41,"yyyy-mm")</f>
        <v>yyyy-07</v>
      </c>
      <c r="K41" s="7">
        <f>K40 + IF(C41="Entrada", G41, -G41)</f>
        <v>3353.2300000000009</v>
      </c>
    </row>
    <row r="42" spans="1:11" ht="15.75" customHeight="1" x14ac:dyDescent="0.25">
      <c r="A42" s="8">
        <v>46210</v>
      </c>
      <c r="B42" s="9" t="s">
        <v>44</v>
      </c>
      <c r="C42" s="6" t="s">
        <v>20</v>
      </c>
      <c r="D42" s="6" t="s">
        <v>22</v>
      </c>
      <c r="E42" s="6" t="s">
        <v>17</v>
      </c>
      <c r="F42" s="9"/>
      <c r="G42" s="10">
        <v>76</v>
      </c>
      <c r="H42" s="10"/>
      <c r="I42" s="9"/>
      <c r="J42" s="5" t="str">
        <f>TEXT(A42,"yyyy-mm")</f>
        <v>yyyy-07</v>
      </c>
      <c r="K42" s="7">
        <f>K41 + IF(C42="Entrada", G42, -G42)</f>
        <v>3429.2300000000009</v>
      </c>
    </row>
    <row r="43" spans="1:11" ht="15.75" customHeight="1" x14ac:dyDescent="0.25">
      <c r="A43" s="8">
        <v>46210</v>
      </c>
      <c r="B43" s="9" t="s">
        <v>45</v>
      </c>
      <c r="C43" s="6" t="s">
        <v>12</v>
      </c>
      <c r="D43" s="6" t="s">
        <v>24</v>
      </c>
      <c r="E43" s="6" t="s">
        <v>17</v>
      </c>
      <c r="F43" s="6" t="s">
        <v>25</v>
      </c>
      <c r="G43" s="10">
        <v>24</v>
      </c>
      <c r="H43" s="10"/>
      <c r="I43" s="9"/>
      <c r="J43" s="5" t="str">
        <f>TEXT(A43,"yyyy-mm")</f>
        <v>yyyy-07</v>
      </c>
      <c r="K43" s="7">
        <f>K42 + IF(C43="Entrada", G43, -G43)</f>
        <v>3405.2300000000009</v>
      </c>
    </row>
    <row r="44" spans="1:11" ht="15.75" customHeight="1" x14ac:dyDescent="0.25">
      <c r="A44" s="3">
        <v>46210</v>
      </c>
      <c r="B44" s="9" t="s">
        <v>988</v>
      </c>
      <c r="C44" s="9" t="s">
        <v>12</v>
      </c>
      <c r="D44" s="9" t="s">
        <v>27</v>
      </c>
      <c r="E44" s="9" t="s">
        <v>17</v>
      </c>
      <c r="F44" s="9" t="s">
        <v>25</v>
      </c>
      <c r="G44" s="10">
        <v>4858.41</v>
      </c>
      <c r="H44" s="10"/>
      <c r="I44" s="9"/>
      <c r="J44" s="5" t="str">
        <f>TEXT(A44,"yyyy-mm")</f>
        <v>yyyy-07</v>
      </c>
      <c r="K44" s="7">
        <f>K43 + IF(C44="Entrada", G44, -G44)</f>
        <v>-1453.1799999999989</v>
      </c>
    </row>
    <row r="45" spans="1:11" ht="15.75" customHeight="1" x14ac:dyDescent="0.25">
      <c r="A45" s="3">
        <v>46211</v>
      </c>
      <c r="B45" s="4" t="s">
        <v>531</v>
      </c>
      <c r="C45" s="5" t="s">
        <v>12</v>
      </c>
      <c r="D45" s="6" t="s">
        <v>327</v>
      </c>
      <c r="E45" s="6" t="s">
        <v>17</v>
      </c>
      <c r="F45" s="6"/>
      <c r="G45" s="7">
        <v>1899.95</v>
      </c>
      <c r="H45" s="7"/>
      <c r="I45" s="5"/>
      <c r="J45" s="5" t="str">
        <f>TEXT(A45,"yyyy-mm")</f>
        <v>yyyy-07</v>
      </c>
      <c r="K45" s="7">
        <f>K44 + IF(C45="Entrada", G45, -G45)</f>
        <v>-3353.1299999999992</v>
      </c>
    </row>
    <row r="46" spans="1:11" ht="15.75" customHeight="1" x14ac:dyDescent="0.25">
      <c r="A46" s="3">
        <v>46211</v>
      </c>
      <c r="B46" s="4" t="s">
        <v>304</v>
      </c>
      <c r="C46" s="5" t="s">
        <v>12</v>
      </c>
      <c r="D46" s="6" t="s">
        <v>68</v>
      </c>
      <c r="E46" s="6" t="s">
        <v>17</v>
      </c>
      <c r="F46" s="6"/>
      <c r="G46" s="7">
        <v>1000</v>
      </c>
      <c r="H46" s="7"/>
      <c r="I46" s="5"/>
      <c r="J46" s="5" t="str">
        <f>TEXT(A46,"yyyy-mm")</f>
        <v>yyyy-07</v>
      </c>
      <c r="K46" s="7">
        <f>K45 + IF(C46="Entrada", G46, -G46)</f>
        <v>-4353.1299999999992</v>
      </c>
    </row>
    <row r="47" spans="1:11" ht="15.75" customHeight="1" x14ac:dyDescent="0.25">
      <c r="A47" s="3">
        <v>46211</v>
      </c>
      <c r="B47" s="4" t="s">
        <v>366</v>
      </c>
      <c r="C47" s="5" t="s">
        <v>12</v>
      </c>
      <c r="D47" s="6" t="s">
        <v>19</v>
      </c>
      <c r="E47" s="6" t="s">
        <v>17</v>
      </c>
      <c r="F47" s="6" t="s">
        <v>25</v>
      </c>
      <c r="G47" s="7">
        <v>212</v>
      </c>
      <c r="H47" s="7"/>
      <c r="I47" s="5"/>
      <c r="J47" s="5" t="str">
        <f>TEXT(A47,"yyyy-mm")</f>
        <v>yyyy-07</v>
      </c>
      <c r="K47" s="7">
        <f>K46 + IF(C47="Entrada", G47, -G47)</f>
        <v>-4565.1299999999992</v>
      </c>
    </row>
    <row r="48" spans="1:11" ht="15.75" customHeight="1" x14ac:dyDescent="0.25">
      <c r="A48" s="3">
        <v>46211</v>
      </c>
      <c r="B48" s="9" t="s">
        <v>30</v>
      </c>
      <c r="C48" s="7" t="s">
        <v>20</v>
      </c>
      <c r="D48" s="6" t="s">
        <v>13</v>
      </c>
      <c r="E48" s="6"/>
      <c r="F48" s="6"/>
      <c r="G48" s="7">
        <v>1206</v>
      </c>
      <c r="H48" s="7"/>
      <c r="I48" s="5"/>
      <c r="J48" s="5" t="str">
        <f>TEXT(A48,"yyyy-mm")</f>
        <v>yyyy-07</v>
      </c>
      <c r="K48" s="7">
        <f>K47 + IF(C48="Entrada", G48, -G48)</f>
        <v>-3359.1299999999992</v>
      </c>
    </row>
    <row r="49" spans="1:11" ht="15.75" customHeight="1" x14ac:dyDescent="0.25">
      <c r="A49" s="3">
        <v>46211</v>
      </c>
      <c r="B49" s="4" t="s">
        <v>44</v>
      </c>
      <c r="C49" s="5" t="s">
        <v>20</v>
      </c>
      <c r="D49" s="6" t="s">
        <v>22</v>
      </c>
      <c r="E49" s="6" t="s">
        <v>17</v>
      </c>
      <c r="F49" s="6"/>
      <c r="G49" s="7">
        <v>150</v>
      </c>
      <c r="H49" s="7"/>
      <c r="I49" s="5"/>
      <c r="J49" s="5" t="str">
        <f>TEXT(A49,"yyyy-mm")</f>
        <v>yyyy-07</v>
      </c>
      <c r="K49" s="7">
        <f>K48 + IF(C49="Entrada", G49, -G49)</f>
        <v>-3209.1299999999992</v>
      </c>
    </row>
    <row r="50" spans="1:11" ht="15.75" customHeight="1" x14ac:dyDescent="0.25">
      <c r="A50" s="3">
        <v>46211</v>
      </c>
      <c r="B50" s="4" t="s">
        <v>45</v>
      </c>
      <c r="C50" s="5" t="s">
        <v>12</v>
      </c>
      <c r="D50" s="6" t="s">
        <v>24</v>
      </c>
      <c r="E50" s="6" t="s">
        <v>17</v>
      </c>
      <c r="F50" s="6" t="s">
        <v>25</v>
      </c>
      <c r="G50" s="7">
        <v>36</v>
      </c>
      <c r="H50" s="7"/>
      <c r="I50" s="5"/>
      <c r="J50" s="5" t="str">
        <f>TEXT(A50,"yyyy-mm")</f>
        <v>yyyy-07</v>
      </c>
      <c r="K50" s="7">
        <f>K49 + IF(C50="Entrada", G50, -G50)</f>
        <v>-3245.1299999999992</v>
      </c>
    </row>
    <row r="51" spans="1:11" ht="15.75" customHeight="1" x14ac:dyDescent="0.25">
      <c r="A51" s="3">
        <v>46211</v>
      </c>
      <c r="B51" s="4" t="s">
        <v>987</v>
      </c>
      <c r="C51" s="5" t="s">
        <v>12</v>
      </c>
      <c r="D51" s="6" t="s">
        <v>19</v>
      </c>
      <c r="E51" s="6" t="s">
        <v>17</v>
      </c>
      <c r="F51" s="6" t="s">
        <v>15</v>
      </c>
      <c r="G51" s="7">
        <v>79.2</v>
      </c>
      <c r="H51" s="7"/>
      <c r="I51" s="5"/>
      <c r="J51" s="5" t="str">
        <f>TEXT(A51,"yyyy-mm")</f>
        <v>yyyy-07</v>
      </c>
      <c r="K51" s="7">
        <f>K50 + IF(C51="Entrada", G51, -G51)</f>
        <v>-3324.329999999999</v>
      </c>
    </row>
    <row r="52" spans="1:11" ht="15.75" customHeight="1" x14ac:dyDescent="0.25">
      <c r="A52" s="3">
        <v>46211</v>
      </c>
      <c r="B52" s="4" t="s">
        <v>986</v>
      </c>
      <c r="C52" s="5" t="s">
        <v>12</v>
      </c>
      <c r="D52" s="6" t="s">
        <v>27</v>
      </c>
      <c r="E52" s="6" t="s">
        <v>17</v>
      </c>
      <c r="F52" s="6" t="s">
        <v>25</v>
      </c>
      <c r="G52" s="7">
        <v>500</v>
      </c>
      <c r="H52" s="7"/>
      <c r="I52" s="5"/>
      <c r="J52" s="5" t="str">
        <f>TEXT(A52,"yyyy-mm")</f>
        <v>yyyy-07</v>
      </c>
      <c r="K52" s="7">
        <f>K51 + IF(C52="Entrada", G52, -G52)</f>
        <v>-3824.329999999999</v>
      </c>
    </row>
    <row r="53" spans="1:11" ht="15.75" customHeight="1" x14ac:dyDescent="0.25">
      <c r="A53" s="3"/>
      <c r="B53" s="4"/>
      <c r="C53" s="5"/>
      <c r="D53" s="6"/>
      <c r="E53" s="6"/>
      <c r="F53" s="6"/>
      <c r="G53" s="7"/>
      <c r="H53" s="7"/>
      <c r="I53" s="5"/>
      <c r="J53" s="5" t="str">
        <f>TEXT(A53,"yyyy-mm")</f>
        <v>yyyy-01</v>
      </c>
      <c r="K53" s="7">
        <f>K52 + IF(C53="Entrada", G53, -G53)</f>
        <v>-3824.329999999999</v>
      </c>
    </row>
    <row r="54" spans="1:11" ht="15.75" customHeight="1" x14ac:dyDescent="0.25">
      <c r="A54" s="3"/>
      <c r="B54" s="4"/>
      <c r="C54" s="5"/>
      <c r="D54" s="6"/>
      <c r="E54" s="6"/>
      <c r="F54" s="6"/>
      <c r="G54" s="7"/>
      <c r="H54" s="7"/>
      <c r="I54" s="5"/>
      <c r="J54" s="5" t="str">
        <f>TEXT(A54,"yyyy-mm")</f>
        <v>yyyy-01</v>
      </c>
      <c r="K54" s="7">
        <f>K53 + IF(C54="Entrada", G54, -G54)</f>
        <v>-3824.329999999999</v>
      </c>
    </row>
    <row r="55" spans="1:11" ht="15.75" customHeight="1" x14ac:dyDescent="0.25">
      <c r="A55" s="3"/>
      <c r="B55" s="4"/>
      <c r="C55" s="5"/>
      <c r="D55" s="6"/>
      <c r="E55" s="6"/>
      <c r="F55" s="6"/>
      <c r="G55" s="7"/>
      <c r="H55" s="7"/>
      <c r="I55" s="5"/>
      <c r="J55" s="5" t="str">
        <f>TEXT(A55,"yyyy-mm")</f>
        <v>yyyy-01</v>
      </c>
      <c r="K55" s="7">
        <f>K54 + IF(C55="Entrada", G55, -G55)</f>
        <v>-3824.329999999999</v>
      </c>
    </row>
    <row r="56" spans="1:11" ht="15.75" customHeight="1" x14ac:dyDescent="0.25">
      <c r="A56" s="3"/>
      <c r="B56" s="4"/>
      <c r="C56" s="5"/>
      <c r="D56" s="6"/>
      <c r="E56" s="6"/>
      <c r="F56" s="6"/>
      <c r="G56" s="7"/>
      <c r="H56" s="7"/>
      <c r="I56" s="5"/>
      <c r="J56" s="5" t="str">
        <f>TEXT(A56,"yyyy-mm")</f>
        <v>yyyy-01</v>
      </c>
      <c r="K56" s="7">
        <f>K55 + IF(C56="Entrada", G56, -G56)</f>
        <v>-3824.329999999999</v>
      </c>
    </row>
    <row r="57" spans="1:11" ht="15.75" customHeight="1" x14ac:dyDescent="0.25">
      <c r="A57" s="3"/>
      <c r="B57" s="4"/>
      <c r="C57" s="5"/>
      <c r="D57" s="6"/>
      <c r="E57" s="6"/>
      <c r="F57" s="6"/>
      <c r="G57" s="7"/>
      <c r="H57" s="7"/>
      <c r="I57" s="5"/>
      <c r="J57" s="5" t="str">
        <f>TEXT(A57,"yyyy-mm")</f>
        <v>yyyy-01</v>
      </c>
      <c r="K57" s="7">
        <f>K56 + IF(C57="Entrada", G57, -G57)</f>
        <v>-3824.329999999999</v>
      </c>
    </row>
    <row r="58" spans="1:11" ht="15.75" customHeight="1" x14ac:dyDescent="0.25">
      <c r="A58" s="3"/>
      <c r="B58" s="4"/>
      <c r="C58" s="5"/>
      <c r="D58" s="6"/>
      <c r="E58" s="6"/>
      <c r="F58" s="6"/>
      <c r="G58" s="7"/>
      <c r="H58" s="7"/>
      <c r="I58" s="5"/>
      <c r="J58" s="5" t="str">
        <f>TEXT(A58,"yyyy-mm")</f>
        <v>yyyy-01</v>
      </c>
      <c r="K58" s="7">
        <f>K57 + IF(C58="Entrada", G58, -G58)</f>
        <v>-3824.329999999999</v>
      </c>
    </row>
    <row r="59" spans="1:11" ht="15.75" customHeight="1" x14ac:dyDescent="0.25">
      <c r="A59" s="3"/>
      <c r="B59" s="4"/>
      <c r="C59" s="5"/>
      <c r="D59" s="6"/>
      <c r="E59" s="6"/>
      <c r="F59" s="6"/>
      <c r="G59" s="7"/>
      <c r="H59" s="7"/>
      <c r="I59" s="5"/>
      <c r="J59" s="5" t="str">
        <f>TEXT(A59,"yyyy-mm")</f>
        <v>yyyy-01</v>
      </c>
      <c r="K59" s="7">
        <f>K58 + IF(C59="Entrada", G59, -G59)</f>
        <v>-3824.329999999999</v>
      </c>
    </row>
    <row r="60" spans="1:11" ht="15.75" customHeight="1" x14ac:dyDescent="0.25">
      <c r="A60" s="3"/>
      <c r="B60" s="4"/>
      <c r="C60" s="5"/>
      <c r="D60" s="6"/>
      <c r="E60" s="6"/>
      <c r="F60" s="6"/>
      <c r="G60" s="7"/>
      <c r="H60" s="7"/>
      <c r="I60" s="5"/>
      <c r="J60" s="5" t="str">
        <f>TEXT(A60,"yyyy-mm")</f>
        <v>yyyy-01</v>
      </c>
      <c r="K60" s="7">
        <f>K59 + IF(C60="Entrada", G60, -G60)</f>
        <v>-3824.329999999999</v>
      </c>
    </row>
    <row r="61" spans="1:11" ht="15.75" customHeight="1" x14ac:dyDescent="0.25">
      <c r="A61" s="3"/>
      <c r="B61" s="4"/>
      <c r="C61" s="5"/>
      <c r="D61" s="6"/>
      <c r="E61" s="6"/>
      <c r="F61" s="6"/>
      <c r="G61" s="7"/>
      <c r="H61" s="7"/>
      <c r="I61" s="5"/>
      <c r="J61" s="5" t="str">
        <f>TEXT(A61,"yyyy-mm")</f>
        <v>yyyy-01</v>
      </c>
      <c r="K61" s="7">
        <f>K60 + IF(C61="Entrada", G61, -G61)</f>
        <v>-3824.329999999999</v>
      </c>
    </row>
    <row r="62" spans="1:11" ht="15.75" customHeight="1" x14ac:dyDescent="0.25">
      <c r="A62" s="3"/>
      <c r="B62" s="4"/>
      <c r="C62" s="5"/>
      <c r="D62" s="6"/>
      <c r="E62" s="6"/>
      <c r="F62" s="6"/>
      <c r="G62" s="7"/>
      <c r="H62" s="7"/>
      <c r="I62" s="5"/>
      <c r="J62" s="5" t="str">
        <f>TEXT(A62,"yyyy-mm")</f>
        <v>yyyy-01</v>
      </c>
      <c r="K62" s="7">
        <f>K61 + IF(C62="Entrada", G62, -G62)</f>
        <v>-3824.329999999999</v>
      </c>
    </row>
    <row r="63" spans="1:11" ht="15.75" customHeight="1" x14ac:dyDescent="0.25">
      <c r="A63" s="3"/>
      <c r="B63" s="4"/>
      <c r="C63" s="5"/>
      <c r="D63" s="6"/>
      <c r="E63" s="6"/>
      <c r="F63" s="6"/>
      <c r="G63" s="7"/>
      <c r="H63" s="7"/>
      <c r="I63" s="5"/>
      <c r="J63" s="5" t="str">
        <f>TEXT(A63,"yyyy-mm")</f>
        <v>yyyy-01</v>
      </c>
      <c r="K63" s="7">
        <f>K62 + IF(C63="Entrada", G63, -G63)</f>
        <v>-3824.329999999999</v>
      </c>
    </row>
    <row r="64" spans="1:11" ht="15.75" customHeight="1" x14ac:dyDescent="0.25">
      <c r="A64" s="3"/>
      <c r="B64" s="4"/>
      <c r="C64" s="5"/>
      <c r="D64" s="6"/>
      <c r="E64" s="6"/>
      <c r="F64" s="6"/>
      <c r="G64" s="7"/>
      <c r="H64" s="7"/>
      <c r="I64" s="5"/>
      <c r="J64" s="5" t="str">
        <f>TEXT(A64,"yyyy-mm")</f>
        <v>yyyy-01</v>
      </c>
      <c r="K64" s="7">
        <f>K63 + IF(C64="Entrada", G64, -G64)</f>
        <v>-3824.329999999999</v>
      </c>
    </row>
    <row r="65" spans="1:11" ht="15.75" customHeight="1" x14ac:dyDescent="0.25">
      <c r="A65" s="3"/>
      <c r="B65" s="4"/>
      <c r="C65" s="5"/>
      <c r="D65" s="6"/>
      <c r="E65" s="6"/>
      <c r="F65" s="6"/>
      <c r="G65" s="7"/>
      <c r="H65" s="7"/>
      <c r="I65" s="5"/>
      <c r="J65" s="5" t="str">
        <f>TEXT(A65,"yyyy-mm")</f>
        <v>yyyy-01</v>
      </c>
      <c r="K65" s="7">
        <f>K64 + IF(C65="Entrada", G65, -G65)</f>
        <v>-3824.329999999999</v>
      </c>
    </row>
    <row r="66" spans="1:11" ht="15.75" customHeight="1" x14ac:dyDescent="0.25">
      <c r="A66" s="3"/>
      <c r="B66" s="4"/>
      <c r="C66" s="5"/>
      <c r="D66" s="6"/>
      <c r="E66" s="6"/>
      <c r="F66" s="6"/>
      <c r="G66" s="7"/>
      <c r="H66" s="7"/>
      <c r="I66" s="5"/>
      <c r="J66" s="5" t="str">
        <f>TEXT(A66,"yyyy-mm")</f>
        <v>yyyy-01</v>
      </c>
      <c r="K66" s="7">
        <f>K65 + IF(C66="Entrada", G66, -G66)</f>
        <v>-3824.329999999999</v>
      </c>
    </row>
    <row r="67" spans="1:11" ht="15.75" customHeight="1" x14ac:dyDescent="0.25">
      <c r="A67" s="3"/>
      <c r="B67" s="4"/>
      <c r="C67" s="5"/>
      <c r="D67" s="6"/>
      <c r="E67" s="6"/>
      <c r="F67" s="6"/>
      <c r="G67" s="7"/>
      <c r="H67" s="7"/>
      <c r="I67" s="5"/>
      <c r="J67" s="5" t="str">
        <f>TEXT(A67,"yyyy-mm")</f>
        <v>yyyy-01</v>
      </c>
      <c r="K67" s="7">
        <f>K66 + IF(C67="Entrada", G67, -G67)</f>
        <v>-3824.329999999999</v>
      </c>
    </row>
    <row r="68" spans="1:11" ht="15.75" customHeight="1" x14ac:dyDescent="0.25">
      <c r="A68" s="3"/>
      <c r="B68" s="4"/>
      <c r="C68" s="5"/>
      <c r="D68" s="6"/>
      <c r="E68" s="6"/>
      <c r="F68" s="6"/>
      <c r="G68" s="7"/>
      <c r="H68" s="7"/>
      <c r="I68" s="5"/>
      <c r="J68" s="5" t="str">
        <f>TEXT(A68,"yyyy-mm")</f>
        <v>yyyy-01</v>
      </c>
      <c r="K68" s="7">
        <f>K67 + IF(C68="Entrada", G68, -G68)</f>
        <v>-3824.329999999999</v>
      </c>
    </row>
    <row r="69" spans="1:11" ht="15.75" customHeight="1" x14ac:dyDescent="0.25">
      <c r="A69" s="3"/>
      <c r="B69" s="4"/>
      <c r="C69" s="5"/>
      <c r="D69" s="6"/>
      <c r="E69" s="6"/>
      <c r="F69" s="6"/>
      <c r="G69" s="7"/>
      <c r="H69" s="7"/>
      <c r="I69" s="5"/>
      <c r="J69" s="5" t="str">
        <f>TEXT(A69,"yyyy-mm")</f>
        <v>yyyy-01</v>
      </c>
      <c r="K69" s="7">
        <f>K68 + IF(C69="Entrada", G69, -G69)</f>
        <v>-3824.329999999999</v>
      </c>
    </row>
    <row r="70" spans="1:11" ht="15.75" customHeight="1" x14ac:dyDescent="0.25">
      <c r="A70" s="3"/>
      <c r="B70" s="4"/>
      <c r="C70" s="5"/>
      <c r="D70" s="6"/>
      <c r="E70" s="6"/>
      <c r="F70" s="6"/>
      <c r="G70" s="7"/>
      <c r="H70" s="7"/>
      <c r="I70" s="5"/>
      <c r="J70" s="5" t="str">
        <f>TEXT(A70,"yyyy-mm")</f>
        <v>yyyy-01</v>
      </c>
      <c r="K70" s="7">
        <f>K69 + IF(C70="Entrada", G70, -G70)</f>
        <v>-3824.329999999999</v>
      </c>
    </row>
    <row r="71" spans="1:11" ht="15.75" customHeight="1" x14ac:dyDescent="0.25">
      <c r="A71" s="3"/>
      <c r="B71" s="4"/>
      <c r="C71" s="5"/>
      <c r="D71" s="6"/>
      <c r="E71" s="6"/>
      <c r="F71" s="6"/>
      <c r="G71" s="7"/>
      <c r="H71" s="7"/>
      <c r="I71" s="5"/>
      <c r="J71" s="5" t="str">
        <f>TEXT(A71,"yyyy-mm")</f>
        <v>yyyy-01</v>
      </c>
      <c r="K71" s="7">
        <f>K70 + IF(C71="Entrada", G71, -G71)</f>
        <v>-3824.329999999999</v>
      </c>
    </row>
    <row r="72" spans="1:11" ht="15.75" customHeight="1" x14ac:dyDescent="0.25">
      <c r="A72" s="3"/>
      <c r="B72" s="4"/>
      <c r="C72" s="5"/>
      <c r="D72" s="6"/>
      <c r="E72" s="6"/>
      <c r="F72" s="6"/>
      <c r="G72" s="7"/>
      <c r="H72" s="7"/>
      <c r="I72" s="5"/>
      <c r="J72" s="5" t="str">
        <f>TEXT(A72,"yyyy-mm")</f>
        <v>yyyy-01</v>
      </c>
      <c r="K72" s="7">
        <f>K71 + IF(C72="Entrada", G72, -G72)</f>
        <v>-3824.329999999999</v>
      </c>
    </row>
    <row r="73" spans="1:11" ht="15.75" customHeight="1" x14ac:dyDescent="0.25">
      <c r="A73" s="3"/>
      <c r="B73" s="4"/>
      <c r="C73" s="5"/>
      <c r="D73" s="6"/>
      <c r="E73" s="6"/>
      <c r="F73" s="6"/>
      <c r="G73" s="7"/>
      <c r="H73" s="7"/>
      <c r="I73" s="5"/>
      <c r="J73" s="5" t="str">
        <f>TEXT(A73,"yyyy-mm")</f>
        <v>yyyy-01</v>
      </c>
      <c r="K73" s="7">
        <f>K72 + IF(C73="Entrada", G73, -G73)</f>
        <v>-3824.329999999999</v>
      </c>
    </row>
    <row r="74" spans="1:11" ht="15.75" customHeight="1" x14ac:dyDescent="0.25">
      <c r="A74" s="3"/>
      <c r="B74" s="4"/>
      <c r="C74" s="5"/>
      <c r="D74" s="6"/>
      <c r="E74" s="6"/>
      <c r="F74" s="6"/>
      <c r="G74" s="7"/>
      <c r="H74" s="7"/>
      <c r="I74" s="5"/>
      <c r="J74" s="5" t="str">
        <f>TEXT(A74,"yyyy-mm")</f>
        <v>yyyy-01</v>
      </c>
      <c r="K74" s="7">
        <f>K73 + IF(C74="Entrada", G74, -G74)</f>
        <v>-3824.329999999999</v>
      </c>
    </row>
    <row r="75" spans="1:11" ht="15.75" customHeight="1" x14ac:dyDescent="0.25">
      <c r="A75" s="12"/>
      <c r="B75" s="4"/>
      <c r="C75" s="5"/>
      <c r="D75" s="6"/>
      <c r="E75" s="6"/>
      <c r="F75" s="6"/>
      <c r="G75" s="7"/>
      <c r="H75" s="7"/>
      <c r="I75" s="5"/>
      <c r="J75" s="5" t="str">
        <f>TEXT(A75,"yyyy-mm")</f>
        <v>yyyy-01</v>
      </c>
      <c r="K75" s="7">
        <f>K74 + IF(C75="Entrada", G75, -G75)</f>
        <v>-3824.329999999999</v>
      </c>
    </row>
    <row r="76" spans="1:11" ht="15.75" customHeight="1" x14ac:dyDescent="0.25">
      <c r="A76" s="3"/>
      <c r="B76" s="4"/>
      <c r="C76" s="5"/>
      <c r="D76" s="6"/>
      <c r="E76" s="6"/>
      <c r="F76" s="6"/>
      <c r="G76" s="7"/>
      <c r="H76" s="7"/>
      <c r="I76" s="5"/>
      <c r="J76" s="5" t="str">
        <f>TEXT(A76,"yyyy-mm")</f>
        <v>yyyy-01</v>
      </c>
      <c r="K76" s="7">
        <f>K75 + IF(C76="Entrada", G76, -G76)</f>
        <v>-3824.329999999999</v>
      </c>
    </row>
    <row r="77" spans="1:11" ht="15.75" customHeight="1" x14ac:dyDescent="0.25">
      <c r="A77" s="3"/>
      <c r="B77" s="4"/>
      <c r="C77" s="5"/>
      <c r="D77" s="6"/>
      <c r="E77" s="6"/>
      <c r="F77" s="6"/>
      <c r="G77" s="7"/>
      <c r="H77" s="7"/>
      <c r="I77" s="5"/>
      <c r="J77" s="5" t="str">
        <f>TEXT(A77,"yyyy-mm")</f>
        <v>yyyy-01</v>
      </c>
      <c r="K77" s="7">
        <f>K76 + IF(C77="Entrada", G77, -G77)</f>
        <v>-3824.329999999999</v>
      </c>
    </row>
    <row r="78" spans="1:11" ht="15.75" customHeight="1" x14ac:dyDescent="0.25">
      <c r="A78" s="3"/>
      <c r="B78" s="4"/>
      <c r="C78" s="5"/>
      <c r="D78" s="6"/>
      <c r="E78" s="6"/>
      <c r="F78" s="6"/>
      <c r="G78" s="7"/>
      <c r="H78" s="7"/>
      <c r="I78" s="5"/>
      <c r="J78" s="5" t="str">
        <f>TEXT(A78,"yyyy-mm")</f>
        <v>yyyy-01</v>
      </c>
      <c r="K78" s="7">
        <f>K77 + IF(C78="Entrada", G78, -G78)</f>
        <v>-3824.329999999999</v>
      </c>
    </row>
    <row r="79" spans="1:11" ht="15.75" customHeight="1" x14ac:dyDescent="0.25">
      <c r="A79" s="3"/>
      <c r="B79" s="4"/>
      <c r="C79" s="5"/>
      <c r="D79" s="6"/>
      <c r="E79" s="6"/>
      <c r="F79" s="6"/>
      <c r="G79" s="7"/>
      <c r="H79" s="7"/>
      <c r="I79" s="5"/>
      <c r="J79" s="5" t="str">
        <f>TEXT(A79,"yyyy-mm")</f>
        <v>yyyy-01</v>
      </c>
      <c r="K79" s="7">
        <f>K78 + IF(C79="Entrada", G79, -G79)</f>
        <v>-3824.329999999999</v>
      </c>
    </row>
    <row r="80" spans="1:11" ht="15.75" customHeight="1" x14ac:dyDescent="0.25">
      <c r="A80" s="3"/>
      <c r="B80" s="4"/>
      <c r="C80" s="5"/>
      <c r="D80" s="6"/>
      <c r="E80" s="6"/>
      <c r="F80" s="6"/>
      <c r="G80" s="7"/>
      <c r="H80" s="7"/>
      <c r="I80" s="5"/>
      <c r="J80" s="5" t="str">
        <f>TEXT(A80,"yyyy-mm")</f>
        <v>yyyy-01</v>
      </c>
      <c r="K80" s="7">
        <f>K79 + IF(C80="Entrada", G80, -G80)</f>
        <v>-3824.329999999999</v>
      </c>
    </row>
    <row r="81" spans="1:11" ht="15.75" customHeight="1" x14ac:dyDescent="0.25">
      <c r="A81" s="3"/>
      <c r="B81" s="4"/>
      <c r="C81" s="5"/>
      <c r="D81" s="6"/>
      <c r="E81" s="6"/>
      <c r="F81" s="6"/>
      <c r="G81" s="7"/>
      <c r="H81" s="7"/>
      <c r="I81" s="5"/>
      <c r="J81" s="5" t="str">
        <f>TEXT(A81,"yyyy-mm")</f>
        <v>yyyy-01</v>
      </c>
      <c r="K81" s="7">
        <f>K80 + IF(C81="Entrada", G81, -G81)</f>
        <v>-3824.329999999999</v>
      </c>
    </row>
    <row r="82" spans="1:11" ht="15.75" customHeight="1" x14ac:dyDescent="0.25">
      <c r="A82" s="12"/>
      <c r="B82" s="4"/>
      <c r="C82" s="5"/>
      <c r="D82" s="6"/>
      <c r="E82" s="6"/>
      <c r="F82" s="6"/>
      <c r="G82" s="7"/>
      <c r="H82" s="7"/>
      <c r="I82" s="5"/>
      <c r="J82" s="5" t="str">
        <f>TEXT(A82,"yyyy-mm")</f>
        <v>yyyy-01</v>
      </c>
      <c r="K82" s="7">
        <f>K81 + IF(C82="Entrada", G82, -G82)</f>
        <v>-3824.329999999999</v>
      </c>
    </row>
    <row r="83" spans="1:11" ht="15.75" customHeight="1" x14ac:dyDescent="0.25">
      <c r="A83" s="12"/>
      <c r="B83" s="4"/>
      <c r="C83" s="5"/>
      <c r="D83" s="6"/>
      <c r="E83" s="6"/>
      <c r="F83" s="6"/>
      <c r="G83" s="7"/>
      <c r="H83" s="7"/>
      <c r="I83" s="5"/>
      <c r="J83" s="5" t="str">
        <f>TEXT(A83,"yyyy-mm")</f>
        <v>yyyy-01</v>
      </c>
      <c r="K83" s="7">
        <f>K82 + IF(C83="Entrada", G83, -G83)</f>
        <v>-3824.329999999999</v>
      </c>
    </row>
    <row r="84" spans="1:11" ht="15.75" customHeight="1" x14ac:dyDescent="0.25">
      <c r="A84" s="3"/>
      <c r="B84" s="4"/>
      <c r="C84" s="5"/>
      <c r="D84" s="6"/>
      <c r="E84" s="6"/>
      <c r="F84" s="6"/>
      <c r="G84" s="7"/>
      <c r="H84" s="7"/>
      <c r="I84" s="5"/>
      <c r="J84" s="5" t="str">
        <f>TEXT(A84,"yyyy-mm")</f>
        <v>yyyy-01</v>
      </c>
      <c r="K84" s="7">
        <f>K83 + IF(C84="Entrada", G84, -G84)</f>
        <v>-3824.329999999999</v>
      </c>
    </row>
    <row r="85" spans="1:11" ht="15.75" customHeight="1" x14ac:dyDescent="0.25">
      <c r="A85" s="3"/>
      <c r="B85" s="4"/>
      <c r="C85" s="5"/>
      <c r="D85" s="6"/>
      <c r="E85" s="6"/>
      <c r="F85" s="6"/>
      <c r="G85" s="7"/>
      <c r="H85" s="7"/>
      <c r="I85" s="5"/>
      <c r="J85" s="5" t="str">
        <f>TEXT(A85,"yyyy-mm")</f>
        <v>yyyy-01</v>
      </c>
      <c r="K85" s="7">
        <f>K84 + IF(C85="Entrada", G85, -G85)</f>
        <v>-3824.329999999999</v>
      </c>
    </row>
    <row r="86" spans="1:11" ht="15.75" customHeight="1" x14ac:dyDescent="0.25">
      <c r="A86" s="3"/>
      <c r="B86" s="4"/>
      <c r="C86" s="5"/>
      <c r="D86" s="6"/>
      <c r="E86" s="6"/>
      <c r="F86" s="6"/>
      <c r="G86" s="7"/>
      <c r="H86" s="7"/>
      <c r="I86" s="5"/>
      <c r="J86" s="5" t="str">
        <f>TEXT(A86,"yyyy-mm")</f>
        <v>yyyy-01</v>
      </c>
      <c r="K86" s="7">
        <f>K85 + IF(C86="Entrada", G86, -G86)</f>
        <v>-3824.329999999999</v>
      </c>
    </row>
    <row r="87" spans="1:11" ht="15.75" customHeight="1" x14ac:dyDescent="0.25">
      <c r="A87" s="12"/>
      <c r="B87" s="4"/>
      <c r="C87" s="5"/>
      <c r="D87" s="6"/>
      <c r="E87" s="6"/>
      <c r="F87" s="6"/>
      <c r="G87" s="7"/>
      <c r="H87" s="7"/>
      <c r="I87" s="5"/>
      <c r="J87" s="5" t="str">
        <f>TEXT(A87,"yyyy-mm")</f>
        <v>yyyy-01</v>
      </c>
      <c r="K87" s="7">
        <f>K86 + IF(C87="Entrada", G87, -G87)</f>
        <v>-3824.329999999999</v>
      </c>
    </row>
    <row r="88" spans="1:11" ht="15.75" customHeight="1" x14ac:dyDescent="0.25">
      <c r="A88" s="3"/>
      <c r="B88" s="4"/>
      <c r="C88" s="5"/>
      <c r="D88" s="6"/>
      <c r="E88" s="6"/>
      <c r="F88" s="6"/>
      <c r="G88" s="7"/>
      <c r="H88" s="7"/>
      <c r="I88" s="5"/>
      <c r="J88" s="5" t="str">
        <f>TEXT(A88,"yyyy-mm")</f>
        <v>yyyy-01</v>
      </c>
      <c r="K88" s="7">
        <f>K87 + IF(C88="Entrada", G88, -G88)</f>
        <v>-3824.329999999999</v>
      </c>
    </row>
    <row r="89" spans="1:11" ht="15.75" customHeight="1" x14ac:dyDescent="0.25">
      <c r="A89" s="3"/>
      <c r="B89" s="4"/>
      <c r="C89" s="5"/>
      <c r="D89" s="6"/>
      <c r="E89" s="6"/>
      <c r="F89" s="6"/>
      <c r="G89" s="7"/>
      <c r="H89" s="7"/>
      <c r="I89" s="5"/>
      <c r="J89" s="5" t="str">
        <f>TEXT(A89,"yyyy-mm")</f>
        <v>yyyy-01</v>
      </c>
      <c r="K89" s="7">
        <f>K88 + IF(C89="Entrada", G89, -G89)</f>
        <v>-3824.329999999999</v>
      </c>
    </row>
    <row r="90" spans="1:11" ht="15.75" customHeight="1" x14ac:dyDescent="0.25">
      <c r="A90" s="3"/>
      <c r="B90" s="4"/>
      <c r="C90" s="5"/>
      <c r="D90" s="6"/>
      <c r="E90" s="6"/>
      <c r="F90" s="6"/>
      <c r="G90" s="7"/>
      <c r="H90" s="7"/>
      <c r="I90" s="5"/>
      <c r="J90" s="5" t="str">
        <f>TEXT(A90,"yyyy-mm")</f>
        <v>yyyy-01</v>
      </c>
      <c r="K90" s="7">
        <f>K89 + IF(C90="Entrada", G90, -G90)</f>
        <v>-3824.329999999999</v>
      </c>
    </row>
    <row r="91" spans="1:11" ht="15.75" customHeight="1" x14ac:dyDescent="0.25">
      <c r="A91" s="3"/>
      <c r="B91" s="4"/>
      <c r="C91" s="5"/>
      <c r="D91" s="6"/>
      <c r="E91" s="6"/>
      <c r="F91" s="6"/>
      <c r="G91" s="7"/>
      <c r="H91" s="7"/>
      <c r="I91" s="5"/>
      <c r="J91" s="5" t="str">
        <f>TEXT(A91,"yyyy-mm")</f>
        <v>yyyy-01</v>
      </c>
      <c r="K91" s="7">
        <f>K90 + IF(C91="Entrada", G91, -G91)</f>
        <v>-3824.329999999999</v>
      </c>
    </row>
    <row r="92" spans="1:11" ht="15.75" customHeight="1" x14ac:dyDescent="0.25">
      <c r="A92" s="3"/>
      <c r="B92" s="4"/>
      <c r="C92" s="5"/>
      <c r="D92" s="6"/>
      <c r="E92" s="6"/>
      <c r="F92" s="6"/>
      <c r="G92" s="7"/>
      <c r="H92" s="7"/>
      <c r="I92" s="5"/>
      <c r="J92" s="5" t="str">
        <f>TEXT(A92,"yyyy-mm")</f>
        <v>yyyy-01</v>
      </c>
      <c r="K92" s="7">
        <f>K91 + IF(C92="Entrada", G92, -G92)</f>
        <v>-3824.329999999999</v>
      </c>
    </row>
    <row r="93" spans="1:11" ht="15.75" customHeight="1" x14ac:dyDescent="0.25">
      <c r="A93" s="3"/>
      <c r="B93" s="4"/>
      <c r="C93" s="5"/>
      <c r="D93" s="6"/>
      <c r="E93" s="6"/>
      <c r="F93" s="6"/>
      <c r="G93" s="7"/>
      <c r="H93" s="7"/>
      <c r="I93" s="5"/>
      <c r="J93" s="5" t="str">
        <f>TEXT(A93,"yyyy-mm")</f>
        <v>yyyy-01</v>
      </c>
      <c r="K93" s="7">
        <f>K92 + IF(C93="Entrada", G93, -G93)</f>
        <v>-3824.329999999999</v>
      </c>
    </row>
    <row r="94" spans="1:11" ht="15.75" customHeight="1" x14ac:dyDescent="0.25">
      <c r="A94" s="3"/>
      <c r="B94" s="4"/>
      <c r="C94" s="5"/>
      <c r="D94" s="6"/>
      <c r="E94" s="6"/>
      <c r="F94" s="6"/>
      <c r="G94" s="7"/>
      <c r="H94" s="7"/>
      <c r="I94" s="5"/>
      <c r="J94" s="5" t="str">
        <f>TEXT(A94,"yyyy-mm")</f>
        <v>yyyy-01</v>
      </c>
      <c r="K94" s="7">
        <f>K93 + IF(C94="Entrada", G94, -G94)</f>
        <v>-3824.329999999999</v>
      </c>
    </row>
    <row r="95" spans="1:11" ht="15.75" customHeight="1" x14ac:dyDescent="0.25">
      <c r="A95" s="3"/>
      <c r="B95" s="4"/>
      <c r="C95" s="5"/>
      <c r="D95" s="6"/>
      <c r="E95" s="6"/>
      <c r="F95" s="6"/>
      <c r="G95" s="7"/>
      <c r="H95" s="7"/>
      <c r="I95" s="5"/>
      <c r="J95" s="5" t="str">
        <f>TEXT(A95,"yyyy-mm")</f>
        <v>yyyy-01</v>
      </c>
      <c r="K95" s="7">
        <f>K94 + IF(C95="Entrada", G95, -G95)</f>
        <v>-3824.329999999999</v>
      </c>
    </row>
    <row r="96" spans="1:11" ht="15.75" customHeight="1" x14ac:dyDescent="0.25">
      <c r="A96" s="3"/>
      <c r="B96" s="4"/>
      <c r="C96" s="5"/>
      <c r="D96" s="6"/>
      <c r="E96" s="6"/>
      <c r="F96" s="6"/>
      <c r="G96" s="7"/>
      <c r="H96" s="7"/>
      <c r="I96" s="5"/>
      <c r="J96" s="5" t="str">
        <f>TEXT(A96,"yyyy-mm")</f>
        <v>yyyy-01</v>
      </c>
      <c r="K96" s="7">
        <f>K95 + IF(C96="Entrada", G96, -G96)</f>
        <v>-3824.329999999999</v>
      </c>
    </row>
    <row r="97" spans="1:11" ht="15.75" customHeight="1" x14ac:dyDescent="0.25">
      <c r="A97" s="3"/>
      <c r="B97" s="4"/>
      <c r="C97" s="5"/>
      <c r="D97" s="6"/>
      <c r="E97" s="6"/>
      <c r="F97" s="6"/>
      <c r="G97" s="7"/>
      <c r="H97" s="7"/>
      <c r="I97" s="5"/>
      <c r="J97" s="5" t="str">
        <f>TEXT(A97,"yyyy-mm")</f>
        <v>yyyy-01</v>
      </c>
      <c r="K97" s="7">
        <f>K96 + IF(C97="Entrada", G97, -G97)</f>
        <v>-3824.329999999999</v>
      </c>
    </row>
    <row r="98" spans="1:11" ht="15.75" customHeight="1" x14ac:dyDescent="0.25">
      <c r="A98" s="3"/>
      <c r="B98" s="4"/>
      <c r="C98" s="5"/>
      <c r="D98" s="6"/>
      <c r="E98" s="6"/>
      <c r="F98" s="6"/>
      <c r="G98" s="7"/>
      <c r="H98" s="7"/>
      <c r="I98" s="5"/>
      <c r="J98" s="5" t="str">
        <f>TEXT(A98,"yyyy-mm")</f>
        <v>yyyy-01</v>
      </c>
      <c r="K98" s="7">
        <f>K97 + IF(C98="Entrada", G98, -G98)</f>
        <v>-3824.329999999999</v>
      </c>
    </row>
    <row r="99" spans="1:11" ht="15.75" customHeight="1" x14ac:dyDescent="0.25">
      <c r="A99" s="3"/>
      <c r="B99" s="4"/>
      <c r="C99" s="5"/>
      <c r="D99" s="6"/>
      <c r="E99" s="6"/>
      <c r="F99" s="6"/>
      <c r="G99" s="7"/>
      <c r="H99" s="7"/>
      <c r="I99" s="5"/>
      <c r="J99" s="5" t="str">
        <f>TEXT(A99,"yyyy-mm")</f>
        <v>yyyy-01</v>
      </c>
      <c r="K99" s="7">
        <f>K98 + IF(C99="Entrada", G99, -G99)</f>
        <v>-3824.329999999999</v>
      </c>
    </row>
    <row r="100" spans="1:11" ht="15.75" customHeight="1" x14ac:dyDescent="0.25">
      <c r="A100" s="3"/>
      <c r="B100" s="4"/>
      <c r="C100" s="5"/>
      <c r="D100" s="6"/>
      <c r="E100" s="6"/>
      <c r="F100" s="6"/>
      <c r="G100" s="7"/>
      <c r="H100" s="7"/>
      <c r="I100" s="5"/>
      <c r="J100" s="5" t="str">
        <f>TEXT(A100,"yyyy-mm")</f>
        <v>yyyy-01</v>
      </c>
      <c r="K100" s="7">
        <f>K99 + IF(C100="Entrada", G100, -G100)</f>
        <v>-3824.329999999999</v>
      </c>
    </row>
    <row r="101" spans="1:11" ht="15.75" customHeight="1" x14ac:dyDescent="0.25">
      <c r="A101" s="3"/>
      <c r="B101" s="4"/>
      <c r="C101" s="5"/>
      <c r="D101" s="6"/>
      <c r="E101" s="6"/>
      <c r="F101" s="6"/>
      <c r="G101" s="7"/>
      <c r="H101" s="7"/>
      <c r="I101" s="5"/>
      <c r="J101" s="5" t="str">
        <f>TEXT(A101,"yyyy-mm")</f>
        <v>yyyy-01</v>
      </c>
      <c r="K101" s="7">
        <f>K100 + IF(C101="Entrada", G101, -G101)</f>
        <v>-3824.329999999999</v>
      </c>
    </row>
    <row r="102" spans="1:11" ht="15.75" customHeight="1" x14ac:dyDescent="0.25">
      <c r="A102" s="3"/>
      <c r="B102" s="4"/>
      <c r="C102" s="5"/>
      <c r="D102" s="6"/>
      <c r="E102" s="6"/>
      <c r="F102" s="6"/>
      <c r="G102" s="7"/>
      <c r="H102" s="7"/>
      <c r="I102" s="5"/>
      <c r="J102" s="5" t="str">
        <f>TEXT(A102,"yyyy-mm")</f>
        <v>yyyy-01</v>
      </c>
      <c r="K102" s="7">
        <f>K101 + IF(C102="Entrada", G102, -G102)</f>
        <v>-3824.329999999999</v>
      </c>
    </row>
    <row r="103" spans="1:11" ht="15.75" customHeight="1" x14ac:dyDescent="0.25">
      <c r="A103" s="3"/>
      <c r="B103" s="4"/>
      <c r="C103" s="5"/>
      <c r="D103" s="6"/>
      <c r="E103" s="6"/>
      <c r="F103" s="6"/>
      <c r="G103" s="7"/>
      <c r="H103" s="7"/>
      <c r="I103" s="5"/>
      <c r="J103" s="5" t="str">
        <f>TEXT(A103,"yyyy-mm")</f>
        <v>yyyy-01</v>
      </c>
      <c r="K103" s="7">
        <f>K102 + IF(C103="Entrada", G103, -G103)</f>
        <v>-3824.329999999999</v>
      </c>
    </row>
    <row r="104" spans="1:11" ht="15.75" customHeight="1" x14ac:dyDescent="0.25">
      <c r="A104" s="3"/>
      <c r="B104" s="4"/>
      <c r="C104" s="5"/>
      <c r="D104" s="6"/>
      <c r="E104" s="6"/>
      <c r="F104" s="6"/>
      <c r="G104" s="7"/>
      <c r="H104" s="7"/>
      <c r="I104" s="5"/>
      <c r="J104" s="5" t="str">
        <f>TEXT(A104,"yyyy-mm")</f>
        <v>yyyy-01</v>
      </c>
      <c r="K104" s="7">
        <f>K103 + IF(C104="Entrada", G104, -G104)</f>
        <v>-3824.329999999999</v>
      </c>
    </row>
    <row r="105" spans="1:11" ht="15.75" customHeight="1" x14ac:dyDescent="0.25">
      <c r="A105" s="3"/>
      <c r="B105" s="4"/>
      <c r="C105" s="5"/>
      <c r="D105" s="6"/>
      <c r="E105" s="6"/>
      <c r="F105" s="6"/>
      <c r="G105" s="7"/>
      <c r="H105" s="7"/>
      <c r="I105" s="5"/>
      <c r="J105" s="5" t="str">
        <f>TEXT(A105,"yyyy-mm")</f>
        <v>yyyy-01</v>
      </c>
      <c r="K105" s="7">
        <f>K104 + IF(C105="Entrada", G105, -G105)</f>
        <v>-3824.329999999999</v>
      </c>
    </row>
    <row r="106" spans="1:11" ht="15.75" customHeight="1" x14ac:dyDescent="0.25">
      <c r="A106" s="3"/>
      <c r="B106" s="4"/>
      <c r="C106" s="5"/>
      <c r="D106" s="6"/>
      <c r="E106" s="6"/>
      <c r="F106" s="6"/>
      <c r="G106" s="7"/>
      <c r="H106" s="7"/>
      <c r="I106" s="5"/>
      <c r="J106" s="5" t="str">
        <f>TEXT(A106,"yyyy-mm")</f>
        <v>yyyy-01</v>
      </c>
      <c r="K106" s="7">
        <f>K105 + IF(C106="Entrada", G106, -G106)</f>
        <v>-3824.329999999999</v>
      </c>
    </row>
    <row r="107" spans="1:11" ht="15.75" customHeight="1" x14ac:dyDescent="0.25">
      <c r="A107" s="3"/>
      <c r="B107" s="4"/>
      <c r="C107" s="5"/>
      <c r="D107" s="6"/>
      <c r="E107" s="6"/>
      <c r="F107" s="6"/>
      <c r="G107" s="7"/>
      <c r="H107" s="7"/>
      <c r="I107" s="5"/>
      <c r="J107" s="5" t="str">
        <f>TEXT(A107,"yyyy-mm")</f>
        <v>yyyy-01</v>
      </c>
      <c r="K107" s="7">
        <f>K106 + IF(C107="Entrada", G107, -G107)</f>
        <v>-3824.329999999999</v>
      </c>
    </row>
    <row r="108" spans="1:11" ht="15.75" customHeight="1" x14ac:dyDescent="0.25">
      <c r="A108" s="3"/>
      <c r="B108" s="4"/>
      <c r="C108" s="5"/>
      <c r="D108" s="6"/>
      <c r="E108" s="6"/>
      <c r="F108" s="6"/>
      <c r="G108" s="7"/>
      <c r="H108" s="7"/>
      <c r="I108" s="5"/>
      <c r="J108" s="5" t="str">
        <f>TEXT(A108,"yyyy-mm")</f>
        <v>yyyy-01</v>
      </c>
      <c r="K108" s="7">
        <f>K107 + IF(C108="Entrada", G108, -G108)</f>
        <v>-3824.329999999999</v>
      </c>
    </row>
    <row r="109" spans="1:11" ht="15.75" customHeight="1" x14ac:dyDescent="0.25">
      <c r="A109" s="3"/>
      <c r="B109" s="4"/>
      <c r="C109" s="5"/>
      <c r="D109" s="6"/>
      <c r="E109" s="6"/>
      <c r="F109" s="6"/>
      <c r="G109" s="7"/>
      <c r="H109" s="7"/>
      <c r="I109" s="5"/>
      <c r="J109" s="5" t="str">
        <f>TEXT(A109,"yyyy-mm")</f>
        <v>yyyy-01</v>
      </c>
      <c r="K109" s="7">
        <f>K108 + IF(C109="Entrada", G109, -G109)</f>
        <v>-3824.329999999999</v>
      </c>
    </row>
    <row r="110" spans="1:11" ht="15.75" customHeight="1" x14ac:dyDescent="0.25">
      <c r="A110" s="3"/>
      <c r="B110" s="4"/>
      <c r="C110" s="5"/>
      <c r="D110" s="6"/>
      <c r="E110" s="6"/>
      <c r="F110" s="6"/>
      <c r="G110" s="7"/>
      <c r="H110" s="7"/>
      <c r="I110" s="5"/>
      <c r="J110" s="5" t="str">
        <f>TEXT(A110,"yyyy-mm")</f>
        <v>yyyy-01</v>
      </c>
      <c r="K110" s="7">
        <f>K109 + IF(C110="Entrada", G110, -G110)</f>
        <v>-3824.329999999999</v>
      </c>
    </row>
    <row r="111" spans="1:11" ht="15.75" customHeight="1" x14ac:dyDescent="0.25">
      <c r="A111" s="3"/>
      <c r="B111" s="4"/>
      <c r="C111" s="5"/>
      <c r="D111" s="6"/>
      <c r="E111" s="6"/>
      <c r="F111" s="6"/>
      <c r="G111" s="7"/>
      <c r="H111" s="7"/>
      <c r="I111" s="5"/>
      <c r="J111" s="5" t="str">
        <f>TEXT(A111,"yyyy-mm")</f>
        <v>yyyy-01</v>
      </c>
      <c r="K111" s="7">
        <f>K110 + IF(C111="Entrada", G111, -G111)</f>
        <v>-3824.329999999999</v>
      </c>
    </row>
    <row r="112" spans="1:11" ht="15.75" customHeight="1" x14ac:dyDescent="0.25">
      <c r="A112" s="3"/>
      <c r="B112" s="4"/>
      <c r="C112" s="5"/>
      <c r="D112" s="6"/>
      <c r="E112" s="6"/>
      <c r="F112" s="6"/>
      <c r="G112" s="7"/>
      <c r="H112" s="7"/>
      <c r="I112" s="5"/>
      <c r="J112" s="5" t="str">
        <f>TEXT(A112,"yyyy-mm")</f>
        <v>yyyy-01</v>
      </c>
      <c r="K112" s="7">
        <f>K111 + IF(C112="Entrada", G112, -G112)</f>
        <v>-3824.329999999999</v>
      </c>
    </row>
    <row r="113" spans="1:11" ht="15.75" customHeight="1" x14ac:dyDescent="0.25">
      <c r="A113" s="3"/>
      <c r="B113" s="4"/>
      <c r="C113" s="5"/>
      <c r="D113" s="6"/>
      <c r="E113" s="6"/>
      <c r="F113" s="6"/>
      <c r="G113" s="7"/>
      <c r="H113" s="7"/>
      <c r="I113" s="5"/>
      <c r="J113" s="5" t="str">
        <f>TEXT(A113,"yyyy-mm")</f>
        <v>yyyy-01</v>
      </c>
      <c r="K113" s="7">
        <f>K112 + IF(C113="Entrada", G113, -G113)</f>
        <v>-3824.329999999999</v>
      </c>
    </row>
    <row r="114" spans="1:11" ht="15.75" customHeight="1" x14ac:dyDescent="0.25">
      <c r="A114" s="3"/>
      <c r="B114" s="4"/>
      <c r="C114" s="5"/>
      <c r="D114" s="6"/>
      <c r="E114" s="6"/>
      <c r="F114" s="6"/>
      <c r="G114" s="7"/>
      <c r="H114" s="7"/>
      <c r="I114" s="5"/>
      <c r="J114" s="5" t="str">
        <f>TEXT(A114,"yyyy-mm")</f>
        <v>yyyy-01</v>
      </c>
      <c r="K114" s="7">
        <f>K113 + IF(C114="Entrada", G114, -G114)</f>
        <v>-3824.329999999999</v>
      </c>
    </row>
    <row r="115" spans="1:11" ht="15.75" customHeight="1" x14ac:dyDescent="0.25">
      <c r="A115" s="3"/>
      <c r="B115" s="4"/>
      <c r="C115" s="5"/>
      <c r="D115" s="6"/>
      <c r="E115" s="6"/>
      <c r="F115" s="6"/>
      <c r="G115" s="7"/>
      <c r="H115" s="7"/>
      <c r="I115" s="5"/>
      <c r="J115" s="5" t="str">
        <f>TEXT(A115,"yyyy-mm")</f>
        <v>yyyy-01</v>
      </c>
      <c r="K115" s="7">
        <f>K114 + IF(C115="Entrada", G115, -G115)</f>
        <v>-3824.329999999999</v>
      </c>
    </row>
    <row r="116" spans="1:11" ht="15.75" customHeight="1" x14ac:dyDescent="0.25">
      <c r="A116" s="3"/>
      <c r="B116" s="4"/>
      <c r="C116" s="5"/>
      <c r="D116" s="6"/>
      <c r="E116" s="6"/>
      <c r="F116" s="6"/>
      <c r="G116" s="7"/>
      <c r="H116" s="7"/>
      <c r="I116" s="5"/>
      <c r="J116" s="5" t="str">
        <f>TEXT(A116,"yyyy-mm")</f>
        <v>yyyy-01</v>
      </c>
      <c r="K116" s="7">
        <f>K115 + IF(C116="Entrada", G116, -G116)</f>
        <v>-3824.329999999999</v>
      </c>
    </row>
    <row r="117" spans="1:11" ht="15.75" customHeight="1" x14ac:dyDescent="0.25">
      <c r="A117" s="3"/>
      <c r="B117" s="4"/>
      <c r="C117" s="5"/>
      <c r="D117" s="6"/>
      <c r="E117" s="6"/>
      <c r="F117" s="6"/>
      <c r="G117" s="7"/>
      <c r="H117" s="7"/>
      <c r="I117" s="5"/>
      <c r="J117" s="5" t="str">
        <f>TEXT(A117,"yyyy-mm")</f>
        <v>yyyy-01</v>
      </c>
      <c r="K117" s="7">
        <f>K116 + IF(C117="Entrada", G117, -G117)</f>
        <v>-3824.329999999999</v>
      </c>
    </row>
    <row r="118" spans="1:11" ht="15.75" customHeight="1" x14ac:dyDescent="0.25">
      <c r="A118" s="3"/>
      <c r="B118" s="4"/>
      <c r="C118" s="5"/>
      <c r="D118" s="6"/>
      <c r="E118" s="6"/>
      <c r="F118" s="6"/>
      <c r="G118" s="7"/>
      <c r="H118" s="7"/>
      <c r="I118" s="5"/>
      <c r="J118" s="5" t="str">
        <f>TEXT(A118,"yyyy-mm")</f>
        <v>yyyy-01</v>
      </c>
      <c r="K118" s="7">
        <f>K117 + IF(C118="Entrada", G118, -G118)</f>
        <v>-3824.329999999999</v>
      </c>
    </row>
    <row r="119" spans="1:11" ht="15.75" customHeight="1" x14ac:dyDescent="0.25">
      <c r="A119" s="3"/>
      <c r="B119" s="4"/>
      <c r="C119" s="5"/>
      <c r="D119" s="6"/>
      <c r="E119" s="6"/>
      <c r="F119" s="6"/>
      <c r="G119" s="7"/>
      <c r="H119" s="7"/>
      <c r="I119" s="5"/>
      <c r="J119" s="5" t="str">
        <f>TEXT(A119,"yyyy-mm")</f>
        <v>yyyy-01</v>
      </c>
      <c r="K119" s="7">
        <f>K118 + IF(C119="Entrada", G119, -G119)</f>
        <v>-3824.329999999999</v>
      </c>
    </row>
    <row r="120" spans="1:11" ht="15.75" customHeight="1" x14ac:dyDescent="0.25">
      <c r="A120" s="3"/>
      <c r="B120" s="4"/>
      <c r="C120" s="5"/>
      <c r="D120" s="6"/>
      <c r="E120" s="6"/>
      <c r="F120" s="6"/>
      <c r="G120" s="7"/>
      <c r="H120" s="7"/>
      <c r="I120" s="5"/>
      <c r="J120" s="5" t="str">
        <f>TEXT(A120,"yyyy-mm")</f>
        <v>yyyy-01</v>
      </c>
      <c r="K120" s="7">
        <f>K119 + IF(C120="Entrada", G120, -G120)</f>
        <v>-3824.329999999999</v>
      </c>
    </row>
    <row r="121" spans="1:11" ht="15.75" customHeight="1" x14ac:dyDescent="0.25">
      <c r="A121" s="3"/>
      <c r="B121" s="4"/>
      <c r="C121" s="5"/>
      <c r="D121" s="6"/>
      <c r="E121" s="6"/>
      <c r="F121" s="6"/>
      <c r="G121" s="7"/>
      <c r="H121" s="7"/>
      <c r="I121" s="5"/>
      <c r="J121" s="5" t="str">
        <f>TEXT(A121,"yyyy-mm")</f>
        <v>yyyy-01</v>
      </c>
      <c r="K121" s="7">
        <f>K120 + IF(C121="Entrada", G121, -G121)</f>
        <v>-3824.329999999999</v>
      </c>
    </row>
    <row r="122" spans="1:11" ht="15.75" customHeight="1" x14ac:dyDescent="0.25">
      <c r="A122" s="3"/>
      <c r="B122" s="4"/>
      <c r="C122" s="5"/>
      <c r="D122" s="6"/>
      <c r="E122" s="6"/>
      <c r="F122" s="6"/>
      <c r="G122" s="7"/>
      <c r="H122" s="7"/>
      <c r="I122" s="5"/>
      <c r="J122" s="5" t="str">
        <f>TEXT(A122,"yyyy-mm")</f>
        <v>yyyy-01</v>
      </c>
      <c r="K122" s="7">
        <f>K121 + IF(C122="Entrada", G122, -G122)</f>
        <v>-3824.329999999999</v>
      </c>
    </row>
    <row r="123" spans="1:11" ht="15.75" customHeight="1" x14ac:dyDescent="0.25">
      <c r="A123" s="3"/>
      <c r="B123" s="4"/>
      <c r="C123" s="5"/>
      <c r="D123" s="6"/>
      <c r="E123" s="6"/>
      <c r="F123" s="6"/>
      <c r="G123" s="7"/>
      <c r="H123" s="7"/>
      <c r="I123" s="5"/>
      <c r="J123" s="5" t="str">
        <f>TEXT(A123,"yyyy-mm")</f>
        <v>yyyy-01</v>
      </c>
      <c r="K123" s="7">
        <f>K122 + IF(C123="Entrada", G123, -G123)</f>
        <v>-3824.329999999999</v>
      </c>
    </row>
    <row r="124" spans="1:11" ht="15.75" customHeight="1" x14ac:dyDescent="0.25">
      <c r="A124" s="3"/>
      <c r="B124" s="4"/>
      <c r="C124" s="5"/>
      <c r="D124" s="6"/>
      <c r="E124" s="6"/>
      <c r="F124" s="6"/>
      <c r="G124" s="7"/>
      <c r="H124" s="7"/>
      <c r="I124" s="5"/>
      <c r="J124" s="5" t="str">
        <f>TEXT(A124,"yyyy-mm")</f>
        <v>yyyy-01</v>
      </c>
      <c r="K124" s="7">
        <f>K123 + IF(C124="Entrada", G124, -G124)</f>
        <v>-3824.329999999999</v>
      </c>
    </row>
    <row r="125" spans="1:11" ht="15.75" customHeight="1" x14ac:dyDescent="0.25">
      <c r="A125" s="3"/>
      <c r="B125" s="4"/>
      <c r="C125" s="5"/>
      <c r="D125" s="6"/>
      <c r="E125" s="6"/>
      <c r="F125" s="6"/>
      <c r="G125" s="7"/>
      <c r="H125" s="7"/>
      <c r="I125" s="5"/>
      <c r="J125" s="5" t="str">
        <f>TEXT(A125,"yyyy-mm")</f>
        <v>yyyy-01</v>
      </c>
      <c r="K125" s="7">
        <f>K124 + IF(C125="Entrada", G125, -G125)</f>
        <v>-3824.329999999999</v>
      </c>
    </row>
    <row r="126" spans="1:11" ht="15.75" customHeight="1" x14ac:dyDescent="0.25">
      <c r="A126" s="3"/>
      <c r="B126" s="4"/>
      <c r="C126" s="5"/>
      <c r="D126" s="6"/>
      <c r="E126" s="6"/>
      <c r="F126" s="6"/>
      <c r="G126" s="7"/>
      <c r="H126" s="7"/>
      <c r="I126" s="5"/>
      <c r="J126" s="5" t="str">
        <f>TEXT(A126,"yyyy-mm")</f>
        <v>yyyy-01</v>
      </c>
      <c r="K126" s="7">
        <f>K125 + IF(C126="Entrada", G126, -G126)</f>
        <v>-3824.329999999999</v>
      </c>
    </row>
    <row r="127" spans="1:11" ht="15.75" customHeight="1" x14ac:dyDescent="0.25">
      <c r="A127" s="3"/>
      <c r="B127" s="4"/>
      <c r="C127" s="5"/>
      <c r="D127" s="6"/>
      <c r="E127" s="6"/>
      <c r="F127" s="6"/>
      <c r="G127" s="7"/>
      <c r="H127" s="7"/>
      <c r="I127" s="5"/>
      <c r="J127" s="5" t="str">
        <f>TEXT(A127,"yyyy-mm")</f>
        <v>yyyy-01</v>
      </c>
      <c r="K127" s="7">
        <f>K126 + IF(C127="Entrada", G127, -G127)</f>
        <v>-3824.329999999999</v>
      </c>
    </row>
    <row r="128" spans="1:11" ht="15.75" customHeight="1" x14ac:dyDescent="0.25">
      <c r="A128" s="3"/>
      <c r="B128" s="4"/>
      <c r="C128" s="5"/>
      <c r="D128" s="6"/>
      <c r="E128" s="6"/>
      <c r="F128" s="6"/>
      <c r="G128" s="7"/>
      <c r="H128" s="7"/>
      <c r="I128" s="5"/>
      <c r="J128" s="5" t="str">
        <f>TEXT(A128,"yyyy-mm")</f>
        <v>yyyy-01</v>
      </c>
      <c r="K128" s="7">
        <f>K127 + IF(C128="Entrada", G128, -G128)</f>
        <v>-3824.329999999999</v>
      </c>
    </row>
    <row r="129" spans="1:11" ht="15.75" customHeight="1" x14ac:dyDescent="0.25">
      <c r="A129" s="3"/>
      <c r="B129" s="4"/>
      <c r="C129" s="5"/>
      <c r="D129" s="6"/>
      <c r="E129" s="6"/>
      <c r="F129" s="6"/>
      <c r="G129" s="7"/>
      <c r="H129" s="7"/>
      <c r="I129" s="5"/>
      <c r="J129" s="5" t="str">
        <f>TEXT(A129,"yyyy-mm")</f>
        <v>yyyy-01</v>
      </c>
      <c r="K129" s="7">
        <f>K128 + IF(C129="Entrada", G129, -G129)</f>
        <v>-3824.329999999999</v>
      </c>
    </row>
    <row r="130" spans="1:11" ht="15.75" customHeight="1" x14ac:dyDescent="0.25">
      <c r="A130" s="3"/>
      <c r="B130" s="4"/>
      <c r="C130" s="5"/>
      <c r="D130" s="6"/>
      <c r="E130" s="6"/>
      <c r="F130" s="6"/>
      <c r="G130" s="7"/>
      <c r="H130" s="7"/>
      <c r="I130" s="5"/>
      <c r="J130" s="5" t="str">
        <f>TEXT(A130,"yyyy-mm")</f>
        <v>yyyy-01</v>
      </c>
      <c r="K130" s="7">
        <f>K129 + IF(C130="Entrada", G130, -G130)</f>
        <v>-3824.329999999999</v>
      </c>
    </row>
    <row r="131" spans="1:11" ht="15.75" customHeight="1" x14ac:dyDescent="0.25">
      <c r="A131" s="3"/>
      <c r="B131" s="4"/>
      <c r="C131" s="5"/>
      <c r="D131" s="6"/>
      <c r="E131" s="6"/>
      <c r="F131" s="6"/>
      <c r="G131" s="7"/>
      <c r="H131" s="7"/>
      <c r="I131" s="5"/>
      <c r="J131" s="5" t="str">
        <f>TEXT(A131,"yyyy-mm")</f>
        <v>yyyy-01</v>
      </c>
      <c r="K131" s="7">
        <f>K130 + IF(C131="Entrada", G131, -G131)</f>
        <v>-3824.329999999999</v>
      </c>
    </row>
    <row r="132" spans="1:11" ht="15.75" customHeight="1" x14ac:dyDescent="0.25">
      <c r="A132" s="3"/>
      <c r="B132" s="4"/>
      <c r="C132" s="5"/>
      <c r="D132" s="6"/>
      <c r="E132" s="6"/>
      <c r="F132" s="6"/>
      <c r="G132" s="7"/>
      <c r="H132" s="7"/>
      <c r="I132" s="5"/>
      <c r="J132" s="5" t="str">
        <f>TEXT(A132,"yyyy-mm")</f>
        <v>yyyy-01</v>
      </c>
      <c r="K132" s="7">
        <f>K131 + IF(C132="Entrada", G132, -G132)</f>
        <v>-3824.329999999999</v>
      </c>
    </row>
    <row r="133" spans="1:11" ht="15.75" customHeight="1" x14ac:dyDescent="0.25">
      <c r="A133" s="3"/>
      <c r="B133" s="4"/>
      <c r="C133" s="5"/>
      <c r="D133" s="6"/>
      <c r="E133" s="6"/>
      <c r="F133" s="6"/>
      <c r="G133" s="7"/>
      <c r="H133" s="7"/>
      <c r="I133" s="5"/>
      <c r="J133" s="5" t="str">
        <f>TEXT(A133,"yyyy-mm")</f>
        <v>yyyy-01</v>
      </c>
      <c r="K133" s="7">
        <f>K132 + IF(C133="Entrada", G133, -G133)</f>
        <v>-3824.329999999999</v>
      </c>
    </row>
    <row r="134" spans="1:11" ht="15.75" customHeight="1" x14ac:dyDescent="0.25">
      <c r="A134" s="3"/>
      <c r="B134" s="4"/>
      <c r="C134" s="5"/>
      <c r="D134" s="6"/>
      <c r="E134" s="6"/>
      <c r="F134" s="6"/>
      <c r="G134" s="7"/>
      <c r="H134" s="7"/>
      <c r="I134" s="5"/>
      <c r="J134" s="5" t="str">
        <f>TEXT(A134,"yyyy-mm")</f>
        <v>yyyy-01</v>
      </c>
      <c r="K134" s="7">
        <f>K133 + IF(C134="Entrada", G134, -G134)</f>
        <v>-3824.329999999999</v>
      </c>
    </row>
    <row r="135" spans="1:11" ht="15.75" customHeight="1" x14ac:dyDescent="0.25">
      <c r="A135" s="3"/>
      <c r="B135" s="4"/>
      <c r="C135" s="5"/>
      <c r="D135" s="6"/>
      <c r="E135" s="6"/>
      <c r="F135" s="6"/>
      <c r="G135" s="7"/>
      <c r="H135" s="7"/>
      <c r="I135" s="5"/>
      <c r="J135" s="5" t="str">
        <f>TEXT(A135,"yyyy-mm")</f>
        <v>yyyy-01</v>
      </c>
      <c r="K135" s="7">
        <f>K134 + IF(C135="Entrada", G135, -G135)</f>
        <v>-3824.329999999999</v>
      </c>
    </row>
    <row r="136" spans="1:11" ht="15.75" customHeight="1" x14ac:dyDescent="0.25">
      <c r="A136" s="3"/>
      <c r="B136" s="4"/>
      <c r="C136" s="5"/>
      <c r="D136" s="6"/>
      <c r="E136" s="6"/>
      <c r="F136" s="6"/>
      <c r="G136" s="7"/>
      <c r="H136" s="7"/>
      <c r="I136" s="5"/>
      <c r="J136" s="5" t="str">
        <f>TEXT(A136,"yyyy-mm")</f>
        <v>yyyy-01</v>
      </c>
      <c r="K136" s="7">
        <f>K135 + IF(C136="Entrada", G136, -G136)</f>
        <v>-3824.329999999999</v>
      </c>
    </row>
    <row r="137" spans="1:11" ht="15.75" customHeight="1" x14ac:dyDescent="0.25">
      <c r="A137" s="3"/>
      <c r="B137" s="4"/>
      <c r="C137" s="5"/>
      <c r="D137" s="6"/>
      <c r="E137" s="6"/>
      <c r="F137" s="6"/>
      <c r="G137" s="7"/>
      <c r="H137" s="7"/>
      <c r="I137" s="5"/>
      <c r="J137" s="5" t="str">
        <f>TEXT(A137,"yyyy-mm")</f>
        <v>yyyy-01</v>
      </c>
      <c r="K137" s="7">
        <f>K136 + IF(C137="Entrada", G137, -G137)</f>
        <v>-3824.329999999999</v>
      </c>
    </row>
    <row r="138" spans="1:11" ht="15.75" customHeight="1" x14ac:dyDescent="0.25">
      <c r="A138" s="3"/>
      <c r="B138" s="4"/>
      <c r="C138" s="5"/>
      <c r="D138" s="6"/>
      <c r="E138" s="6"/>
      <c r="F138" s="6"/>
      <c r="G138" s="7"/>
      <c r="H138" s="7"/>
      <c r="I138" s="5"/>
      <c r="J138" s="5" t="str">
        <f>TEXT(A138,"yyyy-mm")</f>
        <v>yyyy-01</v>
      </c>
      <c r="K138" s="7">
        <f>K137 + IF(C138="Entrada", G138, -G138)</f>
        <v>-3824.329999999999</v>
      </c>
    </row>
    <row r="139" spans="1:11" ht="15.75" customHeight="1" x14ac:dyDescent="0.25">
      <c r="A139" s="3"/>
      <c r="B139" s="4"/>
      <c r="C139" s="5"/>
      <c r="D139" s="6"/>
      <c r="E139" s="6"/>
      <c r="F139" s="6"/>
      <c r="G139" s="7"/>
      <c r="H139" s="7"/>
      <c r="I139" s="5"/>
      <c r="J139" s="5" t="str">
        <f>TEXT(A139,"yyyy-mm")</f>
        <v>yyyy-01</v>
      </c>
      <c r="K139" s="7">
        <f>K138 + IF(C139="Entrada", G139, -G139)</f>
        <v>-3824.329999999999</v>
      </c>
    </row>
    <row r="140" spans="1:11" ht="15.75" customHeight="1" x14ac:dyDescent="0.25">
      <c r="A140" s="3"/>
      <c r="B140" s="4"/>
      <c r="C140" s="5"/>
      <c r="D140" s="6"/>
      <c r="E140" s="6"/>
      <c r="F140" s="6"/>
      <c r="G140" s="7"/>
      <c r="H140" s="7"/>
      <c r="I140" s="5"/>
      <c r="J140" s="5" t="str">
        <f>TEXT(A140,"yyyy-mm")</f>
        <v>yyyy-01</v>
      </c>
      <c r="K140" s="7">
        <f>K139 + IF(C140="Entrada", G140, -G140)</f>
        <v>-3824.329999999999</v>
      </c>
    </row>
    <row r="141" spans="1:11" ht="15.75" customHeight="1" x14ac:dyDescent="0.25">
      <c r="A141" s="3"/>
      <c r="B141" s="4"/>
      <c r="C141" s="5"/>
      <c r="D141" s="6"/>
      <c r="E141" s="6"/>
      <c r="F141" s="6"/>
      <c r="G141" s="7"/>
      <c r="H141" s="7"/>
      <c r="I141" s="5"/>
      <c r="J141" s="5" t="str">
        <f>TEXT(A141,"yyyy-mm")</f>
        <v>yyyy-01</v>
      </c>
      <c r="K141" s="7">
        <f>K140 + IF(C141="Entrada", G141, -G141)</f>
        <v>-3824.329999999999</v>
      </c>
    </row>
    <row r="142" spans="1:11" ht="15.75" customHeight="1" x14ac:dyDescent="0.25">
      <c r="A142" s="3"/>
      <c r="B142" s="4"/>
      <c r="C142" s="5"/>
      <c r="D142" s="6"/>
      <c r="E142" s="6"/>
      <c r="F142" s="6"/>
      <c r="G142" s="7"/>
      <c r="H142" s="7"/>
      <c r="I142" s="5"/>
      <c r="J142" s="5" t="str">
        <f>TEXT(A142,"yyyy-mm")</f>
        <v>yyyy-01</v>
      </c>
      <c r="K142" s="7">
        <f>K141 + IF(C142="Entrada", G142, -G142)</f>
        <v>-3824.329999999999</v>
      </c>
    </row>
    <row r="143" spans="1:11" ht="15.75" customHeight="1" x14ac:dyDescent="0.25">
      <c r="A143" s="3"/>
      <c r="B143" s="4"/>
      <c r="C143" s="5"/>
      <c r="D143" s="6"/>
      <c r="E143" s="6"/>
      <c r="F143" s="6"/>
      <c r="G143" s="7"/>
      <c r="H143" s="7"/>
      <c r="I143" s="5"/>
      <c r="J143" s="5" t="str">
        <f>TEXT(A143,"yyyy-mm")</f>
        <v>yyyy-01</v>
      </c>
      <c r="K143" s="7">
        <f>K142 + IF(C143="Entrada", G143, -G143)</f>
        <v>-3824.329999999999</v>
      </c>
    </row>
    <row r="144" spans="1:11" ht="15.75" customHeight="1" x14ac:dyDescent="0.25">
      <c r="A144" s="3"/>
      <c r="B144" s="4"/>
      <c r="C144" s="5"/>
      <c r="D144" s="6"/>
      <c r="E144" s="6"/>
      <c r="F144" s="6"/>
      <c r="G144" s="7"/>
      <c r="H144" s="7"/>
      <c r="I144" s="5"/>
      <c r="J144" s="5" t="str">
        <f>TEXT(A144,"yyyy-mm")</f>
        <v>yyyy-01</v>
      </c>
      <c r="K144" s="7">
        <f>K143 + IF(C144="Entrada", G144, -G144)</f>
        <v>-3824.329999999999</v>
      </c>
    </row>
    <row r="145" spans="1:11" ht="15.75" customHeight="1" x14ac:dyDescent="0.25">
      <c r="A145" s="3"/>
      <c r="B145" s="4"/>
      <c r="C145" s="5"/>
      <c r="D145" s="6"/>
      <c r="E145" s="6"/>
      <c r="F145" s="6"/>
      <c r="G145" s="7"/>
      <c r="H145" s="7"/>
      <c r="I145" s="5"/>
      <c r="J145" s="5" t="str">
        <f>TEXT(A145,"yyyy-mm")</f>
        <v>yyyy-01</v>
      </c>
      <c r="K145" s="7">
        <f>K144 + IF(C145="Entrada", G145, -G145)</f>
        <v>-3824.329999999999</v>
      </c>
    </row>
    <row r="146" spans="1:11" ht="15.75" customHeight="1" x14ac:dyDescent="0.25">
      <c r="A146" s="3"/>
      <c r="B146" s="4"/>
      <c r="C146" s="5"/>
      <c r="D146" s="6"/>
      <c r="E146" s="6"/>
      <c r="F146" s="6"/>
      <c r="G146" s="7"/>
      <c r="H146" s="7"/>
      <c r="I146" s="5"/>
      <c r="J146" s="5" t="str">
        <f>TEXT(A146,"yyyy-mm")</f>
        <v>yyyy-01</v>
      </c>
      <c r="K146" s="7">
        <f>K145 + IF(C146="Entrada", G146, -G146)</f>
        <v>-3824.329999999999</v>
      </c>
    </row>
    <row r="147" spans="1:11" ht="15.75" customHeight="1" x14ac:dyDescent="0.25">
      <c r="A147" s="3"/>
      <c r="B147" s="4"/>
      <c r="C147" s="5"/>
      <c r="D147" s="6"/>
      <c r="E147" s="6"/>
      <c r="F147" s="6"/>
      <c r="G147" s="7"/>
      <c r="H147" s="7"/>
      <c r="I147" s="5"/>
      <c r="J147" s="5" t="str">
        <f>TEXT(A147,"yyyy-mm")</f>
        <v>yyyy-01</v>
      </c>
      <c r="K147" s="7">
        <f>K146 + IF(C147="Entrada", G147, -G147)</f>
        <v>-3824.329999999999</v>
      </c>
    </row>
    <row r="148" spans="1:11" ht="15.75" customHeight="1" x14ac:dyDescent="0.25">
      <c r="A148" s="13"/>
      <c r="B148" s="4"/>
      <c r="C148" s="5"/>
      <c r="D148" s="6"/>
      <c r="E148" s="6"/>
      <c r="F148" s="6"/>
      <c r="G148" s="7"/>
      <c r="H148" s="7"/>
      <c r="I148" s="5"/>
      <c r="J148" s="5" t="str">
        <f>TEXT(A148,"yyyy-mm")</f>
        <v>yyyy-01</v>
      </c>
      <c r="K148" s="7">
        <f>K147 + IF(C148="Entrada", G148, -G148)</f>
        <v>-3824.329999999999</v>
      </c>
    </row>
    <row r="149" spans="1:11" ht="15.75" customHeight="1" x14ac:dyDescent="0.25">
      <c r="A149" s="3"/>
      <c r="B149" s="4"/>
      <c r="C149" s="5"/>
      <c r="D149" s="6"/>
      <c r="E149" s="6"/>
      <c r="F149" s="6"/>
      <c r="G149" s="7"/>
      <c r="H149" s="7"/>
      <c r="I149" s="5"/>
      <c r="J149" s="5" t="str">
        <f>TEXT(A149,"yyyy-mm")</f>
        <v>yyyy-01</v>
      </c>
      <c r="K149" s="7">
        <f>K148 + IF(C149="Entrada", G149, -G149)</f>
        <v>-3824.329999999999</v>
      </c>
    </row>
    <row r="150" spans="1:11" ht="15.75" customHeight="1" x14ac:dyDescent="0.25">
      <c r="A150" s="3"/>
      <c r="B150" s="4"/>
      <c r="C150" s="5"/>
      <c r="D150" s="6"/>
      <c r="E150" s="6"/>
      <c r="F150" s="6"/>
      <c r="G150" s="7"/>
      <c r="H150" s="7"/>
      <c r="I150" s="5"/>
      <c r="J150" s="5" t="str">
        <f>TEXT(A150,"yyyy-mm")</f>
        <v>yyyy-01</v>
      </c>
      <c r="K150" s="7">
        <f>K149 + IF(C150="Entrada", G150, -G150)</f>
        <v>-3824.329999999999</v>
      </c>
    </row>
    <row r="151" spans="1:11" ht="15.75" customHeight="1" x14ac:dyDescent="0.25">
      <c r="A151" s="3"/>
      <c r="B151" s="4"/>
      <c r="C151" s="5"/>
      <c r="D151" s="6"/>
      <c r="E151" s="6"/>
      <c r="F151" s="6"/>
      <c r="G151" s="7"/>
      <c r="H151" s="7"/>
      <c r="I151" s="5"/>
      <c r="J151" s="5" t="str">
        <f>TEXT(A151,"yyyy-mm")</f>
        <v>yyyy-01</v>
      </c>
      <c r="K151" s="7">
        <f>K150 + IF(C151="Entrada", G151, -G151)</f>
        <v>-3824.329999999999</v>
      </c>
    </row>
    <row r="152" spans="1:11" ht="15.75" customHeight="1" x14ac:dyDescent="0.25">
      <c r="A152" s="3"/>
      <c r="B152" s="4"/>
      <c r="C152" s="5"/>
      <c r="D152" s="6"/>
      <c r="E152" s="6"/>
      <c r="F152" s="6"/>
      <c r="G152" s="7"/>
      <c r="H152" s="7"/>
      <c r="I152" s="5"/>
      <c r="J152" s="5" t="str">
        <f>TEXT(A152,"yyyy-mm")</f>
        <v>yyyy-01</v>
      </c>
      <c r="K152" s="7">
        <f>K151 + IF(C152="Entrada", G152, -G152)</f>
        <v>-3824.329999999999</v>
      </c>
    </row>
    <row r="153" spans="1:11" ht="15.75" customHeight="1" x14ac:dyDescent="0.25">
      <c r="A153" s="13"/>
      <c r="B153" s="4"/>
      <c r="C153" s="5"/>
      <c r="D153" s="6"/>
      <c r="E153" s="6"/>
      <c r="F153" s="6"/>
      <c r="G153" s="7"/>
      <c r="H153" s="7"/>
      <c r="I153" s="5"/>
      <c r="J153" s="5" t="str">
        <f>TEXT(A153,"yyyy-mm")</f>
        <v>yyyy-01</v>
      </c>
      <c r="K153" s="7">
        <f>K152 + IF(C153="Entrada", G153, -G153)</f>
        <v>-3824.329999999999</v>
      </c>
    </row>
    <row r="154" spans="1:11" ht="15.75" customHeight="1" x14ac:dyDescent="0.25">
      <c r="A154" s="3"/>
      <c r="B154" s="4"/>
      <c r="C154" s="5"/>
      <c r="D154" s="6"/>
      <c r="E154" s="6"/>
      <c r="F154" s="6"/>
      <c r="G154" s="7"/>
      <c r="H154" s="7"/>
      <c r="I154" s="5"/>
      <c r="J154" s="5" t="str">
        <f>TEXT(A154,"yyyy-mm")</f>
        <v>yyyy-01</v>
      </c>
      <c r="K154" s="7">
        <f>K153 + IF(C154="Entrada", G154, -G154)</f>
        <v>-3824.329999999999</v>
      </c>
    </row>
    <row r="155" spans="1:11" ht="15.75" customHeight="1" x14ac:dyDescent="0.25">
      <c r="A155" s="3"/>
      <c r="B155" s="4"/>
      <c r="C155" s="5"/>
      <c r="D155" s="6"/>
      <c r="E155" s="6"/>
      <c r="F155" s="6"/>
      <c r="G155" s="7"/>
      <c r="H155" s="7"/>
      <c r="I155" s="5"/>
      <c r="J155" s="5" t="str">
        <f>TEXT(A155,"yyyy-mm")</f>
        <v>yyyy-01</v>
      </c>
      <c r="K155" s="7">
        <f>K154 + IF(C155="Entrada", G155, -G155)</f>
        <v>-3824.329999999999</v>
      </c>
    </row>
    <row r="156" spans="1:11" ht="15.75" customHeight="1" x14ac:dyDescent="0.25">
      <c r="A156" s="3"/>
      <c r="B156" s="4"/>
      <c r="C156" s="5"/>
      <c r="D156" s="6"/>
      <c r="E156" s="6"/>
      <c r="F156" s="6"/>
      <c r="G156" s="7"/>
      <c r="H156" s="7"/>
      <c r="I156" s="5"/>
      <c r="J156" s="5" t="str">
        <f>TEXT(A156,"yyyy-mm")</f>
        <v>yyyy-01</v>
      </c>
      <c r="K156" s="7">
        <f>K155 + IF(C156="Entrada", G156, -G156)</f>
        <v>-3824.329999999999</v>
      </c>
    </row>
    <row r="157" spans="1:11" ht="15.75" customHeight="1" x14ac:dyDescent="0.25">
      <c r="A157" s="3"/>
      <c r="B157" s="4"/>
      <c r="C157" s="5"/>
      <c r="D157" s="6"/>
      <c r="E157" s="6"/>
      <c r="F157" s="6"/>
      <c r="G157" s="7"/>
      <c r="H157" s="7"/>
      <c r="I157" s="5"/>
      <c r="J157" s="5" t="str">
        <f>TEXT(A157,"yyyy-mm")</f>
        <v>yyyy-01</v>
      </c>
      <c r="K157" s="7">
        <f>K156 + IF(C157="Entrada", G157, -G157)</f>
        <v>-3824.329999999999</v>
      </c>
    </row>
    <row r="158" spans="1:11" ht="15.75" customHeight="1" x14ac:dyDescent="0.25">
      <c r="A158" s="3"/>
      <c r="B158" s="4"/>
      <c r="C158" s="5"/>
      <c r="D158" s="6"/>
      <c r="E158" s="6"/>
      <c r="F158" s="6"/>
      <c r="G158" s="7"/>
      <c r="H158" s="7"/>
      <c r="I158" s="5"/>
      <c r="J158" s="5" t="str">
        <f>TEXT(A158,"yyyy-mm")</f>
        <v>yyyy-01</v>
      </c>
      <c r="K158" s="7">
        <f>K157 + IF(C158="Entrada", G158, -G158)</f>
        <v>-3824.329999999999</v>
      </c>
    </row>
    <row r="159" spans="1:11" ht="15.75" customHeight="1" x14ac:dyDescent="0.25">
      <c r="A159" s="3"/>
      <c r="B159" s="4"/>
      <c r="C159" s="5"/>
      <c r="D159" s="6"/>
      <c r="E159" s="6"/>
      <c r="F159" s="6"/>
      <c r="G159" s="7"/>
      <c r="H159" s="7"/>
      <c r="I159" s="5"/>
      <c r="J159" s="5" t="str">
        <f>TEXT(A159,"yyyy-mm")</f>
        <v>yyyy-01</v>
      </c>
      <c r="K159" s="7">
        <f>K158 + IF(C159="Entrada", G159, -G159)</f>
        <v>-3824.329999999999</v>
      </c>
    </row>
    <row r="160" spans="1:11" ht="15.75" customHeight="1" x14ac:dyDescent="0.25">
      <c r="A160" s="3"/>
      <c r="B160" s="4"/>
      <c r="C160" s="5"/>
      <c r="D160" s="6"/>
      <c r="E160" s="6"/>
      <c r="F160" s="6"/>
      <c r="G160" s="7"/>
      <c r="H160" s="7"/>
      <c r="I160" s="5"/>
      <c r="J160" s="5" t="str">
        <f>TEXT(A160,"yyyy-mm")</f>
        <v>yyyy-01</v>
      </c>
      <c r="K160" s="7">
        <f>K159 + IF(C160="Entrada", G160, -G160)</f>
        <v>-3824.329999999999</v>
      </c>
    </row>
    <row r="161" spans="1:11" ht="15.75" customHeight="1" x14ac:dyDescent="0.25">
      <c r="A161" s="3"/>
      <c r="B161" s="4"/>
      <c r="C161" s="5"/>
      <c r="D161" s="6"/>
      <c r="E161" s="6"/>
      <c r="F161" s="6"/>
      <c r="G161" s="7"/>
      <c r="H161" s="7"/>
      <c r="I161" s="5"/>
      <c r="J161" s="5" t="str">
        <f>TEXT(A161,"yyyy-mm")</f>
        <v>yyyy-01</v>
      </c>
      <c r="K161" s="7">
        <f>K160 + IF(C161="Entrada", G161, -G161)</f>
        <v>-3824.329999999999</v>
      </c>
    </row>
    <row r="162" spans="1:11" ht="15.75" customHeight="1" x14ac:dyDescent="0.25">
      <c r="A162" s="3"/>
      <c r="B162" s="4"/>
      <c r="C162" s="5"/>
      <c r="D162" s="6"/>
      <c r="E162" s="6"/>
      <c r="F162" s="6"/>
      <c r="G162" s="7"/>
      <c r="H162" s="7"/>
      <c r="I162" s="5"/>
      <c r="J162" s="5" t="str">
        <f>TEXT(A162,"yyyy-mm")</f>
        <v>yyyy-01</v>
      </c>
      <c r="K162" s="7">
        <f>K161 + IF(C162="Entrada", G162, -G162)</f>
        <v>-3824.329999999999</v>
      </c>
    </row>
    <row r="163" spans="1:11" ht="15.75" customHeight="1" x14ac:dyDescent="0.25">
      <c r="A163" s="3"/>
      <c r="B163" s="4"/>
      <c r="C163" s="5"/>
      <c r="D163" s="6"/>
      <c r="E163" s="6"/>
      <c r="F163" s="6"/>
      <c r="G163" s="7"/>
      <c r="H163" s="7"/>
      <c r="I163" s="5"/>
      <c r="J163" s="5" t="str">
        <f>TEXT(A163,"yyyy-mm")</f>
        <v>yyyy-01</v>
      </c>
      <c r="K163" s="7">
        <f>K162 + IF(C163="Entrada", G163, -G163)</f>
        <v>-3824.329999999999</v>
      </c>
    </row>
    <row r="164" spans="1:11" ht="15.75" customHeight="1" x14ac:dyDescent="0.25">
      <c r="A164" s="3"/>
      <c r="B164" s="4"/>
      <c r="C164" s="5"/>
      <c r="D164" s="6"/>
      <c r="E164" s="6"/>
      <c r="F164" s="6"/>
      <c r="G164" s="7"/>
      <c r="H164" s="7"/>
      <c r="I164" s="5"/>
      <c r="J164" s="5" t="str">
        <f>TEXT(A164,"yyyy-mm")</f>
        <v>yyyy-01</v>
      </c>
      <c r="K164" s="7">
        <f>K163 + IF(C164="Entrada", G164, -G164)</f>
        <v>-3824.329999999999</v>
      </c>
    </row>
    <row r="165" spans="1:11" ht="15.75" customHeight="1" x14ac:dyDescent="0.25">
      <c r="A165" s="3"/>
      <c r="B165" s="4"/>
      <c r="C165" s="5"/>
      <c r="D165" s="6"/>
      <c r="E165" s="6"/>
      <c r="F165" s="6"/>
      <c r="G165" s="7"/>
      <c r="H165" s="7"/>
      <c r="I165" s="5"/>
      <c r="J165" s="5" t="str">
        <f>TEXT(A165,"yyyy-mm")</f>
        <v>yyyy-01</v>
      </c>
      <c r="K165" s="7">
        <f>K164 + IF(C165="Entrada", G165, -G165)</f>
        <v>-3824.329999999999</v>
      </c>
    </row>
    <row r="166" spans="1:11" ht="15.75" customHeight="1" x14ac:dyDescent="0.25">
      <c r="A166" s="3"/>
      <c r="B166" s="4"/>
      <c r="C166" s="5"/>
      <c r="D166" s="6"/>
      <c r="E166" s="6"/>
      <c r="F166" s="6"/>
      <c r="G166" s="7"/>
      <c r="H166" s="7"/>
      <c r="I166" s="5"/>
      <c r="J166" s="5" t="str">
        <f>TEXT(A166,"yyyy-mm")</f>
        <v>yyyy-01</v>
      </c>
      <c r="K166" s="7">
        <f>K165 + IF(C166="Entrada", G166, -G166)</f>
        <v>-3824.329999999999</v>
      </c>
    </row>
    <row r="167" spans="1:11" ht="15.75" customHeight="1" x14ac:dyDescent="0.25">
      <c r="A167" s="3"/>
      <c r="B167" s="4"/>
      <c r="C167" s="5"/>
      <c r="D167" s="6"/>
      <c r="E167" s="6"/>
      <c r="F167" s="6"/>
      <c r="G167" s="7"/>
      <c r="H167" s="7"/>
      <c r="I167" s="5"/>
      <c r="J167" s="5" t="str">
        <f>TEXT(A167,"yyyy-mm")</f>
        <v>yyyy-01</v>
      </c>
      <c r="K167" s="7">
        <f>K166 + IF(C167="Entrada", G167, -G167)</f>
        <v>-3824.329999999999</v>
      </c>
    </row>
    <row r="168" spans="1:11" ht="15.75" customHeight="1" x14ac:dyDescent="0.25">
      <c r="A168" s="3"/>
      <c r="B168" s="4"/>
      <c r="C168" s="5"/>
      <c r="D168" s="6"/>
      <c r="E168" s="6"/>
      <c r="F168" s="6"/>
      <c r="G168" s="7"/>
      <c r="H168" s="7"/>
      <c r="I168" s="5"/>
      <c r="J168" s="5" t="str">
        <f>TEXT(A168,"yyyy-mm")</f>
        <v>yyyy-01</v>
      </c>
      <c r="K168" s="7">
        <f>K167 + IF(C168="Entrada", G168, -G168)</f>
        <v>-3824.329999999999</v>
      </c>
    </row>
    <row r="169" spans="1:11" ht="15.75" customHeight="1" x14ac:dyDescent="0.25">
      <c r="A169" s="3"/>
      <c r="B169" s="4"/>
      <c r="C169" s="5"/>
      <c r="D169" s="6"/>
      <c r="E169" s="6"/>
      <c r="F169" s="6"/>
      <c r="G169" s="7"/>
      <c r="H169" s="7"/>
      <c r="I169" s="5"/>
      <c r="J169" s="5" t="str">
        <f>TEXT(A169,"yyyy-mm")</f>
        <v>yyyy-01</v>
      </c>
      <c r="K169" s="7">
        <f>K168 + IF(C169="Entrada", G169, -G169)</f>
        <v>-3824.329999999999</v>
      </c>
    </row>
    <row r="170" spans="1:11" ht="15.75" customHeight="1" x14ac:dyDescent="0.25">
      <c r="A170" s="3"/>
      <c r="B170" s="4"/>
      <c r="C170" s="5"/>
      <c r="D170" s="6"/>
      <c r="E170" s="6"/>
      <c r="F170" s="6"/>
      <c r="G170" s="7"/>
      <c r="H170" s="7"/>
      <c r="I170" s="5"/>
      <c r="J170" s="5" t="str">
        <f>TEXT(A170,"yyyy-mm")</f>
        <v>yyyy-01</v>
      </c>
      <c r="K170" s="7">
        <f>K169 + IF(C170="Entrada", G170, -G170)</f>
        <v>-3824.329999999999</v>
      </c>
    </row>
    <row r="171" spans="1:11" ht="15.75" customHeight="1" x14ac:dyDescent="0.25">
      <c r="A171" s="3"/>
      <c r="B171" s="4"/>
      <c r="C171" s="5"/>
      <c r="D171" s="6"/>
      <c r="E171" s="6"/>
      <c r="F171" s="6"/>
      <c r="G171" s="7"/>
      <c r="H171" s="7"/>
      <c r="I171" s="5"/>
      <c r="J171" s="5" t="str">
        <f>TEXT(A171,"yyyy-mm")</f>
        <v>yyyy-01</v>
      </c>
      <c r="K171" s="7">
        <f>K170 + IF(C171="Entrada", G171, -G171)</f>
        <v>-3824.329999999999</v>
      </c>
    </row>
    <row r="172" spans="1:11" ht="15.75" customHeight="1" x14ac:dyDescent="0.25">
      <c r="A172" s="3"/>
      <c r="B172" s="4"/>
      <c r="C172" s="5"/>
      <c r="D172" s="6"/>
      <c r="E172" s="6"/>
      <c r="F172" s="6"/>
      <c r="G172" s="7"/>
      <c r="H172" s="7"/>
      <c r="I172" s="5"/>
      <c r="J172" s="5" t="str">
        <f>TEXT(A172,"yyyy-mm")</f>
        <v>yyyy-01</v>
      </c>
      <c r="K172" s="7">
        <f>K171 + IF(C172="Entrada", G172, -G172)</f>
        <v>-3824.329999999999</v>
      </c>
    </row>
    <row r="173" spans="1:11" ht="15.75" customHeight="1" x14ac:dyDescent="0.25">
      <c r="A173" s="3"/>
      <c r="B173" s="4"/>
      <c r="C173" s="5"/>
      <c r="D173" s="6"/>
      <c r="E173" s="6"/>
      <c r="F173" s="6"/>
      <c r="G173" s="7"/>
      <c r="H173" s="7"/>
      <c r="I173" s="5"/>
      <c r="J173" s="5" t="str">
        <f>TEXT(A173,"yyyy-mm")</f>
        <v>yyyy-01</v>
      </c>
      <c r="K173" s="7">
        <f>K172 + IF(C173="Entrada", G173, -G173)</f>
        <v>-3824.329999999999</v>
      </c>
    </row>
    <row r="174" spans="1:11" ht="15.75" customHeight="1" x14ac:dyDescent="0.25">
      <c r="A174" s="3"/>
      <c r="B174" s="4"/>
      <c r="C174" s="5"/>
      <c r="D174" s="6"/>
      <c r="E174" s="6"/>
      <c r="F174" s="6"/>
      <c r="G174" s="7"/>
      <c r="H174" s="7"/>
      <c r="I174" s="5"/>
      <c r="J174" s="5" t="str">
        <f>TEXT(A174,"yyyy-mm")</f>
        <v>yyyy-01</v>
      </c>
      <c r="K174" s="7">
        <f>K173 + IF(C174="Entrada", G174, -G174)</f>
        <v>-3824.329999999999</v>
      </c>
    </row>
    <row r="175" spans="1:11" ht="15.75" customHeight="1" x14ac:dyDescent="0.25">
      <c r="A175" s="3"/>
      <c r="B175" s="4"/>
      <c r="C175" s="5"/>
      <c r="D175" s="6"/>
      <c r="E175" s="6"/>
      <c r="F175" s="6"/>
      <c r="G175" s="7"/>
      <c r="H175" s="7"/>
      <c r="I175" s="5"/>
      <c r="J175" s="5" t="str">
        <f>TEXT(A175,"yyyy-mm")</f>
        <v>yyyy-01</v>
      </c>
      <c r="K175" s="7">
        <f>K174 + IF(C175="Entrada", G175, -G175)</f>
        <v>-3824.329999999999</v>
      </c>
    </row>
    <row r="176" spans="1:11" ht="15.75" customHeight="1" x14ac:dyDescent="0.25">
      <c r="A176" s="3"/>
      <c r="B176" s="4"/>
      <c r="C176" s="5"/>
      <c r="D176" s="6"/>
      <c r="E176" s="6"/>
      <c r="F176" s="6"/>
      <c r="G176" s="7"/>
      <c r="H176" s="7"/>
      <c r="I176" s="5"/>
      <c r="J176" s="5" t="str">
        <f>TEXT(A176,"yyyy-mm")</f>
        <v>yyyy-01</v>
      </c>
      <c r="K176" s="7">
        <f>K175 + IF(C176="Entrada", G176, -G176)</f>
        <v>-3824.329999999999</v>
      </c>
    </row>
    <row r="177" spans="1:11" ht="15.75" customHeight="1" x14ac:dyDescent="0.25">
      <c r="A177" s="3"/>
      <c r="B177" s="4"/>
      <c r="C177" s="5"/>
      <c r="D177" s="6"/>
      <c r="E177" s="6"/>
      <c r="F177" s="6"/>
      <c r="G177" s="7"/>
      <c r="H177" s="7"/>
      <c r="I177" s="5"/>
      <c r="J177" s="5" t="str">
        <f>TEXT(A177,"yyyy-mm")</f>
        <v>yyyy-01</v>
      </c>
      <c r="K177" s="7">
        <f>K176 + IF(C177="Entrada", G177, -G177)</f>
        <v>-3824.329999999999</v>
      </c>
    </row>
    <row r="178" spans="1:11" ht="15.75" customHeight="1" x14ac:dyDescent="0.25">
      <c r="J178" s="5" t="str">
        <f>TEXT(A5,"yyyy-mm")</f>
        <v>yyyy-07</v>
      </c>
      <c r="K178" s="7">
        <f>K177 + IF(C5="Entrada", G5, -G5)</f>
        <v>-3940.1299999999992</v>
      </c>
    </row>
    <row r="179" spans="1:11" ht="15.75" customHeight="1" x14ac:dyDescent="0.25">
      <c r="J179" s="5" t="str">
        <f>TEXT(A6,"yyyy-mm")</f>
        <v>yyyy-07</v>
      </c>
      <c r="K179" s="7">
        <f>K178 + IF(C6="Entrada", G6, -G6)</f>
        <v>-2178.1299999999992</v>
      </c>
    </row>
    <row r="180" spans="1:11" ht="15.75" customHeight="1" x14ac:dyDescent="0.25">
      <c r="J180" s="5" t="str">
        <f>TEXT(A7,"yyyy-mm")</f>
        <v>yyyy-07</v>
      </c>
      <c r="K180" s="7">
        <f>K179 + IF(C7="Entrada", G7, -G7)</f>
        <v>-2096.1299999999992</v>
      </c>
    </row>
    <row r="181" spans="1:11" ht="15.75" customHeight="1" x14ac:dyDescent="0.25">
      <c r="J181" s="5" t="str">
        <f>TEXT(A8,"yyyy-mm")</f>
        <v>yyyy-07</v>
      </c>
      <c r="K181" s="7">
        <f>K180 + IF(C8="Entrada", G8, -G8)</f>
        <v>-2105.1299999999992</v>
      </c>
    </row>
    <row r="182" spans="1:11" ht="15.75" customHeight="1" x14ac:dyDescent="0.25">
      <c r="J182" s="5" t="str">
        <f>TEXT(A9,"yyyy-mm")</f>
        <v>yyyy-07</v>
      </c>
      <c r="K182" s="7">
        <f>K181 + IF(C9="Entrada", G9, -G9)</f>
        <v>-3205.1299999999992</v>
      </c>
    </row>
    <row r="183" spans="1:11" ht="15.75" customHeight="1" x14ac:dyDescent="0.25">
      <c r="J183" s="5" t="str">
        <f>TEXT(A10,"yyyy-mm")</f>
        <v>yyyy-07</v>
      </c>
      <c r="K183" s="7">
        <f>K182 + IF(C10="Entrada", G10, -G10)</f>
        <v>-3605.1299999999992</v>
      </c>
    </row>
    <row r="184" spans="1:11" ht="15.75" customHeight="1" x14ac:dyDescent="0.25">
      <c r="J184" s="5" t="str">
        <f>TEXT(A11,"yyyy-mm")</f>
        <v>yyyy-07</v>
      </c>
      <c r="K184" s="7">
        <f>K183 + IF(C11="Entrada", G11, -G11)</f>
        <v>-6605.1299999999992</v>
      </c>
    </row>
    <row r="185" spans="1:11" ht="15.75" customHeight="1" x14ac:dyDescent="0.25">
      <c r="J185" s="5" t="str">
        <f>TEXT(A12,"yyyy-mm")</f>
        <v>yyyy-07</v>
      </c>
      <c r="K185" s="7">
        <f>K184 + IF(C12="Entrada", G12, -G12)</f>
        <v>-4946.1299999999992</v>
      </c>
    </row>
    <row r="186" spans="1:11" ht="15.75" customHeight="1" x14ac:dyDescent="0.25">
      <c r="J186" s="5" t="str">
        <f>TEXT(A13,"yyyy-mm")</f>
        <v>yyyy-07</v>
      </c>
      <c r="K186" s="7">
        <f>K185 + IF(C13="Entrada", G13, -G13)</f>
        <v>-4946.1299999999992</v>
      </c>
    </row>
    <row r="187" spans="1:11" ht="15.75" customHeight="1" x14ac:dyDescent="0.25">
      <c r="J187" s="5" t="str">
        <f>TEXT(A14,"yyyy-mm")</f>
        <v>yyyy-07</v>
      </c>
      <c r="K187" s="7">
        <f>K186 + IF(C14="Entrada", G14, -G14)</f>
        <v>-4946.1299999999992</v>
      </c>
    </row>
    <row r="188" spans="1:11" ht="15.75" customHeight="1" x14ac:dyDescent="0.25">
      <c r="J188" s="5" t="str">
        <f>TEXT(A15,"yyyy-mm")</f>
        <v>yyyy-07</v>
      </c>
      <c r="K188" s="7">
        <f>K187 + IF(C15="Entrada", G15, -G15)</f>
        <v>-5186.1299999999992</v>
      </c>
    </row>
    <row r="189" spans="1:11" ht="15.75" customHeight="1" x14ac:dyDescent="0.25">
      <c r="J189" s="5" t="str">
        <f>TEXT(A16,"yyyy-mm")</f>
        <v>yyyy-07</v>
      </c>
      <c r="K189" s="7">
        <f>K188 + IF(C16="Entrada", G16, -G16)</f>
        <v>-1940.1299999999992</v>
      </c>
    </row>
    <row r="190" spans="1:11" ht="15.75" customHeight="1" x14ac:dyDescent="0.25">
      <c r="J190" s="5" t="str">
        <f>TEXT(A17,"yyyy-mm")</f>
        <v>yyyy-07</v>
      </c>
      <c r="K190" s="7">
        <f>K189 + IF(C17="Entrada", G17, -G17)</f>
        <v>-1834.1299999999992</v>
      </c>
    </row>
    <row r="191" spans="1:11" ht="15.75" customHeight="1" x14ac:dyDescent="0.25">
      <c r="J191" s="5" t="str">
        <f>TEXT(A18,"yyyy-mm")</f>
        <v>yyyy-07</v>
      </c>
      <c r="K191" s="7">
        <f>K190 + IF(C18="Entrada", G18, -G18)</f>
        <v>-1852.1299999999992</v>
      </c>
    </row>
    <row r="192" spans="1:11" ht="15.75" customHeight="1" x14ac:dyDescent="0.25">
      <c r="J192" s="5" t="str">
        <f>TEXT(A19,"yyyy-mm")</f>
        <v>yyyy-07</v>
      </c>
      <c r="K192" s="7">
        <f>K191 + IF(C19="Entrada", G19, -G19)</f>
        <v>-2016.1299999999992</v>
      </c>
    </row>
    <row r="193" spans="10:11" ht="15.75" customHeight="1" x14ac:dyDescent="0.25">
      <c r="J193" s="5" t="str">
        <f>TEXT(A20,"yyyy-mm")</f>
        <v>yyyy-07</v>
      </c>
      <c r="K193" s="7">
        <f>K192 + IF(C20="Entrada", G20, -G20)</f>
        <v>-2392.1299999999992</v>
      </c>
    </row>
    <row r="194" spans="10:11" ht="15.75" customHeight="1" x14ac:dyDescent="0.25">
      <c r="J194" s="5" t="str">
        <f>TEXT(A21,"yyyy-mm")</f>
        <v>yyyy-07</v>
      </c>
      <c r="K194" s="7">
        <f>K193 + IF(C21="Entrada", G21, -G21)</f>
        <v>-2542.1299999999992</v>
      </c>
    </row>
    <row r="195" spans="10:11" ht="15.75" customHeight="1" x14ac:dyDescent="0.25">
      <c r="J195" s="5" t="str">
        <f>TEXT(A22,"yyyy-mm")</f>
        <v>yyyy-07</v>
      </c>
      <c r="K195" s="7">
        <f>K194 + IF(C22="Entrada", G22, -G22)</f>
        <v>2663.8700000000008</v>
      </c>
    </row>
    <row r="196" spans="10:11" ht="15.75" customHeight="1" x14ac:dyDescent="0.25">
      <c r="J196" s="5" t="str">
        <f>TEXT(A23,"yyyy-mm")</f>
        <v>yyyy-07</v>
      </c>
      <c r="K196" s="7">
        <f>K195 + IF(C23="Entrada", G23, -G23)</f>
        <v>2813.8700000000008</v>
      </c>
    </row>
    <row r="197" spans="10:11" ht="15.75" customHeight="1" x14ac:dyDescent="0.25">
      <c r="J197" s="5" t="str">
        <f>TEXT(A24,"yyyy-mm")</f>
        <v>yyyy-07</v>
      </c>
      <c r="K197" s="7">
        <f>K196 + IF(C24="Entrada", G24, -G24)</f>
        <v>2778.8700000000008</v>
      </c>
    </row>
    <row r="198" spans="10:11" ht="15.75" customHeight="1" x14ac:dyDescent="0.25">
      <c r="J198" s="5" t="str">
        <f>TEXT(A25,"yyyy-mm")</f>
        <v>yyyy-07</v>
      </c>
      <c r="K198" s="7">
        <f>K197 + IF(C25="Entrada", G25, -G25)</f>
        <v>2628.8700000000008</v>
      </c>
    </row>
    <row r="199" spans="10:11" ht="15.75" customHeight="1" x14ac:dyDescent="0.25">
      <c r="J199" s="5" t="str">
        <f>TEXT(A26,"yyyy-mm")</f>
        <v>yyyy-06</v>
      </c>
      <c r="K199" s="7">
        <f>K198 + IF(C26="Entrada", G26, -G26)</f>
        <v>6712.8700000000008</v>
      </c>
    </row>
    <row r="200" spans="10:11" ht="15.75" customHeight="1" x14ac:dyDescent="0.25">
      <c r="J200" s="5" t="str">
        <f>TEXT(A27,"yyyy-mm")</f>
        <v>yyyy-06</v>
      </c>
      <c r="K200" s="7">
        <f>K199 + IF(C27="Entrada", G27, -G27)</f>
        <v>7106.8700000000008</v>
      </c>
    </row>
    <row r="201" spans="10:11" ht="15.75" customHeight="1" x14ac:dyDescent="0.25">
      <c r="J201" s="5" t="str">
        <f>TEXT(A28,"yyyy-mm")</f>
        <v>yyyy-06</v>
      </c>
      <c r="K201" s="7">
        <f>K200 + IF(C28="Entrada", G28, -G28)</f>
        <v>7071.8700000000008</v>
      </c>
    </row>
    <row r="202" spans="10:11" ht="15.75" customHeight="1" x14ac:dyDescent="0.25">
      <c r="J202" s="5" t="str">
        <f>TEXT(A29,"yyyy-mm")</f>
        <v>yyyy-06</v>
      </c>
      <c r="K202" s="7">
        <f>K201 + IF(C29="Entrada", G29, -G29)</f>
        <v>6921.8700000000008</v>
      </c>
    </row>
    <row r="203" spans="10:11" ht="15.75" customHeight="1" x14ac:dyDescent="0.25">
      <c r="J203" s="5" t="str">
        <f>TEXT(A30,"yyyy-mm")</f>
        <v>yyyy-07</v>
      </c>
      <c r="K203" s="7">
        <f>K202 + IF(C30="Entrada", G30, -G30)</f>
        <v>8434.8700000000008</v>
      </c>
    </row>
    <row r="204" spans="10:11" ht="15.75" customHeight="1" x14ac:dyDescent="0.25">
      <c r="J204" s="5" t="str">
        <f>TEXT(A31,"yyyy-mm")</f>
        <v>yyyy-07</v>
      </c>
      <c r="K204" s="7">
        <f>K203 + IF(C31="Entrada", G31, -G31)</f>
        <v>8585.8700000000008</v>
      </c>
    </row>
    <row r="205" spans="10:11" ht="15.75" customHeight="1" x14ac:dyDescent="0.25">
      <c r="J205" s="5" t="str">
        <f>TEXT(A32,"yyyy-mm")</f>
        <v>yyyy-07</v>
      </c>
      <c r="K205" s="7">
        <f>K204 + IF(C32="Entrada", G32, -G32)</f>
        <v>8567.8700000000008</v>
      </c>
    </row>
    <row r="206" spans="10:11" ht="15.75" customHeight="1" x14ac:dyDescent="0.25">
      <c r="J206" s="5" t="str">
        <f>TEXT(A33,"yyyy-mm")</f>
        <v>yyyy-07</v>
      </c>
      <c r="K206" s="7">
        <f>K205 + IF(C33="Entrada", G33, -G33)</f>
        <v>8267.8700000000008</v>
      </c>
    </row>
    <row r="207" spans="10:11" ht="15.75" customHeight="1" x14ac:dyDescent="0.25">
      <c r="J207" s="5" t="str">
        <f>TEXT(A34,"yyyy-mm")</f>
        <v>yyyy-07</v>
      </c>
      <c r="K207" s="7">
        <f>K206 + IF(C34="Entrada", G34, -G34)</f>
        <v>8042.8700000000008</v>
      </c>
    </row>
    <row r="208" spans="10:11" ht="15.75" customHeight="1" x14ac:dyDescent="0.25">
      <c r="J208" s="5" t="str">
        <f>TEXT(A35,"yyyy-mm")</f>
        <v>yyyy-07</v>
      </c>
      <c r="K208" s="7">
        <f>K207 + IF(C35="Entrada", G35, -G35)</f>
        <v>-875.76999999999862</v>
      </c>
    </row>
    <row r="209" spans="1:11" ht="15.75" customHeight="1" x14ac:dyDescent="0.25">
      <c r="J209" s="5" t="str">
        <f>TEXT(A36,"yyyy-mm")</f>
        <v>yyyy-07</v>
      </c>
      <c r="K209" s="7">
        <f>K208 + IF(C36="Entrada", G36, -G36)</f>
        <v>-970.66999999999859</v>
      </c>
    </row>
    <row r="210" spans="1:11" ht="15.75" customHeight="1" x14ac:dyDescent="0.25">
      <c r="J210" s="5" t="str">
        <f>TEXT(A37,"yyyy-mm")</f>
        <v>yyyy-07</v>
      </c>
      <c r="K210" s="7">
        <f>K209 + IF(C37="Entrada", G37, -G37)</f>
        <v>-1070.6699999999987</v>
      </c>
    </row>
    <row r="211" spans="1:11" ht="15.75" customHeight="1" x14ac:dyDescent="0.25">
      <c r="J211" s="5" t="str">
        <f>TEXT(A38,"yyyy-mm")</f>
        <v>yyyy-07</v>
      </c>
      <c r="K211" s="7">
        <f>K210 + IF(C38="Entrada", G38, -G38)</f>
        <v>-1248.5299999999988</v>
      </c>
    </row>
    <row r="212" spans="1:11" ht="15.75" customHeight="1" x14ac:dyDescent="0.25">
      <c r="J212" s="5" t="str">
        <f>TEXT(A39,"yyyy-mm")</f>
        <v>yyyy-07</v>
      </c>
      <c r="K212" s="7">
        <f>K211 + IF(C39="Entrada", G39, -G39)</f>
        <v>-1569.5999999999988</v>
      </c>
    </row>
    <row r="213" spans="1:11" ht="15.75" customHeight="1" x14ac:dyDescent="0.25">
      <c r="J213" s="5" t="str">
        <f>TEXT(A40,"yyyy-mm")</f>
        <v>yyyy-07</v>
      </c>
      <c r="K213" s="7">
        <f>K212 + IF(C40="Entrada", G40, -G40)</f>
        <v>-2099.0999999999985</v>
      </c>
    </row>
    <row r="214" spans="1:11" ht="15.75" customHeight="1" x14ac:dyDescent="0.25">
      <c r="J214" s="5" t="str">
        <f>TEXT(A41,"yyyy-mm")</f>
        <v>yyyy-07</v>
      </c>
      <c r="K214" s="7">
        <f>K213 + IF(C41="Entrada", G41, -G41)</f>
        <v>-471.09999999999854</v>
      </c>
    </row>
    <row r="215" spans="1:11" ht="15.75" customHeight="1" x14ac:dyDescent="0.25">
      <c r="J215" s="5" t="str">
        <f>TEXT(A42,"yyyy-mm")</f>
        <v>yyyy-07</v>
      </c>
      <c r="K215" s="7">
        <f>K214 + IF(C42="Entrada", G42, -G42)</f>
        <v>-395.09999999999854</v>
      </c>
    </row>
    <row r="216" spans="1:11" ht="15.75" customHeight="1" x14ac:dyDescent="0.25">
      <c r="J216" s="5" t="str">
        <f>TEXT(A43,"yyyy-mm")</f>
        <v>yyyy-07</v>
      </c>
      <c r="K216" s="7">
        <f>K215 + IF(C43="Entrada", G43, -G43)</f>
        <v>-419.09999999999854</v>
      </c>
    </row>
    <row r="217" spans="1:11" ht="15.75" customHeight="1" x14ac:dyDescent="0.25">
      <c r="J217" s="5" t="str">
        <f>TEXT(A44,"yyyy-mm")</f>
        <v>yyyy-07</v>
      </c>
      <c r="K217" s="7">
        <f>K216 + IF(C44="Entrada", G44, -G44)</f>
        <v>-5277.5099999999984</v>
      </c>
    </row>
    <row r="218" spans="1:11" ht="15.75" customHeight="1" x14ac:dyDescent="0.25">
      <c r="A218" s="3"/>
      <c r="B218" s="9"/>
      <c r="C218" s="9"/>
      <c r="D218" s="9"/>
      <c r="E218" s="9"/>
      <c r="F218" s="9"/>
      <c r="G218" s="10"/>
      <c r="H218" s="10"/>
      <c r="I218" s="9"/>
      <c r="J218" s="5" t="str">
        <f>TEXT(A218,"yyyy-mm")</f>
        <v>yyyy-01</v>
      </c>
      <c r="K218" s="7">
        <f>K217 + IF(C218="Entrada", G218, -G218)</f>
        <v>-5277.5099999999984</v>
      </c>
    </row>
    <row r="219" spans="1:11" ht="15.75" customHeight="1" x14ac:dyDescent="0.25">
      <c r="A219" s="3"/>
      <c r="B219" s="4"/>
      <c r="C219" s="5"/>
      <c r="D219" s="6"/>
      <c r="E219" s="6"/>
      <c r="F219" s="6"/>
      <c r="G219" s="7"/>
      <c r="H219" s="7"/>
      <c r="I219" s="5"/>
      <c r="J219" s="5" t="str">
        <f>TEXT(A219,"yyyy-mm")</f>
        <v>yyyy-01</v>
      </c>
      <c r="K219" s="7">
        <f>K218 + IF(C219="Entrada", G219, -G219)</f>
        <v>-5277.5099999999984</v>
      </c>
    </row>
    <row r="220" spans="1:11" ht="15.75" customHeight="1" x14ac:dyDescent="0.25">
      <c r="A220" s="3"/>
      <c r="B220" s="4"/>
      <c r="C220" s="5"/>
      <c r="D220" s="6"/>
      <c r="E220" s="6"/>
      <c r="F220" s="6"/>
      <c r="G220" s="7"/>
      <c r="H220" s="7"/>
      <c r="I220" s="5"/>
      <c r="J220" s="5" t="str">
        <f>TEXT(A220,"yyyy-mm")</f>
        <v>yyyy-01</v>
      </c>
      <c r="K220" s="7">
        <f>K219 + IF(C220="Entrada", G220, -G220)</f>
        <v>-5277.5099999999984</v>
      </c>
    </row>
    <row r="221" spans="1:11" ht="15.75" customHeight="1" x14ac:dyDescent="0.25">
      <c r="A221" s="3"/>
      <c r="B221" s="4"/>
      <c r="C221" s="5"/>
      <c r="D221" s="6"/>
      <c r="E221" s="6"/>
      <c r="F221" s="6"/>
      <c r="G221" s="7"/>
      <c r="H221" s="7"/>
      <c r="I221" s="5"/>
      <c r="J221" s="5" t="str">
        <f>TEXT(A221,"yyyy-mm")</f>
        <v>yyyy-01</v>
      </c>
      <c r="K221" s="7">
        <f>K220 + IF(C221="Entrada", G221, -G221)</f>
        <v>-5277.5099999999984</v>
      </c>
    </row>
    <row r="222" spans="1:11" ht="15.75" customHeight="1" x14ac:dyDescent="0.25">
      <c r="A222" s="3"/>
      <c r="B222" s="4"/>
      <c r="C222" s="5"/>
      <c r="D222" s="6"/>
      <c r="E222" s="6"/>
      <c r="F222" s="6"/>
      <c r="G222" s="7"/>
      <c r="H222" s="7"/>
      <c r="I222" s="5"/>
      <c r="J222" s="5" t="str">
        <f>TEXT(A222,"yyyy-mm")</f>
        <v>yyyy-01</v>
      </c>
      <c r="K222" s="7">
        <f>K221 + IF(C222="Entrada", G222, -G222)</f>
        <v>-5277.5099999999984</v>
      </c>
    </row>
    <row r="223" spans="1:11" ht="15.75" customHeight="1" x14ac:dyDescent="0.25">
      <c r="A223" s="3"/>
      <c r="B223" s="4"/>
      <c r="C223" s="5"/>
      <c r="D223" s="6"/>
      <c r="E223" s="6"/>
      <c r="F223" s="6"/>
      <c r="G223" s="7"/>
      <c r="H223" s="7"/>
      <c r="I223" s="5"/>
      <c r="J223" s="5" t="str">
        <f>TEXT(A223,"yyyy-mm")</f>
        <v>yyyy-01</v>
      </c>
      <c r="K223" s="7">
        <f>K222 + IF(C223="Entrada", G223, -G223)</f>
        <v>-5277.5099999999984</v>
      </c>
    </row>
    <row r="224" spans="1:11" ht="15.75" customHeight="1" x14ac:dyDescent="0.25">
      <c r="A224" s="3"/>
      <c r="B224" s="4"/>
      <c r="C224" s="5"/>
      <c r="D224" s="6"/>
      <c r="E224" s="6"/>
      <c r="F224" s="6"/>
      <c r="G224" s="7"/>
      <c r="H224" s="7"/>
      <c r="I224" s="5"/>
      <c r="J224" s="5" t="str">
        <f>TEXT(A224,"yyyy-mm")</f>
        <v>yyyy-01</v>
      </c>
      <c r="K224" s="7">
        <f>K223 + IF(C224="Entrada", G224, -G224)</f>
        <v>-5277.5099999999984</v>
      </c>
    </row>
    <row r="225" spans="1:11" ht="15.75" customHeight="1" x14ac:dyDescent="0.25">
      <c r="A225" s="3"/>
      <c r="B225" s="4"/>
      <c r="C225" s="5"/>
      <c r="D225" s="6"/>
      <c r="E225" s="6"/>
      <c r="F225" s="6"/>
      <c r="G225" s="7"/>
      <c r="H225" s="7"/>
      <c r="I225" s="5"/>
      <c r="J225" s="5" t="str">
        <f>TEXT(A225,"yyyy-mm")</f>
        <v>yyyy-01</v>
      </c>
      <c r="K225" s="7">
        <f>K224 + IF(C225="Entrada", G225, -G225)</f>
        <v>-5277.5099999999984</v>
      </c>
    </row>
    <row r="226" spans="1:11" ht="15.75" customHeight="1" x14ac:dyDescent="0.25">
      <c r="A226" s="3"/>
      <c r="B226" s="4"/>
      <c r="C226" s="5"/>
      <c r="D226" s="6"/>
      <c r="E226" s="6"/>
      <c r="F226" s="6"/>
      <c r="G226" s="7"/>
      <c r="H226" s="7"/>
      <c r="I226" s="5"/>
      <c r="J226" s="5" t="str">
        <f>TEXT(A226,"yyyy-mm")</f>
        <v>yyyy-01</v>
      </c>
      <c r="K226" s="7">
        <f>K225 + IF(C226="Entrada", G226, -G226)</f>
        <v>-5277.5099999999984</v>
      </c>
    </row>
    <row r="227" spans="1:11" ht="15.75" customHeight="1" x14ac:dyDescent="0.25">
      <c r="A227" s="3"/>
      <c r="B227" s="4"/>
      <c r="C227" s="5"/>
      <c r="D227" s="6"/>
      <c r="E227" s="6"/>
      <c r="F227" s="6"/>
      <c r="G227" s="7"/>
      <c r="H227" s="7"/>
      <c r="I227" s="5"/>
      <c r="J227" s="5" t="str">
        <f>TEXT(A227,"yyyy-mm")</f>
        <v>yyyy-01</v>
      </c>
      <c r="K227" s="7">
        <f>K226 + IF(C227="Entrada", G227, -G227)</f>
        <v>-5277.5099999999984</v>
      </c>
    </row>
    <row r="228" spans="1:11" ht="15.75" customHeight="1" x14ac:dyDescent="0.25">
      <c r="A228" s="3"/>
      <c r="B228" s="4"/>
      <c r="C228" s="5"/>
      <c r="D228" s="6"/>
      <c r="E228" s="6"/>
      <c r="F228" s="6"/>
      <c r="G228" s="7"/>
      <c r="H228" s="7"/>
      <c r="I228" s="5"/>
      <c r="J228" s="5" t="str">
        <f>TEXT(A228,"yyyy-mm")</f>
        <v>yyyy-01</v>
      </c>
      <c r="K228" s="7">
        <f>K227 + IF(C228="Entrada", G228, -G228)</f>
        <v>-5277.5099999999984</v>
      </c>
    </row>
    <row r="229" spans="1:11" ht="15.75" customHeight="1" x14ac:dyDescent="0.25">
      <c r="A229" s="12"/>
      <c r="B229" s="4"/>
      <c r="C229" s="5"/>
      <c r="D229" s="6"/>
      <c r="E229" s="6"/>
      <c r="F229" s="6"/>
      <c r="G229" s="7"/>
      <c r="H229" s="7"/>
      <c r="I229" s="5"/>
      <c r="J229" s="5" t="str">
        <f>TEXT(A229,"yyyy-mm")</f>
        <v>yyyy-01</v>
      </c>
      <c r="K229" s="7">
        <f>K228 + IF(C229="Entrada", G229, -G229)</f>
        <v>-5277.5099999999984</v>
      </c>
    </row>
    <row r="230" spans="1:11" ht="15.75" customHeight="1" x14ac:dyDescent="0.25">
      <c r="A230" s="3"/>
      <c r="B230" s="4"/>
      <c r="C230" s="5"/>
      <c r="D230" s="6"/>
      <c r="E230" s="6"/>
      <c r="F230" s="6"/>
      <c r="G230" s="7"/>
      <c r="H230" s="7"/>
      <c r="I230" s="5"/>
      <c r="J230" s="5" t="str">
        <f>TEXT(A230,"yyyy-mm")</f>
        <v>yyyy-01</v>
      </c>
      <c r="K230" s="7">
        <f>K229 + IF(C230="Entrada", G230, -G230)</f>
        <v>-5277.5099999999984</v>
      </c>
    </row>
    <row r="231" spans="1:11" ht="15.75" customHeight="1" x14ac:dyDescent="0.25">
      <c r="A231" s="3"/>
      <c r="B231" s="4"/>
      <c r="C231" s="5"/>
      <c r="D231" s="6"/>
      <c r="E231" s="6"/>
      <c r="F231" s="6"/>
      <c r="G231" s="7"/>
      <c r="H231" s="7"/>
      <c r="I231" s="5"/>
      <c r="J231" s="5" t="str">
        <f>TEXT(A231,"yyyy-mm")</f>
        <v>yyyy-01</v>
      </c>
      <c r="K231" s="7">
        <f>K230 + IF(C231="Entrada", G231, -G231)</f>
        <v>-5277.5099999999984</v>
      </c>
    </row>
    <row r="232" spans="1:11" ht="15.75" customHeight="1" x14ac:dyDescent="0.25">
      <c r="A232" s="3"/>
      <c r="B232" s="4"/>
      <c r="C232" s="5"/>
      <c r="D232" s="6"/>
      <c r="E232" s="6"/>
      <c r="F232" s="6"/>
      <c r="G232" s="7"/>
      <c r="H232" s="7"/>
      <c r="I232" s="5"/>
      <c r="J232" s="5" t="str">
        <f>TEXT(A232,"yyyy-mm")</f>
        <v>yyyy-01</v>
      </c>
      <c r="K232" s="7">
        <f>K231 + IF(C232="Entrada", G232, -G232)</f>
        <v>-5277.5099999999984</v>
      </c>
    </row>
    <row r="233" spans="1:11" ht="15.75" customHeight="1" x14ac:dyDescent="0.25">
      <c r="A233" s="3"/>
      <c r="B233" s="4"/>
      <c r="C233" s="5"/>
      <c r="D233" s="6"/>
      <c r="E233" s="6"/>
      <c r="F233" s="6"/>
      <c r="G233" s="7"/>
      <c r="H233" s="7"/>
      <c r="I233" s="5"/>
      <c r="J233" s="5" t="str">
        <f>TEXT(A233,"yyyy-mm")</f>
        <v>yyyy-01</v>
      </c>
      <c r="K233" s="7">
        <f>K232 + IF(C233="Entrada", G233, -G233)</f>
        <v>-5277.5099999999984</v>
      </c>
    </row>
    <row r="234" spans="1:11" ht="15.75" customHeight="1" x14ac:dyDescent="0.25">
      <c r="A234" s="3"/>
      <c r="B234" s="4"/>
      <c r="C234" s="5"/>
      <c r="D234" s="6"/>
      <c r="E234" s="6"/>
      <c r="F234" s="6"/>
      <c r="G234" s="7"/>
      <c r="H234" s="7"/>
      <c r="I234" s="5"/>
      <c r="J234" s="5" t="str">
        <f>TEXT(A234,"yyyy-mm")</f>
        <v>yyyy-01</v>
      </c>
      <c r="K234" s="7">
        <f>K233 + IF(C234="Entrada", G234, -G234)</f>
        <v>-5277.5099999999984</v>
      </c>
    </row>
    <row r="235" spans="1:11" ht="15.75" customHeight="1" x14ac:dyDescent="0.25">
      <c r="A235" s="3"/>
      <c r="B235" s="4"/>
      <c r="C235" s="5"/>
      <c r="D235" s="6"/>
      <c r="E235" s="6"/>
      <c r="F235" s="6"/>
      <c r="G235" s="7"/>
      <c r="H235" s="7"/>
      <c r="I235" s="5"/>
      <c r="J235" s="5" t="str">
        <f>TEXT(A235,"yyyy-mm")</f>
        <v>yyyy-01</v>
      </c>
      <c r="K235" s="7">
        <f>K234 + IF(C235="Entrada", G235, -G235)</f>
        <v>-5277.5099999999984</v>
      </c>
    </row>
    <row r="236" spans="1:11" ht="15.75" customHeight="1" x14ac:dyDescent="0.25">
      <c r="A236" s="3"/>
      <c r="B236" s="4"/>
      <c r="C236" s="5"/>
      <c r="D236" s="6"/>
      <c r="E236" s="6"/>
      <c r="F236" s="6"/>
      <c r="G236" s="7"/>
      <c r="H236" s="7"/>
      <c r="I236" s="5"/>
      <c r="J236" s="5" t="str">
        <f>TEXT(A236,"yyyy-mm")</f>
        <v>yyyy-01</v>
      </c>
      <c r="K236" s="7">
        <f>K235 + IF(C236="Entrada", G236, -G236)</f>
        <v>-5277.5099999999984</v>
      </c>
    </row>
    <row r="237" spans="1:11" ht="15.75" customHeight="1" x14ac:dyDescent="0.25">
      <c r="A237" s="3"/>
      <c r="B237" s="4"/>
      <c r="C237" s="5"/>
      <c r="D237" s="6"/>
      <c r="E237" s="6"/>
      <c r="F237" s="6"/>
      <c r="G237" s="7"/>
      <c r="H237" s="7"/>
      <c r="I237" s="5"/>
      <c r="J237" s="5" t="str">
        <f>TEXT(A237,"yyyy-mm")</f>
        <v>yyyy-01</v>
      </c>
      <c r="K237" s="7">
        <f>K236 + IF(C237="Entrada", G237, -G237)</f>
        <v>-5277.5099999999984</v>
      </c>
    </row>
    <row r="238" spans="1:11" ht="15.75" customHeight="1" x14ac:dyDescent="0.25">
      <c r="A238" s="3"/>
      <c r="B238" s="4"/>
      <c r="C238" s="5"/>
      <c r="D238" s="6"/>
      <c r="E238" s="6"/>
      <c r="F238" s="6"/>
      <c r="G238" s="7"/>
      <c r="H238" s="7"/>
      <c r="I238" s="5"/>
      <c r="J238" s="5" t="str">
        <f>TEXT(A238,"yyyy-mm")</f>
        <v>yyyy-01</v>
      </c>
      <c r="K238" s="7">
        <f>K237 + IF(C238="Entrada", G238, -G238)</f>
        <v>-5277.5099999999984</v>
      </c>
    </row>
    <row r="239" spans="1:11" ht="15.75" customHeight="1" x14ac:dyDescent="0.25">
      <c r="A239" s="3"/>
      <c r="B239" s="4"/>
      <c r="C239" s="5"/>
      <c r="D239" s="6"/>
      <c r="E239" s="6"/>
      <c r="F239" s="6"/>
      <c r="G239" s="7"/>
      <c r="H239" s="7"/>
      <c r="I239" s="5"/>
      <c r="J239" s="5" t="str">
        <f>TEXT(A239,"yyyy-mm")</f>
        <v>yyyy-01</v>
      </c>
      <c r="K239" s="7">
        <f>K238 + IF(C239="Entrada", G239, -G239)</f>
        <v>-5277.5099999999984</v>
      </c>
    </row>
    <row r="240" spans="1:11" ht="15.75" customHeight="1" x14ac:dyDescent="0.25">
      <c r="A240" s="14"/>
      <c r="C240" s="15"/>
      <c r="D240" s="15"/>
      <c r="E240" s="15"/>
      <c r="F240" s="15"/>
      <c r="G240" s="16"/>
      <c r="H240" s="16"/>
      <c r="I240" s="15"/>
      <c r="J240" s="15" t="str">
        <f>TEXT(A240,"yyyy-mm")</f>
        <v>yyyy-01</v>
      </c>
      <c r="K240" s="17">
        <f>K239 + IF(C240="Entrada", G240, -G240)</f>
        <v>-5277.5099999999984</v>
      </c>
    </row>
    <row r="241" spans="1:11" ht="15.75" customHeight="1" x14ac:dyDescent="0.25">
      <c r="A241" s="14"/>
      <c r="C241" s="15"/>
      <c r="D241" s="15"/>
      <c r="E241" s="15"/>
      <c r="F241" s="15"/>
      <c r="G241" s="16"/>
      <c r="H241" s="16"/>
      <c r="I241" s="15"/>
      <c r="J241" s="15" t="str">
        <f>TEXT(A241,"yyyy-mm")</f>
        <v>yyyy-01</v>
      </c>
      <c r="K241" s="18">
        <f>K240 + IF(C241="Entrada", G241, -G241)</f>
        <v>-5277.5099999999984</v>
      </c>
    </row>
    <row r="242" spans="1:11" ht="15.75" customHeight="1" x14ac:dyDescent="0.25">
      <c r="A242" s="14"/>
      <c r="C242" s="15"/>
      <c r="D242" s="15"/>
      <c r="E242" s="15"/>
      <c r="F242" s="15"/>
      <c r="G242" s="16"/>
      <c r="H242" s="16"/>
      <c r="I242" s="15"/>
      <c r="J242" s="15" t="str">
        <f>TEXT(A242,"yyyy-mm")</f>
        <v>yyyy-01</v>
      </c>
      <c r="K242" s="18">
        <f>K241 + IF(C242="Entrada", G242, -G242)</f>
        <v>-5277.5099999999984</v>
      </c>
    </row>
    <row r="243" spans="1:11" ht="15.75" customHeight="1" x14ac:dyDescent="0.25">
      <c r="A243" s="14"/>
      <c r="C243" s="15"/>
      <c r="D243" s="15"/>
      <c r="E243" s="15"/>
      <c r="F243" s="15"/>
      <c r="G243" s="16"/>
      <c r="H243" s="16"/>
      <c r="I243" s="15"/>
      <c r="J243" s="15" t="str">
        <f>TEXT(A243,"yyyy-mm")</f>
        <v>yyyy-01</v>
      </c>
      <c r="K243" s="18">
        <f>K242 + IF(C243="Entrada", G243, -G243)</f>
        <v>-5277.5099999999984</v>
      </c>
    </row>
    <row r="244" spans="1:11" ht="15.75" customHeight="1" x14ac:dyDescent="0.25">
      <c r="A244" s="14"/>
      <c r="C244" s="15"/>
      <c r="D244" s="15"/>
      <c r="E244" s="15"/>
      <c r="F244" s="15"/>
      <c r="G244" s="16"/>
      <c r="H244" s="16"/>
      <c r="I244" s="15"/>
      <c r="J244" s="15" t="str">
        <f>TEXT(A244,"yyyy-mm")</f>
        <v>yyyy-01</v>
      </c>
      <c r="K244" s="18">
        <f>K243 + IF(C244="Entrada", G244, -G244)</f>
        <v>-5277.5099999999984</v>
      </c>
    </row>
    <row r="245" spans="1:11" ht="15.75" customHeight="1" x14ac:dyDescent="0.25">
      <c r="A245" s="14"/>
      <c r="C245" s="15"/>
      <c r="D245" s="15"/>
      <c r="E245" s="15"/>
      <c r="F245" s="15"/>
      <c r="G245" s="16"/>
      <c r="H245" s="16"/>
      <c r="I245" s="15"/>
      <c r="J245" s="15" t="str">
        <f>TEXT(A245,"yyyy-mm")</f>
        <v>yyyy-01</v>
      </c>
      <c r="K245" s="18">
        <f>K244 + IF(C245="Entrada", G245, -G245)</f>
        <v>-5277.5099999999984</v>
      </c>
    </row>
    <row r="246" spans="1:11" ht="15.75" customHeight="1" x14ac:dyDescent="0.25">
      <c r="A246" s="14"/>
      <c r="C246" s="15"/>
      <c r="D246" s="15"/>
      <c r="E246" s="15"/>
      <c r="F246" s="15"/>
      <c r="G246" s="16"/>
      <c r="H246" s="16"/>
      <c r="I246" s="15"/>
      <c r="J246" s="15" t="str">
        <f>TEXT(A246,"yyyy-mm")</f>
        <v>yyyy-01</v>
      </c>
      <c r="K246" s="18">
        <f>K245 + IF(C246="Entrada", G246, -G246)</f>
        <v>-5277.5099999999984</v>
      </c>
    </row>
    <row r="247" spans="1:11" ht="15.75" customHeight="1" x14ac:dyDescent="0.25">
      <c r="A247" s="14"/>
      <c r="C247" s="15"/>
      <c r="D247" s="15"/>
      <c r="E247" s="15"/>
      <c r="F247" s="15"/>
      <c r="G247" s="16"/>
      <c r="H247" s="16"/>
      <c r="I247" s="15"/>
      <c r="J247" s="15" t="str">
        <f>TEXT(A247,"yyyy-mm")</f>
        <v>yyyy-01</v>
      </c>
      <c r="K247" s="16">
        <f>K246 + IF(C247="Entrada", G247, -G247)</f>
        <v>-5277.5099999999984</v>
      </c>
    </row>
    <row r="248" spans="1:11" ht="15.75" customHeight="1" x14ac:dyDescent="0.25">
      <c r="A248" s="14"/>
      <c r="C248" s="15"/>
      <c r="D248" s="15"/>
      <c r="E248" s="15"/>
      <c r="F248" s="15"/>
      <c r="G248" s="16"/>
      <c r="H248" s="16"/>
      <c r="I248" s="15"/>
      <c r="J248" s="15" t="str">
        <f>TEXT(A248,"yyyy-mm")</f>
        <v>yyyy-01</v>
      </c>
      <c r="K248" s="16">
        <f>K247 + IF(C248="Entrada", G248, -G248)</f>
        <v>-5277.5099999999984</v>
      </c>
    </row>
    <row r="249" spans="1:11" ht="15.75" customHeight="1" x14ac:dyDescent="0.25">
      <c r="A249" s="14"/>
      <c r="C249" s="15"/>
      <c r="D249" s="15"/>
      <c r="E249" s="15"/>
      <c r="F249" s="15"/>
      <c r="G249" s="16"/>
      <c r="H249" s="16"/>
      <c r="I249" s="15"/>
      <c r="J249" s="15" t="str">
        <f>TEXT(A249,"yyyy-mm")</f>
        <v>yyyy-01</v>
      </c>
      <c r="K249" s="16">
        <f>K248 + IF(C249="Entrada", G249, -G249)</f>
        <v>-5277.5099999999984</v>
      </c>
    </row>
    <row r="250" spans="1:11" ht="15.75" customHeight="1" x14ac:dyDescent="0.25">
      <c r="A250" s="14"/>
      <c r="C250" s="15"/>
      <c r="D250" s="15"/>
      <c r="E250" s="15"/>
      <c r="F250" s="15"/>
      <c r="G250" s="16"/>
      <c r="H250" s="16"/>
      <c r="I250" s="15"/>
      <c r="J250" s="15" t="str">
        <f>TEXT(A250,"yyyy-mm")</f>
        <v>yyyy-01</v>
      </c>
      <c r="K250" s="16">
        <f>K249 + IF(C250="Entrada", G250, -G250)</f>
        <v>-5277.5099999999984</v>
      </c>
    </row>
    <row r="251" spans="1:11" ht="15.75" customHeight="1" x14ac:dyDescent="0.25">
      <c r="A251" s="14"/>
      <c r="C251" s="15"/>
      <c r="D251" s="15"/>
      <c r="E251" s="15"/>
      <c r="F251" s="15"/>
      <c r="G251" s="16"/>
      <c r="H251" s="16"/>
      <c r="I251" s="15"/>
      <c r="J251" s="15" t="str">
        <f>TEXT(A251,"yyyy-mm")</f>
        <v>yyyy-01</v>
      </c>
      <c r="K251" s="16">
        <f>K250 + IF(C251="Entrada", G251, -G251)</f>
        <v>-5277.5099999999984</v>
      </c>
    </row>
    <row r="252" spans="1:11" ht="15.75" customHeight="1" x14ac:dyDescent="0.25">
      <c r="A252" s="14"/>
      <c r="C252" s="15"/>
      <c r="D252" s="15"/>
      <c r="E252" s="15"/>
      <c r="F252" s="15"/>
      <c r="G252" s="16"/>
      <c r="H252" s="16"/>
      <c r="I252" s="15"/>
      <c r="J252" s="15" t="str">
        <f>TEXT(A252,"yyyy-mm")</f>
        <v>yyyy-01</v>
      </c>
      <c r="K252" s="16">
        <f>K251 + IF(C252="Entrada", G252, -G252)</f>
        <v>-5277.5099999999984</v>
      </c>
    </row>
    <row r="253" spans="1:11" ht="15.75" customHeight="1" x14ac:dyDescent="0.25">
      <c r="A253" s="14"/>
      <c r="C253" s="15"/>
      <c r="D253" s="15"/>
      <c r="E253" s="15"/>
      <c r="F253" s="15"/>
      <c r="G253" s="16"/>
      <c r="H253" s="16"/>
      <c r="I253" s="15"/>
      <c r="J253" s="15" t="str">
        <f>TEXT(A253,"yyyy-mm")</f>
        <v>yyyy-01</v>
      </c>
      <c r="K253" s="16">
        <f>K252 + IF(C253="Entrada", G253, -G253)</f>
        <v>-5277.5099999999984</v>
      </c>
    </row>
    <row r="254" spans="1:11" ht="15.75" customHeight="1" x14ac:dyDescent="0.25">
      <c r="A254" s="14"/>
      <c r="C254" s="15"/>
      <c r="D254" s="15"/>
      <c r="E254" s="15"/>
      <c r="F254" s="15"/>
      <c r="G254" s="16"/>
      <c r="H254" s="16"/>
      <c r="I254" s="15"/>
      <c r="J254" s="15" t="str">
        <f>TEXT(A254,"yyyy-mm")</f>
        <v>yyyy-01</v>
      </c>
      <c r="K254" s="16">
        <f>K253 + IF(C254="Entrada", G254, -G254)</f>
        <v>-5277.5099999999984</v>
      </c>
    </row>
    <row r="255" spans="1:11" ht="15.75" customHeight="1" x14ac:dyDescent="0.25">
      <c r="A255" s="14"/>
      <c r="C255" s="15"/>
      <c r="D255" s="15"/>
      <c r="E255" s="15"/>
      <c r="F255" s="15"/>
      <c r="G255" s="16"/>
      <c r="H255" s="16"/>
      <c r="I255" s="15"/>
      <c r="J255" s="15" t="str">
        <f>TEXT(A255,"yyyy-mm")</f>
        <v>yyyy-01</v>
      </c>
      <c r="K255" s="16">
        <f>K254 + IF(C255="Entrada", G255, -G255)</f>
        <v>-5277.5099999999984</v>
      </c>
    </row>
    <row r="256" spans="1:11" ht="15.75" customHeight="1" x14ac:dyDescent="0.25">
      <c r="A256" s="14"/>
      <c r="C256" s="15"/>
      <c r="D256" s="15"/>
      <c r="E256" s="15"/>
      <c r="F256" s="15"/>
      <c r="G256" s="16"/>
      <c r="H256" s="16"/>
      <c r="I256" s="15"/>
      <c r="J256" s="15" t="str">
        <f>TEXT(A256,"yyyy-mm")</f>
        <v>yyyy-01</v>
      </c>
      <c r="K256" s="16">
        <f>K255 + IF(C256="Entrada", G256, -G256)</f>
        <v>-5277.5099999999984</v>
      </c>
    </row>
    <row r="257" spans="1:11" ht="15.75" customHeight="1" x14ac:dyDescent="0.25">
      <c r="A257" s="14"/>
      <c r="C257" s="15"/>
      <c r="D257" s="15"/>
      <c r="E257" s="15"/>
      <c r="F257" s="15"/>
      <c r="G257" s="16"/>
      <c r="H257" s="16"/>
      <c r="I257" s="15"/>
      <c r="J257" s="15" t="str">
        <f>TEXT(A257,"yyyy-mm")</f>
        <v>yyyy-01</v>
      </c>
      <c r="K257" s="16">
        <f>K256 + IF(C257="Entrada", G257, -G257)</f>
        <v>-5277.5099999999984</v>
      </c>
    </row>
    <row r="258" spans="1:11" ht="15.75" customHeight="1" x14ac:dyDescent="0.25">
      <c r="A258" s="14"/>
      <c r="C258" s="15"/>
      <c r="D258" s="15"/>
      <c r="E258" s="15"/>
      <c r="F258" s="15"/>
      <c r="G258" s="16"/>
      <c r="H258" s="16"/>
      <c r="I258" s="15"/>
      <c r="J258" s="15" t="str">
        <f>TEXT(A258,"yyyy-mm")</f>
        <v>yyyy-01</v>
      </c>
      <c r="K258" s="16">
        <f>K257 + IF(C258="Entrada", G258, -G258)</f>
        <v>-5277.5099999999984</v>
      </c>
    </row>
    <row r="259" spans="1:11" ht="15.75" customHeight="1" x14ac:dyDescent="0.25">
      <c r="A259" s="14"/>
      <c r="C259" s="15"/>
      <c r="D259" s="15"/>
      <c r="E259" s="15"/>
      <c r="F259" s="15"/>
      <c r="G259" s="16"/>
      <c r="H259" s="16"/>
      <c r="I259" s="15"/>
      <c r="J259" s="15" t="str">
        <f>TEXT(A259,"yyyy-mm")</f>
        <v>yyyy-01</v>
      </c>
      <c r="K259" s="16">
        <f>K258 + IF(C259="Entrada", G259, -G259)</f>
        <v>-5277.5099999999984</v>
      </c>
    </row>
    <row r="260" spans="1:11" ht="15.75" customHeight="1" x14ac:dyDescent="0.25">
      <c r="A260" s="14"/>
      <c r="C260" s="15"/>
      <c r="D260" s="15"/>
      <c r="E260" s="15"/>
      <c r="F260" s="15"/>
      <c r="G260" s="16"/>
      <c r="H260" s="16"/>
      <c r="I260" s="15"/>
      <c r="J260" s="15" t="str">
        <f>TEXT(A260,"yyyy-mm")</f>
        <v>yyyy-01</v>
      </c>
      <c r="K260" s="16">
        <f>K259 + IF(C260="Entrada", G260, -G260)</f>
        <v>-5277.5099999999984</v>
      </c>
    </row>
    <row r="261" spans="1:11" ht="15.75" customHeight="1" x14ac:dyDescent="0.25">
      <c r="A261" s="14"/>
      <c r="C261" s="15"/>
      <c r="D261" s="15"/>
      <c r="E261" s="15"/>
      <c r="F261" s="15"/>
      <c r="G261" s="16"/>
      <c r="H261" s="16"/>
      <c r="I261" s="15"/>
      <c r="J261" s="15" t="str">
        <f>TEXT(A261,"yyyy-mm")</f>
        <v>yyyy-01</v>
      </c>
      <c r="K261" s="16">
        <f>K260 + IF(C261="Entrada", G261, -G261)</f>
        <v>-5277.5099999999984</v>
      </c>
    </row>
    <row r="262" spans="1:11" ht="15.75" customHeight="1" x14ac:dyDescent="0.25">
      <c r="A262" s="14"/>
      <c r="C262" s="15"/>
      <c r="D262" s="15"/>
      <c r="E262" s="15"/>
      <c r="F262" s="15"/>
      <c r="G262" s="16"/>
      <c r="H262" s="16"/>
      <c r="I262" s="15"/>
      <c r="J262" s="15" t="str">
        <f>TEXT(A262,"yyyy-mm")</f>
        <v>yyyy-01</v>
      </c>
      <c r="K262" s="16">
        <f>K261 + IF(C262="Entrada", G262, -G262)</f>
        <v>-5277.5099999999984</v>
      </c>
    </row>
    <row r="263" spans="1:11" ht="15.75" customHeight="1" x14ac:dyDescent="0.25">
      <c r="A263" s="14"/>
      <c r="C263" s="15"/>
      <c r="D263" s="15"/>
      <c r="E263" s="15"/>
      <c r="F263" s="15"/>
      <c r="G263" s="16"/>
      <c r="H263" s="16"/>
      <c r="I263" s="15"/>
      <c r="J263" s="15" t="str">
        <f>TEXT(A263,"yyyy-mm")</f>
        <v>yyyy-01</v>
      </c>
      <c r="K263" s="16">
        <f>K262 + IF(C263="Entrada", G263, -G263)</f>
        <v>-5277.5099999999984</v>
      </c>
    </row>
    <row r="264" spans="1:11" ht="15.75" customHeight="1" x14ac:dyDescent="0.25">
      <c r="A264" s="14"/>
      <c r="C264" s="15"/>
      <c r="D264" s="15"/>
      <c r="E264" s="15"/>
      <c r="F264" s="15"/>
      <c r="G264" s="16"/>
      <c r="H264" s="16"/>
      <c r="I264" s="15"/>
      <c r="J264" s="15" t="str">
        <f>TEXT(A264,"yyyy-mm")</f>
        <v>yyyy-01</v>
      </c>
      <c r="K264" s="16">
        <f>K263 + IF(C264="Entrada", G264, -G264)</f>
        <v>-5277.5099999999984</v>
      </c>
    </row>
    <row r="265" spans="1:11" ht="15.75" customHeight="1" x14ac:dyDescent="0.25">
      <c r="A265" s="14"/>
      <c r="C265" s="15"/>
      <c r="D265" s="15"/>
      <c r="E265" s="15"/>
      <c r="F265" s="15"/>
      <c r="G265" s="16"/>
      <c r="H265" s="16"/>
      <c r="I265" s="15"/>
      <c r="J265" s="15" t="str">
        <f>TEXT(A265,"yyyy-mm")</f>
        <v>yyyy-01</v>
      </c>
      <c r="K265" s="16">
        <f>K264 + IF(C265="Entrada", G265, -G265)</f>
        <v>-5277.5099999999984</v>
      </c>
    </row>
    <row r="266" spans="1:11" ht="15.75" customHeight="1" x14ac:dyDescent="0.25">
      <c r="A266" s="14"/>
      <c r="C266" s="15"/>
      <c r="D266" s="15"/>
      <c r="E266" s="15"/>
      <c r="F266" s="15"/>
      <c r="G266" s="16"/>
      <c r="H266" s="16"/>
      <c r="I266" s="15"/>
      <c r="J266" s="15" t="str">
        <f>TEXT(A266,"yyyy-mm")</f>
        <v>yyyy-01</v>
      </c>
      <c r="K266" s="16">
        <f>K265 + IF(C266="Entrada", G266, -G266)</f>
        <v>-5277.5099999999984</v>
      </c>
    </row>
    <row r="267" spans="1:11" ht="15.75" customHeight="1" x14ac:dyDescent="0.25">
      <c r="A267" s="14"/>
      <c r="C267" s="15"/>
      <c r="D267" s="15"/>
      <c r="E267" s="15"/>
      <c r="F267" s="15"/>
      <c r="G267" s="16"/>
      <c r="H267" s="16"/>
      <c r="I267" s="15"/>
      <c r="J267" s="15" t="str">
        <f>TEXT(A267,"yyyy-mm")</f>
        <v>yyyy-01</v>
      </c>
      <c r="K267" s="16">
        <f>K266 + IF(C267="Entrada", G267, -G267)</f>
        <v>-5277.5099999999984</v>
      </c>
    </row>
    <row r="268" spans="1:11" ht="15.75" customHeight="1" x14ac:dyDescent="0.25">
      <c r="A268" s="14"/>
      <c r="C268" s="15"/>
      <c r="D268" s="15"/>
      <c r="E268" s="15"/>
      <c r="F268" s="15"/>
      <c r="G268" s="16"/>
      <c r="H268" s="16"/>
      <c r="I268" s="15"/>
      <c r="J268" s="15" t="str">
        <f>TEXT(A268,"yyyy-mm")</f>
        <v>yyyy-01</v>
      </c>
      <c r="K268" s="16">
        <f>K267 + IF(C268="Entrada", G268, -G268)</f>
        <v>-5277.5099999999984</v>
      </c>
    </row>
    <row r="269" spans="1:11" ht="15.75" customHeight="1" x14ac:dyDescent="0.25">
      <c r="A269" s="14"/>
      <c r="C269" s="15"/>
      <c r="D269" s="15"/>
      <c r="E269" s="15"/>
      <c r="F269" s="15"/>
      <c r="G269" s="16"/>
      <c r="H269" s="16"/>
      <c r="I269" s="15"/>
      <c r="J269" s="15" t="str">
        <f>TEXT(A269,"yyyy-mm")</f>
        <v>yyyy-01</v>
      </c>
      <c r="K269" s="16">
        <f>K268 + IF(C269="Entrada", G269, -G269)</f>
        <v>-5277.5099999999984</v>
      </c>
    </row>
    <row r="270" spans="1:11" ht="15.75" customHeight="1" x14ac:dyDescent="0.25">
      <c r="A270" s="14"/>
      <c r="C270" s="15"/>
      <c r="D270" s="15"/>
      <c r="E270" s="15"/>
      <c r="F270" s="15"/>
      <c r="G270" s="16"/>
      <c r="H270" s="16"/>
      <c r="I270" s="15"/>
      <c r="J270" s="15" t="str">
        <f>TEXT(A270,"yyyy-mm")</f>
        <v>yyyy-01</v>
      </c>
      <c r="K270" s="16">
        <f>K269 + IF(C270="Entrada", G270, -G270)</f>
        <v>-5277.5099999999984</v>
      </c>
    </row>
    <row r="271" spans="1:11" ht="15.75" customHeight="1" x14ac:dyDescent="0.25">
      <c r="A271" s="14"/>
      <c r="C271" s="15"/>
      <c r="D271" s="15"/>
      <c r="E271" s="15"/>
      <c r="F271" s="15"/>
      <c r="G271" s="16"/>
      <c r="H271" s="16"/>
      <c r="I271" s="15"/>
      <c r="J271" s="15" t="str">
        <f>TEXT(A271,"yyyy-mm")</f>
        <v>yyyy-01</v>
      </c>
      <c r="K271" s="16">
        <f>K270 + IF(C271="Entrada", G271, -G271)</f>
        <v>-5277.5099999999984</v>
      </c>
    </row>
    <row r="272" spans="1:11" ht="15.75" customHeight="1" x14ac:dyDescent="0.25">
      <c r="A272" s="14"/>
      <c r="C272" s="15"/>
      <c r="D272" s="15"/>
      <c r="E272" s="15"/>
      <c r="F272" s="15"/>
      <c r="G272" s="16"/>
      <c r="H272" s="16"/>
      <c r="I272" s="15"/>
      <c r="J272" s="15" t="str">
        <f>TEXT(A272,"yyyy-mm")</f>
        <v>yyyy-01</v>
      </c>
      <c r="K272" s="16">
        <f>K271 + IF(C272="Entrada", G272, -G272)</f>
        <v>-5277.5099999999984</v>
      </c>
    </row>
    <row r="273" spans="1:11" ht="15.75" customHeight="1" x14ac:dyDescent="0.25">
      <c r="A273" s="14"/>
      <c r="C273" s="15"/>
      <c r="D273" s="15"/>
      <c r="E273" s="15"/>
      <c r="F273" s="15"/>
      <c r="G273" s="16"/>
      <c r="H273" s="16"/>
      <c r="I273" s="15"/>
      <c r="J273" s="15" t="str">
        <f>TEXT(A273,"yyyy-mm")</f>
        <v>yyyy-01</v>
      </c>
      <c r="K273" s="16">
        <f>K272 + IF(C273="Entrada", G273, -G273)</f>
        <v>-5277.5099999999984</v>
      </c>
    </row>
    <row r="274" spans="1:11" ht="15.75" customHeight="1" x14ac:dyDescent="0.25">
      <c r="A274" s="14"/>
      <c r="C274" s="15"/>
      <c r="D274" s="15"/>
      <c r="E274" s="15"/>
      <c r="F274" s="15"/>
      <c r="G274" s="16"/>
      <c r="H274" s="16"/>
      <c r="I274" s="15"/>
      <c r="J274" s="15" t="str">
        <f>TEXT(A274,"yyyy-mm")</f>
        <v>yyyy-01</v>
      </c>
      <c r="K274" s="16">
        <f>K273 + IF(C274="Entrada", G274, -G274)</f>
        <v>-5277.5099999999984</v>
      </c>
    </row>
    <row r="275" spans="1:11" ht="15.75" customHeight="1" x14ac:dyDescent="0.25">
      <c r="A275" s="14"/>
      <c r="C275" s="15"/>
      <c r="D275" s="15"/>
      <c r="E275" s="15"/>
      <c r="F275" s="15"/>
      <c r="G275" s="16"/>
      <c r="H275" s="16"/>
      <c r="I275" s="15"/>
      <c r="J275" s="15" t="str">
        <f>TEXT(A275,"yyyy-mm")</f>
        <v>yyyy-01</v>
      </c>
      <c r="K275" s="16">
        <f>K274 + IF(C275="Entrada", G275, -G275)</f>
        <v>-5277.5099999999984</v>
      </c>
    </row>
    <row r="276" spans="1:11" ht="15.75" customHeight="1" x14ac:dyDescent="0.25">
      <c r="A276" s="14"/>
      <c r="C276" s="15"/>
      <c r="D276" s="15"/>
      <c r="E276" s="15"/>
      <c r="F276" s="15"/>
      <c r="G276" s="16"/>
      <c r="H276" s="16"/>
      <c r="I276" s="15"/>
      <c r="J276" s="15" t="str">
        <f>TEXT(A276,"yyyy-mm")</f>
        <v>yyyy-01</v>
      </c>
      <c r="K276" s="16">
        <f>K275 + IF(C276="Entrada", G276, -G276)</f>
        <v>-5277.5099999999984</v>
      </c>
    </row>
    <row r="277" spans="1:11" ht="15.75" customHeight="1" x14ac:dyDescent="0.25">
      <c r="A277" s="14"/>
      <c r="C277" s="15"/>
      <c r="D277" s="15"/>
      <c r="E277" s="15"/>
      <c r="F277" s="15"/>
      <c r="G277" s="16"/>
      <c r="H277" s="16"/>
      <c r="I277" s="15"/>
      <c r="J277" s="15" t="str">
        <f>TEXT(A277,"yyyy-mm")</f>
        <v>yyyy-01</v>
      </c>
      <c r="K277" s="16">
        <f>K276 + IF(C277="Entrada", G277, -G277)</f>
        <v>-5277.5099999999984</v>
      </c>
    </row>
    <row r="278" spans="1:11" ht="15.75" customHeight="1" x14ac:dyDescent="0.25">
      <c r="A278" s="14"/>
      <c r="C278" s="15"/>
      <c r="D278" s="15"/>
      <c r="E278" s="15"/>
      <c r="F278" s="15"/>
      <c r="G278" s="16"/>
      <c r="H278" s="16"/>
      <c r="I278" s="15"/>
      <c r="J278" s="15" t="str">
        <f>TEXT(A278,"yyyy-mm")</f>
        <v>yyyy-01</v>
      </c>
      <c r="K278" s="16">
        <f>K277 + IF(C278="Entrada", G278, -G278)</f>
        <v>-5277.5099999999984</v>
      </c>
    </row>
    <row r="279" spans="1:11" ht="15.75" customHeight="1" x14ac:dyDescent="0.25">
      <c r="A279" s="14"/>
      <c r="C279" s="15"/>
      <c r="D279" s="15"/>
      <c r="E279" s="15"/>
      <c r="F279" s="15"/>
      <c r="G279" s="16"/>
      <c r="H279" s="16"/>
      <c r="I279" s="15"/>
      <c r="J279" s="15" t="str">
        <f>TEXT(A279,"yyyy-mm")</f>
        <v>yyyy-01</v>
      </c>
      <c r="K279" s="16">
        <f>K278 + IF(C279="Entrada", G279, -G279)</f>
        <v>-5277.5099999999984</v>
      </c>
    </row>
    <row r="280" spans="1:11" ht="15.75" customHeight="1" x14ac:dyDescent="0.25">
      <c r="A280" s="14"/>
      <c r="C280" s="15"/>
      <c r="D280" s="15"/>
      <c r="E280" s="15"/>
      <c r="F280" s="15"/>
      <c r="G280" s="16"/>
      <c r="H280" s="16"/>
      <c r="I280" s="15"/>
      <c r="J280" s="15" t="str">
        <f>TEXT(A280,"yyyy-mm")</f>
        <v>yyyy-01</v>
      </c>
      <c r="K280" s="16">
        <f>K279 + IF(C280="Entrada", G280, -G280)</f>
        <v>-5277.5099999999984</v>
      </c>
    </row>
    <row r="281" spans="1:11" ht="15.75" customHeight="1" x14ac:dyDescent="0.25">
      <c r="A281" s="14"/>
      <c r="C281" s="15"/>
      <c r="D281" s="15"/>
      <c r="E281" s="15"/>
      <c r="F281" s="15"/>
      <c r="G281" s="16"/>
      <c r="H281" s="16"/>
      <c r="I281" s="15"/>
      <c r="J281" s="15" t="str">
        <f>TEXT(A281,"yyyy-mm")</f>
        <v>yyyy-01</v>
      </c>
      <c r="K281" s="16">
        <f>K280 + IF(C281="Entrada", G281, -G281)</f>
        <v>-5277.5099999999984</v>
      </c>
    </row>
    <row r="282" spans="1:11" ht="15.75" customHeight="1" x14ac:dyDescent="0.25">
      <c r="A282" s="14"/>
      <c r="C282" s="15"/>
      <c r="D282" s="15"/>
      <c r="E282" s="15"/>
      <c r="F282" s="15"/>
      <c r="G282" s="16"/>
      <c r="H282" s="16"/>
      <c r="I282" s="15"/>
      <c r="J282" s="15" t="str">
        <f>TEXT(A282,"yyyy-mm")</f>
        <v>yyyy-01</v>
      </c>
      <c r="K282" s="16">
        <f>K281 + IF(C282="Entrada", G282, -G282)</f>
        <v>-5277.5099999999984</v>
      </c>
    </row>
    <row r="283" spans="1:11" ht="15.75" customHeight="1" x14ac:dyDescent="0.25">
      <c r="A283" s="14"/>
      <c r="C283" s="15"/>
      <c r="D283" s="15"/>
      <c r="E283" s="15"/>
      <c r="F283" s="15"/>
      <c r="G283" s="16"/>
      <c r="H283" s="16"/>
      <c r="I283" s="15"/>
      <c r="J283" s="15" t="str">
        <f>TEXT(A283,"yyyy-mm")</f>
        <v>yyyy-01</v>
      </c>
      <c r="K283" s="16">
        <f>K282 + IF(C283="Entrada", G283, -G283)</f>
        <v>-5277.5099999999984</v>
      </c>
    </row>
    <row r="284" spans="1:11" ht="15.75" customHeight="1" x14ac:dyDescent="0.25">
      <c r="A284" s="14"/>
      <c r="C284" s="15"/>
      <c r="D284" s="15"/>
      <c r="E284" s="15"/>
      <c r="F284" s="15"/>
      <c r="G284" s="16"/>
      <c r="H284" s="16"/>
      <c r="I284" s="15"/>
      <c r="J284" s="15" t="str">
        <f>TEXT(A284,"yyyy-mm")</f>
        <v>yyyy-01</v>
      </c>
      <c r="K284" s="16">
        <f>K283 + IF(C284="Entrada", G284, -G284)</f>
        <v>-5277.5099999999984</v>
      </c>
    </row>
    <row r="285" spans="1:11" ht="15.75" customHeight="1" x14ac:dyDescent="0.25">
      <c r="A285" s="14"/>
      <c r="C285" s="15"/>
      <c r="D285" s="15"/>
      <c r="E285" s="15"/>
      <c r="F285" s="15"/>
      <c r="G285" s="16"/>
      <c r="H285" s="16"/>
      <c r="I285" s="15"/>
      <c r="J285" s="15" t="str">
        <f>TEXT(A285,"yyyy-mm")</f>
        <v>yyyy-01</v>
      </c>
      <c r="K285" s="16">
        <f>K284 + IF(C285="Entrada", G285, -G285)</f>
        <v>-5277.5099999999984</v>
      </c>
    </row>
    <row r="286" spans="1:11" ht="15.75" customHeight="1" x14ac:dyDescent="0.25">
      <c r="A286" s="14"/>
      <c r="C286" s="15"/>
      <c r="D286" s="15"/>
      <c r="E286" s="15"/>
      <c r="F286" s="15"/>
      <c r="G286" s="16"/>
      <c r="H286" s="16"/>
      <c r="I286" s="15"/>
      <c r="J286" s="15" t="str">
        <f>TEXT(A286,"yyyy-mm")</f>
        <v>yyyy-01</v>
      </c>
      <c r="K286" s="16">
        <f>K285 + IF(C286="Entrada", G286, -G286)</f>
        <v>-5277.5099999999984</v>
      </c>
    </row>
    <row r="287" spans="1:11" ht="15.75" customHeight="1" x14ac:dyDescent="0.25">
      <c r="A287" s="14"/>
      <c r="C287" s="15"/>
      <c r="D287" s="15"/>
      <c r="E287" s="15"/>
      <c r="F287" s="15"/>
      <c r="G287" s="16"/>
      <c r="H287" s="16"/>
      <c r="I287" s="15"/>
      <c r="J287" s="15" t="str">
        <f>TEXT(A287,"yyyy-mm")</f>
        <v>yyyy-01</v>
      </c>
      <c r="K287" s="16">
        <f>K286 + IF(C287="Entrada", G287, -G287)</f>
        <v>-5277.5099999999984</v>
      </c>
    </row>
    <row r="288" spans="1:11" ht="15.75" customHeight="1" x14ac:dyDescent="0.25">
      <c r="A288" s="14"/>
      <c r="C288" s="15"/>
      <c r="D288" s="15"/>
      <c r="E288" s="15"/>
      <c r="F288" s="15"/>
      <c r="G288" s="16"/>
      <c r="H288" s="16"/>
      <c r="I288" s="15"/>
      <c r="J288" s="15" t="str">
        <f>TEXT(A288,"yyyy-mm")</f>
        <v>yyyy-01</v>
      </c>
      <c r="K288" s="16">
        <f>K287 + IF(C288="Entrada", G288, -G288)</f>
        <v>-5277.5099999999984</v>
      </c>
    </row>
    <row r="289" spans="1:11" ht="15.75" customHeight="1" x14ac:dyDescent="0.25">
      <c r="A289" s="14"/>
      <c r="C289" s="15"/>
      <c r="D289" s="15"/>
      <c r="E289" s="15"/>
      <c r="F289" s="15"/>
      <c r="G289" s="16"/>
      <c r="H289" s="16"/>
      <c r="I289" s="15"/>
      <c r="J289" s="15" t="str">
        <f>TEXT(A289,"yyyy-mm")</f>
        <v>yyyy-01</v>
      </c>
      <c r="K289" s="16">
        <f>K288 + IF(C289="Entrada", G289, -G289)</f>
        <v>-5277.5099999999984</v>
      </c>
    </row>
    <row r="290" spans="1:11" ht="15.75" customHeight="1" x14ac:dyDescent="0.25">
      <c r="A290" s="14"/>
      <c r="C290" s="15"/>
      <c r="D290" s="15"/>
      <c r="E290" s="15"/>
      <c r="F290" s="15"/>
      <c r="G290" s="16"/>
      <c r="H290" s="16"/>
      <c r="I290" s="15"/>
      <c r="J290" s="15" t="str">
        <f>TEXT(A290,"yyyy-mm")</f>
        <v>yyyy-01</v>
      </c>
      <c r="K290" s="16">
        <f>K289 + IF(C290="Entrada", G290, -G290)</f>
        <v>-5277.5099999999984</v>
      </c>
    </row>
    <row r="291" spans="1:11" ht="15.75" customHeight="1" x14ac:dyDescent="0.25">
      <c r="A291" s="14"/>
      <c r="C291" s="15"/>
      <c r="D291" s="15"/>
      <c r="E291" s="15"/>
      <c r="F291" s="15"/>
      <c r="G291" s="16"/>
      <c r="H291" s="16"/>
      <c r="I291" s="15"/>
      <c r="J291" s="15" t="str">
        <f>TEXT(A291,"yyyy-mm")</f>
        <v>yyyy-01</v>
      </c>
      <c r="K291" s="16">
        <f>K290 + IF(C291="Entrada", G291, -G291)</f>
        <v>-5277.5099999999984</v>
      </c>
    </row>
    <row r="292" spans="1:11" ht="15.75" customHeight="1" x14ac:dyDescent="0.25">
      <c r="A292" s="14"/>
      <c r="C292" s="15"/>
      <c r="D292" s="15"/>
      <c r="E292" s="15"/>
      <c r="F292" s="15"/>
      <c r="G292" s="16"/>
      <c r="H292" s="16"/>
      <c r="I292" s="15"/>
      <c r="J292" s="15" t="str">
        <f>TEXT(A292,"yyyy-mm")</f>
        <v>yyyy-01</v>
      </c>
      <c r="K292" s="16">
        <f>K291 + IF(C292="Entrada", G292, -G292)</f>
        <v>-5277.5099999999984</v>
      </c>
    </row>
    <row r="293" spans="1:11" ht="15.75" customHeight="1" x14ac:dyDescent="0.25">
      <c r="A293" s="14"/>
      <c r="C293" s="15"/>
      <c r="D293" s="15"/>
      <c r="E293" s="15"/>
      <c r="F293" s="15"/>
      <c r="G293" s="16"/>
      <c r="H293" s="16"/>
      <c r="I293" s="15"/>
      <c r="J293" s="15" t="str">
        <f>TEXT(A293,"yyyy-mm")</f>
        <v>yyyy-01</v>
      </c>
      <c r="K293" s="16">
        <f>K292 + IF(C293="Entrada", G293, -G293)</f>
        <v>-5277.5099999999984</v>
      </c>
    </row>
    <row r="294" spans="1:11" ht="15.75" customHeight="1" x14ac:dyDescent="0.25">
      <c r="A294" s="14"/>
      <c r="C294" s="15"/>
      <c r="D294" s="15"/>
      <c r="E294" s="15"/>
      <c r="F294" s="15"/>
      <c r="G294" s="16"/>
      <c r="H294" s="16"/>
      <c r="I294" s="15"/>
      <c r="J294" s="15" t="str">
        <f>TEXT(A294,"yyyy-mm")</f>
        <v>yyyy-01</v>
      </c>
      <c r="K294" s="16">
        <f>K293 + IF(C294="Entrada", G294, -G294)</f>
        <v>-5277.5099999999984</v>
      </c>
    </row>
    <row r="295" spans="1:11" ht="15.75" customHeight="1" x14ac:dyDescent="0.25">
      <c r="A295" s="14"/>
      <c r="C295" s="15"/>
      <c r="D295" s="15"/>
      <c r="E295" s="15"/>
      <c r="F295" s="15"/>
      <c r="G295" s="16"/>
      <c r="H295" s="16"/>
      <c r="I295" s="15"/>
      <c r="J295" s="15" t="str">
        <f>TEXT(A295,"yyyy-mm")</f>
        <v>yyyy-01</v>
      </c>
      <c r="K295" s="16">
        <f>K294 + IF(C295="Entrada", G295, -G295)</f>
        <v>-5277.5099999999984</v>
      </c>
    </row>
    <row r="296" spans="1:11" ht="15.75" customHeight="1" x14ac:dyDescent="0.25">
      <c r="A296" s="14"/>
      <c r="C296" s="15"/>
      <c r="D296" s="15"/>
      <c r="E296" s="15"/>
      <c r="F296" s="15"/>
      <c r="G296" s="16"/>
      <c r="H296" s="16"/>
      <c r="I296" s="15"/>
      <c r="J296" s="15" t="str">
        <f>TEXT(A296,"yyyy-mm")</f>
        <v>yyyy-01</v>
      </c>
      <c r="K296" s="16">
        <f>K295 + IF(C296="Entrada", G296, -G296)</f>
        <v>-5277.5099999999984</v>
      </c>
    </row>
    <row r="297" spans="1:11" ht="15.75" customHeight="1" x14ac:dyDescent="0.25">
      <c r="A297" s="14"/>
      <c r="C297" s="15"/>
      <c r="D297" s="15"/>
      <c r="E297" s="15"/>
      <c r="F297" s="15"/>
      <c r="G297" s="16"/>
      <c r="H297" s="16"/>
      <c r="I297" s="15"/>
      <c r="J297" s="15" t="str">
        <f>TEXT(A297,"yyyy-mm")</f>
        <v>yyyy-01</v>
      </c>
      <c r="K297" s="16">
        <f>K296 + IF(C297="Entrada", G297, -G297)</f>
        <v>-5277.5099999999984</v>
      </c>
    </row>
    <row r="298" spans="1:11" ht="15.75" customHeight="1" x14ac:dyDescent="0.25">
      <c r="A298" s="14"/>
      <c r="C298" s="15"/>
      <c r="D298" s="15"/>
      <c r="E298" s="15"/>
      <c r="F298" s="15"/>
      <c r="G298" s="16"/>
      <c r="H298" s="16"/>
      <c r="I298" s="15"/>
      <c r="J298" s="15" t="str">
        <f>TEXT(A298,"yyyy-mm")</f>
        <v>yyyy-01</v>
      </c>
      <c r="K298" s="16">
        <f>K297 + IF(C298="Entrada", G298, -G298)</f>
        <v>-5277.5099999999984</v>
      </c>
    </row>
    <row r="299" spans="1:11" ht="15.75" customHeight="1" x14ac:dyDescent="0.25">
      <c r="A299" s="14"/>
      <c r="C299" s="15"/>
      <c r="D299" s="15"/>
      <c r="E299" s="15"/>
      <c r="F299" s="15"/>
      <c r="G299" s="16"/>
      <c r="H299" s="16"/>
      <c r="I299" s="15"/>
      <c r="J299" s="15" t="str">
        <f>TEXT(A299,"yyyy-mm")</f>
        <v>yyyy-01</v>
      </c>
      <c r="K299" s="16">
        <f>K298 + IF(C299="Entrada", G299, -G299)</f>
        <v>-5277.5099999999984</v>
      </c>
    </row>
    <row r="300" spans="1:11" ht="15.75" customHeight="1" x14ac:dyDescent="0.25">
      <c r="A300" s="14"/>
      <c r="C300" s="15"/>
      <c r="D300" s="15"/>
      <c r="E300" s="15"/>
      <c r="F300" s="15"/>
      <c r="G300" s="16"/>
      <c r="H300" s="16"/>
      <c r="I300" s="15"/>
      <c r="J300" s="15" t="str">
        <f>TEXT(A300,"yyyy-mm")</f>
        <v>yyyy-01</v>
      </c>
      <c r="K300" s="16">
        <f>K299 + IF(C300="Entrada", G300, -G300)</f>
        <v>-5277.5099999999984</v>
      </c>
    </row>
    <row r="301" spans="1:11" ht="15.75" customHeight="1" x14ac:dyDescent="0.25">
      <c r="A301" s="14"/>
      <c r="C301" s="15"/>
      <c r="D301" s="15"/>
      <c r="E301" s="15"/>
      <c r="F301" s="15"/>
      <c r="G301" s="16"/>
      <c r="H301" s="16"/>
      <c r="I301" s="15"/>
      <c r="J301" s="15" t="str">
        <f>TEXT(A301,"yyyy-mm")</f>
        <v>yyyy-01</v>
      </c>
      <c r="K301" s="16">
        <f>K300 + IF(C301="Entrada", G301, -G301)</f>
        <v>-5277.5099999999984</v>
      </c>
    </row>
    <row r="302" spans="1:11" ht="15.75" customHeight="1" x14ac:dyDescent="0.25">
      <c r="A302" s="14"/>
      <c r="C302" s="15"/>
      <c r="D302" s="15"/>
      <c r="E302" s="15"/>
      <c r="F302" s="15"/>
      <c r="G302" s="16"/>
      <c r="H302" s="16"/>
      <c r="I302" s="15"/>
      <c r="J302" s="15" t="str">
        <f>TEXT(A302,"yyyy-mm")</f>
        <v>yyyy-01</v>
      </c>
      <c r="K302" s="16">
        <f>K301 + IF(C302="Entrada", G302, -G302)</f>
        <v>-5277.5099999999984</v>
      </c>
    </row>
    <row r="303" spans="1:11" ht="15.75" customHeight="1" x14ac:dyDescent="0.25">
      <c r="A303" s="14"/>
      <c r="C303" s="15"/>
      <c r="D303" s="15"/>
      <c r="E303" s="15"/>
      <c r="F303" s="15"/>
      <c r="G303" s="16"/>
      <c r="H303" s="16"/>
      <c r="I303" s="15"/>
      <c r="J303" s="15" t="str">
        <f>TEXT(A303,"yyyy-mm")</f>
        <v>yyyy-01</v>
      </c>
      <c r="K303" s="16">
        <f>K302 + IF(C303="Entrada", G303, -G303)</f>
        <v>-5277.5099999999984</v>
      </c>
    </row>
    <row r="304" spans="1:11" ht="15.75" customHeight="1" x14ac:dyDescent="0.25">
      <c r="A304" s="14"/>
      <c r="C304" s="15"/>
      <c r="D304" s="15"/>
      <c r="E304" s="15"/>
      <c r="F304" s="15"/>
      <c r="G304" s="16"/>
      <c r="H304" s="16"/>
      <c r="I304" s="15"/>
      <c r="J304" s="15" t="str">
        <f>TEXT(A304,"yyyy-mm")</f>
        <v>yyyy-01</v>
      </c>
      <c r="K304" s="16">
        <f>K303 + IF(C304="Entrada", G304, -G304)</f>
        <v>-5277.5099999999984</v>
      </c>
    </row>
    <row r="305" spans="1:11" ht="15.75" customHeight="1" x14ac:dyDescent="0.25">
      <c r="A305" s="14"/>
      <c r="C305" s="15"/>
      <c r="D305" s="15"/>
      <c r="E305" s="15"/>
      <c r="F305" s="15"/>
      <c r="G305" s="16"/>
      <c r="H305" s="16"/>
      <c r="I305" s="15"/>
      <c r="J305" s="15" t="str">
        <f>TEXT(A305,"yyyy-mm")</f>
        <v>yyyy-01</v>
      </c>
      <c r="K305" s="16">
        <f>K304 + IF(C305="Entrada", G305, -G305)</f>
        <v>-5277.5099999999984</v>
      </c>
    </row>
    <row r="306" spans="1:11" ht="15.75" customHeight="1" x14ac:dyDescent="0.25">
      <c r="A306" s="14"/>
      <c r="C306" s="15"/>
      <c r="D306" s="15"/>
      <c r="E306" s="15"/>
      <c r="F306" s="15"/>
      <c r="G306" s="16"/>
      <c r="H306" s="16"/>
      <c r="I306" s="15"/>
      <c r="J306" s="15" t="str">
        <f>TEXT(A306,"yyyy-mm")</f>
        <v>yyyy-01</v>
      </c>
      <c r="K306" s="16">
        <f>K305 + IF(C306="Entrada", G306, -G306)</f>
        <v>-5277.5099999999984</v>
      </c>
    </row>
    <row r="307" spans="1:11" ht="15.75" customHeight="1" x14ac:dyDescent="0.25">
      <c r="A307" s="14"/>
      <c r="C307" s="15"/>
      <c r="D307" s="15"/>
      <c r="E307" s="15"/>
      <c r="F307" s="15"/>
      <c r="G307" s="16"/>
      <c r="H307" s="16"/>
      <c r="I307" s="15"/>
      <c r="J307" s="15" t="str">
        <f>TEXT(A307,"yyyy-mm")</f>
        <v>yyyy-01</v>
      </c>
      <c r="K307" s="16">
        <f>K306 + IF(C307="Entrada", G307, -G307)</f>
        <v>-5277.5099999999984</v>
      </c>
    </row>
    <row r="308" spans="1:11" ht="15.75" customHeight="1" x14ac:dyDescent="0.25">
      <c r="A308" s="14"/>
      <c r="C308" s="15"/>
      <c r="D308" s="15"/>
      <c r="E308" s="15"/>
      <c r="F308" s="15"/>
      <c r="G308" s="16"/>
      <c r="H308" s="16"/>
      <c r="I308" s="15"/>
      <c r="J308" s="15" t="str">
        <f>TEXT(A308,"yyyy-mm")</f>
        <v>yyyy-01</v>
      </c>
      <c r="K308" s="16">
        <f>K307 + IF(C308="Entrada", G308, -G308)</f>
        <v>-5277.5099999999984</v>
      </c>
    </row>
    <row r="309" spans="1:11" ht="15.75" customHeight="1" x14ac:dyDescent="0.25">
      <c r="A309" s="14"/>
      <c r="C309" s="15"/>
      <c r="D309" s="15"/>
      <c r="E309" s="15"/>
      <c r="F309" s="15"/>
      <c r="G309" s="16"/>
      <c r="H309" s="16"/>
      <c r="I309" s="15"/>
      <c r="J309" s="15" t="str">
        <f>TEXT(A309,"yyyy-mm")</f>
        <v>yyyy-01</v>
      </c>
      <c r="K309" s="16">
        <f>K308 + IF(C309="Entrada", G309, -G309)</f>
        <v>-5277.5099999999984</v>
      </c>
    </row>
    <row r="310" spans="1:11" ht="15.75" customHeight="1" x14ac:dyDescent="0.25">
      <c r="A310" s="14"/>
      <c r="C310" s="15"/>
      <c r="D310" s="15"/>
      <c r="E310" s="15"/>
      <c r="F310" s="15"/>
      <c r="G310" s="16"/>
      <c r="H310" s="16"/>
      <c r="I310" s="15"/>
      <c r="J310" s="15" t="str">
        <f>TEXT(A310,"yyyy-mm")</f>
        <v>yyyy-01</v>
      </c>
      <c r="K310" s="16">
        <f>K309 + IF(C310="Entrada", G310, -G310)</f>
        <v>-5277.5099999999984</v>
      </c>
    </row>
    <row r="311" spans="1:11" ht="15.75" customHeight="1" x14ac:dyDescent="0.25">
      <c r="A311" s="14"/>
      <c r="C311" s="15"/>
      <c r="D311" s="15"/>
      <c r="E311" s="15"/>
      <c r="F311" s="15"/>
      <c r="G311" s="16"/>
      <c r="H311" s="16"/>
      <c r="I311" s="15"/>
      <c r="J311" s="15" t="str">
        <f>TEXT(A311,"yyyy-mm")</f>
        <v>yyyy-01</v>
      </c>
      <c r="K311" s="16">
        <f>K310 + IF(C311="Entrada", G311, -G311)</f>
        <v>-5277.5099999999984</v>
      </c>
    </row>
    <row r="312" spans="1:11" ht="15.75" customHeight="1" x14ac:dyDescent="0.25">
      <c r="A312" s="14"/>
      <c r="C312" s="15"/>
      <c r="D312" s="15"/>
      <c r="E312" s="15"/>
      <c r="F312" s="15"/>
      <c r="G312" s="16"/>
      <c r="H312" s="16"/>
      <c r="I312" s="15"/>
      <c r="J312" s="15" t="str">
        <f>TEXT(A312,"yyyy-mm")</f>
        <v>yyyy-01</v>
      </c>
      <c r="K312" s="16">
        <f>K311 + IF(C312="Entrada", G312, -G312)</f>
        <v>-5277.5099999999984</v>
      </c>
    </row>
    <row r="313" spans="1:11" ht="15.75" customHeight="1" x14ac:dyDescent="0.25">
      <c r="A313" s="14"/>
      <c r="C313" s="15"/>
      <c r="D313" s="15"/>
      <c r="E313" s="15"/>
      <c r="F313" s="15"/>
      <c r="G313" s="16"/>
      <c r="H313" s="16"/>
      <c r="I313" s="15"/>
      <c r="J313" s="15" t="str">
        <f>TEXT(A313,"yyyy-mm")</f>
        <v>yyyy-01</v>
      </c>
      <c r="K313" s="16">
        <f>K312 + IF(C313="Entrada", G313, -G313)</f>
        <v>-5277.5099999999984</v>
      </c>
    </row>
    <row r="314" spans="1:11" ht="15.75" customHeight="1" x14ac:dyDescent="0.25">
      <c r="A314" s="14"/>
      <c r="C314" s="15"/>
      <c r="D314" s="15"/>
      <c r="E314" s="15"/>
      <c r="F314" s="15"/>
      <c r="G314" s="16"/>
      <c r="H314" s="16"/>
      <c r="I314" s="15"/>
      <c r="J314" s="15" t="str">
        <f>TEXT(A314,"yyyy-mm")</f>
        <v>yyyy-01</v>
      </c>
      <c r="K314" s="16">
        <f>K313 + IF(C314="Entrada", G314, -G314)</f>
        <v>-5277.5099999999984</v>
      </c>
    </row>
    <row r="315" spans="1:11" ht="15.75" customHeight="1" x14ac:dyDescent="0.25">
      <c r="A315" s="14"/>
      <c r="C315" s="15"/>
      <c r="D315" s="15"/>
      <c r="E315" s="15"/>
      <c r="F315" s="15"/>
      <c r="G315" s="16"/>
      <c r="H315" s="16"/>
      <c r="I315" s="15"/>
      <c r="J315" s="15" t="str">
        <f>TEXT(A315,"yyyy-mm")</f>
        <v>yyyy-01</v>
      </c>
      <c r="K315" s="16">
        <f>K314 + IF(C315="Entrada", G315, -G315)</f>
        <v>-5277.5099999999984</v>
      </c>
    </row>
    <row r="316" spans="1:11" ht="15.75" customHeight="1" x14ac:dyDescent="0.25">
      <c r="A316" s="14"/>
      <c r="C316" s="15"/>
      <c r="D316" s="15"/>
      <c r="E316" s="15"/>
      <c r="F316" s="15"/>
      <c r="G316" s="16"/>
      <c r="H316" s="16"/>
      <c r="I316" s="15"/>
      <c r="J316" s="15" t="str">
        <f>TEXT(A316,"yyyy-mm")</f>
        <v>yyyy-01</v>
      </c>
      <c r="K316" s="16">
        <f>K315 + IF(C316="Entrada", G316, -G316)</f>
        <v>-5277.5099999999984</v>
      </c>
    </row>
    <row r="317" spans="1:11" ht="15.75" customHeight="1" x14ac:dyDescent="0.25">
      <c r="A317" s="14"/>
      <c r="C317" s="15"/>
      <c r="D317" s="15"/>
      <c r="E317" s="15"/>
      <c r="F317" s="15"/>
      <c r="G317" s="16"/>
      <c r="H317" s="16"/>
      <c r="I317" s="15"/>
      <c r="J317" s="15" t="str">
        <f>TEXT(A317,"yyyy-mm")</f>
        <v>yyyy-01</v>
      </c>
      <c r="K317" s="16">
        <f>K316 + IF(C317="Entrada", G317, -G317)</f>
        <v>-5277.5099999999984</v>
      </c>
    </row>
    <row r="318" spans="1:11" ht="15.75" customHeight="1" x14ac:dyDescent="0.25">
      <c r="A318" s="14"/>
      <c r="C318" s="15"/>
      <c r="D318" s="15"/>
      <c r="E318" s="15"/>
      <c r="F318" s="15"/>
      <c r="G318" s="16"/>
      <c r="H318" s="16"/>
      <c r="I318" s="15"/>
      <c r="J318" s="15" t="str">
        <f>TEXT(A318,"yyyy-mm")</f>
        <v>yyyy-01</v>
      </c>
      <c r="K318" s="16">
        <f>K317 + IF(C318="Entrada", G318, -G318)</f>
        <v>-5277.5099999999984</v>
      </c>
    </row>
    <row r="319" spans="1:11" ht="15.75" customHeight="1" x14ac:dyDescent="0.25">
      <c r="A319" s="14"/>
      <c r="C319" s="15"/>
      <c r="D319" s="15"/>
      <c r="E319" s="15"/>
      <c r="F319" s="15"/>
      <c r="G319" s="16"/>
      <c r="H319" s="16"/>
      <c r="I319" s="15"/>
      <c r="J319" s="15" t="str">
        <f>TEXT(A319,"yyyy-mm")</f>
        <v>yyyy-01</v>
      </c>
      <c r="K319" s="16">
        <f>K318 + IF(C319="Entrada", G319, -G319)</f>
        <v>-5277.5099999999984</v>
      </c>
    </row>
    <row r="320" spans="1:11" ht="15.75" customHeight="1" x14ac:dyDescent="0.25">
      <c r="A320" s="14"/>
      <c r="C320" s="15"/>
      <c r="D320" s="15"/>
      <c r="E320" s="15"/>
      <c r="F320" s="15"/>
      <c r="G320" s="16"/>
      <c r="H320" s="16"/>
      <c r="I320" s="15"/>
      <c r="J320" s="15" t="str">
        <f>TEXT(A320,"yyyy-mm")</f>
        <v>yyyy-01</v>
      </c>
      <c r="K320" s="16">
        <f>K319 + IF(C320="Entrada", G320, -G320)</f>
        <v>-5277.5099999999984</v>
      </c>
    </row>
    <row r="321" spans="1:11" ht="15.75" customHeight="1" x14ac:dyDescent="0.25">
      <c r="A321" s="14"/>
      <c r="C321" s="15"/>
      <c r="D321" s="15"/>
      <c r="E321" s="15"/>
      <c r="F321" s="15"/>
      <c r="G321" s="16"/>
      <c r="H321" s="16"/>
      <c r="I321" s="15"/>
      <c r="J321" s="15" t="str">
        <f>TEXT(A321,"yyyy-mm")</f>
        <v>yyyy-01</v>
      </c>
      <c r="K321" s="16">
        <f>K320 + IF(C321="Entrada", G321, -G321)</f>
        <v>-5277.5099999999984</v>
      </c>
    </row>
    <row r="322" spans="1:11" ht="15.75" customHeight="1" x14ac:dyDescent="0.25">
      <c r="A322" s="14"/>
      <c r="C322" s="15"/>
      <c r="D322" s="15"/>
      <c r="E322" s="15"/>
      <c r="F322" s="15"/>
      <c r="G322" s="16"/>
      <c r="H322" s="16"/>
      <c r="I322" s="15"/>
      <c r="J322" s="15" t="str">
        <f>TEXT(A322,"yyyy-mm")</f>
        <v>yyyy-01</v>
      </c>
      <c r="K322" s="16">
        <f>K321 + IF(C322="Entrada", G322, -G322)</f>
        <v>-5277.5099999999984</v>
      </c>
    </row>
    <row r="323" spans="1:11" ht="15.75" customHeight="1" x14ac:dyDescent="0.25">
      <c r="A323" s="14"/>
      <c r="C323" s="15"/>
      <c r="D323" s="15"/>
      <c r="E323" s="15"/>
      <c r="F323" s="15"/>
      <c r="G323" s="16"/>
      <c r="H323" s="16"/>
      <c r="I323" s="15"/>
      <c r="J323" s="15" t="str">
        <f>TEXT(A323,"yyyy-mm")</f>
        <v>yyyy-01</v>
      </c>
      <c r="K323" s="16">
        <f>K322 + IF(C323="Entrada", G323, -G323)</f>
        <v>-5277.5099999999984</v>
      </c>
    </row>
    <row r="324" spans="1:11" ht="15.75" customHeight="1" x14ac:dyDescent="0.25">
      <c r="A324" s="14"/>
      <c r="C324" s="15"/>
      <c r="D324" s="15"/>
      <c r="E324" s="15"/>
      <c r="F324" s="15"/>
      <c r="G324" s="16"/>
      <c r="H324" s="16"/>
      <c r="I324" s="15"/>
      <c r="J324" s="15" t="str">
        <f>TEXT(A324,"yyyy-mm")</f>
        <v>yyyy-01</v>
      </c>
      <c r="K324" s="16">
        <f>K323 + IF(C324="Entrada", G324, -G324)</f>
        <v>-5277.5099999999984</v>
      </c>
    </row>
    <row r="325" spans="1:11" ht="15.75" customHeight="1" x14ac:dyDescent="0.25">
      <c r="A325" s="14"/>
      <c r="C325" s="15"/>
      <c r="D325" s="15"/>
      <c r="E325" s="15"/>
      <c r="F325" s="15"/>
      <c r="G325" s="16"/>
      <c r="H325" s="16"/>
      <c r="I325" s="15"/>
      <c r="J325" s="15" t="str">
        <f>TEXT(A325,"yyyy-mm")</f>
        <v>yyyy-01</v>
      </c>
      <c r="K325" s="16">
        <f>K324 + IF(C325="Entrada", G325, -G325)</f>
        <v>-5277.5099999999984</v>
      </c>
    </row>
    <row r="326" spans="1:11" ht="15.75" customHeight="1" x14ac:dyDescent="0.25">
      <c r="A326" s="14"/>
      <c r="C326" s="15"/>
      <c r="D326" s="15"/>
      <c r="E326" s="15"/>
      <c r="F326" s="15"/>
      <c r="G326" s="16"/>
      <c r="H326" s="16"/>
      <c r="I326" s="15"/>
      <c r="J326" s="15" t="str">
        <f>TEXT(A326,"yyyy-mm")</f>
        <v>yyyy-01</v>
      </c>
      <c r="K326" s="16">
        <f>K325 + IF(C326="Entrada", G326, -G326)</f>
        <v>-5277.5099999999984</v>
      </c>
    </row>
    <row r="327" spans="1:11" ht="15.75" customHeight="1" x14ac:dyDescent="0.25">
      <c r="A327" s="14"/>
      <c r="C327" s="15"/>
      <c r="D327" s="15"/>
      <c r="E327" s="15"/>
      <c r="F327" s="15"/>
      <c r="G327" s="16"/>
      <c r="H327" s="16"/>
      <c r="I327" s="15"/>
      <c r="J327" s="15" t="str">
        <f>TEXT(A327,"yyyy-mm")</f>
        <v>yyyy-01</v>
      </c>
      <c r="K327" s="16">
        <f>K326 + IF(C327="Entrada", G327, -G327)</f>
        <v>-5277.5099999999984</v>
      </c>
    </row>
    <row r="328" spans="1:11" ht="15.75" customHeight="1" x14ac:dyDescent="0.25">
      <c r="A328" s="14"/>
      <c r="C328" s="15"/>
      <c r="D328" s="15"/>
      <c r="E328" s="15"/>
      <c r="F328" s="15"/>
      <c r="G328" s="16"/>
      <c r="H328" s="16"/>
      <c r="I328" s="15"/>
      <c r="J328" s="15" t="str">
        <f>TEXT(A328,"yyyy-mm")</f>
        <v>yyyy-01</v>
      </c>
      <c r="K328" s="16">
        <f>K327 + IF(C328="Entrada", G328, -G328)</f>
        <v>-5277.5099999999984</v>
      </c>
    </row>
    <row r="329" spans="1:11" ht="15.75" customHeight="1" x14ac:dyDescent="0.25">
      <c r="A329" s="14"/>
      <c r="C329" s="15"/>
      <c r="D329" s="15"/>
      <c r="E329" s="15"/>
      <c r="F329" s="15"/>
      <c r="G329" s="16"/>
      <c r="H329" s="16"/>
      <c r="I329" s="15"/>
      <c r="J329" s="15" t="str">
        <f>TEXT(A329,"yyyy-mm")</f>
        <v>yyyy-01</v>
      </c>
      <c r="K329" s="16">
        <f>K328 + IF(C329="Entrada", G329, -G329)</f>
        <v>-5277.5099999999984</v>
      </c>
    </row>
    <row r="330" spans="1:11" ht="15.75" customHeight="1" x14ac:dyDescent="0.25">
      <c r="A330" s="14"/>
      <c r="C330" s="15"/>
      <c r="D330" s="15"/>
      <c r="E330" s="15"/>
      <c r="F330" s="15"/>
      <c r="G330" s="16"/>
      <c r="H330" s="16"/>
      <c r="I330" s="15"/>
      <c r="J330" s="15" t="str">
        <f>TEXT(A330,"yyyy-mm")</f>
        <v>yyyy-01</v>
      </c>
      <c r="K330" s="16">
        <f>K329 + IF(C330="Entrada", G330, -G330)</f>
        <v>-5277.5099999999984</v>
      </c>
    </row>
    <row r="331" spans="1:11" ht="15.75" customHeight="1" x14ac:dyDescent="0.25">
      <c r="A331" s="14"/>
      <c r="C331" s="15"/>
      <c r="D331" s="15"/>
      <c r="E331" s="15"/>
      <c r="F331" s="15"/>
      <c r="G331" s="16"/>
      <c r="H331" s="16"/>
      <c r="I331" s="15"/>
      <c r="J331" s="15" t="str">
        <f>TEXT(A331,"yyyy-mm")</f>
        <v>yyyy-01</v>
      </c>
      <c r="K331" s="16">
        <f>K330 + IF(C331="Entrada", G331, -G331)</f>
        <v>-5277.5099999999984</v>
      </c>
    </row>
    <row r="332" spans="1:11" ht="15.75" customHeight="1" x14ac:dyDescent="0.25">
      <c r="A332" s="14"/>
      <c r="C332" s="15"/>
      <c r="D332" s="15"/>
      <c r="E332" s="15"/>
      <c r="F332" s="15"/>
      <c r="G332" s="16"/>
      <c r="H332" s="16"/>
      <c r="I332" s="15"/>
      <c r="J332" s="15" t="str">
        <f>TEXT(A332,"yyyy-mm")</f>
        <v>yyyy-01</v>
      </c>
      <c r="K332" s="16">
        <f>K331 + IF(C332="Entrada", G332, -G332)</f>
        <v>-5277.5099999999984</v>
      </c>
    </row>
    <row r="333" spans="1:11" ht="15.75" customHeight="1" x14ac:dyDescent="0.25">
      <c r="A333" s="14"/>
      <c r="C333" s="15"/>
      <c r="D333" s="15"/>
      <c r="E333" s="15"/>
      <c r="F333" s="15"/>
      <c r="G333" s="16"/>
      <c r="H333" s="16"/>
      <c r="I333" s="15"/>
      <c r="J333" s="15" t="str">
        <f>TEXT(A333,"yyyy-mm")</f>
        <v>yyyy-01</v>
      </c>
      <c r="K333" s="16">
        <f>K332 + IF(C333="Entrada", G333, -G333)</f>
        <v>-5277.5099999999984</v>
      </c>
    </row>
    <row r="334" spans="1:11" ht="15.75" customHeight="1" x14ac:dyDescent="0.25">
      <c r="A334" s="14"/>
      <c r="C334" s="15"/>
      <c r="D334" s="15"/>
      <c r="E334" s="15"/>
      <c r="F334" s="15"/>
      <c r="G334" s="16"/>
      <c r="H334" s="16"/>
      <c r="I334" s="15"/>
      <c r="J334" s="15" t="str">
        <f>TEXT(A334,"yyyy-mm")</f>
        <v>yyyy-01</v>
      </c>
      <c r="K334" s="16">
        <f>K333 + IF(C334="Entrada", G334, -G334)</f>
        <v>-5277.5099999999984</v>
      </c>
    </row>
    <row r="335" spans="1:11" ht="15.75" customHeight="1" x14ac:dyDescent="0.25">
      <c r="A335" s="14"/>
      <c r="C335" s="15"/>
      <c r="D335" s="15"/>
      <c r="E335" s="15"/>
      <c r="F335" s="15"/>
      <c r="G335" s="16"/>
      <c r="H335" s="16"/>
      <c r="I335" s="15"/>
      <c r="J335" s="15" t="str">
        <f>TEXT(A335,"yyyy-mm")</f>
        <v>yyyy-01</v>
      </c>
      <c r="K335" s="16">
        <f>K334 + IF(C335="Entrada", G335, -G335)</f>
        <v>-5277.5099999999984</v>
      </c>
    </row>
    <row r="336" spans="1:11" ht="15.75" customHeight="1" x14ac:dyDescent="0.25">
      <c r="A336" s="14"/>
      <c r="C336" s="15"/>
      <c r="D336" s="15"/>
      <c r="E336" s="15"/>
      <c r="F336" s="15"/>
      <c r="G336" s="16"/>
      <c r="H336" s="16"/>
      <c r="I336" s="15"/>
      <c r="J336" s="15" t="str">
        <f>TEXT(A336,"yyyy-mm")</f>
        <v>yyyy-01</v>
      </c>
      <c r="K336" s="16">
        <f>K335 + IF(C336="Entrada", G336, -G336)</f>
        <v>-5277.5099999999984</v>
      </c>
    </row>
    <row r="337" spans="1:11" ht="15.75" customHeight="1" x14ac:dyDescent="0.25">
      <c r="A337" s="14"/>
      <c r="C337" s="15"/>
      <c r="D337" s="15"/>
      <c r="E337" s="15"/>
      <c r="F337" s="15"/>
      <c r="G337" s="16"/>
      <c r="H337" s="16"/>
      <c r="I337" s="15"/>
      <c r="J337" s="15" t="str">
        <f>TEXT(A337,"yyyy-mm")</f>
        <v>yyyy-01</v>
      </c>
      <c r="K337" s="16">
        <f>K336 + IF(C337="Entrada", G337, -G337)</f>
        <v>-5277.5099999999984</v>
      </c>
    </row>
    <row r="338" spans="1:11" ht="15.75" customHeight="1" x14ac:dyDescent="0.25">
      <c r="A338" s="14"/>
      <c r="C338" s="15"/>
      <c r="D338" s="15"/>
      <c r="E338" s="15"/>
      <c r="F338" s="15"/>
      <c r="G338" s="16"/>
      <c r="H338" s="16"/>
      <c r="I338" s="15"/>
      <c r="J338" s="15" t="str">
        <f>TEXT(A338,"yyyy-mm")</f>
        <v>yyyy-01</v>
      </c>
      <c r="K338" s="16">
        <f>K337 + IF(C338="Entrada", G338, -G338)</f>
        <v>-5277.5099999999984</v>
      </c>
    </row>
    <row r="339" spans="1:11" ht="15.75" customHeight="1" x14ac:dyDescent="0.25">
      <c r="A339" s="14"/>
      <c r="C339" s="15"/>
      <c r="D339" s="15"/>
      <c r="E339" s="15"/>
      <c r="F339" s="15"/>
      <c r="G339" s="16"/>
      <c r="H339" s="16"/>
      <c r="I339" s="15"/>
      <c r="J339" s="15" t="str">
        <f>TEXT(A339,"yyyy-mm")</f>
        <v>yyyy-01</v>
      </c>
      <c r="K339" s="16">
        <f>K338 + IF(C339="Entrada", G339, -G339)</f>
        <v>-5277.5099999999984</v>
      </c>
    </row>
    <row r="340" spans="1:11" ht="15.75" customHeight="1" x14ac:dyDescent="0.25">
      <c r="A340" s="14"/>
      <c r="C340" s="15"/>
      <c r="D340" s="15"/>
      <c r="E340" s="15"/>
      <c r="F340" s="15"/>
      <c r="G340" s="16"/>
      <c r="H340" s="16"/>
      <c r="I340" s="15"/>
      <c r="J340" s="15" t="str">
        <f>TEXT(A340,"yyyy-mm")</f>
        <v>yyyy-01</v>
      </c>
      <c r="K340" s="16">
        <f>K339 + IF(C340="Entrada", G340, -G340)</f>
        <v>-5277.5099999999984</v>
      </c>
    </row>
    <row r="341" spans="1:11" ht="15.75" customHeight="1" x14ac:dyDescent="0.25">
      <c r="A341" s="14"/>
      <c r="C341" s="15"/>
      <c r="D341" s="15"/>
      <c r="E341" s="15"/>
      <c r="F341" s="15"/>
      <c r="G341" s="16"/>
      <c r="H341" s="16"/>
      <c r="I341" s="15"/>
      <c r="J341" s="15" t="str">
        <f>TEXT(A341,"yyyy-mm")</f>
        <v>yyyy-01</v>
      </c>
      <c r="K341" s="16">
        <f>K340 + IF(C341="Entrada", G341, -G341)</f>
        <v>-5277.5099999999984</v>
      </c>
    </row>
    <row r="342" spans="1:11" ht="15.75" customHeight="1" x14ac:dyDescent="0.25">
      <c r="A342" s="14"/>
      <c r="C342" s="15"/>
      <c r="D342" s="15"/>
      <c r="E342" s="15"/>
      <c r="F342" s="15"/>
      <c r="G342" s="16"/>
      <c r="H342" s="16"/>
      <c r="I342" s="15"/>
      <c r="J342" s="15" t="str">
        <f>TEXT(A342,"yyyy-mm")</f>
        <v>yyyy-01</v>
      </c>
      <c r="K342" s="16">
        <f>K341 + IF(C342="Entrada", G342, -G342)</f>
        <v>-5277.5099999999984</v>
      </c>
    </row>
    <row r="343" spans="1:11" ht="15.75" customHeight="1" x14ac:dyDescent="0.25">
      <c r="A343" s="14"/>
      <c r="C343" s="15"/>
      <c r="D343" s="15"/>
      <c r="E343" s="15"/>
      <c r="F343" s="15"/>
      <c r="G343" s="16"/>
      <c r="H343" s="16"/>
      <c r="I343" s="15"/>
      <c r="J343" s="15" t="str">
        <f>TEXT(A343,"yyyy-mm")</f>
        <v>yyyy-01</v>
      </c>
      <c r="K343" s="16">
        <f>K342 + IF(C343="Entrada", G343, -G343)</f>
        <v>-5277.5099999999984</v>
      </c>
    </row>
    <row r="344" spans="1:11" ht="15.75" customHeight="1" x14ac:dyDescent="0.25">
      <c r="A344" s="14"/>
      <c r="C344" s="15"/>
      <c r="D344" s="15"/>
      <c r="E344" s="15"/>
      <c r="F344" s="15"/>
      <c r="G344" s="16"/>
      <c r="H344" s="16"/>
      <c r="I344" s="15"/>
      <c r="J344" s="15" t="str">
        <f>TEXT(A344,"yyyy-mm")</f>
        <v>yyyy-01</v>
      </c>
      <c r="K344" s="16">
        <f>K343 + IF(C344="Entrada", G344, -G344)</f>
        <v>-5277.5099999999984</v>
      </c>
    </row>
    <row r="345" spans="1:11" ht="15.75" customHeight="1" x14ac:dyDescent="0.25">
      <c r="A345" s="14"/>
      <c r="C345" s="15"/>
      <c r="D345" s="15"/>
      <c r="E345" s="15"/>
      <c r="F345" s="15"/>
      <c r="G345" s="16"/>
      <c r="H345" s="16"/>
      <c r="I345" s="15"/>
      <c r="J345" s="15" t="str">
        <f>TEXT(A345,"yyyy-mm")</f>
        <v>yyyy-01</v>
      </c>
      <c r="K345" s="16">
        <f>K344 + IF(C345="Entrada", G345, -G345)</f>
        <v>-5277.5099999999984</v>
      </c>
    </row>
    <row r="346" spans="1:11" ht="15.75" customHeight="1" x14ac:dyDescent="0.25">
      <c r="A346" s="14"/>
      <c r="C346" s="15"/>
      <c r="D346" s="15"/>
      <c r="E346" s="15"/>
      <c r="F346" s="15"/>
      <c r="G346" s="16"/>
      <c r="H346" s="16"/>
      <c r="I346" s="15"/>
      <c r="J346" s="15" t="str">
        <f>TEXT(A346,"yyyy-mm")</f>
        <v>yyyy-01</v>
      </c>
      <c r="K346" s="16">
        <f>K345 + IF(C346="Entrada", G346, -G346)</f>
        <v>-5277.5099999999984</v>
      </c>
    </row>
    <row r="347" spans="1:11" ht="15.75" customHeight="1" x14ac:dyDescent="0.25">
      <c r="A347" s="14"/>
      <c r="C347" s="15"/>
      <c r="D347" s="15"/>
      <c r="E347" s="15"/>
      <c r="F347" s="15"/>
      <c r="G347" s="16"/>
      <c r="H347" s="16"/>
      <c r="I347" s="15"/>
      <c r="J347" s="15" t="str">
        <f>TEXT(A347,"yyyy-mm")</f>
        <v>yyyy-01</v>
      </c>
      <c r="K347" s="16">
        <f>K346 + IF(C347="Entrada", G347, -G347)</f>
        <v>-5277.5099999999984</v>
      </c>
    </row>
    <row r="348" spans="1:11" ht="15.75" customHeight="1" x14ac:dyDescent="0.25">
      <c r="A348" s="14"/>
      <c r="C348" s="15"/>
      <c r="D348" s="15"/>
      <c r="E348" s="15"/>
      <c r="F348" s="15"/>
      <c r="G348" s="16"/>
      <c r="H348" s="16"/>
      <c r="I348" s="15"/>
      <c r="J348" s="15" t="str">
        <f>TEXT(A348,"yyyy-mm")</f>
        <v>yyyy-01</v>
      </c>
      <c r="K348" s="16">
        <f>K347 + IF(C348="Entrada", G348, -G348)</f>
        <v>-5277.5099999999984</v>
      </c>
    </row>
    <row r="349" spans="1:11" ht="15.75" customHeight="1" x14ac:dyDescent="0.25">
      <c r="A349" s="14"/>
      <c r="C349" s="15"/>
      <c r="D349" s="15"/>
      <c r="E349" s="15"/>
      <c r="F349" s="15"/>
      <c r="G349" s="16"/>
      <c r="H349" s="16"/>
      <c r="I349" s="15"/>
      <c r="J349" s="15" t="str">
        <f>TEXT(A349,"yyyy-mm")</f>
        <v>yyyy-01</v>
      </c>
      <c r="K349" s="16">
        <f>K348 + IF(C349="Entrada", G349, -G349)</f>
        <v>-5277.5099999999984</v>
      </c>
    </row>
    <row r="350" spans="1:11" ht="15.75" customHeight="1" x14ac:dyDescent="0.25">
      <c r="A350" s="14"/>
      <c r="C350" s="15"/>
      <c r="D350" s="15"/>
      <c r="E350" s="15"/>
      <c r="F350" s="15"/>
      <c r="G350" s="16"/>
      <c r="H350" s="16"/>
      <c r="I350" s="15"/>
      <c r="J350" s="15" t="str">
        <f>TEXT(A350,"yyyy-mm")</f>
        <v>yyyy-01</v>
      </c>
      <c r="K350" s="16">
        <f>K349 + IF(C350="Entrada", G350, -G350)</f>
        <v>-5277.5099999999984</v>
      </c>
    </row>
    <row r="351" spans="1:11" ht="15.75" customHeight="1" x14ac:dyDescent="0.25">
      <c r="A351" s="14"/>
      <c r="C351" s="15"/>
      <c r="D351" s="15"/>
      <c r="E351" s="15"/>
      <c r="F351" s="15"/>
      <c r="G351" s="16"/>
      <c r="H351" s="16"/>
      <c r="I351" s="15"/>
      <c r="J351" s="15" t="str">
        <f>TEXT(A351,"yyyy-mm")</f>
        <v>yyyy-01</v>
      </c>
      <c r="K351" s="16">
        <f>K350 + IF(C351="Entrada", G351, -G351)</f>
        <v>-5277.5099999999984</v>
      </c>
    </row>
    <row r="352" spans="1:11" ht="15.75" customHeight="1" x14ac:dyDescent="0.25">
      <c r="A352" s="14"/>
      <c r="C352" s="15"/>
      <c r="D352" s="15"/>
      <c r="E352" s="15"/>
      <c r="F352" s="15"/>
      <c r="G352" s="16"/>
      <c r="H352" s="16"/>
      <c r="I352" s="15"/>
      <c r="J352" s="15" t="str">
        <f>TEXT(A352,"yyyy-mm")</f>
        <v>yyyy-01</v>
      </c>
      <c r="K352" s="16">
        <f>K351 + IF(C352="Entrada", G352, -G352)</f>
        <v>-5277.5099999999984</v>
      </c>
    </row>
    <row r="353" spans="1:11" ht="15.75" customHeight="1" x14ac:dyDescent="0.25">
      <c r="A353" s="14"/>
      <c r="C353" s="15"/>
      <c r="D353" s="15"/>
      <c r="E353" s="15"/>
      <c r="F353" s="15"/>
      <c r="G353" s="16"/>
      <c r="H353" s="16"/>
      <c r="I353" s="15"/>
      <c r="J353" s="15" t="str">
        <f>TEXT(A353,"yyyy-mm")</f>
        <v>yyyy-01</v>
      </c>
      <c r="K353" s="16">
        <f>K352 + IF(C353="Entrada", G353, -G353)</f>
        <v>-5277.5099999999984</v>
      </c>
    </row>
    <row r="354" spans="1:11" ht="15.75" customHeight="1" x14ac:dyDescent="0.25">
      <c r="A354" s="14"/>
      <c r="C354" s="15"/>
      <c r="D354" s="15"/>
      <c r="E354" s="15"/>
      <c r="F354" s="15"/>
      <c r="G354" s="16"/>
      <c r="H354" s="16"/>
      <c r="I354" s="15"/>
      <c r="J354" s="15" t="str">
        <f>TEXT(A354,"yyyy-mm")</f>
        <v>yyyy-01</v>
      </c>
      <c r="K354" s="16">
        <f>K353 + IF(C354="Entrada", G354, -G354)</f>
        <v>-5277.5099999999984</v>
      </c>
    </row>
    <row r="355" spans="1:11" ht="15.75" customHeight="1" x14ac:dyDescent="0.25">
      <c r="A355" s="14"/>
      <c r="C355" s="15"/>
      <c r="D355" s="15"/>
      <c r="E355" s="15"/>
      <c r="F355" s="15"/>
      <c r="G355" s="16"/>
      <c r="H355" s="16"/>
      <c r="I355" s="15"/>
      <c r="J355" s="15" t="str">
        <f>TEXT(A355,"yyyy-mm")</f>
        <v>yyyy-01</v>
      </c>
      <c r="K355" s="16">
        <f>K354 + IF(C355="Entrada", G355, -G355)</f>
        <v>-5277.5099999999984</v>
      </c>
    </row>
    <row r="356" spans="1:11" ht="15.75" customHeight="1" x14ac:dyDescent="0.25">
      <c r="A356" s="14"/>
      <c r="C356" s="15"/>
      <c r="D356" s="15"/>
      <c r="E356" s="15"/>
      <c r="F356" s="15"/>
      <c r="G356" s="16"/>
      <c r="H356" s="16"/>
      <c r="I356" s="15"/>
      <c r="J356" s="15" t="str">
        <f>TEXT(A356,"yyyy-mm")</f>
        <v>yyyy-01</v>
      </c>
      <c r="K356" s="16">
        <f>K355 + IF(C356="Entrada", G356, -G356)</f>
        <v>-5277.5099999999984</v>
      </c>
    </row>
    <row r="357" spans="1:11" ht="15.75" customHeight="1" x14ac:dyDescent="0.25">
      <c r="A357" s="14"/>
      <c r="C357" s="15"/>
      <c r="D357" s="15"/>
      <c r="E357" s="15"/>
      <c r="F357" s="15"/>
      <c r="G357" s="16"/>
      <c r="H357" s="16"/>
      <c r="I357" s="15"/>
      <c r="J357" s="15" t="str">
        <f>TEXT(A357,"yyyy-mm")</f>
        <v>yyyy-01</v>
      </c>
      <c r="K357" s="16">
        <f>K356 + IF(C357="Entrada", G357, -G357)</f>
        <v>-5277.5099999999984</v>
      </c>
    </row>
    <row r="358" spans="1:11" ht="15.75" customHeight="1" x14ac:dyDescent="0.25">
      <c r="A358" s="14"/>
      <c r="C358" s="15"/>
      <c r="D358" s="15"/>
      <c r="E358" s="15"/>
      <c r="F358" s="15"/>
      <c r="G358" s="16"/>
      <c r="H358" s="16"/>
      <c r="I358" s="15"/>
      <c r="J358" s="15" t="str">
        <f>TEXT(A358,"yyyy-mm")</f>
        <v>yyyy-01</v>
      </c>
      <c r="K358" s="16">
        <f>K357 + IF(C358="Entrada", G358, -G358)</f>
        <v>-5277.5099999999984</v>
      </c>
    </row>
    <row r="359" spans="1:11" ht="15.75" customHeight="1" x14ac:dyDescent="0.25">
      <c r="A359" s="14"/>
      <c r="C359" s="15"/>
      <c r="D359" s="15"/>
      <c r="E359" s="15"/>
      <c r="F359" s="15"/>
      <c r="G359" s="16"/>
      <c r="H359" s="16"/>
      <c r="I359" s="15"/>
      <c r="J359" s="15" t="str">
        <f>TEXT(A359,"yyyy-mm")</f>
        <v>yyyy-01</v>
      </c>
      <c r="K359" s="16">
        <f>K358 + IF(C359="Entrada", G359, -G359)</f>
        <v>-5277.5099999999984</v>
      </c>
    </row>
    <row r="360" spans="1:11" ht="15.75" customHeight="1" x14ac:dyDescent="0.25">
      <c r="A360" s="14"/>
      <c r="C360" s="15"/>
      <c r="D360" s="15"/>
      <c r="E360" s="15"/>
      <c r="F360" s="15"/>
      <c r="G360" s="16"/>
      <c r="H360" s="16"/>
      <c r="I360" s="15"/>
      <c r="J360" s="15" t="str">
        <f>TEXT(A360,"yyyy-mm")</f>
        <v>yyyy-01</v>
      </c>
      <c r="K360" s="16">
        <f>K359 + IF(C360="Entrada", G360, -G360)</f>
        <v>-5277.5099999999984</v>
      </c>
    </row>
    <row r="361" spans="1:11" ht="15.75" customHeight="1" x14ac:dyDescent="0.25">
      <c r="A361" s="14"/>
      <c r="C361" s="15"/>
      <c r="D361" s="15"/>
      <c r="E361" s="15"/>
      <c r="F361" s="15"/>
      <c r="G361" s="16"/>
      <c r="H361" s="16"/>
      <c r="I361" s="15"/>
      <c r="J361" s="15" t="str">
        <f>TEXT(A361,"yyyy-mm")</f>
        <v>yyyy-01</v>
      </c>
      <c r="K361" s="16">
        <f>K360 + IF(C361="Entrada", G361, -G361)</f>
        <v>-5277.5099999999984</v>
      </c>
    </row>
    <row r="362" spans="1:11" ht="15.75" customHeight="1" x14ac:dyDescent="0.25">
      <c r="A362" s="14"/>
      <c r="C362" s="15"/>
      <c r="D362" s="15"/>
      <c r="E362" s="15"/>
      <c r="F362" s="15"/>
      <c r="G362" s="16"/>
      <c r="H362" s="16"/>
      <c r="I362" s="15"/>
      <c r="J362" s="15" t="str">
        <f>TEXT(A362,"yyyy-mm")</f>
        <v>yyyy-01</v>
      </c>
      <c r="K362" s="16">
        <f>K361 + IF(C362="Entrada", G362, -G362)</f>
        <v>-5277.5099999999984</v>
      </c>
    </row>
    <row r="363" spans="1:11" ht="15.75" customHeight="1" x14ac:dyDescent="0.25">
      <c r="A363" s="14"/>
      <c r="C363" s="15"/>
      <c r="D363" s="15"/>
      <c r="E363" s="15"/>
      <c r="F363" s="15"/>
      <c r="G363" s="16"/>
      <c r="H363" s="16"/>
      <c r="I363" s="15"/>
      <c r="J363" s="15" t="str">
        <f>TEXT(A363,"yyyy-mm")</f>
        <v>yyyy-01</v>
      </c>
      <c r="K363" s="16">
        <f>K362 + IF(C363="Entrada", G363, -G363)</f>
        <v>-5277.5099999999984</v>
      </c>
    </row>
    <row r="364" spans="1:11" ht="15.75" customHeight="1" x14ac:dyDescent="0.25">
      <c r="A364" s="14"/>
      <c r="C364" s="15"/>
      <c r="D364" s="15"/>
      <c r="E364" s="15"/>
      <c r="F364" s="15"/>
      <c r="G364" s="16"/>
      <c r="H364" s="16"/>
      <c r="I364" s="15"/>
      <c r="J364" s="15" t="str">
        <f>TEXT(A364,"yyyy-mm")</f>
        <v>yyyy-01</v>
      </c>
      <c r="K364" s="16">
        <f>K363 + IF(C364="Entrada", G364, -G364)</f>
        <v>-5277.5099999999984</v>
      </c>
    </row>
    <row r="365" spans="1:11" ht="15.75" customHeight="1" x14ac:dyDescent="0.25">
      <c r="A365" s="14"/>
      <c r="C365" s="15"/>
      <c r="D365" s="15"/>
      <c r="E365" s="15"/>
      <c r="F365" s="15"/>
      <c r="G365" s="16"/>
      <c r="H365" s="16"/>
      <c r="I365" s="15"/>
      <c r="J365" s="15" t="str">
        <f>TEXT(A365,"yyyy-mm")</f>
        <v>yyyy-01</v>
      </c>
      <c r="K365" s="16">
        <f>K364 + IF(C365="Entrada", G365, -G365)</f>
        <v>-5277.5099999999984</v>
      </c>
    </row>
    <row r="366" spans="1:11" ht="15.75" customHeight="1" x14ac:dyDescent="0.25">
      <c r="A366" s="14"/>
      <c r="C366" s="15"/>
      <c r="D366" s="15"/>
      <c r="E366" s="15"/>
      <c r="F366" s="15"/>
      <c r="G366" s="16"/>
      <c r="H366" s="16"/>
      <c r="I366" s="15"/>
      <c r="J366" s="15" t="str">
        <f>TEXT(A366,"yyyy-mm")</f>
        <v>yyyy-01</v>
      </c>
      <c r="K366" s="16">
        <f>K365 + IF(C366="Entrada", G366, -G366)</f>
        <v>-5277.5099999999984</v>
      </c>
    </row>
    <row r="367" spans="1:11" ht="15.75" customHeight="1" x14ac:dyDescent="0.25">
      <c r="A367" s="14"/>
      <c r="C367" s="15"/>
      <c r="D367" s="15"/>
      <c r="E367" s="15"/>
      <c r="F367" s="15"/>
      <c r="G367" s="16"/>
      <c r="H367" s="16"/>
      <c r="I367" s="15"/>
      <c r="J367" s="15" t="str">
        <f>TEXT(A367,"yyyy-mm")</f>
        <v>yyyy-01</v>
      </c>
      <c r="K367" s="16">
        <f>K366 + IF(C367="Entrada", G367, -G367)</f>
        <v>-5277.5099999999984</v>
      </c>
    </row>
    <row r="368" spans="1:11" ht="15.75" customHeight="1" x14ac:dyDescent="0.25">
      <c r="A368" s="14"/>
      <c r="C368" s="15"/>
      <c r="D368" s="15"/>
      <c r="E368" s="15"/>
      <c r="F368" s="15"/>
      <c r="G368" s="16"/>
      <c r="H368" s="16"/>
      <c r="I368" s="15"/>
      <c r="J368" s="15" t="str">
        <f>TEXT(A368,"yyyy-mm")</f>
        <v>yyyy-01</v>
      </c>
      <c r="K368" s="16">
        <f>K367 + IF(C368="Entrada", G368, -G368)</f>
        <v>-5277.5099999999984</v>
      </c>
    </row>
    <row r="369" spans="1:11" ht="15.75" customHeight="1" x14ac:dyDescent="0.25">
      <c r="A369" s="14"/>
      <c r="C369" s="15"/>
      <c r="D369" s="15"/>
      <c r="E369" s="15"/>
      <c r="F369" s="15"/>
      <c r="G369" s="16"/>
      <c r="H369" s="16"/>
      <c r="I369" s="15"/>
      <c r="J369" s="15" t="str">
        <f>TEXT(A369,"yyyy-mm")</f>
        <v>yyyy-01</v>
      </c>
      <c r="K369" s="16">
        <f>K368 + IF(C369="Entrada", G369, -G369)</f>
        <v>-5277.5099999999984</v>
      </c>
    </row>
    <row r="370" spans="1:11" ht="15.75" customHeight="1" x14ac:dyDescent="0.25">
      <c r="A370" s="14"/>
      <c r="C370" s="15"/>
      <c r="D370" s="15"/>
      <c r="E370" s="15"/>
      <c r="F370" s="15"/>
      <c r="G370" s="16"/>
      <c r="H370" s="16"/>
      <c r="I370" s="15"/>
      <c r="J370" s="15" t="str">
        <f>TEXT(A370,"yyyy-mm")</f>
        <v>yyyy-01</v>
      </c>
      <c r="K370" s="16">
        <f>K369 + IF(C370="Entrada", G370, -G370)</f>
        <v>-5277.5099999999984</v>
      </c>
    </row>
    <row r="371" spans="1:11" ht="15.75" customHeight="1" x14ac:dyDescent="0.25">
      <c r="A371" s="14"/>
      <c r="C371" s="15"/>
      <c r="D371" s="15"/>
      <c r="E371" s="15"/>
      <c r="F371" s="15"/>
      <c r="G371" s="16"/>
      <c r="H371" s="16"/>
      <c r="I371" s="15"/>
      <c r="J371" s="15" t="str">
        <f>TEXT(A371,"yyyy-mm")</f>
        <v>yyyy-01</v>
      </c>
      <c r="K371" s="16">
        <f>K370 + IF(C371="Entrada", G371, -G371)</f>
        <v>-5277.5099999999984</v>
      </c>
    </row>
    <row r="372" spans="1:11" ht="15.75" customHeight="1" x14ac:dyDescent="0.25">
      <c r="A372" s="14"/>
      <c r="C372" s="15"/>
      <c r="D372" s="15"/>
      <c r="E372" s="15"/>
      <c r="F372" s="15"/>
      <c r="G372" s="16"/>
      <c r="H372" s="16"/>
      <c r="I372" s="15"/>
      <c r="J372" s="15" t="str">
        <f>TEXT(A372,"yyyy-mm")</f>
        <v>yyyy-01</v>
      </c>
      <c r="K372" s="16">
        <f>K371 + IF(C372="Entrada", G372, -G372)</f>
        <v>-5277.5099999999984</v>
      </c>
    </row>
    <row r="373" spans="1:11" ht="15.75" customHeight="1" x14ac:dyDescent="0.25">
      <c r="A373" s="14"/>
      <c r="C373" s="15"/>
      <c r="D373" s="15"/>
      <c r="E373" s="15"/>
      <c r="F373" s="15"/>
      <c r="G373" s="16"/>
      <c r="H373" s="16"/>
      <c r="I373" s="15"/>
      <c r="J373" s="15" t="str">
        <f>TEXT(A373,"yyyy-mm")</f>
        <v>yyyy-01</v>
      </c>
      <c r="K373" s="16">
        <f>K372 + IF(C373="Entrada", G373, -G373)</f>
        <v>-5277.5099999999984</v>
      </c>
    </row>
    <row r="374" spans="1:11" ht="15.75" customHeight="1" x14ac:dyDescent="0.25">
      <c r="A374" s="14"/>
      <c r="C374" s="15"/>
      <c r="D374" s="15"/>
      <c r="E374" s="15"/>
      <c r="F374" s="15"/>
      <c r="G374" s="16"/>
      <c r="H374" s="16"/>
      <c r="I374" s="15"/>
      <c r="J374" s="15" t="str">
        <f>TEXT(A374,"yyyy-mm")</f>
        <v>yyyy-01</v>
      </c>
      <c r="K374" s="16">
        <f>K373 + IF(C374="Entrada", G374, -G374)</f>
        <v>-5277.5099999999984</v>
      </c>
    </row>
    <row r="375" spans="1:11" ht="15.75" customHeight="1" x14ac:dyDescent="0.25">
      <c r="A375" s="14"/>
      <c r="C375" s="15"/>
      <c r="D375" s="15"/>
      <c r="E375" s="15"/>
      <c r="F375" s="15"/>
      <c r="G375" s="16"/>
      <c r="H375" s="16"/>
      <c r="I375" s="15"/>
      <c r="J375" s="15" t="str">
        <f>TEXT(A375,"yyyy-mm")</f>
        <v>yyyy-01</v>
      </c>
      <c r="K375" s="16">
        <f>K374 + IF(C375="Entrada", G375, -G375)</f>
        <v>-5277.5099999999984</v>
      </c>
    </row>
    <row r="376" spans="1:11" ht="15.75" customHeight="1" x14ac:dyDescent="0.25">
      <c r="A376" s="14"/>
      <c r="C376" s="15"/>
      <c r="D376" s="15"/>
      <c r="E376" s="15"/>
      <c r="F376" s="15"/>
      <c r="G376" s="16"/>
      <c r="H376" s="16"/>
      <c r="I376" s="15"/>
      <c r="J376" s="15" t="str">
        <f>TEXT(A376,"yyyy-mm")</f>
        <v>yyyy-01</v>
      </c>
      <c r="K376" s="16">
        <f>K375 + IF(C376="Entrada", G376, -G376)</f>
        <v>-5277.5099999999984</v>
      </c>
    </row>
    <row r="377" spans="1:11" ht="15.75" customHeight="1" x14ac:dyDescent="0.25">
      <c r="A377" s="14"/>
      <c r="C377" s="15"/>
      <c r="D377" s="15"/>
      <c r="E377" s="15"/>
      <c r="F377" s="15"/>
      <c r="G377" s="16"/>
      <c r="H377" s="16"/>
      <c r="I377" s="15"/>
      <c r="J377" s="15" t="str">
        <f>TEXT(A377,"yyyy-mm")</f>
        <v>yyyy-01</v>
      </c>
      <c r="K377" s="16">
        <f>K376 + IF(C377="Entrada", G377, -G377)</f>
        <v>-5277.5099999999984</v>
      </c>
    </row>
    <row r="378" spans="1:11" ht="15.75" customHeight="1" x14ac:dyDescent="0.25">
      <c r="A378" s="14"/>
      <c r="C378" s="15"/>
      <c r="D378" s="15"/>
      <c r="E378" s="15"/>
      <c r="F378" s="15"/>
      <c r="G378" s="16"/>
      <c r="H378" s="16"/>
      <c r="I378" s="15"/>
      <c r="J378" s="15" t="str">
        <f>TEXT(A378,"yyyy-mm")</f>
        <v>yyyy-01</v>
      </c>
      <c r="K378" s="16">
        <f>K377 + IF(C378="Entrada", G378, -G378)</f>
        <v>-5277.5099999999984</v>
      </c>
    </row>
    <row r="379" spans="1:11" ht="15.75" customHeight="1" x14ac:dyDescent="0.25">
      <c r="A379" s="14"/>
      <c r="C379" s="15"/>
      <c r="D379" s="15"/>
      <c r="E379" s="15"/>
      <c r="F379" s="15"/>
      <c r="G379" s="16"/>
      <c r="H379" s="16"/>
      <c r="I379" s="15"/>
      <c r="J379" s="15" t="str">
        <f>TEXT(A379,"yyyy-mm")</f>
        <v>yyyy-01</v>
      </c>
      <c r="K379" s="16">
        <f>K378 + IF(C379="Entrada", G379, -G379)</f>
        <v>-5277.5099999999984</v>
      </c>
    </row>
    <row r="380" spans="1:11" ht="15.75" customHeight="1" x14ac:dyDescent="0.25">
      <c r="A380" s="14"/>
      <c r="C380" s="15"/>
      <c r="D380" s="15"/>
      <c r="E380" s="15"/>
      <c r="F380" s="15"/>
      <c r="G380" s="16"/>
      <c r="H380" s="16"/>
      <c r="I380" s="15"/>
      <c r="J380" s="15" t="str">
        <f>TEXT(A380,"yyyy-mm")</f>
        <v>yyyy-01</v>
      </c>
      <c r="K380" s="16">
        <f>K379 + IF(C380="Entrada", G380, -G380)</f>
        <v>-5277.5099999999984</v>
      </c>
    </row>
    <row r="381" spans="1:11" ht="15.75" customHeight="1" x14ac:dyDescent="0.25">
      <c r="A381" s="14"/>
      <c r="C381" s="15"/>
      <c r="D381" s="15"/>
      <c r="E381" s="15"/>
      <c r="F381" s="15"/>
      <c r="G381" s="16"/>
      <c r="H381" s="16"/>
      <c r="I381" s="15"/>
      <c r="J381" s="15" t="str">
        <f>TEXT(A381,"yyyy-mm")</f>
        <v>yyyy-01</v>
      </c>
      <c r="K381" s="16">
        <f>K380 + IF(C381="Entrada", G381, -G381)</f>
        <v>-5277.5099999999984</v>
      </c>
    </row>
    <row r="382" spans="1:11" ht="15.75" customHeight="1" x14ac:dyDescent="0.25">
      <c r="A382" s="14"/>
      <c r="C382" s="15"/>
      <c r="D382" s="15"/>
      <c r="E382" s="15"/>
      <c r="F382" s="15"/>
      <c r="G382" s="16"/>
      <c r="H382" s="16"/>
      <c r="I382" s="15"/>
      <c r="J382" s="15" t="str">
        <f>TEXT(A382,"yyyy-mm")</f>
        <v>yyyy-01</v>
      </c>
      <c r="K382" s="16">
        <f>K381 + IF(C382="Entrada", G382, -G382)</f>
        <v>-5277.5099999999984</v>
      </c>
    </row>
    <row r="383" spans="1:11" ht="15.75" customHeight="1" x14ac:dyDescent="0.25">
      <c r="A383" s="14"/>
      <c r="C383" s="15"/>
      <c r="D383" s="15"/>
      <c r="E383" s="15"/>
      <c r="F383" s="15"/>
      <c r="G383" s="16"/>
      <c r="H383" s="16"/>
      <c r="I383" s="15"/>
      <c r="J383" s="15" t="str">
        <f>TEXT(A383,"yyyy-mm")</f>
        <v>yyyy-01</v>
      </c>
      <c r="K383" s="16">
        <f>K382 + IF(C383="Entrada", G383, -G383)</f>
        <v>-5277.5099999999984</v>
      </c>
    </row>
    <row r="384" spans="1:11" ht="15.75" customHeight="1" x14ac:dyDescent="0.25">
      <c r="A384" s="14"/>
      <c r="C384" s="15"/>
      <c r="D384" s="15"/>
      <c r="E384" s="15"/>
      <c r="F384" s="15"/>
      <c r="G384" s="16"/>
      <c r="H384" s="16"/>
      <c r="I384" s="15"/>
      <c r="J384" s="15" t="str">
        <f>TEXT(A384,"yyyy-mm")</f>
        <v>yyyy-01</v>
      </c>
      <c r="K384" s="16">
        <f>K383 + IF(C384="Entrada", G384, -G384)</f>
        <v>-5277.5099999999984</v>
      </c>
    </row>
    <row r="385" spans="1:11" ht="15.75" customHeight="1" x14ac:dyDescent="0.25">
      <c r="A385" s="14"/>
      <c r="C385" s="15"/>
      <c r="D385" s="15"/>
      <c r="E385" s="15"/>
      <c r="F385" s="15"/>
      <c r="G385" s="16"/>
      <c r="H385" s="16"/>
      <c r="I385" s="15"/>
      <c r="J385" s="15" t="str">
        <f>TEXT(A385,"yyyy-mm")</f>
        <v>yyyy-01</v>
      </c>
      <c r="K385" s="16">
        <f>K384 + IF(C385="Entrada", G385, -G385)</f>
        <v>-5277.5099999999984</v>
      </c>
    </row>
    <row r="386" spans="1:11" ht="15.75" customHeight="1" x14ac:dyDescent="0.25">
      <c r="A386" s="14"/>
      <c r="C386" s="15"/>
      <c r="D386" s="15"/>
      <c r="E386" s="15"/>
      <c r="F386" s="15"/>
      <c r="G386" s="16"/>
      <c r="H386" s="16"/>
      <c r="I386" s="15"/>
      <c r="J386" s="15" t="str">
        <f>TEXT(A386,"yyyy-mm")</f>
        <v>yyyy-01</v>
      </c>
      <c r="K386" s="16">
        <f>K385 + IF(C386="Entrada", G386, -G386)</f>
        <v>-5277.5099999999984</v>
      </c>
    </row>
    <row r="387" spans="1:11" ht="15.75" customHeight="1" x14ac:dyDescent="0.25">
      <c r="A387" s="14"/>
      <c r="C387" s="15"/>
      <c r="D387" s="15"/>
      <c r="E387" s="15"/>
      <c r="F387" s="15"/>
      <c r="G387" s="16"/>
      <c r="H387" s="16"/>
      <c r="I387" s="15"/>
      <c r="J387" s="15" t="str">
        <f>TEXT(A387,"yyyy-mm")</f>
        <v>yyyy-01</v>
      </c>
      <c r="K387" s="16">
        <f>K386 + IF(C387="Entrada", G387, -G387)</f>
        <v>-5277.5099999999984</v>
      </c>
    </row>
    <row r="388" spans="1:11" ht="15.75" customHeight="1" x14ac:dyDescent="0.25">
      <c r="A388" s="14"/>
      <c r="C388" s="15"/>
      <c r="D388" s="15"/>
      <c r="E388" s="15"/>
      <c r="F388" s="15"/>
      <c r="G388" s="16"/>
      <c r="H388" s="16"/>
      <c r="I388" s="15"/>
      <c r="J388" s="15" t="str">
        <f>TEXT(A388,"yyyy-mm")</f>
        <v>yyyy-01</v>
      </c>
      <c r="K388" s="16">
        <f>K387 + IF(C388="Entrada", G388, -G388)</f>
        <v>-5277.5099999999984</v>
      </c>
    </row>
    <row r="389" spans="1:11" ht="15.75" customHeight="1" x14ac:dyDescent="0.25">
      <c r="A389" s="14"/>
      <c r="C389" s="15"/>
      <c r="D389" s="15"/>
      <c r="E389" s="15"/>
      <c r="F389" s="15"/>
      <c r="G389" s="16"/>
      <c r="H389" s="16"/>
      <c r="I389" s="15"/>
      <c r="J389" s="15" t="str">
        <f>TEXT(A389,"yyyy-mm")</f>
        <v>yyyy-01</v>
      </c>
      <c r="K389" s="16">
        <f>K388 + IF(C389="Entrada", G389, -G389)</f>
        <v>-5277.5099999999984</v>
      </c>
    </row>
    <row r="390" spans="1:11" ht="15.75" customHeight="1" x14ac:dyDescent="0.25">
      <c r="A390" s="14"/>
      <c r="C390" s="15"/>
      <c r="D390" s="15"/>
      <c r="E390" s="15"/>
      <c r="F390" s="15"/>
      <c r="G390" s="16"/>
      <c r="H390" s="16"/>
      <c r="I390" s="15"/>
      <c r="J390" s="15" t="str">
        <f>TEXT(A390,"yyyy-mm")</f>
        <v>yyyy-01</v>
      </c>
      <c r="K390" s="16">
        <f>K389 + IF(C390="Entrada", G390, -G390)</f>
        <v>-5277.5099999999984</v>
      </c>
    </row>
    <row r="391" spans="1:11" ht="15.75" customHeight="1" x14ac:dyDescent="0.25">
      <c r="A391" s="14"/>
      <c r="C391" s="15"/>
      <c r="D391" s="15"/>
      <c r="E391" s="15"/>
      <c r="F391" s="15"/>
      <c r="G391" s="16"/>
      <c r="H391" s="16"/>
      <c r="I391" s="15"/>
      <c r="J391" s="15" t="str">
        <f>TEXT(A391,"yyyy-mm")</f>
        <v>yyyy-01</v>
      </c>
      <c r="K391" s="16">
        <f>K390 + IF(C391="Entrada", G391, -G391)</f>
        <v>-5277.5099999999984</v>
      </c>
    </row>
    <row r="392" spans="1:11" ht="15.75" customHeight="1" x14ac:dyDescent="0.25">
      <c r="A392" s="14"/>
      <c r="C392" s="15"/>
      <c r="D392" s="15"/>
      <c r="E392" s="15"/>
      <c r="F392" s="15"/>
      <c r="G392" s="16"/>
      <c r="H392" s="16"/>
      <c r="I392" s="15"/>
      <c r="J392" s="15" t="str">
        <f>TEXT(A392,"yyyy-mm")</f>
        <v>yyyy-01</v>
      </c>
      <c r="K392" s="16">
        <f>K391 + IF(C392="Entrada", G392, -G392)</f>
        <v>-5277.5099999999984</v>
      </c>
    </row>
    <row r="393" spans="1:11" ht="15.75" customHeight="1" x14ac:dyDescent="0.25">
      <c r="A393" s="14"/>
      <c r="C393" s="15"/>
      <c r="D393" s="15"/>
      <c r="E393" s="15"/>
      <c r="F393" s="15"/>
      <c r="G393" s="16"/>
      <c r="H393" s="16"/>
      <c r="I393" s="15"/>
      <c r="J393" s="15" t="str">
        <f>TEXT(A393,"yyyy-mm")</f>
        <v>yyyy-01</v>
      </c>
      <c r="K393" s="16">
        <f>K392 + IF(C393="Entrada", G393, -G393)</f>
        <v>-5277.5099999999984</v>
      </c>
    </row>
    <row r="394" spans="1:11" ht="15.75" customHeight="1" x14ac:dyDescent="0.25">
      <c r="A394" s="14"/>
      <c r="C394" s="15"/>
      <c r="D394" s="15"/>
      <c r="E394" s="15"/>
      <c r="F394" s="15"/>
      <c r="G394" s="16"/>
      <c r="H394" s="16"/>
      <c r="I394" s="15"/>
      <c r="J394" s="15" t="str">
        <f>TEXT(A394,"yyyy-mm")</f>
        <v>yyyy-01</v>
      </c>
      <c r="K394" s="16">
        <f>K393 + IF(C394="Entrada", G394, -G394)</f>
        <v>-5277.5099999999984</v>
      </c>
    </row>
    <row r="395" spans="1:11" ht="15.75" customHeight="1" x14ac:dyDescent="0.25">
      <c r="A395" s="14"/>
      <c r="C395" s="15"/>
      <c r="D395" s="15"/>
      <c r="E395" s="15"/>
      <c r="F395" s="15"/>
      <c r="G395" s="16"/>
      <c r="H395" s="16"/>
      <c r="I395" s="15"/>
      <c r="J395" s="15" t="str">
        <f>TEXT(A395,"yyyy-mm")</f>
        <v>yyyy-01</v>
      </c>
      <c r="K395" s="16">
        <f>K394 + IF(C395="Entrada", G395, -G395)</f>
        <v>-5277.5099999999984</v>
      </c>
    </row>
    <row r="396" spans="1:11" ht="15.75" customHeight="1" x14ac:dyDescent="0.25">
      <c r="A396" s="14"/>
      <c r="C396" s="15"/>
      <c r="D396" s="15"/>
      <c r="E396" s="15"/>
      <c r="F396" s="15"/>
      <c r="G396" s="16"/>
      <c r="H396" s="16"/>
      <c r="I396" s="15"/>
      <c r="J396" s="15" t="str">
        <f>TEXT(A396,"yyyy-mm")</f>
        <v>yyyy-01</v>
      </c>
      <c r="K396" s="16">
        <f>K395 + IF(C396="Entrada", G396, -G396)</f>
        <v>-5277.5099999999984</v>
      </c>
    </row>
    <row r="397" spans="1:11" ht="15.75" customHeight="1" x14ac:dyDescent="0.25">
      <c r="A397" s="14"/>
      <c r="C397" s="15"/>
      <c r="D397" s="15"/>
      <c r="E397" s="15"/>
      <c r="F397" s="15"/>
      <c r="G397" s="16"/>
      <c r="H397" s="16"/>
      <c r="I397" s="15"/>
      <c r="J397" s="15" t="str">
        <f>TEXT(A397,"yyyy-mm")</f>
        <v>yyyy-01</v>
      </c>
      <c r="K397" s="16">
        <f>K396 + IF(C397="Entrada", G397, -G397)</f>
        <v>-5277.5099999999984</v>
      </c>
    </row>
    <row r="398" spans="1:11" ht="15.75" customHeight="1" x14ac:dyDescent="0.25">
      <c r="A398" s="14"/>
      <c r="C398" s="15"/>
      <c r="D398" s="15"/>
      <c r="E398" s="15"/>
      <c r="F398" s="15"/>
      <c r="G398" s="16"/>
      <c r="H398" s="16"/>
      <c r="I398" s="15"/>
      <c r="J398" s="15" t="str">
        <f>TEXT(A398,"yyyy-mm")</f>
        <v>yyyy-01</v>
      </c>
      <c r="K398" s="16">
        <f>K397 + IF(C398="Entrada", G398, -G398)</f>
        <v>-5277.5099999999984</v>
      </c>
    </row>
    <row r="399" spans="1:11" ht="15.75" customHeight="1" x14ac:dyDescent="0.25">
      <c r="A399" s="14"/>
      <c r="C399" s="15"/>
      <c r="D399" s="15"/>
      <c r="E399" s="15"/>
      <c r="F399" s="15"/>
      <c r="G399" s="16"/>
      <c r="H399" s="16"/>
      <c r="I399" s="15"/>
      <c r="J399" s="15" t="str">
        <f>TEXT(A399,"yyyy-mm")</f>
        <v>yyyy-01</v>
      </c>
      <c r="K399" s="16">
        <f>K398 + IF(C399="Entrada", G399, -G399)</f>
        <v>-5277.5099999999984</v>
      </c>
    </row>
    <row r="400" spans="1:11" ht="15.75" customHeight="1" x14ac:dyDescent="0.25">
      <c r="A400" s="14"/>
      <c r="C400" s="15"/>
      <c r="D400" s="15"/>
      <c r="E400" s="15"/>
      <c r="F400" s="15"/>
      <c r="G400" s="16"/>
      <c r="H400" s="16"/>
      <c r="I400" s="15"/>
      <c r="J400" s="15" t="str">
        <f>TEXT(A400,"yyyy-mm")</f>
        <v>yyyy-01</v>
      </c>
      <c r="K400" s="16">
        <f>K399 + IF(C400="Entrada", G400, -G400)</f>
        <v>-5277.5099999999984</v>
      </c>
    </row>
    <row r="401" spans="1:11" ht="15.75" customHeight="1" x14ac:dyDescent="0.25">
      <c r="A401" s="14"/>
      <c r="C401" s="15"/>
      <c r="D401" s="15"/>
      <c r="E401" s="15"/>
      <c r="F401" s="15"/>
      <c r="G401" s="16"/>
      <c r="H401" s="16"/>
      <c r="I401" s="15"/>
      <c r="J401" s="15" t="str">
        <f>TEXT(A401,"yyyy-mm")</f>
        <v>yyyy-01</v>
      </c>
      <c r="K401" s="16">
        <f>K400 + IF(C401="Entrada", G401, -G401)</f>
        <v>-5277.5099999999984</v>
      </c>
    </row>
    <row r="402" spans="1:11" ht="15.75" customHeight="1" x14ac:dyDescent="0.25">
      <c r="A402" s="14"/>
      <c r="C402" s="15"/>
      <c r="D402" s="15"/>
      <c r="E402" s="15"/>
      <c r="F402" s="15"/>
      <c r="G402" s="16"/>
      <c r="H402" s="16"/>
      <c r="I402" s="15"/>
      <c r="J402" s="15" t="str">
        <f>TEXT(A402,"yyyy-mm")</f>
        <v>yyyy-01</v>
      </c>
      <c r="K402" s="16">
        <f>K401 + IF(C402="Entrada", G402, -G402)</f>
        <v>-5277.5099999999984</v>
      </c>
    </row>
    <row r="403" spans="1:11" ht="15.75" customHeight="1" x14ac:dyDescent="0.25">
      <c r="A403" s="14"/>
      <c r="C403" s="15"/>
      <c r="D403" s="15"/>
      <c r="E403" s="15"/>
      <c r="F403" s="15"/>
      <c r="G403" s="16"/>
      <c r="H403" s="16"/>
      <c r="I403" s="15"/>
      <c r="J403" s="15" t="str">
        <f>TEXT(A403,"yyyy-mm")</f>
        <v>yyyy-01</v>
      </c>
      <c r="K403" s="16">
        <f>K402 + IF(C403="Entrada", G403, -G403)</f>
        <v>-5277.5099999999984</v>
      </c>
    </row>
    <row r="404" spans="1:11" ht="15.75" customHeight="1" x14ac:dyDescent="0.25">
      <c r="A404" s="14"/>
      <c r="C404" s="15"/>
      <c r="D404" s="15"/>
      <c r="E404" s="15"/>
      <c r="F404" s="15"/>
      <c r="G404" s="16"/>
      <c r="H404" s="16"/>
      <c r="I404" s="15"/>
      <c r="J404" s="15" t="str">
        <f>TEXT(A404,"yyyy-mm")</f>
        <v>yyyy-01</v>
      </c>
      <c r="K404" s="16">
        <f>K403 + IF(C404="Entrada", G404, -G404)</f>
        <v>-5277.5099999999984</v>
      </c>
    </row>
    <row r="405" spans="1:11" ht="15.75" customHeight="1" x14ac:dyDescent="0.25">
      <c r="A405" s="14"/>
      <c r="C405" s="15"/>
      <c r="D405" s="15"/>
      <c r="E405" s="15"/>
      <c r="F405" s="15"/>
      <c r="G405" s="16"/>
      <c r="H405" s="16"/>
      <c r="I405" s="15"/>
      <c r="J405" s="15" t="str">
        <f>TEXT(A405,"yyyy-mm")</f>
        <v>yyyy-01</v>
      </c>
      <c r="K405" s="16">
        <f>K404 + IF(C405="Entrada", G405, -G405)</f>
        <v>-5277.5099999999984</v>
      </c>
    </row>
    <row r="406" spans="1:11" ht="15.75" customHeight="1" x14ac:dyDescent="0.25">
      <c r="A406" s="14"/>
      <c r="C406" s="15"/>
      <c r="D406" s="15"/>
      <c r="E406" s="15"/>
      <c r="F406" s="15"/>
      <c r="G406" s="16"/>
      <c r="H406" s="16"/>
      <c r="I406" s="15"/>
      <c r="J406" s="15" t="str">
        <f>TEXT(A406,"yyyy-mm")</f>
        <v>yyyy-01</v>
      </c>
      <c r="K406" s="16">
        <f>K405 + IF(C406="Entrada", G406, -G406)</f>
        <v>-5277.5099999999984</v>
      </c>
    </row>
    <row r="407" spans="1:11" ht="15.75" customHeight="1" x14ac:dyDescent="0.25">
      <c r="A407" s="14"/>
      <c r="C407" s="15"/>
      <c r="D407" s="15"/>
      <c r="E407" s="15"/>
      <c r="F407" s="15"/>
      <c r="G407" s="16"/>
      <c r="H407" s="16"/>
      <c r="I407" s="15"/>
      <c r="J407" s="15" t="str">
        <f>TEXT(A407,"yyyy-mm")</f>
        <v>yyyy-01</v>
      </c>
      <c r="K407" s="16">
        <f>K406 + IF(C407="Entrada", G407, -G407)</f>
        <v>-5277.5099999999984</v>
      </c>
    </row>
    <row r="408" spans="1:11" ht="15.75" customHeight="1" x14ac:dyDescent="0.25">
      <c r="A408" s="14"/>
      <c r="C408" s="15"/>
      <c r="D408" s="15"/>
      <c r="E408" s="15"/>
      <c r="F408" s="15"/>
      <c r="G408" s="16"/>
      <c r="H408" s="16"/>
      <c r="I408" s="15"/>
      <c r="J408" s="15" t="str">
        <f>TEXT(A408,"yyyy-mm")</f>
        <v>yyyy-01</v>
      </c>
      <c r="K408" s="16">
        <f>K407 + IF(C408="Entrada", G408, -G408)</f>
        <v>-5277.5099999999984</v>
      </c>
    </row>
    <row r="409" spans="1:11" ht="15.75" customHeight="1" x14ac:dyDescent="0.25">
      <c r="A409" s="14"/>
      <c r="C409" s="15"/>
      <c r="D409" s="15"/>
      <c r="E409" s="15"/>
      <c r="F409" s="15"/>
      <c r="G409" s="16"/>
      <c r="H409" s="16"/>
      <c r="I409" s="15"/>
      <c r="J409" s="15" t="str">
        <f>TEXT(A409,"yyyy-mm")</f>
        <v>yyyy-01</v>
      </c>
      <c r="K409" s="16">
        <f>K408 + IF(C409="Entrada", G409, -G409)</f>
        <v>-5277.5099999999984</v>
      </c>
    </row>
    <row r="410" spans="1:11" ht="15.75" customHeight="1" x14ac:dyDescent="0.25">
      <c r="A410" s="14"/>
      <c r="C410" s="15"/>
      <c r="D410" s="15"/>
      <c r="E410" s="15"/>
      <c r="F410" s="15"/>
      <c r="G410" s="16"/>
      <c r="H410" s="16"/>
      <c r="I410" s="15"/>
      <c r="J410" s="15" t="str">
        <f>TEXT(A410,"yyyy-mm")</f>
        <v>yyyy-01</v>
      </c>
      <c r="K410" s="16">
        <f>K409 + IF(C410="Entrada", G410, -G410)</f>
        <v>-5277.5099999999984</v>
      </c>
    </row>
    <row r="411" spans="1:11" ht="15.75" customHeight="1" x14ac:dyDescent="0.25">
      <c r="A411" s="14"/>
      <c r="C411" s="15"/>
      <c r="D411" s="15"/>
      <c r="E411" s="15"/>
      <c r="F411" s="15"/>
      <c r="G411" s="16"/>
      <c r="H411" s="16"/>
      <c r="I411" s="15"/>
      <c r="J411" s="15" t="str">
        <f>TEXT(A411,"yyyy-mm")</f>
        <v>yyyy-01</v>
      </c>
      <c r="K411" s="16">
        <f>K410 + IF(C411="Entrada", G411, -G411)</f>
        <v>-5277.5099999999984</v>
      </c>
    </row>
    <row r="412" spans="1:11" ht="15.75" customHeight="1" x14ac:dyDescent="0.25">
      <c r="A412" s="14"/>
      <c r="C412" s="15"/>
      <c r="D412" s="15"/>
      <c r="E412" s="15"/>
      <c r="F412" s="15"/>
      <c r="G412" s="16"/>
      <c r="H412" s="16"/>
      <c r="I412" s="15"/>
      <c r="J412" s="15" t="str">
        <f>TEXT(A412,"yyyy-mm")</f>
        <v>yyyy-01</v>
      </c>
      <c r="K412" s="16">
        <f>K411 + IF(C412="Entrada", G412, -G412)</f>
        <v>-5277.5099999999984</v>
      </c>
    </row>
    <row r="413" spans="1:11" ht="15.75" customHeight="1" x14ac:dyDescent="0.25">
      <c r="A413" s="14"/>
      <c r="C413" s="15"/>
      <c r="D413" s="15"/>
      <c r="E413" s="15"/>
      <c r="F413" s="15"/>
      <c r="G413" s="16"/>
      <c r="H413" s="16"/>
      <c r="I413" s="15"/>
      <c r="J413" s="15" t="str">
        <f>TEXT(A413,"yyyy-mm")</f>
        <v>yyyy-01</v>
      </c>
      <c r="K413" s="16">
        <f>K412 + IF(C413="Entrada", G413, -G413)</f>
        <v>-5277.5099999999984</v>
      </c>
    </row>
    <row r="414" spans="1:11" ht="15.75" customHeight="1" x14ac:dyDescent="0.25">
      <c r="A414" s="14"/>
      <c r="C414" s="15"/>
      <c r="D414" s="15"/>
      <c r="E414" s="15"/>
      <c r="F414" s="15"/>
      <c r="G414" s="16"/>
      <c r="H414" s="16"/>
      <c r="I414" s="15"/>
      <c r="J414" s="15" t="str">
        <f>TEXT(A414,"yyyy-mm")</f>
        <v>yyyy-01</v>
      </c>
      <c r="K414" s="16">
        <f>K413 + IF(C414="Entrada", G414, -G414)</f>
        <v>-5277.5099999999984</v>
      </c>
    </row>
    <row r="415" spans="1:11" ht="15.75" customHeight="1" x14ac:dyDescent="0.25">
      <c r="A415" s="14"/>
      <c r="C415" s="15"/>
      <c r="D415" s="15"/>
      <c r="E415" s="15"/>
      <c r="F415" s="15"/>
      <c r="G415" s="16"/>
      <c r="H415" s="16"/>
      <c r="I415" s="15"/>
      <c r="J415" s="15" t="str">
        <f>TEXT(A415,"yyyy-mm")</f>
        <v>yyyy-01</v>
      </c>
      <c r="K415" s="16">
        <f>K414 + IF(C415="Entrada", G415, -G415)</f>
        <v>-5277.5099999999984</v>
      </c>
    </row>
    <row r="416" spans="1:11" ht="15.75" customHeight="1" x14ac:dyDescent="0.25">
      <c r="A416" s="14"/>
      <c r="C416" s="15"/>
      <c r="D416" s="15"/>
      <c r="E416" s="15"/>
      <c r="F416" s="15"/>
      <c r="G416" s="16"/>
      <c r="H416" s="16"/>
      <c r="I416" s="15"/>
      <c r="J416" s="15" t="str">
        <f>TEXT(A416,"yyyy-mm")</f>
        <v>yyyy-01</v>
      </c>
      <c r="K416" s="16">
        <f>K415 + IF(C416="Entrada", G416, -G416)</f>
        <v>-5277.5099999999984</v>
      </c>
    </row>
    <row r="417" spans="1:11" ht="15.75" customHeight="1" x14ac:dyDescent="0.25">
      <c r="A417" s="14"/>
      <c r="C417" s="15"/>
      <c r="D417" s="15"/>
      <c r="E417" s="15"/>
      <c r="F417" s="15"/>
      <c r="G417" s="16"/>
      <c r="H417" s="16"/>
      <c r="I417" s="15"/>
      <c r="J417" s="15" t="str">
        <f>TEXT(A417,"yyyy-mm")</f>
        <v>yyyy-01</v>
      </c>
      <c r="K417" s="16">
        <f>K416 + IF(C417="Entrada", G417, -G417)</f>
        <v>-5277.5099999999984</v>
      </c>
    </row>
    <row r="418" spans="1:11" ht="15.75" customHeight="1" x14ac:dyDescent="0.25">
      <c r="A418" s="14"/>
      <c r="C418" s="15"/>
      <c r="D418" s="15"/>
      <c r="E418" s="15"/>
      <c r="F418" s="15"/>
      <c r="G418" s="16"/>
      <c r="H418" s="16"/>
      <c r="I418" s="15"/>
      <c r="J418" s="15" t="str">
        <f>TEXT(A418,"yyyy-mm")</f>
        <v>yyyy-01</v>
      </c>
      <c r="K418" s="16">
        <f>K417 + IF(C418="Entrada", G418, -G418)</f>
        <v>-5277.5099999999984</v>
      </c>
    </row>
    <row r="419" spans="1:11" ht="15.75" customHeight="1" x14ac:dyDescent="0.25">
      <c r="A419" s="14"/>
      <c r="C419" s="15"/>
      <c r="D419" s="15"/>
      <c r="E419" s="15"/>
      <c r="F419" s="15"/>
      <c r="G419" s="16"/>
      <c r="H419" s="16"/>
      <c r="I419" s="15"/>
      <c r="J419" s="15" t="str">
        <f>TEXT(A419,"yyyy-mm")</f>
        <v>yyyy-01</v>
      </c>
      <c r="K419" s="16">
        <f>K418 + IF(C419="Entrada", G419, -G419)</f>
        <v>-5277.5099999999984</v>
      </c>
    </row>
    <row r="420" spans="1:11" ht="15.75" customHeight="1" x14ac:dyDescent="0.25">
      <c r="A420" s="14"/>
      <c r="C420" s="15"/>
      <c r="D420" s="15"/>
      <c r="E420" s="15"/>
      <c r="F420" s="15"/>
      <c r="G420" s="16"/>
      <c r="H420" s="16"/>
      <c r="I420" s="15"/>
      <c r="J420" s="15" t="str">
        <f>TEXT(A420,"yyyy-mm")</f>
        <v>yyyy-01</v>
      </c>
      <c r="K420" s="16">
        <f>K419 + IF(C420="Entrada", G420, -G420)</f>
        <v>-5277.5099999999984</v>
      </c>
    </row>
    <row r="421" spans="1:11" ht="15.75" customHeight="1" x14ac:dyDescent="0.25">
      <c r="A421" s="14"/>
      <c r="C421" s="15"/>
      <c r="D421" s="15"/>
      <c r="E421" s="15"/>
      <c r="F421" s="15"/>
      <c r="G421" s="16"/>
      <c r="H421" s="16"/>
      <c r="I421" s="15"/>
      <c r="J421" s="15" t="str">
        <f>TEXT(A421,"yyyy-mm")</f>
        <v>yyyy-01</v>
      </c>
      <c r="K421" s="16">
        <f>K420 + IF(C421="Entrada", G421, -G421)</f>
        <v>-5277.5099999999984</v>
      </c>
    </row>
    <row r="422" spans="1:11" ht="15.75" customHeight="1" x14ac:dyDescent="0.25">
      <c r="A422" s="14"/>
      <c r="C422" s="15"/>
      <c r="D422" s="15"/>
      <c r="E422" s="15"/>
      <c r="F422" s="15"/>
      <c r="G422" s="16"/>
      <c r="H422" s="16"/>
      <c r="I422" s="15"/>
      <c r="J422" s="15" t="str">
        <f>TEXT(A422,"yyyy-mm")</f>
        <v>yyyy-01</v>
      </c>
      <c r="K422" s="16">
        <f>K421 + IF(C422="Entrada", G422, -G422)</f>
        <v>-5277.5099999999984</v>
      </c>
    </row>
    <row r="423" spans="1:11" ht="15.75" customHeight="1" x14ac:dyDescent="0.25">
      <c r="A423" s="14"/>
      <c r="C423" s="15"/>
      <c r="D423" s="15"/>
      <c r="E423" s="15"/>
      <c r="F423" s="15"/>
      <c r="G423" s="16"/>
      <c r="H423" s="16"/>
      <c r="I423" s="15"/>
      <c r="J423" s="15" t="str">
        <f>TEXT(A423,"yyyy-mm")</f>
        <v>yyyy-01</v>
      </c>
      <c r="K423" s="16">
        <f>K422 + IF(C423="Entrada", G423, -G423)</f>
        <v>-5277.5099999999984</v>
      </c>
    </row>
    <row r="424" spans="1:11" ht="15.75" customHeight="1" x14ac:dyDescent="0.25">
      <c r="A424" s="14"/>
      <c r="C424" s="15"/>
      <c r="D424" s="15"/>
      <c r="E424" s="15"/>
      <c r="F424" s="15"/>
      <c r="G424" s="16"/>
      <c r="H424" s="16"/>
      <c r="I424" s="15"/>
      <c r="J424" s="15" t="str">
        <f>TEXT(A424,"yyyy-mm")</f>
        <v>yyyy-01</v>
      </c>
      <c r="K424" s="16">
        <f>K423 + IF(C424="Entrada", G424, -G424)</f>
        <v>-5277.5099999999984</v>
      </c>
    </row>
    <row r="425" spans="1:11" ht="15.75" customHeight="1" x14ac:dyDescent="0.25">
      <c r="A425" s="14"/>
      <c r="C425" s="15"/>
      <c r="D425" s="15"/>
      <c r="E425" s="15"/>
      <c r="F425" s="15"/>
      <c r="G425" s="16"/>
      <c r="H425" s="16"/>
      <c r="I425" s="15"/>
      <c r="J425" s="15" t="str">
        <f>TEXT(A425,"yyyy-mm")</f>
        <v>yyyy-01</v>
      </c>
      <c r="K425" s="16">
        <f>K424 + IF(C425="Entrada", G425, -G425)</f>
        <v>-5277.5099999999984</v>
      </c>
    </row>
    <row r="426" spans="1:11" ht="15.75" customHeight="1" x14ac:dyDescent="0.25">
      <c r="A426" s="14"/>
      <c r="C426" s="15"/>
      <c r="D426" s="15"/>
      <c r="E426" s="15"/>
      <c r="F426" s="15"/>
      <c r="G426" s="16"/>
      <c r="H426" s="16"/>
      <c r="I426" s="15"/>
      <c r="J426" s="15" t="str">
        <f>TEXT(A426,"yyyy-mm")</f>
        <v>yyyy-01</v>
      </c>
      <c r="K426" s="16">
        <f>K425 + IF(C426="Entrada", G426, -G426)</f>
        <v>-5277.5099999999984</v>
      </c>
    </row>
    <row r="427" spans="1:11" ht="15.75" customHeight="1" x14ac:dyDescent="0.25">
      <c r="A427" s="14"/>
      <c r="C427" s="15"/>
      <c r="D427" s="15"/>
      <c r="E427" s="15"/>
      <c r="F427" s="15"/>
      <c r="G427" s="16"/>
      <c r="H427" s="16"/>
      <c r="I427" s="15"/>
      <c r="J427" s="15" t="str">
        <f>TEXT(A427,"yyyy-mm")</f>
        <v>yyyy-01</v>
      </c>
      <c r="K427" s="16">
        <f>K426 + IF(C427="Entrada", G427, -G427)</f>
        <v>-5277.5099999999984</v>
      </c>
    </row>
    <row r="428" spans="1:11" ht="15.75" customHeight="1" x14ac:dyDescent="0.25">
      <c r="A428" s="14"/>
      <c r="C428" s="15"/>
      <c r="D428" s="15"/>
      <c r="E428" s="15"/>
      <c r="F428" s="15"/>
      <c r="G428" s="16"/>
      <c r="H428" s="16"/>
      <c r="I428" s="15"/>
      <c r="J428" s="15" t="str">
        <f>TEXT(A428,"yyyy-mm")</f>
        <v>yyyy-01</v>
      </c>
      <c r="K428" s="16">
        <f>K427 + IF(C428="Entrada", G428, -G428)</f>
        <v>-5277.5099999999984</v>
      </c>
    </row>
    <row r="429" spans="1:11" ht="15.75" customHeight="1" x14ac:dyDescent="0.25">
      <c r="A429" s="14"/>
      <c r="C429" s="15"/>
      <c r="D429" s="15"/>
      <c r="E429" s="15"/>
      <c r="F429" s="15"/>
      <c r="G429" s="16"/>
      <c r="H429" s="16"/>
      <c r="I429" s="15"/>
      <c r="J429" s="15" t="str">
        <f>TEXT(A429,"yyyy-mm")</f>
        <v>yyyy-01</v>
      </c>
      <c r="K429" s="16">
        <f>K428 + IF(C429="Entrada", G429, -G429)</f>
        <v>-5277.5099999999984</v>
      </c>
    </row>
    <row r="430" spans="1:11" ht="15.75" customHeight="1" x14ac:dyDescent="0.25">
      <c r="A430" s="14"/>
      <c r="C430" s="15"/>
      <c r="D430" s="15"/>
      <c r="E430" s="15"/>
      <c r="F430" s="15"/>
      <c r="G430" s="16"/>
      <c r="H430" s="16"/>
      <c r="I430" s="15"/>
      <c r="J430" s="15" t="str">
        <f>TEXT(A430,"yyyy-mm")</f>
        <v>yyyy-01</v>
      </c>
      <c r="K430" s="16">
        <f>K429 + IF(C430="Entrada", G430, -G430)</f>
        <v>-5277.5099999999984</v>
      </c>
    </row>
    <row r="431" spans="1:11" ht="15.75" customHeight="1" x14ac:dyDescent="0.25">
      <c r="A431" s="14"/>
      <c r="C431" s="15"/>
      <c r="D431" s="15"/>
      <c r="E431" s="15"/>
      <c r="F431" s="15"/>
      <c r="G431" s="16"/>
      <c r="H431" s="16"/>
      <c r="I431" s="15"/>
      <c r="J431" s="15" t="str">
        <f>TEXT(A431,"yyyy-mm")</f>
        <v>yyyy-01</v>
      </c>
      <c r="K431" s="16">
        <f>K430 + IF(C431="Entrada", G431, -G431)</f>
        <v>-5277.5099999999984</v>
      </c>
    </row>
    <row r="432" spans="1:11" ht="15.75" customHeight="1" x14ac:dyDescent="0.25">
      <c r="A432" s="14"/>
      <c r="C432" s="15"/>
      <c r="D432" s="15"/>
      <c r="E432" s="15"/>
      <c r="F432" s="15"/>
      <c r="G432" s="16"/>
      <c r="H432" s="16"/>
      <c r="I432" s="15"/>
      <c r="J432" s="15" t="str">
        <f>TEXT(A432,"yyyy-mm")</f>
        <v>yyyy-01</v>
      </c>
      <c r="K432" s="16">
        <f>K431 + IF(C432="Entrada", G432, -G432)</f>
        <v>-5277.5099999999984</v>
      </c>
    </row>
    <row r="433" spans="1:11" ht="15.75" customHeight="1" x14ac:dyDescent="0.25">
      <c r="A433" s="14"/>
      <c r="C433" s="15"/>
      <c r="D433" s="15"/>
      <c r="E433" s="15"/>
      <c r="F433" s="15"/>
      <c r="G433" s="16"/>
      <c r="H433" s="16"/>
      <c r="I433" s="15"/>
      <c r="J433" s="15" t="str">
        <f>TEXT(A433,"yyyy-mm")</f>
        <v>yyyy-01</v>
      </c>
      <c r="K433" s="16">
        <f>K432 + IF(C433="Entrada", G433, -G433)</f>
        <v>-5277.5099999999984</v>
      </c>
    </row>
    <row r="434" spans="1:11" ht="15.75" customHeight="1" x14ac:dyDescent="0.25">
      <c r="A434" s="14"/>
      <c r="C434" s="15"/>
      <c r="D434" s="15"/>
      <c r="E434" s="15"/>
      <c r="F434" s="15"/>
      <c r="G434" s="16"/>
      <c r="H434" s="16"/>
      <c r="I434" s="15"/>
      <c r="J434" s="15" t="str">
        <f>TEXT(A434,"yyyy-mm")</f>
        <v>yyyy-01</v>
      </c>
      <c r="K434" s="16">
        <f>K433 + IF(C434="Entrada", G434, -G434)</f>
        <v>-5277.5099999999984</v>
      </c>
    </row>
    <row r="435" spans="1:11" ht="15.75" customHeight="1" x14ac:dyDescent="0.25">
      <c r="A435" s="14"/>
      <c r="C435" s="15"/>
      <c r="D435" s="15"/>
      <c r="E435" s="15"/>
      <c r="F435" s="15"/>
      <c r="G435" s="16"/>
      <c r="H435" s="16"/>
      <c r="I435" s="15"/>
      <c r="J435" s="15" t="str">
        <f>TEXT(A435,"yyyy-mm")</f>
        <v>yyyy-01</v>
      </c>
      <c r="K435" s="16">
        <f>K434 + IF(C435="Entrada", G435, -G435)</f>
        <v>-5277.5099999999984</v>
      </c>
    </row>
    <row r="436" spans="1:11" ht="15.75" customHeight="1" x14ac:dyDescent="0.25">
      <c r="A436" s="14"/>
      <c r="C436" s="15"/>
      <c r="D436" s="15"/>
      <c r="E436" s="15"/>
      <c r="F436" s="15"/>
      <c r="G436" s="16"/>
      <c r="H436" s="16"/>
      <c r="I436" s="15"/>
      <c r="J436" s="15" t="str">
        <f>TEXT(A436,"yyyy-mm")</f>
        <v>yyyy-01</v>
      </c>
      <c r="K436" s="16">
        <f>K435 + IF(C436="Entrada", G436, -G436)</f>
        <v>-5277.5099999999984</v>
      </c>
    </row>
    <row r="437" spans="1:11" ht="15.75" customHeight="1" x14ac:dyDescent="0.25">
      <c r="A437" s="14"/>
      <c r="C437" s="15"/>
      <c r="D437" s="15"/>
      <c r="E437" s="15"/>
      <c r="F437" s="15"/>
      <c r="G437" s="16"/>
      <c r="H437" s="16"/>
      <c r="I437" s="15"/>
      <c r="J437" s="15" t="str">
        <f>TEXT(A437,"yyyy-mm")</f>
        <v>yyyy-01</v>
      </c>
      <c r="K437" s="16">
        <f>K436 + IF(C437="Entrada", G437, -G437)</f>
        <v>-5277.5099999999984</v>
      </c>
    </row>
    <row r="438" spans="1:11" ht="15.75" customHeight="1" x14ac:dyDescent="0.25">
      <c r="A438" s="14"/>
      <c r="C438" s="15"/>
      <c r="D438" s="15"/>
      <c r="E438" s="15"/>
      <c r="F438" s="15"/>
      <c r="G438" s="16"/>
      <c r="H438" s="16"/>
      <c r="I438" s="15"/>
      <c r="J438" s="15" t="str">
        <f>TEXT(A438,"yyyy-mm")</f>
        <v>yyyy-01</v>
      </c>
      <c r="K438" s="16">
        <f>K437 + IF(C438="Entrada", G438, -G438)</f>
        <v>-5277.5099999999984</v>
      </c>
    </row>
    <row r="439" spans="1:11" ht="15.75" customHeight="1" x14ac:dyDescent="0.25">
      <c r="A439" s="14"/>
      <c r="C439" s="15"/>
      <c r="D439" s="15"/>
      <c r="E439" s="15"/>
      <c r="F439" s="15"/>
      <c r="G439" s="16"/>
      <c r="H439" s="16"/>
      <c r="I439" s="15"/>
      <c r="J439" s="15" t="str">
        <f>TEXT(A439,"yyyy-mm")</f>
        <v>yyyy-01</v>
      </c>
      <c r="K439" s="16">
        <f>K438 + IF(C439="Entrada", G439, -G439)</f>
        <v>-5277.5099999999984</v>
      </c>
    </row>
    <row r="440" spans="1:11" ht="15.75" customHeight="1" x14ac:dyDescent="0.25">
      <c r="A440" s="14"/>
      <c r="C440" s="15"/>
      <c r="D440" s="15"/>
      <c r="E440" s="15"/>
      <c r="F440" s="15"/>
      <c r="G440" s="16"/>
      <c r="H440" s="16"/>
      <c r="I440" s="15"/>
      <c r="J440" s="15" t="str">
        <f>TEXT(A440,"yyyy-mm")</f>
        <v>yyyy-01</v>
      </c>
      <c r="K440" s="16">
        <f>K439 + IF(C440="Entrada", G440, -G440)</f>
        <v>-5277.5099999999984</v>
      </c>
    </row>
    <row r="441" spans="1:11" ht="15.75" customHeight="1" x14ac:dyDescent="0.25">
      <c r="A441" s="14"/>
      <c r="C441" s="15"/>
      <c r="D441" s="15"/>
      <c r="E441" s="15"/>
      <c r="F441" s="15"/>
      <c r="G441" s="16"/>
      <c r="H441" s="16"/>
      <c r="I441" s="15"/>
      <c r="J441" s="15" t="str">
        <f>TEXT(A441,"yyyy-mm")</f>
        <v>yyyy-01</v>
      </c>
      <c r="K441" s="16">
        <f>K440 + IF(C441="Entrada", G441, -G441)</f>
        <v>-5277.5099999999984</v>
      </c>
    </row>
    <row r="442" spans="1:11" ht="15.75" customHeight="1" x14ac:dyDescent="0.25">
      <c r="A442" s="14"/>
      <c r="C442" s="15"/>
      <c r="D442" s="15"/>
      <c r="E442" s="15"/>
      <c r="F442" s="15"/>
      <c r="G442" s="16"/>
      <c r="H442" s="16"/>
      <c r="I442" s="15"/>
      <c r="J442" s="15" t="str">
        <f>TEXT(A442,"yyyy-mm")</f>
        <v>yyyy-01</v>
      </c>
      <c r="K442" s="16">
        <f>K441 + IF(C442="Entrada", G442, -G442)</f>
        <v>-5277.5099999999984</v>
      </c>
    </row>
    <row r="443" spans="1:11" ht="15.75" customHeight="1" x14ac:dyDescent="0.25">
      <c r="A443" s="14"/>
      <c r="C443" s="15"/>
      <c r="D443" s="15"/>
      <c r="E443" s="15"/>
      <c r="F443" s="15"/>
      <c r="G443" s="16"/>
      <c r="H443" s="16"/>
      <c r="I443" s="15"/>
      <c r="J443" s="15" t="str">
        <f>TEXT(A443,"yyyy-mm")</f>
        <v>yyyy-01</v>
      </c>
      <c r="K443" s="16">
        <f>K442 + IF(C443="Entrada", G443, -G443)</f>
        <v>-5277.5099999999984</v>
      </c>
    </row>
    <row r="444" spans="1:11" ht="15.75" customHeight="1" x14ac:dyDescent="0.25">
      <c r="A444" s="14"/>
      <c r="C444" s="15"/>
      <c r="D444" s="15"/>
      <c r="E444" s="15"/>
      <c r="F444" s="15"/>
      <c r="G444" s="16"/>
      <c r="H444" s="16"/>
      <c r="I444" s="15"/>
      <c r="J444" s="15" t="str">
        <f>TEXT(A444,"yyyy-mm")</f>
        <v>yyyy-01</v>
      </c>
      <c r="K444" s="16">
        <f>K443 + IF(C444="Entrada", G444, -G444)</f>
        <v>-5277.5099999999984</v>
      </c>
    </row>
    <row r="445" spans="1:11" ht="15.75" customHeight="1" x14ac:dyDescent="0.25">
      <c r="A445" s="14"/>
      <c r="C445" s="15"/>
      <c r="D445" s="15"/>
      <c r="E445" s="15"/>
      <c r="F445" s="15"/>
      <c r="G445" s="16"/>
      <c r="H445" s="16"/>
      <c r="I445" s="15"/>
      <c r="J445" s="15" t="str">
        <f>TEXT(A445,"yyyy-mm")</f>
        <v>yyyy-01</v>
      </c>
      <c r="K445" s="16">
        <f>K444 + IF(C445="Entrada", G445, -G445)</f>
        <v>-5277.5099999999984</v>
      </c>
    </row>
    <row r="446" spans="1:11" ht="15.75" customHeight="1" x14ac:dyDescent="0.25">
      <c r="A446" s="14"/>
      <c r="C446" s="15"/>
      <c r="D446" s="15"/>
      <c r="E446" s="15"/>
      <c r="F446" s="15"/>
      <c r="G446" s="16"/>
      <c r="H446" s="16"/>
      <c r="I446" s="15"/>
      <c r="J446" s="15" t="str">
        <f>TEXT(A446,"yyyy-mm")</f>
        <v>yyyy-01</v>
      </c>
      <c r="K446" s="16">
        <f>K445 + IF(C446="Entrada", G446, -G446)</f>
        <v>-5277.5099999999984</v>
      </c>
    </row>
    <row r="447" spans="1:11" ht="15.75" customHeight="1" x14ac:dyDescent="0.25">
      <c r="A447" s="14"/>
      <c r="C447" s="15"/>
      <c r="D447" s="15"/>
      <c r="E447" s="15"/>
      <c r="F447" s="15"/>
      <c r="G447" s="16"/>
      <c r="H447" s="16"/>
      <c r="I447" s="15"/>
      <c r="J447" s="15" t="str">
        <f>TEXT(A447,"yyyy-mm")</f>
        <v>yyyy-01</v>
      </c>
      <c r="K447" s="16">
        <f>K446 + IF(C447="Entrada", G447, -G447)</f>
        <v>-5277.5099999999984</v>
      </c>
    </row>
    <row r="448" spans="1:11" ht="15.75" customHeight="1" x14ac:dyDescent="0.25">
      <c r="A448" s="14"/>
      <c r="C448" s="15"/>
      <c r="D448" s="15"/>
      <c r="E448" s="15"/>
      <c r="F448" s="15"/>
      <c r="G448" s="16"/>
      <c r="H448" s="16"/>
      <c r="I448" s="15"/>
      <c r="J448" s="15" t="str">
        <f>TEXT(A448,"yyyy-mm")</f>
        <v>yyyy-01</v>
      </c>
      <c r="K448" s="16">
        <f>K447 + IF(C448="Entrada", G448, -G448)</f>
        <v>-5277.5099999999984</v>
      </c>
    </row>
    <row r="449" spans="1:11" ht="15.75" customHeight="1" x14ac:dyDescent="0.25">
      <c r="A449" s="14"/>
      <c r="C449" s="15"/>
      <c r="D449" s="15"/>
      <c r="E449" s="15"/>
      <c r="F449" s="15"/>
      <c r="G449" s="16"/>
      <c r="H449" s="16"/>
      <c r="I449" s="15"/>
      <c r="J449" s="15" t="str">
        <f>TEXT(A449,"yyyy-mm")</f>
        <v>yyyy-01</v>
      </c>
      <c r="K449" s="16">
        <f>K448 + IF(C449="Entrada", G449, -G449)</f>
        <v>-5277.5099999999984</v>
      </c>
    </row>
    <row r="450" spans="1:11" ht="15.75" customHeight="1" x14ac:dyDescent="0.25">
      <c r="A450" s="14"/>
      <c r="C450" s="15"/>
      <c r="D450" s="15"/>
      <c r="E450" s="15"/>
      <c r="F450" s="15"/>
      <c r="G450" s="16"/>
      <c r="H450" s="16"/>
      <c r="I450" s="15"/>
      <c r="J450" s="15" t="str">
        <f>TEXT(A450,"yyyy-mm")</f>
        <v>yyyy-01</v>
      </c>
      <c r="K450" s="16">
        <f>K449 + IF(C450="Entrada", G450, -G450)</f>
        <v>-5277.5099999999984</v>
      </c>
    </row>
    <row r="451" spans="1:11" ht="15.75" customHeight="1" x14ac:dyDescent="0.25">
      <c r="A451" s="14"/>
      <c r="C451" s="15"/>
      <c r="D451" s="15"/>
      <c r="E451" s="15"/>
      <c r="F451" s="15"/>
      <c r="G451" s="16"/>
      <c r="H451" s="16"/>
      <c r="I451" s="15"/>
      <c r="J451" s="15" t="str">
        <f>TEXT(A451,"yyyy-mm")</f>
        <v>yyyy-01</v>
      </c>
      <c r="K451" s="16">
        <f>K450 + IF(C451="Entrada", G451, -G451)</f>
        <v>-5277.5099999999984</v>
      </c>
    </row>
    <row r="452" spans="1:11" ht="15.75" customHeight="1" x14ac:dyDescent="0.25">
      <c r="A452" s="14"/>
      <c r="C452" s="15"/>
      <c r="D452" s="15"/>
      <c r="E452" s="15"/>
      <c r="F452" s="15"/>
      <c r="G452" s="16"/>
      <c r="H452" s="16"/>
      <c r="I452" s="15"/>
      <c r="J452" s="15" t="str">
        <f>TEXT(A452,"yyyy-mm")</f>
        <v>yyyy-01</v>
      </c>
      <c r="K452" s="16">
        <f>K451 + IF(C452="Entrada", G452, -G452)</f>
        <v>-5277.5099999999984</v>
      </c>
    </row>
    <row r="453" spans="1:11" ht="15.75" customHeight="1" x14ac:dyDescent="0.25">
      <c r="A453" s="14"/>
      <c r="C453" s="15"/>
      <c r="D453" s="15"/>
      <c r="E453" s="15"/>
      <c r="F453" s="15"/>
      <c r="G453" s="16"/>
      <c r="H453" s="16"/>
      <c r="I453" s="15"/>
      <c r="J453" s="15" t="str">
        <f>TEXT(A453,"yyyy-mm")</f>
        <v>yyyy-01</v>
      </c>
      <c r="K453" s="16">
        <f>K452 + IF(C453="Entrada", G453, -G453)</f>
        <v>-5277.5099999999984</v>
      </c>
    </row>
    <row r="454" spans="1:11" ht="15.75" customHeight="1" x14ac:dyDescent="0.25">
      <c r="A454" s="14"/>
      <c r="C454" s="15"/>
      <c r="D454" s="15"/>
      <c r="E454" s="15"/>
      <c r="F454" s="15"/>
      <c r="G454" s="16"/>
      <c r="H454" s="16"/>
      <c r="I454" s="15"/>
      <c r="J454" s="15" t="str">
        <f>TEXT(A454,"yyyy-mm")</f>
        <v>yyyy-01</v>
      </c>
      <c r="K454" s="16">
        <f>K453 + IF(C454="Entrada", G454, -G454)</f>
        <v>-5277.5099999999984</v>
      </c>
    </row>
    <row r="455" spans="1:11" ht="15.75" customHeight="1" x14ac:dyDescent="0.25">
      <c r="A455" s="14"/>
      <c r="C455" s="15"/>
      <c r="D455" s="15"/>
      <c r="E455" s="15"/>
      <c r="F455" s="15"/>
      <c r="G455" s="16"/>
      <c r="H455" s="16"/>
      <c r="I455" s="15"/>
      <c r="J455" s="15" t="str">
        <f>TEXT(A455,"yyyy-mm")</f>
        <v>yyyy-01</v>
      </c>
      <c r="K455" s="16">
        <f>K454 + IF(C455="Entrada", G455, -G455)</f>
        <v>-5277.5099999999984</v>
      </c>
    </row>
    <row r="456" spans="1:11" ht="15.75" customHeight="1" x14ac:dyDescent="0.25">
      <c r="A456" s="14"/>
      <c r="C456" s="15"/>
      <c r="D456" s="15"/>
      <c r="E456" s="15"/>
      <c r="F456" s="15"/>
      <c r="G456" s="16"/>
      <c r="H456" s="16"/>
      <c r="I456" s="15"/>
      <c r="J456" s="15" t="str">
        <f>TEXT(A456,"yyyy-mm")</f>
        <v>yyyy-01</v>
      </c>
      <c r="K456" s="16">
        <f>K455 + IF(C456="Entrada", G456, -G456)</f>
        <v>-5277.5099999999984</v>
      </c>
    </row>
    <row r="457" spans="1:11" ht="15.75" customHeight="1" x14ac:dyDescent="0.25">
      <c r="A457" s="14"/>
      <c r="C457" s="15"/>
      <c r="D457" s="15"/>
      <c r="E457" s="15"/>
      <c r="F457" s="15"/>
      <c r="G457" s="16"/>
      <c r="H457" s="16"/>
      <c r="I457" s="15"/>
      <c r="J457" s="15" t="str">
        <f>TEXT(A457,"yyyy-mm")</f>
        <v>yyyy-01</v>
      </c>
      <c r="K457" s="16">
        <f>K456 + IF(C457="Entrada", G457, -G457)</f>
        <v>-5277.5099999999984</v>
      </c>
    </row>
    <row r="458" spans="1:11" ht="15.75" customHeight="1" x14ac:dyDescent="0.25">
      <c r="A458" s="14"/>
      <c r="C458" s="15"/>
      <c r="D458" s="15"/>
      <c r="E458" s="15"/>
      <c r="F458" s="15"/>
      <c r="G458" s="16"/>
      <c r="H458" s="16"/>
      <c r="I458" s="15"/>
      <c r="J458" s="15" t="str">
        <f>TEXT(A458,"yyyy-mm")</f>
        <v>yyyy-01</v>
      </c>
      <c r="K458" s="16">
        <f>K457 + IF(C458="Entrada", G458, -G458)</f>
        <v>-5277.5099999999984</v>
      </c>
    </row>
    <row r="459" spans="1:11" ht="15.75" customHeight="1" x14ac:dyDescent="0.25">
      <c r="A459" s="14"/>
      <c r="C459" s="15"/>
      <c r="D459" s="15"/>
      <c r="E459" s="15"/>
      <c r="F459" s="15"/>
      <c r="G459" s="16"/>
      <c r="H459" s="16"/>
      <c r="I459" s="15"/>
      <c r="J459" s="15" t="str">
        <f>TEXT(A459,"yyyy-mm")</f>
        <v>yyyy-01</v>
      </c>
      <c r="K459" s="16">
        <f>K458 + IF(C459="Entrada", G459, -G459)</f>
        <v>-5277.5099999999984</v>
      </c>
    </row>
    <row r="460" spans="1:11" ht="15.75" customHeight="1" x14ac:dyDescent="0.25">
      <c r="A460" s="14"/>
      <c r="C460" s="15"/>
      <c r="D460" s="15"/>
      <c r="E460" s="15"/>
      <c r="F460" s="15"/>
      <c r="G460" s="16"/>
      <c r="H460" s="16"/>
      <c r="I460" s="15"/>
      <c r="J460" s="15" t="str">
        <f>TEXT(A460,"yyyy-mm")</f>
        <v>yyyy-01</v>
      </c>
      <c r="K460" s="16">
        <f>K459 + IF(C460="Entrada", G460, -G460)</f>
        <v>-5277.5099999999984</v>
      </c>
    </row>
    <row r="461" spans="1:11" ht="15.75" customHeight="1" x14ac:dyDescent="0.25">
      <c r="A461" s="14"/>
      <c r="C461" s="15"/>
      <c r="D461" s="15"/>
      <c r="E461" s="15"/>
      <c r="F461" s="15"/>
      <c r="G461" s="16"/>
      <c r="H461" s="16"/>
      <c r="I461" s="15"/>
      <c r="J461" s="15" t="str">
        <f>TEXT(A461,"yyyy-mm")</f>
        <v>yyyy-01</v>
      </c>
      <c r="K461" s="16">
        <f>K460 + IF(C461="Entrada", G461, -G461)</f>
        <v>-5277.5099999999984</v>
      </c>
    </row>
    <row r="462" spans="1:11" ht="15.75" customHeight="1" x14ac:dyDescent="0.25">
      <c r="A462" s="14"/>
      <c r="C462" s="15"/>
      <c r="D462" s="15"/>
      <c r="E462" s="15"/>
      <c r="F462" s="15"/>
      <c r="G462" s="16"/>
      <c r="H462" s="16"/>
      <c r="I462" s="15"/>
      <c r="J462" s="15" t="str">
        <f>TEXT(A462,"yyyy-mm")</f>
        <v>yyyy-01</v>
      </c>
      <c r="K462" s="16">
        <f>K461 + IF(C462="Entrada", G462, -G462)</f>
        <v>-5277.5099999999984</v>
      </c>
    </row>
    <row r="463" spans="1:11" ht="15.75" customHeight="1" x14ac:dyDescent="0.25">
      <c r="A463" s="14"/>
      <c r="C463" s="15"/>
      <c r="D463" s="15"/>
      <c r="E463" s="15"/>
      <c r="F463" s="15"/>
      <c r="G463" s="16"/>
      <c r="H463" s="16"/>
      <c r="I463" s="15"/>
      <c r="J463" s="15" t="str">
        <f>TEXT(A463,"yyyy-mm")</f>
        <v>yyyy-01</v>
      </c>
      <c r="K463" s="16">
        <f>K462 + IF(C463="Entrada", G463, -G463)</f>
        <v>-5277.5099999999984</v>
      </c>
    </row>
    <row r="464" spans="1:11" ht="15.75" customHeight="1" x14ac:dyDescent="0.25">
      <c r="A464" s="14"/>
      <c r="C464" s="15"/>
      <c r="D464" s="15"/>
      <c r="E464" s="15"/>
      <c r="F464" s="15"/>
      <c r="G464" s="16"/>
      <c r="H464" s="16"/>
      <c r="I464" s="15"/>
      <c r="J464" s="15" t="str">
        <f>TEXT(A464,"yyyy-mm")</f>
        <v>yyyy-01</v>
      </c>
      <c r="K464" s="16">
        <f>K463 + IF(C464="Entrada", G464, -G464)</f>
        <v>-5277.5099999999984</v>
      </c>
    </row>
    <row r="465" spans="1:11" ht="15.75" customHeight="1" x14ac:dyDescent="0.25">
      <c r="A465" s="14"/>
      <c r="C465" s="15"/>
      <c r="D465" s="15"/>
      <c r="E465" s="15"/>
      <c r="F465" s="15"/>
      <c r="G465" s="16"/>
      <c r="H465" s="16"/>
      <c r="I465" s="15"/>
      <c r="J465" s="15" t="str">
        <f>TEXT(A465,"yyyy-mm")</f>
        <v>yyyy-01</v>
      </c>
      <c r="K465" s="16">
        <f>K464 + IF(C465="Entrada", G465, -G465)</f>
        <v>-5277.5099999999984</v>
      </c>
    </row>
    <row r="466" spans="1:11" ht="15.75" customHeight="1" x14ac:dyDescent="0.25">
      <c r="A466" s="14"/>
      <c r="C466" s="15"/>
      <c r="D466" s="15"/>
      <c r="E466" s="15"/>
      <c r="F466" s="15"/>
      <c r="G466" s="16"/>
      <c r="H466" s="16"/>
      <c r="I466" s="15"/>
      <c r="J466" s="15" t="str">
        <f>TEXT(A466,"yyyy-mm")</f>
        <v>yyyy-01</v>
      </c>
      <c r="K466" s="16">
        <f>K465 + IF(C466="Entrada", G466, -G466)</f>
        <v>-5277.5099999999984</v>
      </c>
    </row>
    <row r="467" spans="1:11" ht="15.75" customHeight="1" x14ac:dyDescent="0.25">
      <c r="A467" s="14"/>
      <c r="C467" s="15"/>
      <c r="D467" s="15"/>
      <c r="E467" s="15"/>
      <c r="F467" s="15"/>
      <c r="G467" s="16"/>
      <c r="H467" s="16"/>
      <c r="I467" s="15"/>
      <c r="J467" s="15" t="str">
        <f>TEXT(A467,"yyyy-mm")</f>
        <v>yyyy-01</v>
      </c>
      <c r="K467" s="16">
        <f>K466 + IF(C467="Entrada", G467, -G467)</f>
        <v>-5277.5099999999984</v>
      </c>
    </row>
    <row r="468" spans="1:11" ht="15.75" customHeight="1" x14ac:dyDescent="0.25">
      <c r="A468" s="14"/>
      <c r="C468" s="15"/>
      <c r="D468" s="15"/>
      <c r="E468" s="15"/>
      <c r="F468" s="15"/>
      <c r="G468" s="16"/>
      <c r="H468" s="16"/>
      <c r="I468" s="15"/>
      <c r="J468" s="15" t="str">
        <f>TEXT(A468,"yyyy-mm")</f>
        <v>yyyy-01</v>
      </c>
      <c r="K468" s="16">
        <f>K467 + IF(C468="Entrada", G468, -G468)</f>
        <v>-5277.5099999999984</v>
      </c>
    </row>
    <row r="469" spans="1:11" ht="15.75" customHeight="1" x14ac:dyDescent="0.25">
      <c r="A469" s="14"/>
      <c r="C469" s="15"/>
      <c r="D469" s="15"/>
      <c r="E469" s="15"/>
      <c r="F469" s="15"/>
      <c r="G469" s="16"/>
      <c r="H469" s="16"/>
      <c r="I469" s="15"/>
      <c r="J469" s="15" t="str">
        <f>TEXT(A469,"yyyy-mm")</f>
        <v>yyyy-01</v>
      </c>
      <c r="K469" s="16">
        <f>K468 + IF(C469="Entrada", G469, -G469)</f>
        <v>-5277.5099999999984</v>
      </c>
    </row>
    <row r="470" spans="1:11" ht="15.75" customHeight="1" x14ac:dyDescent="0.25">
      <c r="A470" s="14"/>
      <c r="C470" s="15"/>
      <c r="D470" s="15"/>
      <c r="E470" s="15"/>
      <c r="F470" s="15"/>
      <c r="G470" s="16"/>
      <c r="H470" s="16"/>
      <c r="I470" s="15"/>
      <c r="J470" s="15" t="str">
        <f>TEXT(A470,"yyyy-mm")</f>
        <v>yyyy-01</v>
      </c>
      <c r="K470" s="16">
        <f>K469 + IF(C470="Entrada", G470, -G470)</f>
        <v>-5277.5099999999984</v>
      </c>
    </row>
    <row r="471" spans="1:11" ht="15.75" customHeight="1" x14ac:dyDescent="0.25">
      <c r="A471" s="14"/>
      <c r="C471" s="15"/>
      <c r="D471" s="15"/>
      <c r="E471" s="15"/>
      <c r="F471" s="15"/>
      <c r="G471" s="16"/>
      <c r="H471" s="16"/>
      <c r="I471" s="15"/>
      <c r="J471" s="15" t="str">
        <f>TEXT(A471,"yyyy-mm")</f>
        <v>yyyy-01</v>
      </c>
      <c r="K471" s="16">
        <f>K470 + IF(C471="Entrada", G471, -G471)</f>
        <v>-5277.5099999999984</v>
      </c>
    </row>
    <row r="472" spans="1:11" ht="15.75" customHeight="1" x14ac:dyDescent="0.25">
      <c r="A472" s="14"/>
      <c r="C472" s="15"/>
      <c r="D472" s="15"/>
      <c r="E472" s="15"/>
      <c r="F472" s="15"/>
      <c r="G472" s="16"/>
      <c r="H472" s="16"/>
      <c r="I472" s="15"/>
      <c r="J472" s="15" t="str">
        <f>TEXT(A472,"yyyy-mm")</f>
        <v>yyyy-01</v>
      </c>
      <c r="K472" s="16">
        <f>K471 + IF(C472="Entrada", G472, -G472)</f>
        <v>-5277.5099999999984</v>
      </c>
    </row>
    <row r="473" spans="1:11" ht="15.75" customHeight="1" x14ac:dyDescent="0.25">
      <c r="A473" s="14"/>
      <c r="C473" s="15"/>
      <c r="D473" s="15"/>
      <c r="E473" s="15"/>
      <c r="F473" s="15"/>
      <c r="G473" s="16"/>
      <c r="H473" s="16"/>
      <c r="I473" s="15"/>
      <c r="J473" s="15" t="str">
        <f>TEXT(A473,"yyyy-mm")</f>
        <v>yyyy-01</v>
      </c>
      <c r="K473" s="16">
        <f>K472 + IF(C473="Entrada", G473, -G473)</f>
        <v>-5277.5099999999984</v>
      </c>
    </row>
    <row r="474" spans="1:11" ht="15.75" customHeight="1" x14ac:dyDescent="0.25">
      <c r="A474" s="14"/>
      <c r="C474" s="15"/>
      <c r="D474" s="15"/>
      <c r="E474" s="15"/>
      <c r="F474" s="15"/>
      <c r="G474" s="16"/>
      <c r="H474" s="16"/>
      <c r="I474" s="15"/>
      <c r="J474" s="15" t="str">
        <f>TEXT(A474,"yyyy-mm")</f>
        <v>yyyy-01</v>
      </c>
      <c r="K474" s="16">
        <f>K473 + IF(C474="Entrada", G474, -G474)</f>
        <v>-5277.5099999999984</v>
      </c>
    </row>
    <row r="475" spans="1:11" ht="15.75" customHeight="1" x14ac:dyDescent="0.25">
      <c r="A475" s="14"/>
      <c r="C475" s="15"/>
      <c r="D475" s="15"/>
      <c r="E475" s="15"/>
      <c r="F475" s="15"/>
      <c r="G475" s="16"/>
      <c r="H475" s="16"/>
      <c r="I475" s="15"/>
      <c r="J475" s="15" t="str">
        <f>TEXT(A475,"yyyy-mm")</f>
        <v>yyyy-01</v>
      </c>
      <c r="K475" s="16">
        <f>K474 + IF(C475="Entrada", G475, -G475)</f>
        <v>-5277.5099999999984</v>
      </c>
    </row>
    <row r="476" spans="1:11" ht="15.75" customHeight="1" x14ac:dyDescent="0.25">
      <c r="A476" s="14"/>
      <c r="C476" s="15"/>
      <c r="D476" s="15"/>
      <c r="E476" s="15"/>
      <c r="F476" s="15"/>
      <c r="G476" s="16"/>
      <c r="H476" s="16"/>
      <c r="I476" s="15"/>
      <c r="J476" s="15" t="str">
        <f>TEXT(A476,"yyyy-mm")</f>
        <v>yyyy-01</v>
      </c>
      <c r="K476" s="16">
        <f>K475 + IF(C476="Entrada", G476, -G476)</f>
        <v>-5277.5099999999984</v>
      </c>
    </row>
    <row r="477" spans="1:11" ht="15.75" customHeight="1" x14ac:dyDescent="0.25">
      <c r="A477" s="14"/>
      <c r="C477" s="15"/>
      <c r="D477" s="15"/>
      <c r="E477" s="15"/>
      <c r="F477" s="15"/>
      <c r="G477" s="16"/>
      <c r="H477" s="16"/>
      <c r="I477" s="15"/>
      <c r="J477" s="15" t="str">
        <f>TEXT(A477,"yyyy-mm")</f>
        <v>yyyy-01</v>
      </c>
      <c r="K477" s="16">
        <f>K476 + IF(C477="Entrada", G477, -G477)</f>
        <v>-5277.5099999999984</v>
      </c>
    </row>
    <row r="478" spans="1:11" ht="15.75" customHeight="1" x14ac:dyDescent="0.25">
      <c r="A478" s="14"/>
      <c r="C478" s="15"/>
      <c r="D478" s="15"/>
      <c r="E478" s="15"/>
      <c r="F478" s="15"/>
      <c r="G478" s="16"/>
      <c r="H478" s="16"/>
      <c r="I478" s="15"/>
      <c r="J478" s="15" t="str">
        <f>TEXT(A478,"yyyy-mm")</f>
        <v>yyyy-01</v>
      </c>
      <c r="K478" s="16">
        <f>K477 + IF(C478="Entrada", G478, -G478)</f>
        <v>-5277.5099999999984</v>
      </c>
    </row>
    <row r="479" spans="1:11" ht="15.75" customHeight="1" x14ac:dyDescent="0.25">
      <c r="A479" s="14"/>
      <c r="C479" s="15"/>
      <c r="D479" s="15"/>
      <c r="E479" s="15"/>
      <c r="F479" s="15"/>
      <c r="G479" s="16"/>
      <c r="H479" s="16"/>
      <c r="I479" s="15"/>
      <c r="J479" s="15" t="str">
        <f>TEXT(A479,"yyyy-mm")</f>
        <v>yyyy-01</v>
      </c>
      <c r="K479" s="16">
        <f>K478 + IF(C479="Entrada", G479, -G479)</f>
        <v>-5277.5099999999984</v>
      </c>
    </row>
    <row r="480" spans="1:11" ht="15.75" customHeight="1" x14ac:dyDescent="0.25">
      <c r="A480" s="14"/>
      <c r="C480" s="15"/>
      <c r="D480" s="15"/>
      <c r="E480" s="15"/>
      <c r="F480" s="15"/>
      <c r="G480" s="16"/>
      <c r="H480" s="16"/>
      <c r="I480" s="15"/>
      <c r="J480" s="15" t="str">
        <f>TEXT(A480,"yyyy-mm")</f>
        <v>yyyy-01</v>
      </c>
      <c r="K480" s="16">
        <f>K479 + IF(C480="Entrada", G480, -G480)</f>
        <v>-5277.5099999999984</v>
      </c>
    </row>
    <row r="481" spans="1:11" ht="15.75" customHeight="1" x14ac:dyDescent="0.25">
      <c r="A481" s="14"/>
      <c r="C481" s="15"/>
      <c r="D481" s="15"/>
      <c r="E481" s="15"/>
      <c r="F481" s="15"/>
      <c r="G481" s="16"/>
      <c r="H481" s="16"/>
      <c r="I481" s="15"/>
      <c r="J481" s="15" t="str">
        <f>TEXT(A481,"yyyy-mm")</f>
        <v>yyyy-01</v>
      </c>
      <c r="K481" s="16">
        <f>K480 + IF(C481="Entrada", G481, -G481)</f>
        <v>-5277.5099999999984</v>
      </c>
    </row>
    <row r="482" spans="1:11" ht="15.75" customHeight="1" x14ac:dyDescent="0.25">
      <c r="A482" s="14"/>
      <c r="C482" s="15"/>
      <c r="D482" s="15"/>
      <c r="E482" s="15"/>
      <c r="F482" s="15"/>
      <c r="G482" s="16"/>
      <c r="H482" s="16"/>
      <c r="I482" s="15"/>
      <c r="J482" s="15" t="str">
        <f>TEXT(A482,"yyyy-mm")</f>
        <v>yyyy-01</v>
      </c>
      <c r="K482" s="16">
        <f>K481 + IF(C482="Entrada", G482, -G482)</f>
        <v>-5277.5099999999984</v>
      </c>
    </row>
    <row r="483" spans="1:11" ht="15.75" customHeight="1" x14ac:dyDescent="0.25">
      <c r="A483" s="14"/>
      <c r="C483" s="15"/>
      <c r="D483" s="15"/>
      <c r="E483" s="15"/>
      <c r="F483" s="15"/>
      <c r="G483" s="16"/>
      <c r="H483" s="16"/>
      <c r="I483" s="15"/>
      <c r="J483" s="15" t="str">
        <f>TEXT(A483,"yyyy-mm")</f>
        <v>yyyy-01</v>
      </c>
      <c r="K483" s="16">
        <f>K482 + IF(C483="Entrada", G483, -G483)</f>
        <v>-5277.5099999999984</v>
      </c>
    </row>
    <row r="484" spans="1:11" ht="15.75" customHeight="1" x14ac:dyDescent="0.25">
      <c r="A484" s="14"/>
      <c r="C484" s="15"/>
      <c r="D484" s="15"/>
      <c r="E484" s="15"/>
      <c r="F484" s="15"/>
      <c r="G484" s="16"/>
      <c r="H484" s="16"/>
      <c r="I484" s="15"/>
      <c r="J484" s="15" t="str">
        <f>TEXT(A484,"yyyy-mm")</f>
        <v>yyyy-01</v>
      </c>
      <c r="K484" s="16">
        <f>K483 + IF(C484="Entrada", G484, -G484)</f>
        <v>-5277.5099999999984</v>
      </c>
    </row>
    <row r="485" spans="1:11" ht="15.75" customHeight="1" x14ac:dyDescent="0.25">
      <c r="A485" s="14"/>
      <c r="C485" s="15"/>
      <c r="D485" s="15"/>
      <c r="E485" s="15"/>
      <c r="F485" s="15"/>
      <c r="G485" s="16"/>
      <c r="H485" s="16"/>
      <c r="I485" s="15"/>
      <c r="J485" s="15" t="str">
        <f>TEXT(A485,"yyyy-mm")</f>
        <v>yyyy-01</v>
      </c>
      <c r="K485" s="16">
        <f>K484 + IF(C485="Entrada", G485, -G485)</f>
        <v>-5277.5099999999984</v>
      </c>
    </row>
    <row r="486" spans="1:11" ht="15.75" customHeight="1" x14ac:dyDescent="0.25">
      <c r="A486" s="14"/>
      <c r="C486" s="15"/>
      <c r="D486" s="15"/>
      <c r="E486" s="15"/>
      <c r="F486" s="15"/>
      <c r="G486" s="16"/>
      <c r="H486" s="16"/>
      <c r="I486" s="15"/>
      <c r="J486" s="15" t="str">
        <f>TEXT(A486,"yyyy-mm")</f>
        <v>yyyy-01</v>
      </c>
      <c r="K486" s="16">
        <f>K485 + IF(C486="Entrada", G486, -G486)</f>
        <v>-5277.5099999999984</v>
      </c>
    </row>
    <row r="487" spans="1:11" ht="15.75" customHeight="1" x14ac:dyDescent="0.25">
      <c r="A487" s="14"/>
      <c r="C487" s="15"/>
      <c r="D487" s="15"/>
      <c r="E487" s="15"/>
      <c r="F487" s="15"/>
      <c r="G487" s="16"/>
      <c r="H487" s="16"/>
      <c r="I487" s="15"/>
      <c r="J487" s="15" t="str">
        <f>TEXT(A487,"yyyy-mm")</f>
        <v>yyyy-01</v>
      </c>
      <c r="K487" s="16">
        <f>K486 + IF(C487="Entrada", G487, -G487)</f>
        <v>-5277.5099999999984</v>
      </c>
    </row>
    <row r="488" spans="1:11" ht="15.75" customHeight="1" x14ac:dyDescent="0.25">
      <c r="A488" s="14"/>
      <c r="C488" s="15"/>
      <c r="D488" s="15"/>
      <c r="E488" s="15"/>
      <c r="F488" s="15"/>
      <c r="G488" s="16"/>
      <c r="H488" s="16"/>
      <c r="I488" s="15"/>
      <c r="J488" s="15" t="str">
        <f>TEXT(A488,"yyyy-mm")</f>
        <v>yyyy-01</v>
      </c>
      <c r="K488" s="16">
        <f>K487 + IF(C488="Entrada", G488, -G488)</f>
        <v>-5277.5099999999984</v>
      </c>
    </row>
    <row r="489" spans="1:11" ht="15.75" customHeight="1" x14ac:dyDescent="0.25">
      <c r="A489" s="14"/>
      <c r="C489" s="15"/>
      <c r="D489" s="15"/>
      <c r="E489" s="15"/>
      <c r="F489" s="15"/>
      <c r="G489" s="16"/>
      <c r="H489" s="16"/>
      <c r="I489" s="15"/>
      <c r="J489" s="15" t="str">
        <f>TEXT(A489,"yyyy-mm")</f>
        <v>yyyy-01</v>
      </c>
      <c r="K489" s="16">
        <f>K488 + IF(C489="Entrada", G489, -G489)</f>
        <v>-5277.5099999999984</v>
      </c>
    </row>
    <row r="490" spans="1:11" ht="15.75" customHeight="1" x14ac:dyDescent="0.25">
      <c r="A490" s="14"/>
      <c r="C490" s="15"/>
      <c r="D490" s="15"/>
      <c r="E490" s="15"/>
      <c r="F490" s="15"/>
      <c r="G490" s="16"/>
      <c r="H490" s="16"/>
      <c r="I490" s="15"/>
      <c r="J490" s="15" t="str">
        <f>TEXT(A490,"yyyy-mm")</f>
        <v>yyyy-01</v>
      </c>
      <c r="K490" s="16">
        <f>K489 + IF(C490="Entrada", G490, -G490)</f>
        <v>-5277.5099999999984</v>
      </c>
    </row>
    <row r="491" spans="1:11" ht="15.75" customHeight="1" x14ac:dyDescent="0.25">
      <c r="A491" s="14"/>
      <c r="C491" s="15"/>
      <c r="D491" s="15"/>
      <c r="E491" s="15"/>
      <c r="F491" s="15"/>
      <c r="G491" s="16"/>
      <c r="H491" s="16"/>
      <c r="I491" s="15"/>
      <c r="J491" s="15" t="str">
        <f>TEXT(A491,"yyyy-mm")</f>
        <v>yyyy-01</v>
      </c>
      <c r="K491" s="16">
        <f>K490 + IF(C491="Entrada", G491, -G491)</f>
        <v>-5277.5099999999984</v>
      </c>
    </row>
    <row r="492" spans="1:11" ht="15.75" customHeight="1" x14ac:dyDescent="0.25">
      <c r="A492" s="14"/>
      <c r="C492" s="15"/>
      <c r="D492" s="15"/>
      <c r="E492" s="15"/>
      <c r="F492" s="15"/>
      <c r="G492" s="16"/>
      <c r="H492" s="16"/>
      <c r="I492" s="15"/>
      <c r="J492" s="15" t="str">
        <f>TEXT(A492,"yyyy-mm")</f>
        <v>yyyy-01</v>
      </c>
      <c r="K492" s="16">
        <f>K491 + IF(C492="Entrada", G492, -G492)</f>
        <v>-5277.5099999999984</v>
      </c>
    </row>
    <row r="493" spans="1:11" ht="15.75" customHeight="1" x14ac:dyDescent="0.25">
      <c r="A493" s="14"/>
      <c r="C493" s="15"/>
      <c r="D493" s="15"/>
      <c r="E493" s="15"/>
      <c r="F493" s="15"/>
      <c r="G493" s="16"/>
      <c r="H493" s="16"/>
      <c r="I493" s="15"/>
      <c r="J493" s="15" t="str">
        <f>TEXT(A493,"yyyy-mm")</f>
        <v>yyyy-01</v>
      </c>
      <c r="K493" s="16">
        <f>K492 + IF(C493="Entrada", G493, -G493)</f>
        <v>-5277.5099999999984</v>
      </c>
    </row>
    <row r="494" spans="1:11" ht="15.75" customHeight="1" x14ac:dyDescent="0.25">
      <c r="A494" s="14"/>
      <c r="C494" s="15"/>
      <c r="D494" s="15"/>
      <c r="E494" s="15"/>
      <c r="F494" s="15"/>
      <c r="G494" s="16"/>
      <c r="H494" s="16"/>
      <c r="I494" s="15"/>
      <c r="J494" s="15" t="str">
        <f>TEXT(A494,"yyyy-mm")</f>
        <v>yyyy-01</v>
      </c>
      <c r="K494" s="16">
        <f>K493 + IF(C494="Entrada", G494, -G494)</f>
        <v>-5277.5099999999984</v>
      </c>
    </row>
    <row r="495" spans="1:11" ht="15.75" customHeight="1" x14ac:dyDescent="0.25">
      <c r="A495" s="14"/>
      <c r="C495" s="15"/>
      <c r="D495" s="15"/>
      <c r="E495" s="15"/>
      <c r="F495" s="15"/>
      <c r="G495" s="16"/>
      <c r="H495" s="16"/>
      <c r="I495" s="15"/>
      <c r="J495" s="15" t="str">
        <f>TEXT(A495,"yyyy-mm")</f>
        <v>yyyy-01</v>
      </c>
      <c r="K495" s="16">
        <f>K494 + IF(C495="Entrada", G495, -G495)</f>
        <v>-5277.5099999999984</v>
      </c>
    </row>
    <row r="496" spans="1:11" ht="15.75" customHeight="1" x14ac:dyDescent="0.25">
      <c r="A496" s="14"/>
      <c r="C496" s="15"/>
      <c r="D496" s="15"/>
      <c r="E496" s="15"/>
      <c r="F496" s="15"/>
      <c r="G496" s="16"/>
      <c r="H496" s="16"/>
      <c r="I496" s="15"/>
      <c r="J496" s="15" t="str">
        <f>TEXT(A496,"yyyy-mm")</f>
        <v>yyyy-01</v>
      </c>
      <c r="K496" s="16">
        <f>K495 + IF(C496="Entrada", G496, -G496)</f>
        <v>-5277.5099999999984</v>
      </c>
    </row>
    <row r="497" spans="1:11" ht="15.75" customHeight="1" x14ac:dyDescent="0.25">
      <c r="A497" s="14"/>
      <c r="C497" s="15"/>
      <c r="D497" s="15"/>
      <c r="E497" s="15"/>
      <c r="F497" s="15"/>
      <c r="G497" s="16"/>
      <c r="H497" s="16"/>
      <c r="I497" s="15"/>
      <c r="J497" s="15" t="str">
        <f>TEXT(A497,"yyyy-mm")</f>
        <v>yyyy-01</v>
      </c>
      <c r="K497" s="16">
        <f>K496 + IF(C497="Entrada", G497, -G497)</f>
        <v>-5277.5099999999984</v>
      </c>
    </row>
    <row r="498" spans="1:11" ht="15.75" customHeight="1" x14ac:dyDescent="0.25">
      <c r="A498" s="14"/>
      <c r="C498" s="15"/>
      <c r="D498" s="15"/>
      <c r="E498" s="15"/>
      <c r="F498" s="15"/>
      <c r="G498" s="16"/>
      <c r="H498" s="16"/>
      <c r="I498" s="15"/>
      <c r="J498" s="15" t="str">
        <f>TEXT(A498,"yyyy-mm")</f>
        <v>yyyy-01</v>
      </c>
      <c r="K498" s="16">
        <f>K497 + IF(C498="Entrada", G498, -G498)</f>
        <v>-5277.5099999999984</v>
      </c>
    </row>
    <row r="499" spans="1:11" ht="15.75" customHeight="1" x14ac:dyDescent="0.25">
      <c r="A499" s="14"/>
      <c r="C499" s="15"/>
      <c r="D499" s="15"/>
      <c r="E499" s="15"/>
      <c r="F499" s="15"/>
      <c r="G499" s="16"/>
      <c r="H499" s="16"/>
      <c r="I499" s="15"/>
      <c r="J499" s="15" t="str">
        <f>TEXT(A499,"yyyy-mm")</f>
        <v>yyyy-01</v>
      </c>
      <c r="K499" s="16">
        <f>K498 + IF(C499="Entrada", G499, -G499)</f>
        <v>-5277.5099999999984</v>
      </c>
    </row>
    <row r="500" spans="1:11" ht="15.75" customHeight="1" x14ac:dyDescent="0.25">
      <c r="A500" s="14"/>
      <c r="C500" s="15"/>
      <c r="D500" s="15"/>
      <c r="E500" s="15"/>
      <c r="F500" s="15"/>
      <c r="G500" s="16"/>
      <c r="H500" s="16"/>
      <c r="I500" s="15"/>
      <c r="J500" s="15" t="str">
        <f>TEXT(A500,"yyyy-mm")</f>
        <v>yyyy-01</v>
      </c>
      <c r="K500" s="16">
        <f>K499 + IF(C500="Entrada", G500, -G500)</f>
        <v>-5277.5099999999984</v>
      </c>
    </row>
    <row r="501" spans="1:11" ht="15.75" customHeight="1" x14ac:dyDescent="0.25">
      <c r="A501" s="14"/>
      <c r="C501" s="15"/>
      <c r="D501" s="15"/>
      <c r="E501" s="15"/>
      <c r="F501" s="15"/>
      <c r="G501" s="16"/>
      <c r="H501" s="16"/>
      <c r="I501" s="15"/>
      <c r="J501" s="15" t="str">
        <f>TEXT(A501,"yyyy-mm")</f>
        <v>yyyy-01</v>
      </c>
      <c r="K501" s="16">
        <f>K500 + IF(C501="Entrada", G501, -G501)</f>
        <v>-5277.5099999999984</v>
      </c>
    </row>
    <row r="502" spans="1:11" ht="15.75" customHeight="1" x14ac:dyDescent="0.25">
      <c r="A502" s="14"/>
      <c r="C502" s="15"/>
      <c r="D502" s="15"/>
      <c r="E502" s="15"/>
      <c r="F502" s="15"/>
      <c r="G502" s="16"/>
      <c r="H502" s="16"/>
      <c r="I502" s="15"/>
      <c r="J502" s="15" t="str">
        <f>TEXT(A502,"yyyy-mm")</f>
        <v>yyyy-01</v>
      </c>
      <c r="K502" s="16">
        <f>K501 + IF(C502="Entrada", G502, -G502)</f>
        <v>-5277.5099999999984</v>
      </c>
    </row>
    <row r="503" spans="1:11" ht="15.75" customHeight="1" x14ac:dyDescent="0.25">
      <c r="A503" s="14"/>
      <c r="C503" s="15"/>
      <c r="D503" s="15"/>
      <c r="E503" s="15"/>
      <c r="F503" s="15"/>
      <c r="G503" s="16"/>
      <c r="H503" s="16"/>
      <c r="I503" s="15"/>
      <c r="J503" s="15" t="str">
        <f>TEXT(A503,"yyyy-mm")</f>
        <v>yyyy-01</v>
      </c>
      <c r="K503" s="16">
        <f>K502 + IF(C503="Entrada", G503, -G503)</f>
        <v>-5277.5099999999984</v>
      </c>
    </row>
    <row r="504" spans="1:11" ht="15.75" customHeight="1" x14ac:dyDescent="0.25">
      <c r="A504" s="14"/>
      <c r="C504" s="15"/>
      <c r="D504" s="15"/>
      <c r="E504" s="15"/>
      <c r="F504" s="15"/>
      <c r="G504" s="16"/>
      <c r="H504" s="16"/>
      <c r="I504" s="15"/>
      <c r="J504" s="15" t="str">
        <f>TEXT(A504,"yyyy-mm")</f>
        <v>yyyy-01</v>
      </c>
      <c r="K504" s="16">
        <f>K503 + IF(C504="Entrada", G504, -G504)</f>
        <v>-5277.5099999999984</v>
      </c>
    </row>
    <row r="505" spans="1:11" ht="15.75" customHeight="1" x14ac:dyDescent="0.25">
      <c r="A505" s="14"/>
      <c r="C505" s="15"/>
      <c r="D505" s="15"/>
      <c r="E505" s="15"/>
      <c r="F505" s="15"/>
      <c r="G505" s="16"/>
      <c r="H505" s="16"/>
      <c r="I505" s="15"/>
      <c r="J505" s="15" t="str">
        <f>TEXT(A505,"yyyy-mm")</f>
        <v>yyyy-01</v>
      </c>
      <c r="K505" s="16">
        <f>K504 + IF(C505="Entrada", G505, -G505)</f>
        <v>-5277.5099999999984</v>
      </c>
    </row>
    <row r="506" spans="1:11" ht="15.75" customHeight="1" x14ac:dyDescent="0.25">
      <c r="A506" s="14"/>
      <c r="C506" s="15"/>
      <c r="D506" s="15"/>
      <c r="E506" s="15"/>
      <c r="F506" s="15"/>
      <c r="G506" s="16"/>
      <c r="H506" s="16"/>
      <c r="I506" s="15"/>
      <c r="J506" s="15" t="str">
        <f>TEXT(A506,"yyyy-mm")</f>
        <v>yyyy-01</v>
      </c>
      <c r="K506" s="16">
        <f>K505 + IF(C506="Entrada", G506, -G506)</f>
        <v>-5277.5099999999984</v>
      </c>
    </row>
    <row r="507" spans="1:11" ht="15.75" customHeight="1" x14ac:dyDescent="0.25">
      <c r="A507" s="14"/>
      <c r="C507" s="15"/>
      <c r="D507" s="15"/>
      <c r="E507" s="15"/>
      <c r="F507" s="15"/>
      <c r="G507" s="16"/>
      <c r="H507" s="16"/>
      <c r="I507" s="15"/>
      <c r="J507" s="15" t="str">
        <f>TEXT(A507,"yyyy-mm")</f>
        <v>yyyy-01</v>
      </c>
      <c r="K507" s="16">
        <f>K506 + IF(C507="Entrada", G507, -G507)</f>
        <v>-5277.5099999999984</v>
      </c>
    </row>
    <row r="508" spans="1:11" ht="15.75" customHeight="1" x14ac:dyDescent="0.25">
      <c r="A508" s="14"/>
      <c r="C508" s="15"/>
      <c r="D508" s="15"/>
      <c r="E508" s="15"/>
      <c r="F508" s="15"/>
      <c r="G508" s="16"/>
      <c r="H508" s="16"/>
      <c r="I508" s="15"/>
      <c r="J508" s="15" t="str">
        <f>TEXT(A508,"yyyy-mm")</f>
        <v>yyyy-01</v>
      </c>
      <c r="K508" s="16">
        <f>K507 + IF(C508="Entrada", G508, -G508)</f>
        <v>-5277.5099999999984</v>
      </c>
    </row>
    <row r="509" spans="1:11" ht="15.75" customHeight="1" x14ac:dyDescent="0.25">
      <c r="A509" s="14"/>
      <c r="C509" s="15"/>
      <c r="D509" s="15"/>
      <c r="E509" s="15"/>
      <c r="F509" s="15"/>
      <c r="G509" s="16"/>
      <c r="H509" s="16"/>
      <c r="I509" s="15"/>
      <c r="J509" s="15" t="str">
        <f>TEXT(A509,"yyyy-mm")</f>
        <v>yyyy-01</v>
      </c>
      <c r="K509" s="16">
        <f>K508 + IF(C509="Entrada", G509, -G509)</f>
        <v>-5277.5099999999984</v>
      </c>
    </row>
    <row r="510" spans="1:11" ht="15.75" customHeight="1" x14ac:dyDescent="0.25">
      <c r="A510" s="14"/>
      <c r="C510" s="15"/>
      <c r="D510" s="15"/>
      <c r="E510" s="15"/>
      <c r="F510" s="15"/>
      <c r="G510" s="16"/>
      <c r="H510" s="16"/>
      <c r="I510" s="15"/>
      <c r="J510" s="15" t="str">
        <f>TEXT(A510,"yyyy-mm")</f>
        <v>yyyy-01</v>
      </c>
      <c r="K510" s="16">
        <f>K509 + IF(C510="Entrada", G510, -G510)</f>
        <v>-5277.5099999999984</v>
      </c>
    </row>
    <row r="511" spans="1:11" ht="15.75" customHeight="1" x14ac:dyDescent="0.25">
      <c r="A511" s="14"/>
      <c r="C511" s="15"/>
      <c r="D511" s="15"/>
      <c r="E511" s="15"/>
      <c r="F511" s="15"/>
      <c r="G511" s="16"/>
      <c r="H511" s="16"/>
      <c r="I511" s="15"/>
      <c r="J511" s="15" t="str">
        <f>TEXT(A511,"yyyy-mm")</f>
        <v>yyyy-01</v>
      </c>
      <c r="K511" s="16">
        <f>K510 + IF(C511="Entrada", G511, -G511)</f>
        <v>-5277.5099999999984</v>
      </c>
    </row>
    <row r="512" spans="1:11" ht="15.75" customHeight="1" x14ac:dyDescent="0.25">
      <c r="A512" s="14"/>
      <c r="C512" s="15"/>
      <c r="D512" s="15"/>
      <c r="E512" s="15"/>
      <c r="F512" s="15"/>
      <c r="G512" s="16"/>
      <c r="H512" s="16"/>
      <c r="I512" s="15"/>
      <c r="J512" s="15" t="str">
        <f>TEXT(A512,"yyyy-mm")</f>
        <v>yyyy-01</v>
      </c>
      <c r="K512" s="16">
        <f>K511 + IF(C512="Entrada", G512, -G512)</f>
        <v>-5277.5099999999984</v>
      </c>
    </row>
    <row r="513" spans="1:11" ht="15.75" customHeight="1" x14ac:dyDescent="0.25">
      <c r="A513" s="14"/>
      <c r="C513" s="15"/>
      <c r="D513" s="15"/>
      <c r="E513" s="15"/>
      <c r="F513" s="15"/>
      <c r="G513" s="16"/>
      <c r="H513" s="16"/>
      <c r="I513" s="15"/>
      <c r="J513" s="15" t="str">
        <f>TEXT(A513,"yyyy-mm")</f>
        <v>yyyy-01</v>
      </c>
      <c r="K513" s="16">
        <f>K512 + IF(C513="Entrada", G513, -G513)</f>
        <v>-5277.5099999999984</v>
      </c>
    </row>
    <row r="514" spans="1:11" ht="15.75" customHeight="1" x14ac:dyDescent="0.25">
      <c r="A514" s="14"/>
      <c r="C514" s="15"/>
      <c r="D514" s="15"/>
      <c r="E514" s="15"/>
      <c r="F514" s="15"/>
      <c r="G514" s="16"/>
      <c r="H514" s="16"/>
      <c r="I514" s="15"/>
      <c r="J514" s="15" t="str">
        <f>TEXT(A514,"yyyy-mm")</f>
        <v>yyyy-01</v>
      </c>
      <c r="K514" s="16">
        <f>K513 + IF(C514="Entrada", G514, -G514)</f>
        <v>-5277.5099999999984</v>
      </c>
    </row>
    <row r="515" spans="1:11" ht="15.75" customHeight="1" x14ac:dyDescent="0.25">
      <c r="A515" s="14"/>
      <c r="C515" s="15"/>
      <c r="D515" s="15"/>
      <c r="E515" s="15"/>
      <c r="F515" s="15"/>
      <c r="G515" s="16"/>
      <c r="H515" s="16"/>
      <c r="I515" s="15"/>
      <c r="J515" s="15" t="str">
        <f>TEXT(A515,"yyyy-mm")</f>
        <v>yyyy-01</v>
      </c>
      <c r="K515" s="16">
        <f>K514 + IF(C515="Entrada", G515, -G515)</f>
        <v>-5277.5099999999984</v>
      </c>
    </row>
    <row r="516" spans="1:11" ht="15.75" customHeight="1" x14ac:dyDescent="0.25">
      <c r="A516" s="14"/>
      <c r="C516" s="15"/>
      <c r="D516" s="15"/>
      <c r="E516" s="15"/>
      <c r="F516" s="15"/>
      <c r="G516" s="16"/>
      <c r="H516" s="16"/>
      <c r="I516" s="15"/>
      <c r="J516" s="15" t="str">
        <f>TEXT(A516,"yyyy-mm")</f>
        <v>yyyy-01</v>
      </c>
      <c r="K516" s="16">
        <f>K515 + IF(C516="Entrada", G516, -G516)</f>
        <v>-5277.5099999999984</v>
      </c>
    </row>
    <row r="517" spans="1:11" ht="15.75" customHeight="1" x14ac:dyDescent="0.25">
      <c r="A517" s="14"/>
      <c r="C517" s="15"/>
      <c r="D517" s="15"/>
      <c r="E517" s="15"/>
      <c r="F517" s="15"/>
      <c r="G517" s="16"/>
      <c r="H517" s="16"/>
      <c r="I517" s="15"/>
      <c r="J517" s="15" t="str">
        <f>TEXT(A517,"yyyy-mm")</f>
        <v>yyyy-01</v>
      </c>
      <c r="K517" s="16">
        <f>K516 + IF(C517="Entrada", G517, -G517)</f>
        <v>-5277.5099999999984</v>
      </c>
    </row>
    <row r="518" spans="1:11" ht="15.75" customHeight="1" x14ac:dyDescent="0.25">
      <c r="A518" s="14"/>
      <c r="C518" s="15"/>
      <c r="D518" s="15"/>
      <c r="E518" s="15"/>
      <c r="F518" s="15"/>
      <c r="G518" s="16"/>
      <c r="H518" s="16"/>
      <c r="I518" s="15"/>
      <c r="J518" s="15" t="str">
        <f>TEXT(A518,"yyyy-mm")</f>
        <v>yyyy-01</v>
      </c>
      <c r="K518" s="16">
        <f>K517 + IF(C518="Entrada", G518, -G518)</f>
        <v>-5277.5099999999984</v>
      </c>
    </row>
    <row r="519" spans="1:11" ht="15.75" customHeight="1" x14ac:dyDescent="0.25">
      <c r="A519" s="14"/>
      <c r="C519" s="15"/>
      <c r="D519" s="15"/>
      <c r="E519" s="15"/>
      <c r="F519" s="15"/>
      <c r="G519" s="16"/>
      <c r="H519" s="16"/>
      <c r="I519" s="15"/>
      <c r="J519" s="15" t="str">
        <f>TEXT(A519,"yyyy-mm")</f>
        <v>yyyy-01</v>
      </c>
      <c r="K519" s="16">
        <f>K518 + IF(C519="Entrada", G519, -G519)</f>
        <v>-5277.5099999999984</v>
      </c>
    </row>
    <row r="520" spans="1:11" ht="15.75" customHeight="1" x14ac:dyDescent="0.25">
      <c r="A520" s="14"/>
      <c r="C520" s="15"/>
      <c r="D520" s="15"/>
      <c r="E520" s="15"/>
      <c r="F520" s="15"/>
      <c r="G520" s="16"/>
      <c r="H520" s="16"/>
      <c r="I520" s="15"/>
      <c r="J520" s="15" t="str">
        <f>TEXT(A520,"yyyy-mm")</f>
        <v>yyyy-01</v>
      </c>
      <c r="K520" s="16">
        <f>K519 + IF(C520="Entrada", G520, -G520)</f>
        <v>-5277.5099999999984</v>
      </c>
    </row>
    <row r="521" spans="1:11" ht="15.75" customHeight="1" x14ac:dyDescent="0.25">
      <c r="A521" s="14"/>
      <c r="C521" s="15"/>
      <c r="D521" s="15"/>
      <c r="E521" s="15"/>
      <c r="F521" s="15"/>
      <c r="G521" s="16"/>
      <c r="H521" s="16"/>
      <c r="I521" s="15"/>
      <c r="J521" s="15" t="str">
        <f>TEXT(A521,"yyyy-mm")</f>
        <v>yyyy-01</v>
      </c>
      <c r="K521" s="16">
        <f>K520 + IF(C521="Entrada", G521, -G521)</f>
        <v>-5277.5099999999984</v>
      </c>
    </row>
    <row r="522" spans="1:11" ht="15.75" customHeight="1" x14ac:dyDescent="0.25">
      <c r="A522" s="14"/>
      <c r="C522" s="15"/>
      <c r="D522" s="15"/>
      <c r="E522" s="15"/>
      <c r="F522" s="15"/>
      <c r="G522" s="16"/>
      <c r="H522" s="16"/>
      <c r="I522" s="15"/>
      <c r="J522" s="15" t="str">
        <f>TEXT(A522,"yyyy-mm")</f>
        <v>yyyy-01</v>
      </c>
      <c r="K522" s="16">
        <f>K521 + IF(C522="Entrada", G522, -G522)</f>
        <v>-5277.5099999999984</v>
      </c>
    </row>
    <row r="523" spans="1:11" ht="15.75" customHeight="1" x14ac:dyDescent="0.25">
      <c r="A523" s="14"/>
      <c r="C523" s="15"/>
      <c r="D523" s="15"/>
      <c r="E523" s="15"/>
      <c r="F523" s="15"/>
      <c r="G523" s="16"/>
      <c r="H523" s="16"/>
      <c r="I523" s="15"/>
      <c r="J523" s="15" t="str">
        <f>TEXT(A523,"yyyy-mm")</f>
        <v>yyyy-01</v>
      </c>
      <c r="K523" s="16">
        <f>K522 + IF(C523="Entrada", G523, -G523)</f>
        <v>-5277.5099999999984</v>
      </c>
    </row>
    <row r="524" spans="1:11" ht="15.75" customHeight="1" x14ac:dyDescent="0.25">
      <c r="A524" s="14"/>
      <c r="C524" s="15"/>
      <c r="D524" s="15"/>
      <c r="E524" s="15"/>
      <c r="F524" s="15"/>
      <c r="G524" s="16"/>
      <c r="H524" s="16"/>
      <c r="I524" s="15"/>
      <c r="J524" s="15" t="str">
        <f>TEXT(A524,"yyyy-mm")</f>
        <v>yyyy-01</v>
      </c>
      <c r="K524" s="16">
        <f>K523 + IF(C524="Entrada", G524, -G524)</f>
        <v>-5277.5099999999984</v>
      </c>
    </row>
    <row r="525" spans="1:11" ht="15.75" customHeight="1" x14ac:dyDescent="0.25">
      <c r="A525" s="14"/>
      <c r="C525" s="15"/>
      <c r="D525" s="15"/>
      <c r="E525" s="15"/>
      <c r="F525" s="15"/>
      <c r="G525" s="16"/>
      <c r="H525" s="16"/>
      <c r="I525" s="15"/>
      <c r="J525" s="15" t="str">
        <f>TEXT(A525,"yyyy-mm")</f>
        <v>yyyy-01</v>
      </c>
      <c r="K525" s="16">
        <f>K524 + IF(C525="Entrada", G525, -G525)</f>
        <v>-5277.5099999999984</v>
      </c>
    </row>
    <row r="526" spans="1:11" ht="15.75" customHeight="1" x14ac:dyDescent="0.25">
      <c r="A526" s="14"/>
      <c r="C526" s="15"/>
      <c r="D526" s="15"/>
      <c r="E526" s="15"/>
      <c r="F526" s="15"/>
      <c r="G526" s="16"/>
      <c r="H526" s="16"/>
      <c r="I526" s="15"/>
      <c r="J526" s="15" t="str">
        <f>TEXT(A526,"yyyy-mm")</f>
        <v>yyyy-01</v>
      </c>
      <c r="K526" s="16">
        <f>K525 + IF(C526="Entrada", G526, -G526)</f>
        <v>-5277.5099999999984</v>
      </c>
    </row>
    <row r="527" spans="1:11" ht="15.75" customHeight="1" x14ac:dyDescent="0.25">
      <c r="A527" s="14"/>
      <c r="C527" s="15"/>
      <c r="D527" s="15"/>
      <c r="E527" s="15"/>
      <c r="F527" s="15"/>
      <c r="G527" s="16"/>
      <c r="H527" s="16"/>
      <c r="I527" s="15"/>
      <c r="J527" s="15" t="str">
        <f>TEXT(A527,"yyyy-mm")</f>
        <v>yyyy-01</v>
      </c>
      <c r="K527" s="16">
        <f>K526 + IF(C527="Entrada", G527, -G527)</f>
        <v>-5277.5099999999984</v>
      </c>
    </row>
    <row r="528" spans="1:11" ht="15.75" customHeight="1" x14ac:dyDescent="0.25">
      <c r="A528" s="14"/>
      <c r="C528" s="15"/>
      <c r="D528" s="15"/>
      <c r="E528" s="15"/>
      <c r="F528" s="15"/>
      <c r="G528" s="16"/>
      <c r="H528" s="16"/>
      <c r="I528" s="15"/>
      <c r="J528" s="15" t="str">
        <f>TEXT(A528,"yyyy-mm")</f>
        <v>yyyy-01</v>
      </c>
      <c r="K528" s="16">
        <f>K527 + IF(C528="Entrada", G528, -G528)</f>
        <v>-5277.5099999999984</v>
      </c>
    </row>
    <row r="529" spans="1:11" ht="15.75" customHeight="1" x14ac:dyDescent="0.25">
      <c r="A529" s="14"/>
      <c r="C529" s="15"/>
      <c r="D529" s="15"/>
      <c r="E529" s="15"/>
      <c r="F529" s="15"/>
      <c r="G529" s="16"/>
      <c r="H529" s="16"/>
      <c r="I529" s="15"/>
      <c r="J529" s="15" t="str">
        <f>TEXT(A529,"yyyy-mm")</f>
        <v>yyyy-01</v>
      </c>
      <c r="K529" s="16">
        <f>K528 + IF(C529="Entrada", G529, -G529)</f>
        <v>-5277.5099999999984</v>
      </c>
    </row>
    <row r="530" spans="1:11" ht="15.75" customHeight="1" x14ac:dyDescent="0.25">
      <c r="A530" s="14"/>
      <c r="C530" s="15"/>
      <c r="D530" s="15"/>
      <c r="E530" s="15"/>
      <c r="F530" s="15"/>
      <c r="G530" s="16"/>
      <c r="H530" s="16"/>
      <c r="I530" s="15"/>
      <c r="J530" s="15" t="str">
        <f>TEXT(A530,"yyyy-mm")</f>
        <v>yyyy-01</v>
      </c>
      <c r="K530" s="16">
        <f>K529 + IF(C530="Entrada", G530, -G530)</f>
        <v>-5277.5099999999984</v>
      </c>
    </row>
    <row r="531" spans="1:11" ht="15.75" customHeight="1" x14ac:dyDescent="0.25">
      <c r="A531" s="14"/>
      <c r="C531" s="15"/>
      <c r="D531" s="15"/>
      <c r="E531" s="15"/>
      <c r="F531" s="15"/>
      <c r="G531" s="16"/>
      <c r="H531" s="16"/>
      <c r="I531" s="15"/>
      <c r="J531" s="15" t="str">
        <f>TEXT(A531,"yyyy-mm")</f>
        <v>yyyy-01</v>
      </c>
      <c r="K531" s="16">
        <f>K530 + IF(C531="Entrada", G531, -G531)</f>
        <v>-5277.5099999999984</v>
      </c>
    </row>
    <row r="532" spans="1:11" ht="15.75" customHeight="1" x14ac:dyDescent="0.25">
      <c r="A532" s="14"/>
      <c r="C532" s="15"/>
      <c r="D532" s="15"/>
      <c r="E532" s="15"/>
      <c r="F532" s="15"/>
      <c r="G532" s="16"/>
      <c r="H532" s="16"/>
      <c r="I532" s="15"/>
      <c r="J532" s="15" t="str">
        <f>TEXT(A532,"yyyy-mm")</f>
        <v>yyyy-01</v>
      </c>
      <c r="K532" s="16">
        <f>K531 + IF(C532="Entrada", G532, -G532)</f>
        <v>-5277.5099999999984</v>
      </c>
    </row>
    <row r="533" spans="1:11" ht="15.75" customHeight="1" x14ac:dyDescent="0.25">
      <c r="A533" s="14"/>
      <c r="C533" s="15"/>
      <c r="D533" s="15"/>
      <c r="E533" s="15"/>
      <c r="F533" s="15"/>
      <c r="G533" s="16"/>
      <c r="H533" s="16"/>
      <c r="I533" s="15"/>
      <c r="J533" s="15" t="str">
        <f>TEXT(A533,"yyyy-mm")</f>
        <v>yyyy-01</v>
      </c>
      <c r="K533" s="16">
        <f>K532 + IF(C533="Entrada", G533, -G533)</f>
        <v>-5277.5099999999984</v>
      </c>
    </row>
    <row r="534" spans="1:11" ht="15.75" customHeight="1" x14ac:dyDescent="0.25">
      <c r="A534" s="14"/>
      <c r="C534" s="15"/>
      <c r="D534" s="15"/>
      <c r="E534" s="15"/>
      <c r="F534" s="15"/>
      <c r="G534" s="16"/>
      <c r="H534" s="16"/>
      <c r="I534" s="15"/>
      <c r="J534" s="15" t="str">
        <f>TEXT(A534,"yyyy-mm")</f>
        <v>yyyy-01</v>
      </c>
      <c r="K534" s="16">
        <f>K533 + IF(C534="Entrada", G534, -G534)</f>
        <v>-5277.5099999999984</v>
      </c>
    </row>
    <row r="535" spans="1:11" ht="15.75" customHeight="1" x14ac:dyDescent="0.25">
      <c r="A535" s="14"/>
      <c r="C535" s="15"/>
      <c r="D535" s="15"/>
      <c r="E535" s="15"/>
      <c r="F535" s="15"/>
      <c r="G535" s="16"/>
      <c r="H535" s="16"/>
      <c r="I535" s="15"/>
      <c r="J535" s="15" t="str">
        <f>TEXT(A535,"yyyy-mm")</f>
        <v>yyyy-01</v>
      </c>
      <c r="K535" s="16">
        <f>K534 + IF(C535="Entrada", G535, -G535)</f>
        <v>-5277.5099999999984</v>
      </c>
    </row>
    <row r="536" spans="1:11" ht="15.75" customHeight="1" x14ac:dyDescent="0.25">
      <c r="A536" s="14"/>
      <c r="C536" s="15"/>
      <c r="D536" s="15"/>
      <c r="E536" s="15"/>
      <c r="F536" s="15"/>
      <c r="G536" s="16"/>
      <c r="H536" s="16"/>
      <c r="I536" s="15"/>
      <c r="J536" s="15" t="str">
        <f>TEXT(A536,"yyyy-mm")</f>
        <v>yyyy-01</v>
      </c>
      <c r="K536" s="16">
        <f>K535 + IF(C536="Entrada", G536, -G536)</f>
        <v>-5277.5099999999984</v>
      </c>
    </row>
    <row r="537" spans="1:11" ht="15.75" customHeight="1" x14ac:dyDescent="0.25">
      <c r="A537" s="14"/>
      <c r="C537" s="15"/>
      <c r="D537" s="15"/>
      <c r="E537" s="15"/>
      <c r="F537" s="15"/>
      <c r="G537" s="16"/>
      <c r="H537" s="16"/>
      <c r="I537" s="15"/>
      <c r="J537" s="15" t="str">
        <f>TEXT(A537,"yyyy-mm")</f>
        <v>yyyy-01</v>
      </c>
      <c r="K537" s="16">
        <f>K536 + IF(C537="Entrada", G537, -G537)</f>
        <v>-5277.5099999999984</v>
      </c>
    </row>
    <row r="538" spans="1:11" ht="15.75" customHeight="1" x14ac:dyDescent="0.25">
      <c r="A538" s="14"/>
      <c r="C538" s="15"/>
      <c r="D538" s="15"/>
      <c r="E538" s="15"/>
      <c r="F538" s="15"/>
      <c r="G538" s="16"/>
      <c r="H538" s="16"/>
      <c r="I538" s="15"/>
      <c r="J538" s="15" t="str">
        <f>TEXT(A538,"yyyy-mm")</f>
        <v>yyyy-01</v>
      </c>
      <c r="K538" s="16">
        <f>K537 + IF(C538="Entrada", G538, -G538)</f>
        <v>-5277.5099999999984</v>
      </c>
    </row>
    <row r="539" spans="1:11" ht="15.75" customHeight="1" x14ac:dyDescent="0.25">
      <c r="A539" s="14"/>
      <c r="C539" s="15"/>
      <c r="D539" s="15"/>
      <c r="E539" s="15"/>
      <c r="F539" s="15"/>
      <c r="G539" s="16"/>
      <c r="H539" s="16"/>
      <c r="I539" s="15"/>
      <c r="J539" s="15" t="str">
        <f>TEXT(A539,"yyyy-mm")</f>
        <v>yyyy-01</v>
      </c>
      <c r="K539" s="16">
        <f>K538 + IF(C539="Entrada", G539, -G539)</f>
        <v>-5277.5099999999984</v>
      </c>
    </row>
    <row r="540" spans="1:11" ht="15.75" customHeight="1" x14ac:dyDescent="0.25">
      <c r="A540" s="14"/>
      <c r="C540" s="15"/>
      <c r="D540" s="15"/>
      <c r="E540" s="15"/>
      <c r="F540" s="15"/>
      <c r="G540" s="16"/>
      <c r="H540" s="16"/>
      <c r="I540" s="15"/>
      <c r="J540" s="15" t="str">
        <f>TEXT(A540,"yyyy-mm")</f>
        <v>yyyy-01</v>
      </c>
      <c r="K540" s="16">
        <f>K539 + IF(C540="Entrada", G540, -G540)</f>
        <v>-5277.5099999999984</v>
      </c>
    </row>
    <row r="541" spans="1:11" ht="15.75" customHeight="1" x14ac:dyDescent="0.25">
      <c r="A541" s="14"/>
      <c r="C541" s="15"/>
      <c r="D541" s="15"/>
      <c r="E541" s="15"/>
      <c r="F541" s="15"/>
      <c r="G541" s="16"/>
      <c r="H541" s="16"/>
      <c r="I541" s="15"/>
      <c r="J541" s="15" t="str">
        <f>TEXT(A541,"yyyy-mm")</f>
        <v>yyyy-01</v>
      </c>
      <c r="K541" s="16">
        <f>K540 + IF(C541="Entrada", G541, -G541)</f>
        <v>-5277.5099999999984</v>
      </c>
    </row>
    <row r="542" spans="1:11" ht="15.75" customHeight="1" x14ac:dyDescent="0.25">
      <c r="A542" s="14"/>
      <c r="C542" s="15"/>
      <c r="D542" s="15"/>
      <c r="E542" s="15"/>
      <c r="F542" s="15"/>
      <c r="G542" s="16"/>
      <c r="H542" s="16"/>
      <c r="I542" s="15"/>
      <c r="J542" s="15" t="str">
        <f>TEXT(A542,"yyyy-mm")</f>
        <v>yyyy-01</v>
      </c>
      <c r="K542" s="16">
        <f>K541 + IF(C542="Entrada", G542, -G542)</f>
        <v>-5277.5099999999984</v>
      </c>
    </row>
    <row r="543" spans="1:11" ht="15.75" customHeight="1" x14ac:dyDescent="0.25">
      <c r="A543" s="14"/>
      <c r="C543" s="15"/>
      <c r="D543" s="15"/>
      <c r="E543" s="15"/>
      <c r="F543" s="15"/>
      <c r="G543" s="16"/>
      <c r="H543" s="16"/>
      <c r="I543" s="15"/>
      <c r="J543" s="15" t="str">
        <f>TEXT(A543,"yyyy-mm")</f>
        <v>yyyy-01</v>
      </c>
      <c r="K543" s="16">
        <f>K542 + IF(C543="Entrada", G543, -G543)</f>
        <v>-5277.5099999999984</v>
      </c>
    </row>
    <row r="544" spans="1:11" ht="15.75" customHeight="1" x14ac:dyDescent="0.25">
      <c r="A544" s="14"/>
      <c r="C544" s="15"/>
      <c r="D544" s="15"/>
      <c r="E544" s="15"/>
      <c r="F544" s="15"/>
      <c r="G544" s="16"/>
      <c r="H544" s="16"/>
      <c r="I544" s="15"/>
      <c r="J544" s="15" t="str">
        <f>TEXT(A544,"yyyy-mm")</f>
        <v>yyyy-01</v>
      </c>
      <c r="K544" s="16">
        <f>K543 + IF(C544="Entrada", G544, -G544)</f>
        <v>-5277.5099999999984</v>
      </c>
    </row>
    <row r="545" spans="1:11" ht="15.75" customHeight="1" x14ac:dyDescent="0.25">
      <c r="A545" s="14"/>
      <c r="C545" s="15"/>
      <c r="D545" s="15"/>
      <c r="E545" s="15"/>
      <c r="F545" s="15"/>
      <c r="G545" s="16"/>
      <c r="H545" s="16"/>
      <c r="I545" s="15"/>
      <c r="J545" s="15" t="str">
        <f>TEXT(A545,"yyyy-mm")</f>
        <v>yyyy-01</v>
      </c>
      <c r="K545" s="16">
        <f>K544 + IF(C545="Entrada", G545, -G545)</f>
        <v>-5277.5099999999984</v>
      </c>
    </row>
    <row r="546" spans="1:11" ht="15.75" customHeight="1" x14ac:dyDescent="0.25">
      <c r="A546" s="14"/>
      <c r="C546" s="15"/>
      <c r="D546" s="15"/>
      <c r="E546" s="15"/>
      <c r="F546" s="15"/>
      <c r="G546" s="16"/>
      <c r="H546" s="16"/>
      <c r="I546" s="15"/>
      <c r="J546" s="15" t="str">
        <f>TEXT(A546,"yyyy-mm")</f>
        <v>yyyy-01</v>
      </c>
      <c r="K546" s="16">
        <f>K545 + IF(C546="Entrada", G546, -G546)</f>
        <v>-5277.5099999999984</v>
      </c>
    </row>
    <row r="547" spans="1:11" ht="15.75" customHeight="1" x14ac:dyDescent="0.25">
      <c r="A547" s="14"/>
      <c r="C547" s="15"/>
      <c r="D547" s="15"/>
      <c r="E547" s="15"/>
      <c r="F547" s="15"/>
      <c r="G547" s="16"/>
      <c r="H547" s="16"/>
      <c r="I547" s="15"/>
      <c r="J547" s="15" t="str">
        <f>TEXT(A547,"yyyy-mm")</f>
        <v>yyyy-01</v>
      </c>
      <c r="K547" s="16">
        <f>K546 + IF(C547="Entrada", G547, -G547)</f>
        <v>-5277.5099999999984</v>
      </c>
    </row>
    <row r="548" spans="1:11" ht="15.75" customHeight="1" x14ac:dyDescent="0.25">
      <c r="A548" s="14"/>
      <c r="C548" s="15"/>
      <c r="D548" s="15"/>
      <c r="E548" s="15"/>
      <c r="F548" s="15"/>
      <c r="G548" s="16"/>
      <c r="H548" s="16"/>
      <c r="I548" s="15"/>
      <c r="J548" s="15" t="str">
        <f>TEXT(A548,"yyyy-mm")</f>
        <v>yyyy-01</v>
      </c>
      <c r="K548" s="16">
        <f>K547 + IF(C548="Entrada", G548, -G548)</f>
        <v>-5277.5099999999984</v>
      </c>
    </row>
    <row r="549" spans="1:11" ht="15.75" customHeight="1" x14ac:dyDescent="0.25">
      <c r="A549" s="14"/>
      <c r="C549" s="15"/>
      <c r="D549" s="15"/>
      <c r="E549" s="15"/>
      <c r="F549" s="15"/>
      <c r="G549" s="16"/>
      <c r="H549" s="16"/>
      <c r="I549" s="15"/>
      <c r="J549" s="15" t="str">
        <f>TEXT(A549,"yyyy-mm")</f>
        <v>yyyy-01</v>
      </c>
      <c r="K549" s="16">
        <f>K548 + IF(C549="Entrada", G549, -G549)</f>
        <v>-5277.5099999999984</v>
      </c>
    </row>
    <row r="550" spans="1:11" ht="15.75" customHeight="1" x14ac:dyDescent="0.25">
      <c r="A550" s="14"/>
      <c r="C550" s="15"/>
      <c r="D550" s="15"/>
      <c r="E550" s="15"/>
      <c r="F550" s="15"/>
      <c r="G550" s="16"/>
      <c r="H550" s="16"/>
      <c r="I550" s="15"/>
      <c r="J550" s="15" t="str">
        <f>TEXT(A550,"yyyy-mm")</f>
        <v>yyyy-01</v>
      </c>
      <c r="K550" s="16">
        <f>K549 + IF(C550="Entrada", G550, -G550)</f>
        <v>-5277.5099999999984</v>
      </c>
    </row>
    <row r="551" spans="1:11" ht="15.75" customHeight="1" x14ac:dyDescent="0.25">
      <c r="A551" s="14"/>
      <c r="C551" s="15"/>
      <c r="D551" s="15"/>
      <c r="E551" s="15"/>
      <c r="F551" s="15"/>
      <c r="G551" s="16"/>
      <c r="H551" s="16"/>
      <c r="I551" s="15"/>
      <c r="J551" s="15" t="str">
        <f>TEXT(A551,"yyyy-mm")</f>
        <v>yyyy-01</v>
      </c>
      <c r="K551" s="16">
        <f>K550 + IF(C551="Entrada", G551, -G551)</f>
        <v>-5277.5099999999984</v>
      </c>
    </row>
    <row r="552" spans="1:11" ht="15.75" customHeight="1" x14ac:dyDescent="0.25">
      <c r="A552" s="14"/>
      <c r="C552" s="15"/>
      <c r="D552" s="15"/>
      <c r="E552" s="15"/>
      <c r="F552" s="15"/>
      <c r="G552" s="16"/>
      <c r="H552" s="16"/>
      <c r="I552" s="15"/>
      <c r="J552" s="15" t="str">
        <f>TEXT(A552,"yyyy-mm")</f>
        <v>yyyy-01</v>
      </c>
      <c r="K552" s="16">
        <f>K551 + IF(C552="Entrada", G552, -G552)</f>
        <v>-5277.5099999999984</v>
      </c>
    </row>
    <row r="553" spans="1:11" ht="15.75" customHeight="1" x14ac:dyDescent="0.25">
      <c r="A553" s="14"/>
      <c r="C553" s="15"/>
      <c r="D553" s="15"/>
      <c r="E553" s="15"/>
      <c r="F553" s="15"/>
      <c r="G553" s="16"/>
      <c r="H553" s="16"/>
      <c r="I553" s="15"/>
      <c r="J553" s="15" t="str">
        <f>TEXT(A553,"yyyy-mm")</f>
        <v>yyyy-01</v>
      </c>
      <c r="K553" s="16">
        <f>K552 + IF(C553="Entrada", G553, -G553)</f>
        <v>-5277.5099999999984</v>
      </c>
    </row>
    <row r="554" spans="1:11" ht="15.75" customHeight="1" x14ac:dyDescent="0.25">
      <c r="A554" s="14"/>
      <c r="C554" s="15"/>
      <c r="D554" s="15"/>
      <c r="E554" s="15"/>
      <c r="F554" s="15"/>
      <c r="G554" s="16"/>
      <c r="H554" s="16"/>
      <c r="I554" s="15"/>
      <c r="J554" s="15" t="str">
        <f>TEXT(A554,"yyyy-mm")</f>
        <v>yyyy-01</v>
      </c>
      <c r="K554" s="16">
        <f>K553 + IF(C554="Entrada", G554, -G554)</f>
        <v>-5277.5099999999984</v>
      </c>
    </row>
    <row r="555" spans="1:11" ht="15.75" customHeight="1" x14ac:dyDescent="0.25">
      <c r="A555" s="14"/>
      <c r="C555" s="15"/>
      <c r="D555" s="15"/>
      <c r="E555" s="15"/>
      <c r="F555" s="15"/>
      <c r="G555" s="16"/>
      <c r="H555" s="16"/>
      <c r="I555" s="15"/>
      <c r="J555" s="15" t="str">
        <f>TEXT(A555,"yyyy-mm")</f>
        <v>yyyy-01</v>
      </c>
      <c r="K555" s="16">
        <f>K554 + IF(C555="Entrada", G555, -G555)</f>
        <v>-5277.5099999999984</v>
      </c>
    </row>
    <row r="556" spans="1:11" ht="15.75" customHeight="1" x14ac:dyDescent="0.25">
      <c r="A556" s="14"/>
      <c r="C556" s="15"/>
      <c r="D556" s="15"/>
      <c r="E556" s="15"/>
      <c r="F556" s="15"/>
      <c r="G556" s="16"/>
      <c r="H556" s="16"/>
      <c r="I556" s="15"/>
      <c r="J556" s="15" t="str">
        <f>TEXT(A556,"yyyy-mm")</f>
        <v>yyyy-01</v>
      </c>
      <c r="K556" s="16">
        <f>K555 + IF(C556="Entrada", G556, -G556)</f>
        <v>-5277.5099999999984</v>
      </c>
    </row>
    <row r="557" spans="1:11" ht="15.75" customHeight="1" x14ac:dyDescent="0.25">
      <c r="A557" s="14"/>
      <c r="C557" s="15"/>
      <c r="D557" s="15"/>
      <c r="E557" s="15"/>
      <c r="F557" s="15"/>
      <c r="G557" s="16"/>
      <c r="H557" s="16"/>
      <c r="I557" s="15"/>
      <c r="J557" s="15" t="str">
        <f>TEXT(A557,"yyyy-mm")</f>
        <v>yyyy-01</v>
      </c>
      <c r="K557" s="16">
        <f>K556 + IF(C557="Entrada", G557, -G557)</f>
        <v>-5277.5099999999984</v>
      </c>
    </row>
    <row r="558" spans="1:11" ht="15.75" customHeight="1" x14ac:dyDescent="0.25">
      <c r="A558" s="14"/>
      <c r="C558" s="15"/>
      <c r="D558" s="15"/>
      <c r="E558" s="15"/>
      <c r="F558" s="15"/>
      <c r="G558" s="16"/>
      <c r="H558" s="16"/>
      <c r="I558" s="15"/>
      <c r="J558" s="15" t="str">
        <f>TEXT(A558,"yyyy-mm")</f>
        <v>yyyy-01</v>
      </c>
      <c r="K558" s="16">
        <f>K557 + IF(C558="Entrada", G558, -G558)</f>
        <v>-5277.5099999999984</v>
      </c>
    </row>
    <row r="559" spans="1:11" ht="15.75" customHeight="1" x14ac:dyDescent="0.25">
      <c r="A559" s="14"/>
      <c r="C559" s="15"/>
      <c r="D559" s="15"/>
      <c r="E559" s="15"/>
      <c r="F559" s="15"/>
      <c r="G559" s="16"/>
      <c r="H559" s="16"/>
      <c r="I559" s="15"/>
      <c r="J559" s="15" t="str">
        <f>TEXT(A559,"yyyy-mm")</f>
        <v>yyyy-01</v>
      </c>
      <c r="K559" s="16">
        <f>K558 + IF(C559="Entrada", G559, -G559)</f>
        <v>-5277.5099999999984</v>
      </c>
    </row>
    <row r="560" spans="1:11" ht="15.75" customHeight="1" x14ac:dyDescent="0.25">
      <c r="A560" s="14"/>
      <c r="C560" s="15"/>
      <c r="D560" s="15"/>
      <c r="E560" s="15"/>
      <c r="F560" s="15"/>
      <c r="G560" s="16"/>
      <c r="H560" s="16"/>
      <c r="I560" s="15"/>
      <c r="J560" s="15" t="str">
        <f>TEXT(A560,"yyyy-mm")</f>
        <v>yyyy-01</v>
      </c>
      <c r="K560" s="16">
        <f>K559 + IF(C560="Entrada", G560, -G560)</f>
        <v>-5277.5099999999984</v>
      </c>
    </row>
    <row r="561" spans="1:11" ht="15.75" customHeight="1" x14ac:dyDescent="0.25">
      <c r="A561" s="14"/>
      <c r="C561" s="15"/>
      <c r="D561" s="15"/>
      <c r="E561" s="15"/>
      <c r="F561" s="15"/>
      <c r="G561" s="16"/>
      <c r="H561" s="16"/>
      <c r="I561" s="15"/>
      <c r="J561" s="15" t="str">
        <f>TEXT(A561,"yyyy-mm")</f>
        <v>yyyy-01</v>
      </c>
      <c r="K561" s="16">
        <f>K560 + IF(C561="Entrada", G561, -G561)</f>
        <v>-5277.5099999999984</v>
      </c>
    </row>
    <row r="562" spans="1:11" ht="15.75" customHeight="1" x14ac:dyDescent="0.25">
      <c r="A562" s="14"/>
      <c r="C562" s="15"/>
      <c r="D562" s="15"/>
      <c r="E562" s="15"/>
      <c r="F562" s="15"/>
      <c r="G562" s="16"/>
      <c r="H562" s="16"/>
      <c r="I562" s="15"/>
      <c r="J562" s="15" t="str">
        <f>TEXT(A562,"yyyy-mm")</f>
        <v>yyyy-01</v>
      </c>
      <c r="K562" s="16">
        <f>K561 + IF(C562="Entrada", G562, -G562)</f>
        <v>-5277.5099999999984</v>
      </c>
    </row>
    <row r="563" spans="1:11" ht="15.75" customHeight="1" x14ac:dyDescent="0.25">
      <c r="A563" s="14"/>
      <c r="C563" s="15"/>
      <c r="D563" s="15"/>
      <c r="E563" s="15"/>
      <c r="F563" s="15"/>
      <c r="G563" s="16"/>
      <c r="H563" s="16"/>
      <c r="I563" s="15"/>
      <c r="J563" s="15" t="str">
        <f>TEXT(A563,"yyyy-mm")</f>
        <v>yyyy-01</v>
      </c>
      <c r="K563" s="16">
        <f>K562 + IF(C563="Entrada", G563, -G563)</f>
        <v>-5277.5099999999984</v>
      </c>
    </row>
    <row r="564" spans="1:11" ht="15.75" customHeight="1" x14ac:dyDescent="0.25">
      <c r="A564" s="14"/>
      <c r="C564" s="15"/>
      <c r="D564" s="15"/>
      <c r="E564" s="15"/>
      <c r="F564" s="15"/>
      <c r="G564" s="16"/>
      <c r="H564" s="16"/>
      <c r="I564" s="15"/>
      <c r="J564" s="15" t="str">
        <f>TEXT(A564,"yyyy-mm")</f>
        <v>yyyy-01</v>
      </c>
      <c r="K564" s="16">
        <f>K563 + IF(C564="Entrada", G564, -G564)</f>
        <v>-5277.5099999999984</v>
      </c>
    </row>
    <row r="565" spans="1:11" ht="15.75" customHeight="1" x14ac:dyDescent="0.25">
      <c r="A565" s="14"/>
      <c r="C565" s="15"/>
      <c r="D565" s="15"/>
      <c r="E565" s="15"/>
      <c r="F565" s="15"/>
      <c r="G565" s="16"/>
      <c r="H565" s="16"/>
      <c r="I565" s="15"/>
      <c r="J565" s="15" t="str">
        <f>TEXT(A565,"yyyy-mm")</f>
        <v>yyyy-01</v>
      </c>
      <c r="K565" s="16">
        <f>K564 + IF(C565="Entrada", G565, -G565)</f>
        <v>-5277.5099999999984</v>
      </c>
    </row>
    <row r="566" spans="1:11" ht="15.75" customHeight="1" x14ac:dyDescent="0.25">
      <c r="A566" s="14"/>
      <c r="C566" s="15"/>
      <c r="D566" s="15"/>
      <c r="E566" s="15"/>
      <c r="F566" s="15"/>
      <c r="G566" s="16"/>
      <c r="H566" s="16"/>
      <c r="I566" s="15"/>
      <c r="J566" s="15" t="str">
        <f>TEXT(A566,"yyyy-mm")</f>
        <v>yyyy-01</v>
      </c>
      <c r="K566" s="16">
        <f>K565 + IF(C566="Entrada", G566, -G566)</f>
        <v>-5277.5099999999984</v>
      </c>
    </row>
    <row r="567" spans="1:11" ht="15.75" customHeight="1" x14ac:dyDescent="0.25">
      <c r="A567" s="14"/>
      <c r="C567" s="15"/>
      <c r="D567" s="15"/>
      <c r="E567" s="15"/>
      <c r="F567" s="15"/>
      <c r="G567" s="16"/>
      <c r="H567" s="16"/>
      <c r="I567" s="15"/>
      <c r="J567" s="15" t="str">
        <f>TEXT(A567,"yyyy-mm")</f>
        <v>yyyy-01</v>
      </c>
      <c r="K567" s="16">
        <f>K566 + IF(C567="Entrada", G567, -G567)</f>
        <v>-5277.5099999999984</v>
      </c>
    </row>
    <row r="568" spans="1:11" ht="15.75" customHeight="1" x14ac:dyDescent="0.25">
      <c r="A568" s="14"/>
      <c r="C568" s="15"/>
      <c r="D568" s="15"/>
      <c r="E568" s="15"/>
      <c r="F568" s="15"/>
      <c r="G568" s="16"/>
      <c r="H568" s="16"/>
      <c r="I568" s="15"/>
      <c r="J568" s="15" t="str">
        <f>TEXT(A568,"yyyy-mm")</f>
        <v>yyyy-01</v>
      </c>
      <c r="K568" s="16">
        <f>K567 + IF(C568="Entrada", G568, -G568)</f>
        <v>-5277.5099999999984</v>
      </c>
    </row>
    <row r="569" spans="1:11" ht="15.75" customHeight="1" x14ac:dyDescent="0.25">
      <c r="A569" s="14"/>
      <c r="C569" s="15"/>
      <c r="D569" s="15"/>
      <c r="E569" s="15"/>
      <c r="F569" s="15"/>
      <c r="G569" s="16"/>
      <c r="H569" s="16"/>
      <c r="I569" s="15"/>
      <c r="J569" s="15" t="str">
        <f>TEXT(A569,"yyyy-mm")</f>
        <v>yyyy-01</v>
      </c>
      <c r="K569" s="16">
        <f>K568 + IF(C569="Entrada", G569, -G569)</f>
        <v>-5277.5099999999984</v>
      </c>
    </row>
    <row r="570" spans="1:11" ht="15.75" customHeight="1" x14ac:dyDescent="0.25">
      <c r="A570" s="14"/>
      <c r="C570" s="15"/>
      <c r="D570" s="15"/>
      <c r="E570" s="15"/>
      <c r="F570" s="15"/>
      <c r="G570" s="16"/>
      <c r="H570" s="16"/>
      <c r="I570" s="15"/>
      <c r="J570" s="15" t="str">
        <f>TEXT(A570,"yyyy-mm")</f>
        <v>yyyy-01</v>
      </c>
      <c r="K570" s="16">
        <f>K569 + IF(C570="Entrada", G570, -G570)</f>
        <v>-5277.5099999999984</v>
      </c>
    </row>
    <row r="571" spans="1:11" ht="15.75" customHeight="1" x14ac:dyDescent="0.25">
      <c r="A571" s="14"/>
      <c r="C571" s="15"/>
      <c r="D571" s="15"/>
      <c r="E571" s="15"/>
      <c r="F571" s="15"/>
      <c r="G571" s="16"/>
      <c r="H571" s="16"/>
      <c r="I571" s="15"/>
      <c r="J571" s="15" t="str">
        <f>TEXT(A571,"yyyy-mm")</f>
        <v>yyyy-01</v>
      </c>
      <c r="K571" s="16">
        <f>K570 + IF(C571="Entrada", G571, -G571)</f>
        <v>-5277.5099999999984</v>
      </c>
    </row>
    <row r="572" spans="1:11" ht="15.75" customHeight="1" x14ac:dyDescent="0.25">
      <c r="A572" s="14"/>
      <c r="C572" s="15"/>
      <c r="D572" s="15"/>
      <c r="E572" s="15"/>
      <c r="F572" s="15"/>
      <c r="G572" s="16"/>
      <c r="H572" s="16"/>
      <c r="I572" s="15"/>
      <c r="J572" s="15" t="str">
        <f>TEXT(A572,"yyyy-mm")</f>
        <v>yyyy-01</v>
      </c>
      <c r="K572" s="16">
        <f>K571 + IF(C572="Entrada", G572, -G572)</f>
        <v>-5277.5099999999984</v>
      </c>
    </row>
    <row r="573" spans="1:11" ht="15.75" customHeight="1" x14ac:dyDescent="0.25">
      <c r="A573" s="14"/>
      <c r="C573" s="15"/>
      <c r="D573" s="15"/>
      <c r="E573" s="15"/>
      <c r="F573" s="15"/>
      <c r="G573" s="16"/>
      <c r="H573" s="16"/>
      <c r="I573" s="15"/>
      <c r="J573" s="15" t="str">
        <f>TEXT(A573,"yyyy-mm")</f>
        <v>yyyy-01</v>
      </c>
      <c r="K573" s="16">
        <f>K572 + IF(C573="Entrada", G573, -G573)</f>
        <v>-5277.5099999999984</v>
      </c>
    </row>
    <row r="574" spans="1:11" ht="15.75" customHeight="1" x14ac:dyDescent="0.25">
      <c r="A574" s="14"/>
      <c r="C574" s="15"/>
      <c r="D574" s="15"/>
      <c r="E574" s="15"/>
      <c r="F574" s="15"/>
      <c r="G574" s="16"/>
      <c r="H574" s="16"/>
      <c r="I574" s="15"/>
      <c r="J574" s="15" t="str">
        <f>TEXT(A574,"yyyy-mm")</f>
        <v>yyyy-01</v>
      </c>
      <c r="K574" s="16">
        <f>K573 + IF(C574="Entrada", G574, -G574)</f>
        <v>-5277.5099999999984</v>
      </c>
    </row>
    <row r="575" spans="1:11" ht="15.75" customHeight="1" x14ac:dyDescent="0.25">
      <c r="A575" s="14"/>
      <c r="C575" s="15"/>
      <c r="D575" s="15"/>
      <c r="E575" s="15"/>
      <c r="F575" s="15"/>
      <c r="G575" s="16"/>
      <c r="H575" s="16"/>
      <c r="I575" s="15"/>
      <c r="J575" s="15" t="str">
        <f>TEXT(A575,"yyyy-mm")</f>
        <v>yyyy-01</v>
      </c>
      <c r="K575" s="16">
        <f>K574 + IF(C575="Entrada", G575, -G575)</f>
        <v>-5277.5099999999984</v>
      </c>
    </row>
    <row r="576" spans="1:11" ht="15.75" customHeight="1" x14ac:dyDescent="0.25">
      <c r="A576" s="14"/>
      <c r="C576" s="15"/>
      <c r="D576" s="15"/>
      <c r="E576" s="15"/>
      <c r="F576" s="15"/>
      <c r="G576" s="16"/>
      <c r="H576" s="16"/>
      <c r="I576" s="15"/>
      <c r="J576" s="15" t="str">
        <f>TEXT(A576,"yyyy-mm")</f>
        <v>yyyy-01</v>
      </c>
      <c r="K576" s="16">
        <f>K575 + IF(C576="Entrada", G576, -G576)</f>
        <v>-5277.5099999999984</v>
      </c>
    </row>
    <row r="577" spans="1:11" ht="15.75" customHeight="1" x14ac:dyDescent="0.25">
      <c r="A577" s="14"/>
      <c r="C577" s="15"/>
      <c r="D577" s="15"/>
      <c r="E577" s="15"/>
      <c r="F577" s="15"/>
      <c r="G577" s="16"/>
      <c r="H577" s="16"/>
      <c r="I577" s="15"/>
      <c r="J577" s="15" t="str">
        <f>TEXT(A577,"yyyy-mm")</f>
        <v>yyyy-01</v>
      </c>
      <c r="K577" s="16">
        <f>K576 + IF(C577="Entrada", G577, -G577)</f>
        <v>-5277.5099999999984</v>
      </c>
    </row>
    <row r="578" spans="1:11" ht="15.75" customHeight="1" x14ac:dyDescent="0.25">
      <c r="A578" s="14"/>
      <c r="C578" s="15"/>
      <c r="D578" s="15"/>
      <c r="E578" s="15"/>
      <c r="F578" s="15"/>
      <c r="G578" s="16"/>
      <c r="H578" s="16"/>
      <c r="I578" s="15"/>
      <c r="J578" s="15" t="str">
        <f>TEXT(A578,"yyyy-mm")</f>
        <v>yyyy-01</v>
      </c>
      <c r="K578" s="16">
        <f>K577 + IF(C578="Entrada", G578, -G578)</f>
        <v>-5277.5099999999984</v>
      </c>
    </row>
    <row r="579" spans="1:11" ht="15.75" customHeight="1" x14ac:dyDescent="0.25">
      <c r="A579" s="14"/>
      <c r="C579" s="15"/>
      <c r="D579" s="15"/>
      <c r="E579" s="15"/>
      <c r="F579" s="15"/>
      <c r="G579" s="16"/>
      <c r="H579" s="16"/>
      <c r="I579" s="15"/>
      <c r="J579" s="15" t="str">
        <f>TEXT(A579,"yyyy-mm")</f>
        <v>yyyy-01</v>
      </c>
      <c r="K579" s="16">
        <f>K578 + IF(C579="Entrada", G579, -G579)</f>
        <v>-5277.5099999999984</v>
      </c>
    </row>
    <row r="580" spans="1:11" ht="15.75" customHeight="1" x14ac:dyDescent="0.25">
      <c r="A580" s="14"/>
      <c r="C580" s="15"/>
      <c r="D580" s="15"/>
      <c r="E580" s="15"/>
      <c r="F580" s="15"/>
      <c r="G580" s="16"/>
      <c r="H580" s="16"/>
      <c r="I580" s="15"/>
      <c r="J580" s="15" t="str">
        <f>TEXT(A580,"yyyy-mm")</f>
        <v>yyyy-01</v>
      </c>
      <c r="K580" s="16">
        <f>K579 + IF(C580="Entrada", G580, -G580)</f>
        <v>-5277.5099999999984</v>
      </c>
    </row>
    <row r="581" spans="1:11" ht="15.75" customHeight="1" x14ac:dyDescent="0.25">
      <c r="A581" s="14"/>
      <c r="C581" s="15"/>
      <c r="D581" s="15"/>
      <c r="E581" s="15"/>
      <c r="F581" s="15"/>
      <c r="G581" s="16"/>
      <c r="H581" s="16"/>
      <c r="I581" s="15"/>
      <c r="J581" s="15" t="str">
        <f>TEXT(A581,"yyyy-mm")</f>
        <v>yyyy-01</v>
      </c>
      <c r="K581" s="16">
        <f>K580 + IF(C581="Entrada", G581, -G581)</f>
        <v>-5277.5099999999984</v>
      </c>
    </row>
    <row r="582" spans="1:11" ht="15.75" customHeight="1" x14ac:dyDescent="0.25">
      <c r="A582" s="14"/>
      <c r="C582" s="15"/>
      <c r="D582" s="15"/>
      <c r="E582" s="15"/>
      <c r="F582" s="15"/>
      <c r="G582" s="16"/>
      <c r="H582" s="16"/>
      <c r="I582" s="15"/>
      <c r="J582" s="15" t="str">
        <f>TEXT(A582,"yyyy-mm")</f>
        <v>yyyy-01</v>
      </c>
      <c r="K582" s="16">
        <f>K581 + IF(C582="Entrada", G582, -G582)</f>
        <v>-5277.5099999999984</v>
      </c>
    </row>
    <row r="583" spans="1:11" ht="15.75" customHeight="1" x14ac:dyDescent="0.25">
      <c r="A583" s="14"/>
      <c r="C583" s="15"/>
      <c r="D583" s="15"/>
      <c r="E583" s="15"/>
      <c r="F583" s="15"/>
      <c r="G583" s="16"/>
      <c r="H583" s="16"/>
      <c r="I583" s="15"/>
      <c r="J583" s="15" t="str">
        <f>TEXT(A583,"yyyy-mm")</f>
        <v>yyyy-01</v>
      </c>
      <c r="K583" s="16">
        <f>K582 + IF(C583="Entrada", G583, -G583)</f>
        <v>-5277.5099999999984</v>
      </c>
    </row>
    <row r="584" spans="1:11" ht="15.75" customHeight="1" x14ac:dyDescent="0.25">
      <c r="A584" s="14"/>
      <c r="C584" s="15"/>
      <c r="D584" s="15"/>
      <c r="E584" s="15"/>
      <c r="F584" s="15"/>
      <c r="G584" s="16"/>
      <c r="H584" s="16"/>
      <c r="I584" s="15"/>
      <c r="J584" s="15" t="str">
        <f>TEXT(A584,"yyyy-mm")</f>
        <v>yyyy-01</v>
      </c>
      <c r="K584" s="16">
        <f>K583 + IF(C584="Entrada", G584, -G584)</f>
        <v>-5277.5099999999984</v>
      </c>
    </row>
    <row r="585" spans="1:11" ht="15.75" customHeight="1" x14ac:dyDescent="0.25">
      <c r="A585" s="14"/>
      <c r="C585" s="15"/>
      <c r="D585" s="15"/>
      <c r="E585" s="15"/>
      <c r="F585" s="15"/>
      <c r="G585" s="16"/>
      <c r="H585" s="16"/>
      <c r="I585" s="15"/>
      <c r="J585" s="15" t="str">
        <f>TEXT(A585,"yyyy-mm")</f>
        <v>yyyy-01</v>
      </c>
      <c r="K585" s="16">
        <f>K584 + IF(C585="Entrada", G585, -G585)</f>
        <v>-5277.5099999999984</v>
      </c>
    </row>
    <row r="586" spans="1:11" ht="15.75" customHeight="1" x14ac:dyDescent="0.25">
      <c r="A586" s="14"/>
      <c r="C586" s="15"/>
      <c r="D586" s="15"/>
      <c r="E586" s="15"/>
      <c r="F586" s="15"/>
      <c r="G586" s="16"/>
      <c r="H586" s="16"/>
      <c r="I586" s="15"/>
      <c r="J586" s="15" t="str">
        <f>TEXT(A586,"yyyy-mm")</f>
        <v>yyyy-01</v>
      </c>
      <c r="K586" s="16">
        <f>K585 + IF(C586="Entrada", G586, -G586)</f>
        <v>-5277.5099999999984</v>
      </c>
    </row>
    <row r="587" spans="1:11" ht="15.75" customHeight="1" x14ac:dyDescent="0.25">
      <c r="A587" s="14"/>
      <c r="C587" s="15"/>
      <c r="D587" s="15"/>
      <c r="E587" s="15"/>
      <c r="F587" s="15"/>
      <c r="G587" s="16"/>
      <c r="H587" s="16"/>
      <c r="I587" s="15"/>
      <c r="J587" s="15" t="str">
        <f>TEXT(A587,"yyyy-mm")</f>
        <v>yyyy-01</v>
      </c>
      <c r="K587" s="16">
        <f>K586 + IF(C587="Entrada", G587, -G587)</f>
        <v>-5277.5099999999984</v>
      </c>
    </row>
    <row r="588" spans="1:11" ht="15.75" customHeight="1" x14ac:dyDescent="0.25">
      <c r="A588" s="14"/>
      <c r="C588" s="15"/>
      <c r="D588" s="15"/>
      <c r="E588" s="15"/>
      <c r="F588" s="15"/>
      <c r="G588" s="16"/>
      <c r="H588" s="16"/>
      <c r="I588" s="15"/>
      <c r="J588" s="15" t="str">
        <f>TEXT(A588,"yyyy-mm")</f>
        <v>yyyy-01</v>
      </c>
      <c r="K588" s="16">
        <f>K587 + IF(C588="Entrada", G588, -G588)</f>
        <v>-5277.5099999999984</v>
      </c>
    </row>
    <row r="589" spans="1:11" ht="15.75" customHeight="1" x14ac:dyDescent="0.25">
      <c r="A589" s="14"/>
      <c r="C589" s="15"/>
      <c r="D589" s="15"/>
      <c r="E589" s="15"/>
      <c r="F589" s="15"/>
      <c r="G589" s="16"/>
      <c r="H589" s="16"/>
      <c r="I589" s="15"/>
      <c r="J589" s="15" t="str">
        <f>TEXT(A589,"yyyy-mm")</f>
        <v>yyyy-01</v>
      </c>
      <c r="K589" s="16">
        <f>K588 + IF(C589="Entrada", G589, -G589)</f>
        <v>-5277.5099999999984</v>
      </c>
    </row>
    <row r="590" spans="1:11" ht="15.75" customHeight="1" x14ac:dyDescent="0.25">
      <c r="A590" s="14"/>
      <c r="C590" s="15"/>
      <c r="D590" s="15"/>
      <c r="E590" s="15"/>
      <c r="F590" s="15"/>
      <c r="G590" s="16"/>
      <c r="H590" s="16"/>
      <c r="I590" s="15"/>
      <c r="J590" s="15" t="str">
        <f>TEXT(A590,"yyyy-mm")</f>
        <v>yyyy-01</v>
      </c>
      <c r="K590" s="16">
        <f>K589 + IF(C590="Entrada", G590, -G590)</f>
        <v>-5277.5099999999984</v>
      </c>
    </row>
    <row r="591" spans="1:11" ht="15.75" customHeight="1" x14ac:dyDescent="0.25">
      <c r="A591" s="14"/>
      <c r="C591" s="15"/>
      <c r="D591" s="15"/>
      <c r="E591" s="15"/>
      <c r="F591" s="15"/>
      <c r="G591" s="16"/>
      <c r="H591" s="16"/>
      <c r="I591" s="15"/>
      <c r="J591" s="15" t="str">
        <f>TEXT(A591,"yyyy-mm")</f>
        <v>yyyy-01</v>
      </c>
      <c r="K591" s="16">
        <f>K590 + IF(C591="Entrada", G591, -G591)</f>
        <v>-5277.5099999999984</v>
      </c>
    </row>
    <row r="592" spans="1:11" ht="15.75" customHeight="1" x14ac:dyDescent="0.25">
      <c r="A592" s="14"/>
      <c r="C592" s="15"/>
      <c r="D592" s="15"/>
      <c r="E592" s="15"/>
      <c r="F592" s="15"/>
      <c r="G592" s="16"/>
      <c r="H592" s="16"/>
      <c r="I592" s="15"/>
      <c r="J592" s="15" t="str">
        <f>TEXT(A592,"yyyy-mm")</f>
        <v>yyyy-01</v>
      </c>
      <c r="K592" s="16">
        <f>K591 + IF(C592="Entrada", G592, -G592)</f>
        <v>-5277.5099999999984</v>
      </c>
    </row>
    <row r="593" spans="1:11" ht="15.75" customHeight="1" x14ac:dyDescent="0.25">
      <c r="A593" s="14"/>
      <c r="C593" s="15"/>
      <c r="D593" s="15"/>
      <c r="E593" s="15"/>
      <c r="F593" s="15"/>
      <c r="G593" s="16"/>
      <c r="H593" s="16"/>
      <c r="I593" s="15"/>
      <c r="J593" s="15" t="str">
        <f>TEXT(A593,"yyyy-mm")</f>
        <v>yyyy-01</v>
      </c>
      <c r="K593" s="16">
        <f>K592 + IF(C593="Entrada", G593, -G593)</f>
        <v>-5277.5099999999984</v>
      </c>
    </row>
    <row r="594" spans="1:11" ht="15.75" customHeight="1" x14ac:dyDescent="0.25">
      <c r="A594" s="14"/>
      <c r="C594" s="15"/>
      <c r="D594" s="15"/>
      <c r="E594" s="15"/>
      <c r="F594" s="15"/>
      <c r="G594" s="16"/>
      <c r="H594" s="16"/>
      <c r="I594" s="15"/>
      <c r="J594" s="15" t="str">
        <f>TEXT(A594,"yyyy-mm")</f>
        <v>yyyy-01</v>
      </c>
      <c r="K594" s="16">
        <f>K593 + IF(C594="Entrada", G594, -G594)</f>
        <v>-5277.5099999999984</v>
      </c>
    </row>
    <row r="595" spans="1:11" ht="15.75" customHeight="1" x14ac:dyDescent="0.25">
      <c r="A595" s="14"/>
      <c r="C595" s="15"/>
      <c r="D595" s="15"/>
      <c r="E595" s="15"/>
      <c r="F595" s="15"/>
      <c r="G595" s="16"/>
      <c r="H595" s="16"/>
      <c r="I595" s="15"/>
      <c r="J595" s="15" t="str">
        <f>TEXT(A595,"yyyy-mm")</f>
        <v>yyyy-01</v>
      </c>
      <c r="K595" s="16">
        <f>K594 + IF(C595="Entrada", G595, -G595)</f>
        <v>-5277.5099999999984</v>
      </c>
    </row>
    <row r="596" spans="1:11" ht="15.75" customHeight="1" x14ac:dyDescent="0.25">
      <c r="A596" s="14"/>
      <c r="C596" s="15"/>
      <c r="D596" s="15"/>
      <c r="E596" s="15"/>
      <c r="F596" s="15"/>
      <c r="G596" s="16"/>
      <c r="H596" s="16"/>
      <c r="I596" s="15"/>
      <c r="J596" s="15" t="str">
        <f>TEXT(A596,"yyyy-mm")</f>
        <v>yyyy-01</v>
      </c>
      <c r="K596" s="16">
        <f>K595 + IF(C596="Entrada", G596, -G596)</f>
        <v>-5277.5099999999984</v>
      </c>
    </row>
    <row r="597" spans="1:11" ht="15.75" customHeight="1" x14ac:dyDescent="0.25">
      <c r="A597" s="14"/>
      <c r="C597" s="15"/>
      <c r="D597" s="15"/>
      <c r="E597" s="15"/>
      <c r="F597" s="15"/>
      <c r="G597" s="16"/>
      <c r="H597" s="16"/>
      <c r="I597" s="15"/>
      <c r="J597" s="15" t="str">
        <f>TEXT(A597,"yyyy-mm")</f>
        <v>yyyy-01</v>
      </c>
      <c r="K597" s="16">
        <f>K596 + IF(C597="Entrada", G597, -G597)</f>
        <v>-5277.5099999999984</v>
      </c>
    </row>
    <row r="598" spans="1:11" ht="15.75" customHeight="1" x14ac:dyDescent="0.25">
      <c r="A598" s="14"/>
      <c r="C598" s="15"/>
      <c r="D598" s="15"/>
      <c r="E598" s="15"/>
      <c r="F598" s="15"/>
      <c r="G598" s="16"/>
      <c r="H598" s="16"/>
      <c r="I598" s="15"/>
      <c r="J598" s="15" t="str">
        <f>TEXT(A598,"yyyy-mm")</f>
        <v>yyyy-01</v>
      </c>
      <c r="K598" s="16">
        <f>K597 + IF(C598="Entrada", G598, -G598)</f>
        <v>-5277.5099999999984</v>
      </c>
    </row>
    <row r="599" spans="1:11" ht="15.75" customHeight="1" x14ac:dyDescent="0.25">
      <c r="A599" s="14"/>
      <c r="C599" s="15"/>
      <c r="D599" s="15"/>
      <c r="E599" s="15"/>
      <c r="F599" s="15"/>
      <c r="G599" s="16"/>
      <c r="H599" s="16"/>
      <c r="I599" s="15"/>
      <c r="J599" s="15" t="str">
        <f>TEXT(A599,"yyyy-mm")</f>
        <v>yyyy-01</v>
      </c>
      <c r="K599" s="16">
        <f>K598 + IF(C599="Entrada", G599, -G599)</f>
        <v>-5277.5099999999984</v>
      </c>
    </row>
    <row r="600" spans="1:11" ht="15.75" customHeight="1" x14ac:dyDescent="0.25">
      <c r="A600" s="14"/>
      <c r="C600" s="15"/>
      <c r="D600" s="15"/>
      <c r="E600" s="15"/>
      <c r="F600" s="15"/>
      <c r="G600" s="16"/>
      <c r="H600" s="16"/>
      <c r="I600" s="15"/>
      <c r="J600" s="15" t="str">
        <f>TEXT(A600,"yyyy-mm")</f>
        <v>yyyy-01</v>
      </c>
      <c r="K600" s="16">
        <f>K599 + IF(C600="Entrada", G600, -G600)</f>
        <v>-5277.5099999999984</v>
      </c>
    </row>
    <row r="601" spans="1:11" ht="15.75" customHeight="1" x14ac:dyDescent="0.25">
      <c r="A601" s="14"/>
      <c r="C601" s="15"/>
      <c r="D601" s="15"/>
      <c r="E601" s="15"/>
      <c r="F601" s="15"/>
      <c r="G601" s="16"/>
      <c r="H601" s="16"/>
      <c r="I601" s="15"/>
      <c r="J601" s="15" t="str">
        <f>TEXT(A601,"yyyy-mm")</f>
        <v>yyyy-01</v>
      </c>
      <c r="K601" s="16">
        <f>K600 + IF(C601="Entrada", G601, -G601)</f>
        <v>-5277.5099999999984</v>
      </c>
    </row>
    <row r="602" spans="1:11" ht="15.75" customHeight="1" x14ac:dyDescent="0.25">
      <c r="A602" s="14"/>
      <c r="C602" s="15"/>
      <c r="D602" s="15"/>
      <c r="E602" s="15"/>
      <c r="F602" s="15"/>
      <c r="G602" s="16"/>
      <c r="H602" s="16"/>
      <c r="I602" s="15"/>
      <c r="J602" s="15" t="str">
        <f>TEXT(A602,"yyyy-mm")</f>
        <v>yyyy-01</v>
      </c>
      <c r="K602" s="16">
        <f>K601 + IF(C602="Entrada", G602, -G602)</f>
        <v>-5277.5099999999984</v>
      </c>
    </row>
    <row r="603" spans="1:11" ht="15.75" customHeight="1" x14ac:dyDescent="0.25">
      <c r="A603" s="14"/>
      <c r="C603" s="15"/>
      <c r="D603" s="15"/>
      <c r="E603" s="15"/>
      <c r="F603" s="15"/>
      <c r="G603" s="16"/>
      <c r="H603" s="16"/>
      <c r="I603" s="15"/>
      <c r="J603" s="15" t="str">
        <f>TEXT(A603,"yyyy-mm")</f>
        <v>yyyy-01</v>
      </c>
      <c r="K603" s="16">
        <f>K602 + IF(C603="Entrada", G603, -G603)</f>
        <v>-5277.5099999999984</v>
      </c>
    </row>
    <row r="604" spans="1:11" ht="15.75" customHeight="1" x14ac:dyDescent="0.25">
      <c r="A604" s="14"/>
      <c r="C604" s="15"/>
      <c r="D604" s="15"/>
      <c r="E604" s="15"/>
      <c r="F604" s="15"/>
      <c r="G604" s="16"/>
      <c r="H604" s="16"/>
      <c r="I604" s="15"/>
      <c r="J604" s="15" t="str">
        <f>TEXT(A604,"yyyy-mm")</f>
        <v>yyyy-01</v>
      </c>
      <c r="K604" s="16">
        <f>K603 + IF(C604="Entrada", G604, -G604)</f>
        <v>-5277.5099999999984</v>
      </c>
    </row>
    <row r="605" spans="1:11" ht="15.75" customHeight="1" x14ac:dyDescent="0.25">
      <c r="A605" s="14"/>
      <c r="C605" s="15"/>
      <c r="D605" s="15"/>
      <c r="E605" s="15"/>
      <c r="F605" s="15"/>
      <c r="G605" s="16"/>
      <c r="H605" s="16"/>
      <c r="I605" s="15"/>
      <c r="J605" s="15" t="str">
        <f>TEXT(A605,"yyyy-mm")</f>
        <v>yyyy-01</v>
      </c>
      <c r="K605" s="16">
        <f>K604 + IF(C605="Entrada", G605, -G605)</f>
        <v>-5277.5099999999984</v>
      </c>
    </row>
    <row r="606" spans="1:11" ht="15.75" customHeight="1" x14ac:dyDescent="0.25">
      <c r="A606" s="14"/>
      <c r="C606" s="15"/>
      <c r="D606" s="15"/>
      <c r="E606" s="15"/>
      <c r="F606" s="15"/>
      <c r="G606" s="16"/>
      <c r="H606" s="16"/>
      <c r="I606" s="15"/>
      <c r="J606" s="15" t="str">
        <f>TEXT(A606,"yyyy-mm")</f>
        <v>yyyy-01</v>
      </c>
      <c r="K606" s="16">
        <f>K605 + IF(C606="Entrada", G606, -G606)</f>
        <v>-5277.5099999999984</v>
      </c>
    </row>
    <row r="607" spans="1:11" ht="15.75" customHeight="1" x14ac:dyDescent="0.25">
      <c r="A607" s="14"/>
      <c r="C607" s="15"/>
      <c r="D607" s="15"/>
      <c r="E607" s="15"/>
      <c r="F607" s="15"/>
      <c r="G607" s="16"/>
      <c r="H607" s="16"/>
      <c r="I607" s="15"/>
      <c r="J607" s="15" t="str">
        <f>TEXT(A607,"yyyy-mm")</f>
        <v>yyyy-01</v>
      </c>
      <c r="K607" s="16">
        <f>K606 + IF(C607="Entrada", G607, -G607)</f>
        <v>-5277.5099999999984</v>
      </c>
    </row>
    <row r="608" spans="1:11" ht="15.75" customHeight="1" x14ac:dyDescent="0.25">
      <c r="A608" s="14"/>
      <c r="C608" s="15"/>
      <c r="D608" s="15"/>
      <c r="E608" s="15"/>
      <c r="F608" s="15"/>
      <c r="G608" s="16"/>
      <c r="H608" s="16"/>
      <c r="I608" s="15"/>
      <c r="J608" s="15" t="str">
        <f>TEXT(A608,"yyyy-mm")</f>
        <v>yyyy-01</v>
      </c>
      <c r="K608" s="16">
        <f>K607 + IF(C608="Entrada", G608, -G608)</f>
        <v>-5277.5099999999984</v>
      </c>
    </row>
    <row r="609" spans="1:11" ht="15.75" customHeight="1" x14ac:dyDescent="0.25">
      <c r="A609" s="14"/>
      <c r="C609" s="15"/>
      <c r="D609" s="15"/>
      <c r="E609" s="15"/>
      <c r="F609" s="15"/>
      <c r="G609" s="16"/>
      <c r="H609" s="16"/>
      <c r="I609" s="15"/>
      <c r="J609" s="15" t="str">
        <f>TEXT(A609,"yyyy-mm")</f>
        <v>yyyy-01</v>
      </c>
      <c r="K609" s="16">
        <f>K608 + IF(C609="Entrada", G609, -G609)</f>
        <v>-5277.5099999999984</v>
      </c>
    </row>
    <row r="610" spans="1:11" ht="15.75" customHeight="1" x14ac:dyDescent="0.25">
      <c r="A610" s="14"/>
      <c r="C610" s="15"/>
      <c r="D610" s="15"/>
      <c r="E610" s="15"/>
      <c r="F610" s="15"/>
      <c r="G610" s="16"/>
      <c r="H610" s="16"/>
      <c r="I610" s="15"/>
      <c r="J610" s="15" t="str">
        <f>TEXT(A610,"yyyy-mm")</f>
        <v>yyyy-01</v>
      </c>
      <c r="K610" s="16">
        <f>K609 + IF(C610="Entrada", G610, -G610)</f>
        <v>-5277.5099999999984</v>
      </c>
    </row>
    <row r="611" spans="1:11" ht="15.75" customHeight="1" x14ac:dyDescent="0.25">
      <c r="A611" s="14"/>
      <c r="C611" s="15"/>
      <c r="D611" s="15"/>
      <c r="E611" s="15"/>
      <c r="F611" s="15"/>
      <c r="G611" s="16"/>
      <c r="H611" s="16"/>
      <c r="I611" s="15"/>
      <c r="J611" s="15" t="str">
        <f>TEXT(A611,"yyyy-mm")</f>
        <v>yyyy-01</v>
      </c>
      <c r="K611" s="16">
        <f>K610 + IF(C611="Entrada", G611, -G611)</f>
        <v>-5277.5099999999984</v>
      </c>
    </row>
    <row r="612" spans="1:11" ht="15.75" customHeight="1" x14ac:dyDescent="0.25">
      <c r="A612" s="14"/>
      <c r="C612" s="15"/>
      <c r="D612" s="15"/>
      <c r="E612" s="15"/>
      <c r="F612" s="15"/>
      <c r="G612" s="16"/>
      <c r="H612" s="16"/>
      <c r="I612" s="15"/>
      <c r="J612" s="15" t="str">
        <f>TEXT(A612,"yyyy-mm")</f>
        <v>yyyy-01</v>
      </c>
      <c r="K612" s="16">
        <f>K611 + IF(C612="Entrada", G612, -G612)</f>
        <v>-5277.5099999999984</v>
      </c>
    </row>
    <row r="613" spans="1:11" ht="15.75" customHeight="1" x14ac:dyDescent="0.25">
      <c r="A613" s="14"/>
      <c r="C613" s="15"/>
      <c r="D613" s="15"/>
      <c r="E613" s="15"/>
      <c r="F613" s="15"/>
      <c r="G613" s="16"/>
      <c r="H613" s="16"/>
      <c r="I613" s="15"/>
      <c r="J613" s="15" t="str">
        <f>TEXT(A613,"yyyy-mm")</f>
        <v>yyyy-01</v>
      </c>
      <c r="K613" s="16">
        <f>K612 + IF(C613="Entrada", G613, -G613)</f>
        <v>-5277.5099999999984</v>
      </c>
    </row>
    <row r="614" spans="1:11" ht="15.75" customHeight="1" x14ac:dyDescent="0.25">
      <c r="A614" s="14"/>
      <c r="C614" s="15"/>
      <c r="D614" s="15"/>
      <c r="E614" s="15"/>
      <c r="F614" s="15"/>
      <c r="G614" s="16"/>
      <c r="H614" s="16"/>
      <c r="I614" s="15"/>
      <c r="J614" s="15" t="str">
        <f>TEXT(A614,"yyyy-mm")</f>
        <v>yyyy-01</v>
      </c>
      <c r="K614" s="16">
        <f>K613 + IF(C614="Entrada", G614, -G614)</f>
        <v>-5277.5099999999984</v>
      </c>
    </row>
    <row r="615" spans="1:11" ht="15.75" customHeight="1" x14ac:dyDescent="0.25">
      <c r="A615" s="14"/>
      <c r="C615" s="15"/>
      <c r="D615" s="15"/>
      <c r="E615" s="15"/>
      <c r="F615" s="15"/>
      <c r="G615" s="16"/>
      <c r="H615" s="16"/>
      <c r="I615" s="15"/>
      <c r="J615" s="15" t="str">
        <f>TEXT(A615,"yyyy-mm")</f>
        <v>yyyy-01</v>
      </c>
      <c r="K615" s="16">
        <f>K614 + IF(C615="Entrada", G615, -G615)</f>
        <v>-5277.5099999999984</v>
      </c>
    </row>
    <row r="616" spans="1:11" ht="15.75" customHeight="1" x14ac:dyDescent="0.25">
      <c r="A616" s="14"/>
      <c r="C616" s="15"/>
      <c r="D616" s="15"/>
      <c r="E616" s="15"/>
      <c r="F616" s="15"/>
      <c r="G616" s="16"/>
      <c r="H616" s="16"/>
      <c r="I616" s="15"/>
      <c r="J616" s="15" t="str">
        <f>TEXT(A616,"yyyy-mm")</f>
        <v>yyyy-01</v>
      </c>
      <c r="K616" s="16">
        <f>K615 + IF(C616="Entrada", G616, -G616)</f>
        <v>-5277.5099999999984</v>
      </c>
    </row>
    <row r="617" spans="1:11" ht="15.75" customHeight="1" x14ac:dyDescent="0.25">
      <c r="A617" s="14"/>
      <c r="C617" s="15"/>
      <c r="D617" s="15"/>
      <c r="E617" s="15"/>
      <c r="F617" s="15"/>
      <c r="G617" s="16"/>
      <c r="H617" s="16"/>
      <c r="I617" s="15"/>
      <c r="J617" s="15" t="str">
        <f>TEXT(A617,"yyyy-mm")</f>
        <v>yyyy-01</v>
      </c>
      <c r="K617" s="16">
        <f>K616 + IF(C617="Entrada", G617, -G617)</f>
        <v>-5277.5099999999984</v>
      </c>
    </row>
    <row r="618" spans="1:11" ht="15.75" customHeight="1" x14ac:dyDescent="0.25">
      <c r="A618" s="14"/>
      <c r="C618" s="15"/>
      <c r="D618" s="15"/>
      <c r="E618" s="15"/>
      <c r="F618" s="15"/>
      <c r="G618" s="16"/>
      <c r="H618" s="16"/>
      <c r="I618" s="15"/>
      <c r="J618" s="15" t="str">
        <f>TEXT(A618,"yyyy-mm")</f>
        <v>yyyy-01</v>
      </c>
      <c r="K618" s="16">
        <f>K617 + IF(C618="Entrada", G618, -G618)</f>
        <v>-5277.5099999999984</v>
      </c>
    </row>
    <row r="619" spans="1:11" ht="15.75" customHeight="1" x14ac:dyDescent="0.25">
      <c r="A619" s="14"/>
      <c r="C619" s="15"/>
      <c r="D619" s="15"/>
      <c r="E619" s="15"/>
      <c r="F619" s="15"/>
      <c r="G619" s="16"/>
      <c r="H619" s="16"/>
      <c r="I619" s="15"/>
      <c r="J619" s="15" t="str">
        <f>TEXT(A619,"yyyy-mm")</f>
        <v>yyyy-01</v>
      </c>
      <c r="K619" s="16">
        <f>K618 + IF(C619="Entrada", G619, -G619)</f>
        <v>-5277.5099999999984</v>
      </c>
    </row>
    <row r="620" spans="1:11" ht="15.75" customHeight="1" x14ac:dyDescent="0.25">
      <c r="A620" s="14"/>
      <c r="C620" s="15"/>
      <c r="D620" s="15"/>
      <c r="E620" s="15"/>
      <c r="F620" s="15"/>
      <c r="G620" s="16"/>
      <c r="H620" s="16"/>
      <c r="I620" s="15"/>
      <c r="J620" s="15" t="str">
        <f>TEXT(A620,"yyyy-mm")</f>
        <v>yyyy-01</v>
      </c>
      <c r="K620" s="16">
        <f>K619 + IF(C620="Entrada", G620, -G620)</f>
        <v>-5277.5099999999984</v>
      </c>
    </row>
    <row r="621" spans="1:11" ht="15.75" customHeight="1" x14ac:dyDescent="0.25">
      <c r="A621" s="14"/>
      <c r="C621" s="15"/>
      <c r="D621" s="15"/>
      <c r="E621" s="15"/>
      <c r="F621" s="15"/>
      <c r="G621" s="16"/>
      <c r="H621" s="16"/>
      <c r="I621" s="15"/>
      <c r="J621" s="15" t="str">
        <f>TEXT(A621,"yyyy-mm")</f>
        <v>yyyy-01</v>
      </c>
      <c r="K621" s="16">
        <f>K620 + IF(C621="Entrada", G621, -G621)</f>
        <v>-5277.5099999999984</v>
      </c>
    </row>
    <row r="622" spans="1:11" ht="15.75" customHeight="1" x14ac:dyDescent="0.25">
      <c r="A622" s="14"/>
      <c r="C622" s="15"/>
      <c r="D622" s="15"/>
      <c r="E622" s="15"/>
      <c r="F622" s="15"/>
      <c r="G622" s="16"/>
      <c r="H622" s="16"/>
      <c r="I622" s="15"/>
      <c r="J622" s="15" t="str">
        <f>TEXT(A622,"yyyy-mm")</f>
        <v>yyyy-01</v>
      </c>
      <c r="K622" s="16">
        <f>K621 + IF(C622="Entrada", G622, -G622)</f>
        <v>-5277.5099999999984</v>
      </c>
    </row>
    <row r="623" spans="1:11" ht="15.75" customHeight="1" x14ac:dyDescent="0.25">
      <c r="A623" s="14"/>
      <c r="C623" s="15"/>
      <c r="D623" s="15"/>
      <c r="E623" s="15"/>
      <c r="F623" s="15"/>
      <c r="G623" s="16"/>
      <c r="H623" s="16"/>
      <c r="I623" s="15"/>
      <c r="J623" s="15" t="str">
        <f>TEXT(A623,"yyyy-mm")</f>
        <v>yyyy-01</v>
      </c>
      <c r="K623" s="16">
        <f>K622 + IF(C623="Entrada", G623, -G623)</f>
        <v>-5277.5099999999984</v>
      </c>
    </row>
    <row r="624" spans="1:11" ht="15.75" customHeight="1" x14ac:dyDescent="0.25">
      <c r="A624" s="14"/>
      <c r="C624" s="15"/>
      <c r="D624" s="15"/>
      <c r="E624" s="15"/>
      <c r="F624" s="15"/>
      <c r="G624" s="16"/>
      <c r="H624" s="16"/>
      <c r="I624" s="15"/>
      <c r="J624" s="15" t="str">
        <f>TEXT(A624,"yyyy-mm")</f>
        <v>yyyy-01</v>
      </c>
      <c r="K624" s="16">
        <f>K623 + IF(C624="Entrada", G624, -G624)</f>
        <v>-5277.5099999999984</v>
      </c>
    </row>
    <row r="625" spans="1:11" ht="15.75" customHeight="1" x14ac:dyDescent="0.25">
      <c r="A625" s="14"/>
      <c r="C625" s="15"/>
      <c r="D625" s="15"/>
      <c r="E625" s="15"/>
      <c r="F625" s="15"/>
      <c r="G625" s="16"/>
      <c r="H625" s="16"/>
      <c r="I625" s="15"/>
      <c r="J625" s="15" t="str">
        <f>TEXT(A625,"yyyy-mm")</f>
        <v>yyyy-01</v>
      </c>
      <c r="K625" s="16">
        <f>K624 + IF(C625="Entrada", G625, -G625)</f>
        <v>-5277.5099999999984</v>
      </c>
    </row>
    <row r="626" spans="1:11" ht="15.75" customHeight="1" x14ac:dyDescent="0.25">
      <c r="A626" s="14"/>
      <c r="C626" s="15"/>
      <c r="D626" s="15"/>
      <c r="E626" s="15"/>
      <c r="F626" s="15"/>
      <c r="G626" s="16"/>
      <c r="H626" s="16"/>
      <c r="I626" s="15"/>
      <c r="J626" s="15" t="str">
        <f>TEXT(A626,"yyyy-mm")</f>
        <v>yyyy-01</v>
      </c>
      <c r="K626" s="16">
        <f>K625 + IF(C626="Entrada", G626, -G626)</f>
        <v>-5277.5099999999984</v>
      </c>
    </row>
    <row r="627" spans="1:11" ht="15.75" customHeight="1" x14ac:dyDescent="0.25">
      <c r="A627" s="14"/>
      <c r="C627" s="15"/>
      <c r="D627" s="15"/>
      <c r="E627" s="15"/>
      <c r="F627" s="15"/>
      <c r="G627" s="16"/>
      <c r="H627" s="16"/>
      <c r="I627" s="15"/>
      <c r="J627" s="15" t="str">
        <f>TEXT(A627,"yyyy-mm")</f>
        <v>yyyy-01</v>
      </c>
      <c r="K627" s="16">
        <f>K626 + IF(C627="Entrada", G627, -G627)</f>
        <v>-5277.5099999999984</v>
      </c>
    </row>
    <row r="628" spans="1:11" ht="15.75" customHeight="1" x14ac:dyDescent="0.25">
      <c r="A628" s="14"/>
      <c r="C628" s="15"/>
      <c r="D628" s="15"/>
      <c r="E628" s="15"/>
      <c r="F628" s="15"/>
      <c r="G628" s="16"/>
      <c r="H628" s="16"/>
      <c r="I628" s="15"/>
      <c r="J628" s="15" t="str">
        <f>TEXT(A628,"yyyy-mm")</f>
        <v>yyyy-01</v>
      </c>
      <c r="K628" s="16">
        <f>K627 + IF(C628="Entrada", G628, -G628)</f>
        <v>-5277.5099999999984</v>
      </c>
    </row>
    <row r="629" spans="1:11" ht="15.75" customHeight="1" x14ac:dyDescent="0.25">
      <c r="A629" s="14"/>
      <c r="C629" s="15"/>
      <c r="D629" s="15"/>
      <c r="E629" s="15"/>
      <c r="F629" s="15"/>
      <c r="G629" s="16"/>
      <c r="H629" s="16"/>
      <c r="I629" s="15"/>
      <c r="J629" s="15" t="str">
        <f>TEXT(A629,"yyyy-mm")</f>
        <v>yyyy-01</v>
      </c>
      <c r="K629" s="16">
        <f>K628 + IF(C629="Entrada", G629, -G629)</f>
        <v>-5277.5099999999984</v>
      </c>
    </row>
    <row r="630" spans="1:11" ht="15.75" customHeight="1" x14ac:dyDescent="0.25">
      <c r="A630" s="14"/>
      <c r="C630" s="15"/>
      <c r="D630" s="15"/>
      <c r="E630" s="15"/>
      <c r="F630" s="15"/>
      <c r="G630" s="16"/>
      <c r="H630" s="16"/>
      <c r="I630" s="15"/>
      <c r="J630" s="15" t="str">
        <f>TEXT(A630,"yyyy-mm")</f>
        <v>yyyy-01</v>
      </c>
      <c r="K630" s="16">
        <f>K629 + IF(C630="Entrada", G630, -G630)</f>
        <v>-5277.5099999999984</v>
      </c>
    </row>
    <row r="631" spans="1:11" ht="15.75" customHeight="1" x14ac:dyDescent="0.25">
      <c r="A631" s="14"/>
      <c r="C631" s="15"/>
      <c r="D631" s="15"/>
      <c r="E631" s="15"/>
      <c r="F631" s="15"/>
      <c r="G631" s="16"/>
      <c r="H631" s="16"/>
      <c r="I631" s="15"/>
      <c r="J631" s="15" t="str">
        <f>TEXT(A631,"yyyy-mm")</f>
        <v>yyyy-01</v>
      </c>
      <c r="K631" s="16">
        <f>K630 + IF(C631="Entrada", G631, -G631)</f>
        <v>-5277.5099999999984</v>
      </c>
    </row>
    <row r="632" spans="1:11" ht="15.75" customHeight="1" x14ac:dyDescent="0.25">
      <c r="A632" s="14"/>
      <c r="C632" s="15"/>
      <c r="D632" s="15"/>
      <c r="E632" s="15"/>
      <c r="F632" s="15"/>
      <c r="G632" s="16"/>
      <c r="H632" s="16"/>
      <c r="I632" s="15"/>
      <c r="J632" s="15" t="str">
        <f>TEXT(A632,"yyyy-mm")</f>
        <v>yyyy-01</v>
      </c>
      <c r="K632" s="16">
        <f>K631 + IF(C632="Entrada", G632, -G632)</f>
        <v>-5277.5099999999984</v>
      </c>
    </row>
    <row r="633" spans="1:11" ht="15.75" customHeight="1" x14ac:dyDescent="0.25">
      <c r="A633" s="14"/>
      <c r="C633" s="15"/>
      <c r="D633" s="15"/>
      <c r="E633" s="15"/>
      <c r="F633" s="15"/>
      <c r="G633" s="16"/>
      <c r="H633" s="16"/>
      <c r="I633" s="15"/>
      <c r="J633" s="15" t="str">
        <f>TEXT(A633,"yyyy-mm")</f>
        <v>yyyy-01</v>
      </c>
      <c r="K633" s="16">
        <f>K632 + IF(C633="Entrada", G633, -G633)</f>
        <v>-5277.5099999999984</v>
      </c>
    </row>
    <row r="634" spans="1:11" ht="15.75" customHeight="1" x14ac:dyDescent="0.25">
      <c r="A634" s="14"/>
      <c r="C634" s="15"/>
      <c r="D634" s="15"/>
      <c r="E634" s="15"/>
      <c r="F634" s="15"/>
      <c r="G634" s="16"/>
      <c r="H634" s="16"/>
      <c r="I634" s="15"/>
      <c r="J634" s="15" t="str">
        <f>TEXT(A634,"yyyy-mm")</f>
        <v>yyyy-01</v>
      </c>
      <c r="K634" s="16">
        <f>K633 + IF(C634="Entrada", G634, -G634)</f>
        <v>-5277.5099999999984</v>
      </c>
    </row>
    <row r="635" spans="1:11" ht="15.75" customHeight="1" x14ac:dyDescent="0.25">
      <c r="A635" s="14"/>
      <c r="C635" s="15"/>
      <c r="D635" s="15"/>
      <c r="E635" s="15"/>
      <c r="F635" s="15"/>
      <c r="G635" s="16"/>
      <c r="H635" s="16"/>
      <c r="I635" s="15"/>
      <c r="J635" s="15" t="str">
        <f>TEXT(A635,"yyyy-mm")</f>
        <v>yyyy-01</v>
      </c>
      <c r="K635" s="16">
        <f>K634 + IF(C635="Entrada", G635, -G635)</f>
        <v>-5277.5099999999984</v>
      </c>
    </row>
    <row r="636" spans="1:11" ht="15.75" customHeight="1" x14ac:dyDescent="0.25">
      <c r="A636" s="14"/>
      <c r="C636" s="15"/>
      <c r="D636" s="15"/>
      <c r="E636" s="15"/>
      <c r="F636" s="15"/>
      <c r="G636" s="16"/>
      <c r="H636" s="16"/>
      <c r="I636" s="15"/>
      <c r="J636" s="15" t="str">
        <f>TEXT(A636,"yyyy-mm")</f>
        <v>yyyy-01</v>
      </c>
      <c r="K636" s="16">
        <f>K635 + IF(C636="Entrada", G636, -G636)</f>
        <v>-5277.5099999999984</v>
      </c>
    </row>
    <row r="637" spans="1:11" ht="15.75" customHeight="1" x14ac:dyDescent="0.25">
      <c r="A637" s="14"/>
      <c r="C637" s="15"/>
      <c r="D637" s="15"/>
      <c r="E637" s="15"/>
      <c r="F637" s="15"/>
      <c r="G637" s="16"/>
      <c r="H637" s="16"/>
      <c r="I637" s="15"/>
      <c r="J637" s="15" t="str">
        <f>TEXT(A637,"yyyy-mm")</f>
        <v>yyyy-01</v>
      </c>
      <c r="K637" s="16">
        <f>K636 + IF(C637="Entrada", G637, -G637)</f>
        <v>-5277.5099999999984</v>
      </c>
    </row>
    <row r="638" spans="1:11" ht="15.75" customHeight="1" x14ac:dyDescent="0.25">
      <c r="A638" s="14"/>
      <c r="C638" s="15"/>
      <c r="D638" s="15"/>
      <c r="E638" s="15"/>
      <c r="F638" s="15"/>
      <c r="G638" s="16"/>
      <c r="H638" s="16"/>
      <c r="I638" s="15"/>
      <c r="J638" s="15" t="str">
        <f>TEXT(A638,"yyyy-mm")</f>
        <v>yyyy-01</v>
      </c>
      <c r="K638" s="16">
        <f>K637 + IF(C638="Entrada", G638, -G638)</f>
        <v>-5277.5099999999984</v>
      </c>
    </row>
    <row r="639" spans="1:11" ht="15.75" customHeight="1" x14ac:dyDescent="0.25">
      <c r="A639" s="14"/>
      <c r="C639" s="15"/>
      <c r="D639" s="15"/>
      <c r="E639" s="15"/>
      <c r="F639" s="15"/>
      <c r="G639" s="16"/>
      <c r="H639" s="16"/>
      <c r="I639" s="15"/>
      <c r="J639" s="15" t="str">
        <f>TEXT(A639,"yyyy-mm")</f>
        <v>yyyy-01</v>
      </c>
      <c r="K639" s="16">
        <f>K638 + IF(C639="Entrada", G639, -G639)</f>
        <v>-5277.5099999999984</v>
      </c>
    </row>
    <row r="640" spans="1:11" ht="15.75" customHeight="1" x14ac:dyDescent="0.25">
      <c r="A640" s="14"/>
      <c r="C640" s="15"/>
      <c r="D640" s="15"/>
      <c r="E640" s="15"/>
      <c r="F640" s="15"/>
      <c r="G640" s="16"/>
      <c r="H640" s="16"/>
      <c r="I640" s="15"/>
      <c r="J640" s="15" t="str">
        <f>TEXT(A640,"yyyy-mm")</f>
        <v>yyyy-01</v>
      </c>
      <c r="K640" s="16">
        <f>K639 + IF(C640="Entrada", G640, -G640)</f>
        <v>-5277.5099999999984</v>
      </c>
    </row>
    <row r="641" spans="1:11" ht="15.75" customHeight="1" x14ac:dyDescent="0.25">
      <c r="A641" s="14"/>
      <c r="C641" s="15"/>
      <c r="D641" s="15"/>
      <c r="E641" s="15"/>
      <c r="F641" s="15"/>
      <c r="G641" s="16"/>
      <c r="H641" s="16"/>
      <c r="I641" s="15"/>
      <c r="J641" s="15" t="str">
        <f>TEXT(A641,"yyyy-mm")</f>
        <v>yyyy-01</v>
      </c>
      <c r="K641" s="16">
        <f>K640 + IF(C641="Entrada", G641, -G641)</f>
        <v>-5277.5099999999984</v>
      </c>
    </row>
    <row r="642" spans="1:11" ht="15.75" customHeight="1" x14ac:dyDescent="0.25">
      <c r="A642" s="14"/>
      <c r="C642" s="15"/>
      <c r="D642" s="15"/>
      <c r="E642" s="15"/>
      <c r="F642" s="15"/>
      <c r="G642" s="16"/>
      <c r="H642" s="16"/>
      <c r="I642" s="15"/>
      <c r="J642" s="15" t="str">
        <f>TEXT(A642,"yyyy-mm")</f>
        <v>yyyy-01</v>
      </c>
      <c r="K642" s="16">
        <f>K641 + IF(C642="Entrada", G642, -G642)</f>
        <v>-5277.5099999999984</v>
      </c>
    </row>
    <row r="643" spans="1:11" ht="15.75" customHeight="1" x14ac:dyDescent="0.25">
      <c r="A643" s="14"/>
      <c r="C643" s="15"/>
      <c r="D643" s="15"/>
      <c r="E643" s="15"/>
      <c r="F643" s="15"/>
      <c r="G643" s="16"/>
      <c r="H643" s="16"/>
      <c r="I643" s="15"/>
      <c r="J643" s="15" t="str">
        <f>TEXT(A643,"yyyy-mm")</f>
        <v>yyyy-01</v>
      </c>
      <c r="K643" s="16">
        <f>K642 + IF(C643="Entrada", G643, -G643)</f>
        <v>-5277.5099999999984</v>
      </c>
    </row>
    <row r="644" spans="1:11" ht="15.75" customHeight="1" x14ac:dyDescent="0.25">
      <c r="A644" s="14"/>
      <c r="C644" s="15"/>
      <c r="D644" s="15"/>
      <c r="E644" s="15"/>
      <c r="F644" s="15"/>
      <c r="G644" s="16"/>
      <c r="H644" s="16"/>
      <c r="I644" s="15"/>
      <c r="J644" s="15" t="str">
        <f>TEXT(A644,"yyyy-mm")</f>
        <v>yyyy-01</v>
      </c>
      <c r="K644" s="16">
        <f>K643 + IF(C644="Entrada", G644, -G644)</f>
        <v>-5277.5099999999984</v>
      </c>
    </row>
    <row r="645" spans="1:11" ht="15.75" customHeight="1" x14ac:dyDescent="0.25">
      <c r="A645" s="14"/>
      <c r="C645" s="15"/>
      <c r="D645" s="15"/>
      <c r="E645" s="15"/>
      <c r="F645" s="15"/>
      <c r="G645" s="16"/>
      <c r="H645" s="16"/>
      <c r="I645" s="15"/>
      <c r="J645" s="15" t="str">
        <f>TEXT(A645,"yyyy-mm")</f>
        <v>yyyy-01</v>
      </c>
      <c r="K645" s="16">
        <f>K644 + IF(C645="Entrada", G645, -G645)</f>
        <v>-5277.5099999999984</v>
      </c>
    </row>
    <row r="646" spans="1:11" ht="15.75" customHeight="1" x14ac:dyDescent="0.25">
      <c r="A646" s="14"/>
      <c r="C646" s="15"/>
      <c r="D646" s="15"/>
      <c r="E646" s="15"/>
      <c r="F646" s="15"/>
      <c r="G646" s="16"/>
      <c r="H646" s="16"/>
      <c r="I646" s="15"/>
      <c r="J646" s="15" t="str">
        <f>TEXT(A646,"yyyy-mm")</f>
        <v>yyyy-01</v>
      </c>
      <c r="K646" s="16">
        <f>K645 + IF(C646="Entrada", G646, -G646)</f>
        <v>-5277.5099999999984</v>
      </c>
    </row>
    <row r="647" spans="1:11" ht="15.75" customHeight="1" x14ac:dyDescent="0.25">
      <c r="A647" s="14"/>
      <c r="C647" s="15"/>
      <c r="D647" s="15"/>
      <c r="E647" s="15"/>
      <c r="F647" s="15"/>
      <c r="G647" s="16"/>
      <c r="H647" s="16"/>
      <c r="I647" s="15"/>
      <c r="J647" s="15" t="str">
        <f>TEXT(A647,"yyyy-mm")</f>
        <v>yyyy-01</v>
      </c>
      <c r="K647" s="16">
        <f>K646 + IF(C647="Entrada", G647, -G647)</f>
        <v>-5277.5099999999984</v>
      </c>
    </row>
    <row r="648" spans="1:11" ht="15.75" customHeight="1" x14ac:dyDescent="0.25">
      <c r="A648" s="14"/>
      <c r="C648" s="15"/>
      <c r="D648" s="15"/>
      <c r="E648" s="15"/>
      <c r="F648" s="15"/>
      <c r="G648" s="16"/>
      <c r="H648" s="16"/>
      <c r="I648" s="15"/>
      <c r="J648" s="15" t="str">
        <f>TEXT(A648,"yyyy-mm")</f>
        <v>yyyy-01</v>
      </c>
      <c r="K648" s="16">
        <f>K647 + IF(C648="Entrada", G648, -G648)</f>
        <v>-5277.5099999999984</v>
      </c>
    </row>
    <row r="649" spans="1:11" ht="15.75" customHeight="1" x14ac:dyDescent="0.25">
      <c r="A649" s="14"/>
      <c r="C649" s="15"/>
      <c r="D649" s="15"/>
      <c r="E649" s="15"/>
      <c r="F649" s="15"/>
      <c r="G649" s="16"/>
      <c r="H649" s="16"/>
      <c r="I649" s="15"/>
      <c r="J649" s="15" t="str">
        <f>TEXT(A649,"yyyy-mm")</f>
        <v>yyyy-01</v>
      </c>
      <c r="K649" s="16">
        <f>K648 + IF(C649="Entrada", G649, -G649)</f>
        <v>-5277.5099999999984</v>
      </c>
    </row>
    <row r="650" spans="1:11" ht="15.75" customHeight="1" x14ac:dyDescent="0.25">
      <c r="A650" s="14"/>
      <c r="C650" s="15"/>
      <c r="D650" s="15"/>
      <c r="E650" s="15"/>
      <c r="F650" s="15"/>
      <c r="G650" s="16"/>
      <c r="H650" s="16"/>
      <c r="I650" s="15"/>
      <c r="J650" s="15" t="str">
        <f>TEXT(A650,"yyyy-mm")</f>
        <v>yyyy-01</v>
      </c>
      <c r="K650" s="16">
        <f>K649 + IF(C650="Entrada", G650, -G650)</f>
        <v>-5277.5099999999984</v>
      </c>
    </row>
    <row r="651" spans="1:11" ht="15.75" customHeight="1" x14ac:dyDescent="0.25">
      <c r="A651" s="14"/>
      <c r="C651" s="15"/>
      <c r="D651" s="15"/>
      <c r="E651" s="15"/>
      <c r="F651" s="15"/>
      <c r="G651" s="16"/>
      <c r="H651" s="16"/>
      <c r="I651" s="15"/>
      <c r="J651" s="15" t="str">
        <f>TEXT(A651,"yyyy-mm")</f>
        <v>yyyy-01</v>
      </c>
      <c r="K651" s="16">
        <f>K650 + IF(C651="Entrada", G651, -G651)</f>
        <v>-5277.5099999999984</v>
      </c>
    </row>
    <row r="652" spans="1:11" ht="15.75" customHeight="1" x14ac:dyDescent="0.25">
      <c r="A652" s="14"/>
      <c r="C652" s="15"/>
      <c r="D652" s="15"/>
      <c r="E652" s="15"/>
      <c r="F652" s="15"/>
      <c r="G652" s="16"/>
      <c r="H652" s="16"/>
      <c r="I652" s="15"/>
      <c r="J652" s="15" t="str">
        <f>TEXT(A652,"yyyy-mm")</f>
        <v>yyyy-01</v>
      </c>
      <c r="K652" s="16">
        <f>K651 + IF(C652="Entrada", G652, -G652)</f>
        <v>-5277.5099999999984</v>
      </c>
    </row>
    <row r="653" spans="1:11" ht="15.75" customHeight="1" x14ac:dyDescent="0.25">
      <c r="A653" s="14"/>
      <c r="C653" s="15"/>
      <c r="D653" s="15"/>
      <c r="E653" s="15"/>
      <c r="F653" s="15"/>
      <c r="G653" s="16"/>
      <c r="H653" s="16"/>
      <c r="I653" s="15"/>
      <c r="J653" s="15" t="str">
        <f>TEXT(A653,"yyyy-mm")</f>
        <v>yyyy-01</v>
      </c>
      <c r="K653" s="16">
        <f>K652 + IF(C653="Entrada", G653, -G653)</f>
        <v>-5277.5099999999984</v>
      </c>
    </row>
    <row r="654" spans="1:11" ht="15.75" customHeight="1" x14ac:dyDescent="0.25">
      <c r="A654" s="14"/>
      <c r="C654" s="15"/>
      <c r="D654" s="15"/>
      <c r="E654" s="15"/>
      <c r="F654" s="15"/>
      <c r="G654" s="16"/>
      <c r="H654" s="16"/>
      <c r="I654" s="15"/>
      <c r="J654" s="15" t="str">
        <f>TEXT(A654,"yyyy-mm")</f>
        <v>yyyy-01</v>
      </c>
      <c r="K654" s="16">
        <f>K653 + IF(C654="Entrada", G654, -G654)</f>
        <v>-5277.5099999999984</v>
      </c>
    </row>
    <row r="655" spans="1:11" ht="15.75" customHeight="1" x14ac:dyDescent="0.25">
      <c r="A655" s="14"/>
      <c r="C655" s="15"/>
      <c r="D655" s="15"/>
      <c r="E655" s="15"/>
      <c r="F655" s="15"/>
      <c r="G655" s="16"/>
      <c r="H655" s="16"/>
      <c r="I655" s="15"/>
      <c r="J655" s="15" t="str">
        <f>TEXT(A655,"yyyy-mm")</f>
        <v>yyyy-01</v>
      </c>
      <c r="K655" s="16">
        <f>K654 + IF(C655="Entrada", G655, -G655)</f>
        <v>-5277.5099999999984</v>
      </c>
    </row>
    <row r="656" spans="1:11" ht="15.75" customHeight="1" x14ac:dyDescent="0.25">
      <c r="A656" s="14"/>
      <c r="C656" s="15"/>
      <c r="D656" s="15"/>
      <c r="E656" s="15"/>
      <c r="F656" s="15"/>
      <c r="G656" s="16"/>
      <c r="H656" s="16"/>
      <c r="I656" s="15"/>
      <c r="J656" s="15" t="str">
        <f>TEXT(A656,"yyyy-mm")</f>
        <v>yyyy-01</v>
      </c>
      <c r="K656" s="16">
        <f>K655 + IF(C656="Entrada", G656, -G656)</f>
        <v>-5277.5099999999984</v>
      </c>
    </row>
    <row r="657" spans="1:11" ht="15.75" customHeight="1" x14ac:dyDescent="0.25">
      <c r="A657" s="14"/>
      <c r="C657" s="15"/>
      <c r="D657" s="15"/>
      <c r="E657" s="15"/>
      <c r="F657" s="15"/>
      <c r="G657" s="16"/>
      <c r="H657" s="16"/>
      <c r="I657" s="15"/>
      <c r="J657" s="15" t="str">
        <f>TEXT(A657,"yyyy-mm")</f>
        <v>yyyy-01</v>
      </c>
      <c r="K657" s="16">
        <f>K656 + IF(C657="Entrada", G657, -G657)</f>
        <v>-5277.5099999999984</v>
      </c>
    </row>
    <row r="658" spans="1:11" ht="15.75" customHeight="1" x14ac:dyDescent="0.25">
      <c r="A658" s="14"/>
      <c r="C658" s="15"/>
      <c r="D658" s="15"/>
      <c r="E658" s="15"/>
      <c r="F658" s="15"/>
      <c r="G658" s="16"/>
      <c r="H658" s="16"/>
      <c r="I658" s="15"/>
      <c r="J658" s="15" t="str">
        <f>TEXT(A658,"yyyy-mm")</f>
        <v>yyyy-01</v>
      </c>
      <c r="K658" s="16">
        <f>K657 + IF(C658="Entrada", G658, -G658)</f>
        <v>-5277.5099999999984</v>
      </c>
    </row>
    <row r="659" spans="1:11" ht="15.75" customHeight="1" x14ac:dyDescent="0.25">
      <c r="A659" s="14"/>
      <c r="C659" s="15"/>
      <c r="D659" s="15"/>
      <c r="E659" s="15"/>
      <c r="F659" s="15"/>
      <c r="G659" s="16"/>
      <c r="H659" s="16"/>
      <c r="I659" s="15"/>
      <c r="J659" s="15" t="str">
        <f>TEXT(A659,"yyyy-mm")</f>
        <v>yyyy-01</v>
      </c>
      <c r="K659" s="16">
        <f>K658 + IF(C659="Entrada", G659, -G659)</f>
        <v>-5277.5099999999984</v>
      </c>
    </row>
    <row r="660" spans="1:11" ht="15.75" customHeight="1" x14ac:dyDescent="0.25">
      <c r="A660" s="14"/>
      <c r="C660" s="15"/>
      <c r="D660" s="15"/>
      <c r="E660" s="15"/>
      <c r="F660" s="15"/>
      <c r="G660" s="16"/>
      <c r="H660" s="16"/>
      <c r="I660" s="15"/>
      <c r="J660" s="15" t="str">
        <f>TEXT(A660,"yyyy-mm")</f>
        <v>yyyy-01</v>
      </c>
      <c r="K660" s="16">
        <f>K659 + IF(C660="Entrada", G660, -G660)</f>
        <v>-5277.5099999999984</v>
      </c>
    </row>
    <row r="661" spans="1:11" ht="15.75" customHeight="1" x14ac:dyDescent="0.25">
      <c r="A661" s="14"/>
      <c r="C661" s="15"/>
      <c r="D661" s="15"/>
      <c r="E661" s="15"/>
      <c r="F661" s="15"/>
      <c r="G661" s="16"/>
      <c r="H661" s="16"/>
      <c r="I661" s="15"/>
      <c r="J661" s="15" t="str">
        <f>TEXT(A661,"yyyy-mm")</f>
        <v>yyyy-01</v>
      </c>
      <c r="K661" s="16">
        <f>K660 + IF(C661="Entrada", G661, -G661)</f>
        <v>-5277.5099999999984</v>
      </c>
    </row>
    <row r="662" spans="1:11" ht="15.75" customHeight="1" x14ac:dyDescent="0.25">
      <c r="A662" s="14"/>
      <c r="C662" s="15"/>
      <c r="D662" s="15"/>
      <c r="E662" s="15"/>
      <c r="F662" s="15"/>
      <c r="G662" s="16"/>
      <c r="H662" s="16"/>
      <c r="I662" s="15"/>
      <c r="J662" s="15" t="str">
        <f>TEXT(A662,"yyyy-mm")</f>
        <v>yyyy-01</v>
      </c>
      <c r="K662" s="16">
        <f>K661 + IF(C662="Entrada", G662, -G662)</f>
        <v>-5277.5099999999984</v>
      </c>
    </row>
    <row r="663" spans="1:11" ht="15.75" customHeight="1" x14ac:dyDescent="0.25">
      <c r="A663" s="14"/>
      <c r="C663" s="15"/>
      <c r="D663" s="15"/>
      <c r="E663" s="15"/>
      <c r="F663" s="15"/>
      <c r="G663" s="16"/>
      <c r="H663" s="16"/>
      <c r="I663" s="15"/>
      <c r="J663" s="15" t="str">
        <f>TEXT(A663,"yyyy-mm")</f>
        <v>yyyy-01</v>
      </c>
      <c r="K663" s="16">
        <f>K662 + IF(C663="Entrada", G663, -G663)</f>
        <v>-5277.5099999999984</v>
      </c>
    </row>
    <row r="664" spans="1:11" ht="15.75" customHeight="1" x14ac:dyDescent="0.25">
      <c r="A664" s="14"/>
      <c r="C664" s="15"/>
      <c r="D664" s="15"/>
      <c r="E664" s="15"/>
      <c r="F664" s="15"/>
      <c r="G664" s="16"/>
      <c r="H664" s="16"/>
      <c r="I664" s="15"/>
      <c r="J664" s="15" t="str">
        <f>TEXT(A664,"yyyy-mm")</f>
        <v>yyyy-01</v>
      </c>
      <c r="K664" s="16">
        <f>K663 + IF(C664="Entrada", G664, -G664)</f>
        <v>-5277.5099999999984</v>
      </c>
    </row>
    <row r="665" spans="1:11" ht="15.75" customHeight="1" x14ac:dyDescent="0.25">
      <c r="A665" s="14"/>
      <c r="C665" s="15"/>
      <c r="D665" s="15"/>
      <c r="E665" s="15"/>
      <c r="F665" s="15"/>
      <c r="G665" s="16"/>
      <c r="H665" s="16"/>
      <c r="I665" s="15"/>
      <c r="J665" s="15" t="str">
        <f>TEXT(A665,"yyyy-mm")</f>
        <v>yyyy-01</v>
      </c>
      <c r="K665" s="16">
        <f>K664 + IF(C665="Entrada", G665, -G665)</f>
        <v>-5277.5099999999984</v>
      </c>
    </row>
    <row r="666" spans="1:11" ht="15.75" customHeight="1" x14ac:dyDescent="0.25">
      <c r="A666" s="14"/>
      <c r="C666" s="15"/>
      <c r="D666" s="15"/>
      <c r="E666" s="15"/>
      <c r="F666" s="15"/>
      <c r="G666" s="16"/>
      <c r="H666" s="16"/>
      <c r="I666" s="15"/>
      <c r="J666" s="15" t="str">
        <f>TEXT(A666,"yyyy-mm")</f>
        <v>yyyy-01</v>
      </c>
      <c r="K666" s="16">
        <f>K665 + IF(C666="Entrada", G666, -G666)</f>
        <v>-5277.5099999999984</v>
      </c>
    </row>
    <row r="667" spans="1:11" ht="15.75" customHeight="1" x14ac:dyDescent="0.25">
      <c r="A667" s="14"/>
      <c r="C667" s="15"/>
      <c r="D667" s="15"/>
      <c r="E667" s="15"/>
      <c r="F667" s="15"/>
      <c r="G667" s="16"/>
      <c r="H667" s="16"/>
      <c r="I667" s="15"/>
      <c r="J667" s="15" t="str">
        <f>TEXT(A667,"yyyy-mm")</f>
        <v>yyyy-01</v>
      </c>
      <c r="K667" s="16">
        <f>K666 + IF(C667="Entrada", G667, -G667)</f>
        <v>-5277.5099999999984</v>
      </c>
    </row>
    <row r="668" spans="1:11" ht="15.75" customHeight="1" x14ac:dyDescent="0.25">
      <c r="A668" s="14"/>
      <c r="C668" s="15"/>
      <c r="D668" s="15"/>
      <c r="E668" s="15"/>
      <c r="F668" s="15"/>
      <c r="G668" s="16"/>
      <c r="H668" s="16"/>
      <c r="I668" s="15"/>
      <c r="J668" s="15" t="str">
        <f>TEXT(A668,"yyyy-mm")</f>
        <v>yyyy-01</v>
      </c>
      <c r="K668" s="16">
        <f>K667 + IF(C668="Entrada", G668, -G668)</f>
        <v>-5277.5099999999984</v>
      </c>
    </row>
    <row r="669" spans="1:11" ht="15.75" customHeight="1" x14ac:dyDescent="0.25">
      <c r="A669" s="14"/>
      <c r="C669" s="15"/>
      <c r="D669" s="15"/>
      <c r="E669" s="15"/>
      <c r="F669" s="15"/>
      <c r="G669" s="16"/>
      <c r="H669" s="16"/>
      <c r="I669" s="15"/>
      <c r="J669" s="15" t="str">
        <f>TEXT(A669,"yyyy-mm")</f>
        <v>yyyy-01</v>
      </c>
      <c r="K669" s="16">
        <f>K668 + IF(C669="Entrada", G669, -G669)</f>
        <v>-5277.5099999999984</v>
      </c>
    </row>
    <row r="670" spans="1:11" ht="15.75" customHeight="1" x14ac:dyDescent="0.25">
      <c r="A670" s="14"/>
      <c r="C670" s="15"/>
      <c r="D670" s="15"/>
      <c r="E670" s="15"/>
      <c r="F670" s="15"/>
      <c r="G670" s="16"/>
      <c r="H670" s="16"/>
      <c r="I670" s="15"/>
      <c r="J670" s="15" t="str">
        <f>TEXT(A670,"yyyy-mm")</f>
        <v>yyyy-01</v>
      </c>
      <c r="K670" s="16">
        <f>K669 + IF(C670="Entrada", G670, -G670)</f>
        <v>-5277.5099999999984</v>
      </c>
    </row>
    <row r="671" spans="1:11" ht="15.75" customHeight="1" x14ac:dyDescent="0.25">
      <c r="A671" s="14"/>
      <c r="C671" s="15"/>
      <c r="D671" s="15"/>
      <c r="E671" s="15"/>
      <c r="F671" s="15"/>
      <c r="G671" s="16"/>
      <c r="H671" s="16"/>
      <c r="I671" s="15"/>
      <c r="J671" s="15" t="str">
        <f>TEXT(A671,"yyyy-mm")</f>
        <v>yyyy-01</v>
      </c>
      <c r="K671" s="16">
        <f>K670 + IF(C671="Entrada", G671, -G671)</f>
        <v>-5277.5099999999984</v>
      </c>
    </row>
    <row r="672" spans="1:11" ht="15.75" customHeight="1" x14ac:dyDescent="0.25">
      <c r="A672" s="14"/>
      <c r="C672" s="15"/>
      <c r="D672" s="15"/>
      <c r="E672" s="15"/>
      <c r="F672" s="15"/>
      <c r="G672" s="16"/>
      <c r="H672" s="16"/>
      <c r="I672" s="15"/>
      <c r="J672" s="15" t="str">
        <f>TEXT(A672,"yyyy-mm")</f>
        <v>yyyy-01</v>
      </c>
      <c r="K672" s="16">
        <f>K671 + IF(C672="Entrada", G672, -G672)</f>
        <v>-5277.5099999999984</v>
      </c>
    </row>
    <row r="673" spans="1:11" ht="15.75" customHeight="1" x14ac:dyDescent="0.25">
      <c r="A673" s="14"/>
      <c r="C673" s="15"/>
      <c r="D673" s="15"/>
      <c r="E673" s="15"/>
      <c r="F673" s="15"/>
      <c r="G673" s="16"/>
      <c r="H673" s="16"/>
      <c r="I673" s="15"/>
      <c r="J673" s="15" t="str">
        <f>TEXT(A673,"yyyy-mm")</f>
        <v>yyyy-01</v>
      </c>
      <c r="K673" s="16">
        <f>K672 + IF(C673="Entrada", G673, -G673)</f>
        <v>-5277.5099999999984</v>
      </c>
    </row>
    <row r="674" spans="1:11" ht="15.75" customHeight="1" x14ac:dyDescent="0.25">
      <c r="A674" s="14"/>
      <c r="C674" s="15"/>
      <c r="D674" s="15"/>
      <c r="E674" s="15"/>
      <c r="F674" s="15"/>
      <c r="G674" s="16"/>
      <c r="H674" s="16"/>
      <c r="I674" s="15"/>
      <c r="J674" s="15" t="str">
        <f>TEXT(A674,"yyyy-mm")</f>
        <v>yyyy-01</v>
      </c>
      <c r="K674" s="16">
        <f>K673 + IF(C674="Entrada", G674, -G674)</f>
        <v>-5277.5099999999984</v>
      </c>
    </row>
    <row r="675" spans="1:11" ht="15.75" customHeight="1" x14ac:dyDescent="0.25">
      <c r="A675" s="14"/>
      <c r="C675" s="15"/>
      <c r="D675" s="15"/>
      <c r="E675" s="15"/>
      <c r="F675" s="15"/>
      <c r="G675" s="16"/>
      <c r="H675" s="16"/>
      <c r="I675" s="15"/>
      <c r="J675" s="15" t="str">
        <f>TEXT(A675,"yyyy-mm")</f>
        <v>yyyy-01</v>
      </c>
      <c r="K675" s="16">
        <f>K674 + IF(C675="Entrada", G675, -G675)</f>
        <v>-5277.5099999999984</v>
      </c>
    </row>
    <row r="676" spans="1:11" ht="15.75" customHeight="1" x14ac:dyDescent="0.25">
      <c r="A676" s="14"/>
      <c r="C676" s="15"/>
      <c r="D676" s="15"/>
      <c r="E676" s="15"/>
      <c r="F676" s="15"/>
      <c r="G676" s="16"/>
      <c r="H676" s="16"/>
      <c r="I676" s="15"/>
      <c r="J676" s="15" t="str">
        <f>TEXT(A676,"yyyy-mm")</f>
        <v>yyyy-01</v>
      </c>
      <c r="K676" s="16">
        <f>K675 + IF(C676="Entrada", G676, -G676)</f>
        <v>-5277.5099999999984</v>
      </c>
    </row>
    <row r="677" spans="1:11" ht="15.75" customHeight="1" x14ac:dyDescent="0.25">
      <c r="A677" s="14"/>
      <c r="C677" s="15"/>
      <c r="D677" s="15"/>
      <c r="E677" s="15"/>
      <c r="F677" s="15"/>
      <c r="G677" s="16"/>
      <c r="H677" s="16"/>
      <c r="I677" s="15"/>
      <c r="J677" s="15" t="str">
        <f>TEXT(A677,"yyyy-mm")</f>
        <v>yyyy-01</v>
      </c>
      <c r="K677" s="16">
        <f>K676 + IF(C677="Entrada", G677, -G677)</f>
        <v>-5277.5099999999984</v>
      </c>
    </row>
    <row r="678" spans="1:11" ht="15.75" customHeight="1" x14ac:dyDescent="0.25">
      <c r="A678" s="14"/>
      <c r="C678" s="15"/>
      <c r="D678" s="15"/>
      <c r="E678" s="15"/>
      <c r="F678" s="15"/>
      <c r="G678" s="16"/>
      <c r="H678" s="16"/>
      <c r="I678" s="15"/>
      <c r="J678" s="15" t="str">
        <f>TEXT(A678,"yyyy-mm")</f>
        <v>yyyy-01</v>
      </c>
      <c r="K678" s="16">
        <f>K677 + IF(C678="Entrada", G678, -G678)</f>
        <v>-5277.5099999999984</v>
      </c>
    </row>
    <row r="679" spans="1:11" ht="15.75" customHeight="1" x14ac:dyDescent="0.25">
      <c r="A679" s="14"/>
      <c r="C679" s="15"/>
      <c r="D679" s="15"/>
      <c r="E679" s="15"/>
      <c r="F679" s="15"/>
      <c r="G679" s="16"/>
      <c r="H679" s="16"/>
      <c r="I679" s="15"/>
      <c r="J679" s="15" t="str">
        <f>TEXT(A679,"yyyy-mm")</f>
        <v>yyyy-01</v>
      </c>
      <c r="K679" s="16">
        <f>K678 + IF(C679="Entrada", G679, -G679)</f>
        <v>-5277.5099999999984</v>
      </c>
    </row>
    <row r="680" spans="1:11" ht="15.75" customHeight="1" x14ac:dyDescent="0.25">
      <c r="A680" s="14"/>
      <c r="C680" s="15"/>
      <c r="D680" s="15"/>
      <c r="E680" s="15"/>
      <c r="F680" s="15"/>
      <c r="G680" s="16"/>
      <c r="H680" s="16"/>
      <c r="I680" s="15"/>
      <c r="J680" s="15" t="str">
        <f>TEXT(A680,"yyyy-mm")</f>
        <v>yyyy-01</v>
      </c>
      <c r="K680" s="16">
        <f>K679 + IF(C680="Entrada", G680, -G680)</f>
        <v>-5277.5099999999984</v>
      </c>
    </row>
    <row r="681" spans="1:11" ht="15.75" customHeight="1" x14ac:dyDescent="0.25">
      <c r="A681" s="14"/>
      <c r="C681" s="15"/>
      <c r="D681" s="15"/>
      <c r="E681" s="15"/>
      <c r="F681" s="15"/>
      <c r="G681" s="16"/>
      <c r="H681" s="16"/>
      <c r="I681" s="15"/>
      <c r="J681" s="15" t="str">
        <f>TEXT(A681,"yyyy-mm")</f>
        <v>yyyy-01</v>
      </c>
      <c r="K681" s="16">
        <f>K680 + IF(C681="Entrada", G681, -G681)</f>
        <v>-5277.5099999999984</v>
      </c>
    </row>
    <row r="682" spans="1:11" ht="15.75" customHeight="1" x14ac:dyDescent="0.25">
      <c r="A682" s="14"/>
      <c r="C682" s="15"/>
      <c r="D682" s="15"/>
      <c r="E682" s="15"/>
      <c r="F682" s="15"/>
      <c r="G682" s="16"/>
      <c r="H682" s="16"/>
      <c r="I682" s="15"/>
      <c r="J682" s="15" t="str">
        <f>TEXT(A682,"yyyy-mm")</f>
        <v>yyyy-01</v>
      </c>
      <c r="K682" s="16">
        <f>K681 + IF(C682="Entrada", G682, -G682)</f>
        <v>-5277.5099999999984</v>
      </c>
    </row>
    <row r="683" spans="1:11" ht="15.75" customHeight="1" x14ac:dyDescent="0.25">
      <c r="A683" s="14"/>
      <c r="C683" s="15"/>
      <c r="D683" s="15"/>
      <c r="E683" s="15"/>
      <c r="F683" s="15"/>
      <c r="G683" s="16"/>
      <c r="H683" s="16"/>
      <c r="I683" s="15"/>
      <c r="J683" s="15" t="str">
        <f>TEXT(A683,"yyyy-mm")</f>
        <v>yyyy-01</v>
      </c>
      <c r="K683" s="16">
        <f>K682 + IF(C683="Entrada", G683, -G683)</f>
        <v>-5277.5099999999984</v>
      </c>
    </row>
    <row r="684" spans="1:11" ht="15.75" customHeight="1" x14ac:dyDescent="0.25">
      <c r="A684" s="14"/>
      <c r="C684" s="15"/>
      <c r="D684" s="15"/>
      <c r="E684" s="15"/>
      <c r="F684" s="15"/>
      <c r="G684" s="16"/>
      <c r="H684" s="16"/>
      <c r="I684" s="15"/>
      <c r="J684" s="15" t="str">
        <f>TEXT(A684,"yyyy-mm")</f>
        <v>yyyy-01</v>
      </c>
      <c r="K684" s="16">
        <f>K683 + IF(C684="Entrada", G684, -G684)</f>
        <v>-5277.5099999999984</v>
      </c>
    </row>
    <row r="685" spans="1:11" ht="15.75" customHeight="1" x14ac:dyDescent="0.25">
      <c r="A685" s="14"/>
      <c r="C685" s="15"/>
      <c r="D685" s="15"/>
      <c r="E685" s="15"/>
      <c r="F685" s="15"/>
      <c r="G685" s="16"/>
      <c r="H685" s="16"/>
      <c r="I685" s="15"/>
      <c r="J685" s="15" t="str">
        <f>TEXT(A685,"yyyy-mm")</f>
        <v>yyyy-01</v>
      </c>
      <c r="K685" s="16">
        <f>K684 + IF(C685="Entrada", G685, -G685)</f>
        <v>-5277.5099999999984</v>
      </c>
    </row>
    <row r="686" spans="1:11" ht="15.75" customHeight="1" x14ac:dyDescent="0.25">
      <c r="A686" s="14"/>
      <c r="C686" s="15"/>
      <c r="D686" s="15"/>
      <c r="E686" s="15"/>
      <c r="F686" s="15"/>
      <c r="G686" s="16"/>
      <c r="H686" s="16"/>
      <c r="I686" s="15"/>
      <c r="J686" s="15" t="str">
        <f>TEXT(A686,"yyyy-mm")</f>
        <v>yyyy-01</v>
      </c>
      <c r="K686" s="16">
        <f>K685 + IF(C686="Entrada", G686, -G686)</f>
        <v>-5277.5099999999984</v>
      </c>
    </row>
    <row r="687" spans="1:11" ht="15.75" customHeight="1" x14ac:dyDescent="0.25">
      <c r="A687" s="14"/>
      <c r="C687" s="15"/>
      <c r="D687" s="15"/>
      <c r="E687" s="15"/>
      <c r="F687" s="15"/>
      <c r="G687" s="16"/>
      <c r="H687" s="16"/>
      <c r="I687" s="15"/>
      <c r="J687" s="15" t="str">
        <f>TEXT(A687,"yyyy-mm")</f>
        <v>yyyy-01</v>
      </c>
      <c r="K687" s="16">
        <f>K686 + IF(C687="Entrada", G687, -G687)</f>
        <v>-5277.5099999999984</v>
      </c>
    </row>
    <row r="688" spans="1:11" ht="15.75" customHeight="1" x14ac:dyDescent="0.25">
      <c r="A688" s="14"/>
      <c r="C688" s="15"/>
      <c r="D688" s="15"/>
      <c r="E688" s="15"/>
      <c r="F688" s="15"/>
      <c r="G688" s="16"/>
      <c r="H688" s="16"/>
      <c r="I688" s="15"/>
      <c r="J688" s="15" t="str">
        <f>TEXT(A688,"yyyy-mm")</f>
        <v>yyyy-01</v>
      </c>
      <c r="K688" s="16">
        <f>K687 + IF(C688="Entrada", G688, -G688)</f>
        <v>-5277.5099999999984</v>
      </c>
    </row>
    <row r="689" spans="1:11" ht="15.75" customHeight="1" x14ac:dyDescent="0.25">
      <c r="A689" s="14"/>
      <c r="C689" s="15"/>
      <c r="D689" s="15"/>
      <c r="E689" s="15"/>
      <c r="F689" s="15"/>
      <c r="G689" s="16"/>
      <c r="H689" s="16"/>
      <c r="I689" s="15"/>
      <c r="J689" s="15" t="str">
        <f>TEXT(A689,"yyyy-mm")</f>
        <v>yyyy-01</v>
      </c>
      <c r="K689" s="16">
        <f>K688 + IF(C689="Entrada", G689, -G689)</f>
        <v>-5277.5099999999984</v>
      </c>
    </row>
    <row r="690" spans="1:11" ht="15.75" customHeight="1" x14ac:dyDescent="0.25">
      <c r="A690" s="14"/>
      <c r="C690" s="15"/>
      <c r="D690" s="15"/>
      <c r="E690" s="15"/>
      <c r="F690" s="15"/>
      <c r="G690" s="16"/>
      <c r="H690" s="16"/>
      <c r="I690" s="15"/>
      <c r="J690" s="15" t="str">
        <f>TEXT(A690,"yyyy-mm")</f>
        <v>yyyy-01</v>
      </c>
      <c r="K690" s="16">
        <f>K689 + IF(C690="Entrada", G690, -G690)</f>
        <v>-5277.5099999999984</v>
      </c>
    </row>
    <row r="691" spans="1:11" ht="15.75" customHeight="1" x14ac:dyDescent="0.25">
      <c r="A691" s="14"/>
      <c r="C691" s="15"/>
      <c r="D691" s="15"/>
      <c r="E691" s="15"/>
      <c r="F691" s="15"/>
      <c r="G691" s="16"/>
      <c r="H691" s="16"/>
      <c r="I691" s="15"/>
      <c r="J691" s="15" t="str">
        <f>TEXT(A691,"yyyy-mm")</f>
        <v>yyyy-01</v>
      </c>
      <c r="K691" s="16">
        <f>K690 + IF(C691="Entrada", G691, -G691)</f>
        <v>-5277.5099999999984</v>
      </c>
    </row>
    <row r="692" spans="1:11" ht="15.75" customHeight="1" x14ac:dyDescent="0.25">
      <c r="A692" s="14"/>
      <c r="C692" s="15"/>
      <c r="D692" s="15"/>
      <c r="E692" s="15"/>
      <c r="F692" s="15"/>
      <c r="G692" s="16"/>
      <c r="H692" s="16"/>
      <c r="I692" s="15"/>
      <c r="J692" s="15" t="str">
        <f>TEXT(A692,"yyyy-mm")</f>
        <v>yyyy-01</v>
      </c>
      <c r="K692" s="16">
        <f>K691 + IF(C692="Entrada", G692, -G692)</f>
        <v>-5277.5099999999984</v>
      </c>
    </row>
    <row r="693" spans="1:11" ht="15.75" customHeight="1" x14ac:dyDescent="0.25">
      <c r="A693" s="14"/>
      <c r="C693" s="15"/>
      <c r="D693" s="15"/>
      <c r="E693" s="15"/>
      <c r="F693" s="15"/>
      <c r="G693" s="16"/>
      <c r="H693" s="16"/>
      <c r="I693" s="15"/>
      <c r="J693" s="15" t="str">
        <f>TEXT(A693,"yyyy-mm")</f>
        <v>yyyy-01</v>
      </c>
      <c r="K693" s="16">
        <f>K692 + IF(C693="Entrada", G693, -G693)</f>
        <v>-5277.5099999999984</v>
      </c>
    </row>
    <row r="694" spans="1:11" ht="15.75" customHeight="1" x14ac:dyDescent="0.25">
      <c r="A694" s="14"/>
      <c r="C694" s="15"/>
      <c r="D694" s="15"/>
      <c r="E694" s="15"/>
      <c r="F694" s="15"/>
      <c r="G694" s="16"/>
      <c r="H694" s="16"/>
      <c r="I694" s="15"/>
      <c r="J694" s="15" t="str">
        <f>TEXT(A694,"yyyy-mm")</f>
        <v>yyyy-01</v>
      </c>
      <c r="K694" s="16">
        <f>K693 + IF(C694="Entrada", G694, -G694)</f>
        <v>-5277.5099999999984</v>
      </c>
    </row>
    <row r="695" spans="1:11" ht="15.75" customHeight="1" x14ac:dyDescent="0.25">
      <c r="A695" s="14"/>
      <c r="C695" s="15"/>
      <c r="D695" s="15"/>
      <c r="E695" s="15"/>
      <c r="F695" s="15"/>
      <c r="G695" s="16"/>
      <c r="H695" s="16"/>
      <c r="I695" s="15"/>
      <c r="J695" s="15" t="str">
        <f>TEXT(A695,"yyyy-mm")</f>
        <v>yyyy-01</v>
      </c>
      <c r="K695" s="16">
        <f>K694 + IF(C695="Entrada", G695, -G695)</f>
        <v>-5277.5099999999984</v>
      </c>
    </row>
    <row r="696" spans="1:11" ht="15.75" customHeight="1" x14ac:dyDescent="0.25">
      <c r="A696" s="14"/>
      <c r="C696" s="15"/>
      <c r="D696" s="15"/>
      <c r="E696" s="15"/>
      <c r="F696" s="15"/>
      <c r="G696" s="16"/>
      <c r="H696" s="16"/>
      <c r="I696" s="15"/>
      <c r="J696" s="15" t="str">
        <f>TEXT(A696,"yyyy-mm")</f>
        <v>yyyy-01</v>
      </c>
      <c r="K696" s="16">
        <f>K695 + IF(C696="Entrada", G696, -G696)</f>
        <v>-5277.5099999999984</v>
      </c>
    </row>
    <row r="697" spans="1:11" ht="15.75" customHeight="1" x14ac:dyDescent="0.25">
      <c r="A697" s="14"/>
      <c r="C697" s="15"/>
      <c r="D697" s="15"/>
      <c r="E697" s="15"/>
      <c r="F697" s="15"/>
      <c r="G697" s="16"/>
      <c r="H697" s="16"/>
      <c r="I697" s="15"/>
      <c r="J697" s="15" t="str">
        <f>TEXT(A697,"yyyy-mm")</f>
        <v>yyyy-01</v>
      </c>
      <c r="K697" s="16">
        <f>K696 + IF(C697="Entrada", G697, -G697)</f>
        <v>-5277.5099999999984</v>
      </c>
    </row>
    <row r="698" spans="1:11" ht="15.75" customHeight="1" x14ac:dyDescent="0.25">
      <c r="A698" s="14"/>
      <c r="C698" s="15"/>
      <c r="D698" s="15"/>
      <c r="E698" s="15"/>
      <c r="F698" s="15"/>
      <c r="G698" s="16"/>
      <c r="H698" s="16"/>
      <c r="I698" s="15"/>
      <c r="J698" s="15" t="str">
        <f>TEXT(A698,"yyyy-mm")</f>
        <v>yyyy-01</v>
      </c>
      <c r="K698" s="16">
        <f>K697 + IF(C698="Entrada", G698, -G698)</f>
        <v>-5277.5099999999984</v>
      </c>
    </row>
    <row r="699" spans="1:11" ht="15.75" customHeight="1" x14ac:dyDescent="0.25">
      <c r="A699" s="14"/>
      <c r="C699" s="15"/>
      <c r="D699" s="15"/>
      <c r="E699" s="15"/>
      <c r="F699" s="15"/>
      <c r="G699" s="16"/>
      <c r="H699" s="16"/>
      <c r="I699" s="15"/>
      <c r="J699" s="15" t="str">
        <f>TEXT(A699,"yyyy-mm")</f>
        <v>yyyy-01</v>
      </c>
      <c r="K699" s="16">
        <f>K698 + IF(C699="Entrada", G699, -G699)</f>
        <v>-5277.5099999999984</v>
      </c>
    </row>
    <row r="700" spans="1:11" ht="15.75" customHeight="1" x14ac:dyDescent="0.25">
      <c r="A700" s="14"/>
      <c r="C700" s="15"/>
      <c r="D700" s="15"/>
      <c r="E700" s="15"/>
      <c r="F700" s="15"/>
      <c r="G700" s="16"/>
      <c r="H700" s="16"/>
      <c r="I700" s="15"/>
      <c r="J700" s="15" t="str">
        <f>TEXT(A700,"yyyy-mm")</f>
        <v>yyyy-01</v>
      </c>
      <c r="K700" s="16">
        <f>K699 + IF(C700="Entrada", G700, -G700)</f>
        <v>-5277.5099999999984</v>
      </c>
    </row>
    <row r="701" spans="1:11" ht="15.75" customHeight="1" x14ac:dyDescent="0.25">
      <c r="A701" s="14"/>
      <c r="C701" s="15"/>
      <c r="D701" s="15"/>
      <c r="E701" s="15"/>
      <c r="F701" s="15"/>
      <c r="G701" s="16"/>
      <c r="H701" s="16"/>
      <c r="I701" s="15"/>
      <c r="J701" s="15" t="str">
        <f>TEXT(A701,"yyyy-mm")</f>
        <v>yyyy-01</v>
      </c>
      <c r="K701" s="16">
        <f>K700 + IF(C701="Entrada", G701, -G701)</f>
        <v>-5277.5099999999984</v>
      </c>
    </row>
    <row r="702" spans="1:11" ht="15.75" customHeight="1" x14ac:dyDescent="0.25">
      <c r="A702" s="14"/>
      <c r="C702" s="15"/>
      <c r="D702" s="15"/>
      <c r="E702" s="15"/>
      <c r="F702" s="15"/>
      <c r="G702" s="16"/>
      <c r="H702" s="16"/>
      <c r="I702" s="15"/>
      <c r="J702" s="15" t="str">
        <f>TEXT(A702,"yyyy-mm")</f>
        <v>yyyy-01</v>
      </c>
      <c r="K702" s="16">
        <f>K701 + IF(C702="Entrada", G702, -G702)</f>
        <v>-5277.5099999999984</v>
      </c>
    </row>
    <row r="703" spans="1:11" ht="15.75" customHeight="1" x14ac:dyDescent="0.25">
      <c r="A703" s="14"/>
      <c r="C703" s="15"/>
      <c r="D703" s="15"/>
      <c r="E703" s="15"/>
      <c r="F703" s="15"/>
      <c r="G703" s="16"/>
      <c r="H703" s="16"/>
      <c r="I703" s="15"/>
      <c r="J703" s="15" t="str">
        <f>TEXT(A703,"yyyy-mm")</f>
        <v>yyyy-01</v>
      </c>
      <c r="K703" s="16">
        <f>K702 + IF(C703="Entrada", G703, -G703)</f>
        <v>-5277.5099999999984</v>
      </c>
    </row>
    <row r="704" spans="1:11" ht="15.75" customHeight="1" x14ac:dyDescent="0.25">
      <c r="A704" s="14"/>
      <c r="C704" s="15"/>
      <c r="D704" s="15"/>
      <c r="E704" s="15"/>
      <c r="F704" s="15"/>
      <c r="G704" s="16"/>
      <c r="H704" s="16"/>
      <c r="I704" s="15"/>
      <c r="J704" s="15" t="str">
        <f>TEXT(A704,"yyyy-mm")</f>
        <v>yyyy-01</v>
      </c>
      <c r="K704" s="16">
        <f>K703 + IF(C704="Entrada", G704, -G704)</f>
        <v>-5277.5099999999984</v>
      </c>
    </row>
    <row r="705" spans="1:11" ht="15.75" customHeight="1" x14ac:dyDescent="0.25">
      <c r="A705" s="14"/>
      <c r="C705" s="15"/>
      <c r="D705" s="15"/>
      <c r="E705" s="15"/>
      <c r="F705" s="15"/>
      <c r="G705" s="16"/>
      <c r="H705" s="16"/>
      <c r="I705" s="15"/>
      <c r="J705" s="15" t="str">
        <f>TEXT(A705,"yyyy-mm")</f>
        <v>yyyy-01</v>
      </c>
      <c r="K705" s="16">
        <f>K704 + IF(C705="Entrada", G705, -G705)</f>
        <v>-5277.5099999999984</v>
      </c>
    </row>
    <row r="706" spans="1:11" ht="15.75" customHeight="1" x14ac:dyDescent="0.25">
      <c r="A706" s="14"/>
      <c r="C706" s="15"/>
      <c r="D706" s="15"/>
      <c r="E706" s="15"/>
      <c r="F706" s="15"/>
      <c r="G706" s="16"/>
      <c r="H706" s="16"/>
      <c r="I706" s="15"/>
      <c r="J706" s="15" t="str">
        <f>TEXT(A706,"yyyy-mm")</f>
        <v>yyyy-01</v>
      </c>
      <c r="K706" s="16">
        <f>K705 + IF(C706="Entrada", G706, -G706)</f>
        <v>-5277.5099999999984</v>
      </c>
    </row>
    <row r="707" spans="1:11" ht="15.75" customHeight="1" x14ac:dyDescent="0.25">
      <c r="A707" s="14"/>
      <c r="C707" s="15"/>
      <c r="D707" s="15"/>
      <c r="E707" s="15"/>
      <c r="F707" s="15"/>
      <c r="G707" s="16"/>
      <c r="H707" s="16"/>
      <c r="I707" s="15"/>
      <c r="J707" s="15" t="str">
        <f>TEXT(A707,"yyyy-mm")</f>
        <v>yyyy-01</v>
      </c>
      <c r="K707" s="16">
        <f>K706 + IF(C707="Entrada", G707, -G707)</f>
        <v>-5277.5099999999984</v>
      </c>
    </row>
    <row r="708" spans="1:11" ht="15.75" customHeight="1" x14ac:dyDescent="0.25">
      <c r="A708" s="14"/>
      <c r="C708" s="15"/>
      <c r="D708" s="15"/>
      <c r="E708" s="15"/>
      <c r="F708" s="15"/>
      <c r="G708" s="16"/>
      <c r="H708" s="16"/>
      <c r="I708" s="15"/>
      <c r="J708" s="15" t="str">
        <f>TEXT(A708,"yyyy-mm")</f>
        <v>yyyy-01</v>
      </c>
      <c r="K708" s="16">
        <f>K707 + IF(C708="Entrada", G708, -G708)</f>
        <v>-5277.5099999999984</v>
      </c>
    </row>
    <row r="709" spans="1:11" ht="15.75" customHeight="1" x14ac:dyDescent="0.25">
      <c r="A709" s="14"/>
      <c r="C709" s="15"/>
      <c r="D709" s="15"/>
      <c r="E709" s="15"/>
      <c r="F709" s="15"/>
      <c r="G709" s="16"/>
      <c r="H709" s="16"/>
      <c r="I709" s="15"/>
      <c r="J709" s="15" t="str">
        <f>TEXT(A709,"yyyy-mm")</f>
        <v>yyyy-01</v>
      </c>
      <c r="K709" s="16">
        <f>K708 + IF(C709="Entrada", G709, -G709)</f>
        <v>-5277.5099999999984</v>
      </c>
    </row>
    <row r="710" spans="1:11" ht="15.75" customHeight="1" x14ac:dyDescent="0.25">
      <c r="A710" s="14"/>
      <c r="C710" s="15"/>
      <c r="D710" s="15"/>
      <c r="E710" s="15"/>
      <c r="F710" s="15"/>
      <c r="G710" s="16"/>
      <c r="H710" s="16"/>
      <c r="I710" s="15"/>
      <c r="J710" s="15" t="str">
        <f>TEXT(A710,"yyyy-mm")</f>
        <v>yyyy-01</v>
      </c>
      <c r="K710" s="16">
        <f>K709 + IF(C710="Entrada", G710, -G710)</f>
        <v>-5277.5099999999984</v>
      </c>
    </row>
    <row r="711" spans="1:11" ht="15.75" customHeight="1" x14ac:dyDescent="0.25">
      <c r="A711" s="14"/>
      <c r="C711" s="15"/>
      <c r="D711" s="15"/>
      <c r="E711" s="15"/>
      <c r="F711" s="15"/>
      <c r="G711" s="16"/>
      <c r="H711" s="16"/>
      <c r="I711" s="15"/>
      <c r="J711" s="15" t="str">
        <f>TEXT(A711,"yyyy-mm")</f>
        <v>yyyy-01</v>
      </c>
      <c r="K711" s="16">
        <f>K710 + IF(C711="Entrada", G711, -G711)</f>
        <v>-5277.5099999999984</v>
      </c>
    </row>
    <row r="712" spans="1:11" ht="15.75" customHeight="1" x14ac:dyDescent="0.25">
      <c r="A712" s="14"/>
      <c r="C712" s="15"/>
      <c r="D712" s="15"/>
      <c r="E712" s="15"/>
      <c r="F712" s="15"/>
      <c r="G712" s="16"/>
      <c r="H712" s="16"/>
      <c r="I712" s="15"/>
      <c r="J712" s="15" t="str">
        <f>TEXT(A712,"yyyy-mm")</f>
        <v>yyyy-01</v>
      </c>
      <c r="K712" s="16">
        <f>K711 + IF(C712="Entrada", G712, -G712)</f>
        <v>-5277.5099999999984</v>
      </c>
    </row>
    <row r="713" spans="1:11" ht="15.75" customHeight="1" x14ac:dyDescent="0.25">
      <c r="A713" s="14"/>
      <c r="C713" s="15"/>
      <c r="D713" s="15"/>
      <c r="E713" s="15"/>
      <c r="F713" s="15"/>
      <c r="G713" s="16"/>
      <c r="H713" s="16"/>
      <c r="I713" s="15"/>
      <c r="J713" s="15" t="str">
        <f>TEXT(A713,"yyyy-mm")</f>
        <v>yyyy-01</v>
      </c>
      <c r="K713" s="16">
        <f>K712 + IF(C713="Entrada", G713, -G713)</f>
        <v>-5277.5099999999984</v>
      </c>
    </row>
    <row r="714" spans="1:11" ht="15.75" customHeight="1" x14ac:dyDescent="0.25">
      <c r="A714" s="14"/>
      <c r="C714" s="15"/>
      <c r="D714" s="15"/>
      <c r="E714" s="15"/>
      <c r="F714" s="15"/>
      <c r="G714" s="16"/>
      <c r="H714" s="16"/>
      <c r="I714" s="15"/>
      <c r="J714" s="15" t="str">
        <f>TEXT(A714,"yyyy-mm")</f>
        <v>yyyy-01</v>
      </c>
      <c r="K714" s="16">
        <f>K713 + IF(C714="Entrada", G714, -G714)</f>
        <v>-5277.5099999999984</v>
      </c>
    </row>
    <row r="715" spans="1:11" ht="15.75" customHeight="1" x14ac:dyDescent="0.25">
      <c r="A715" s="14"/>
      <c r="C715" s="15"/>
      <c r="D715" s="15"/>
      <c r="E715" s="15"/>
      <c r="F715" s="15"/>
      <c r="G715" s="16"/>
      <c r="H715" s="16"/>
      <c r="I715" s="15"/>
      <c r="J715" s="15" t="str">
        <f>TEXT(A715,"yyyy-mm")</f>
        <v>yyyy-01</v>
      </c>
      <c r="K715" s="16">
        <f>K714 + IF(C715="Entrada", G715, -G715)</f>
        <v>-5277.5099999999984</v>
      </c>
    </row>
    <row r="716" spans="1:11" ht="15.75" customHeight="1" x14ac:dyDescent="0.25">
      <c r="A716" s="14"/>
      <c r="C716" s="15"/>
      <c r="D716" s="15"/>
      <c r="E716" s="15"/>
      <c r="F716" s="15"/>
      <c r="G716" s="16"/>
      <c r="H716" s="16"/>
      <c r="I716" s="15"/>
      <c r="J716" s="15" t="str">
        <f>TEXT(A716,"yyyy-mm")</f>
        <v>yyyy-01</v>
      </c>
      <c r="K716" s="16">
        <f>K715 + IF(C716="Entrada", G716, -G716)</f>
        <v>-5277.5099999999984</v>
      </c>
    </row>
    <row r="717" spans="1:11" ht="15.75" customHeight="1" x14ac:dyDescent="0.25">
      <c r="A717" s="14"/>
      <c r="C717" s="15"/>
      <c r="D717" s="15"/>
      <c r="E717" s="15"/>
      <c r="F717" s="15"/>
      <c r="G717" s="16"/>
      <c r="H717" s="16"/>
      <c r="I717" s="15"/>
      <c r="J717" s="15" t="str">
        <f>TEXT(A717,"yyyy-mm")</f>
        <v>yyyy-01</v>
      </c>
      <c r="K717" s="16">
        <f>K716 + IF(C717="Entrada", G717, -G717)</f>
        <v>-5277.5099999999984</v>
      </c>
    </row>
    <row r="718" spans="1:11" ht="15.75" customHeight="1" x14ac:dyDescent="0.25">
      <c r="A718" s="14"/>
      <c r="C718" s="15"/>
      <c r="D718" s="15"/>
      <c r="E718" s="15"/>
      <c r="F718" s="15"/>
      <c r="G718" s="16"/>
      <c r="H718" s="16"/>
      <c r="I718" s="15"/>
      <c r="J718" s="15" t="str">
        <f>TEXT(A718,"yyyy-mm")</f>
        <v>yyyy-01</v>
      </c>
      <c r="K718" s="16">
        <f>K717 + IF(C718="Entrada", G718, -G718)</f>
        <v>-5277.5099999999984</v>
      </c>
    </row>
    <row r="719" spans="1:11" ht="15.75" customHeight="1" x14ac:dyDescent="0.25">
      <c r="A719" s="14"/>
      <c r="C719" s="15"/>
      <c r="D719" s="15"/>
      <c r="E719" s="15"/>
      <c r="F719" s="15"/>
      <c r="G719" s="16"/>
      <c r="H719" s="16"/>
      <c r="I719" s="15"/>
      <c r="J719" s="15" t="str">
        <f>TEXT(A719,"yyyy-mm")</f>
        <v>yyyy-01</v>
      </c>
      <c r="K719" s="16">
        <f>K718 + IF(C719="Entrada", G719, -G719)</f>
        <v>-5277.5099999999984</v>
      </c>
    </row>
    <row r="720" spans="1:11" ht="15.75" customHeight="1" x14ac:dyDescent="0.25">
      <c r="A720" s="14"/>
      <c r="C720" s="15"/>
      <c r="D720" s="15"/>
      <c r="E720" s="15"/>
      <c r="F720" s="15"/>
      <c r="G720" s="16"/>
      <c r="H720" s="16"/>
      <c r="I720" s="15"/>
      <c r="J720" s="15" t="str">
        <f>TEXT(A720,"yyyy-mm")</f>
        <v>yyyy-01</v>
      </c>
      <c r="K720" s="16">
        <f>K719 + IF(C720="Entrada", G720, -G720)</f>
        <v>-5277.5099999999984</v>
      </c>
    </row>
    <row r="721" spans="1:11" ht="15.75" customHeight="1" x14ac:dyDescent="0.25">
      <c r="A721" s="14"/>
      <c r="C721" s="15"/>
      <c r="D721" s="15"/>
      <c r="E721" s="15"/>
      <c r="F721" s="15"/>
      <c r="G721" s="16"/>
      <c r="H721" s="16"/>
      <c r="I721" s="15"/>
      <c r="J721" s="15" t="str">
        <f>TEXT(A721,"yyyy-mm")</f>
        <v>yyyy-01</v>
      </c>
      <c r="K721" s="16">
        <f>K720 + IF(C721="Entrada", G721, -G721)</f>
        <v>-5277.5099999999984</v>
      </c>
    </row>
    <row r="722" spans="1:11" ht="15.75" customHeight="1" x14ac:dyDescent="0.25">
      <c r="A722" s="14"/>
      <c r="C722" s="15"/>
      <c r="D722" s="15"/>
      <c r="E722" s="15"/>
      <c r="F722" s="15"/>
      <c r="G722" s="16"/>
      <c r="H722" s="16"/>
      <c r="I722" s="15"/>
      <c r="J722" s="15" t="str">
        <f>TEXT(A722,"yyyy-mm")</f>
        <v>yyyy-01</v>
      </c>
      <c r="K722" s="16">
        <f>K721 + IF(C722="Entrada", G722, -G722)</f>
        <v>-5277.5099999999984</v>
      </c>
    </row>
    <row r="723" spans="1:11" ht="15.75" customHeight="1" x14ac:dyDescent="0.25">
      <c r="A723" s="14"/>
      <c r="C723" s="15"/>
      <c r="D723" s="15"/>
      <c r="E723" s="15"/>
      <c r="F723" s="15"/>
      <c r="G723" s="16"/>
      <c r="H723" s="16"/>
      <c r="I723" s="15"/>
      <c r="J723" s="15" t="str">
        <f>TEXT(A723,"yyyy-mm")</f>
        <v>yyyy-01</v>
      </c>
      <c r="K723" s="16">
        <f>K722 + IF(C723="Entrada", G723, -G723)</f>
        <v>-5277.5099999999984</v>
      </c>
    </row>
    <row r="724" spans="1:11" ht="15.75" customHeight="1" x14ac:dyDescent="0.25">
      <c r="A724" s="14"/>
      <c r="C724" s="15"/>
      <c r="D724" s="15"/>
      <c r="E724" s="15"/>
      <c r="F724" s="15"/>
      <c r="G724" s="16"/>
      <c r="H724" s="16"/>
      <c r="I724" s="15"/>
      <c r="J724" s="15" t="str">
        <f>TEXT(A724,"yyyy-mm")</f>
        <v>yyyy-01</v>
      </c>
      <c r="K724" s="16">
        <f>K723 + IF(C724="Entrada", G724, -G724)</f>
        <v>-5277.5099999999984</v>
      </c>
    </row>
    <row r="725" spans="1:11" ht="15.75" customHeight="1" x14ac:dyDescent="0.25">
      <c r="A725" s="14"/>
      <c r="C725" s="15"/>
      <c r="D725" s="15"/>
      <c r="E725" s="15"/>
      <c r="F725" s="15"/>
      <c r="G725" s="16"/>
      <c r="H725" s="16"/>
      <c r="I725" s="15"/>
      <c r="J725" s="15" t="str">
        <f>TEXT(A725,"yyyy-mm")</f>
        <v>yyyy-01</v>
      </c>
      <c r="K725" s="16">
        <f>K724 + IF(C725="Entrada", G725, -G725)</f>
        <v>-5277.5099999999984</v>
      </c>
    </row>
    <row r="726" spans="1:11" ht="15.75" customHeight="1" x14ac:dyDescent="0.25">
      <c r="A726" s="14"/>
      <c r="C726" s="15"/>
      <c r="D726" s="15"/>
      <c r="E726" s="15"/>
      <c r="F726" s="15"/>
      <c r="G726" s="16"/>
      <c r="H726" s="16"/>
      <c r="I726" s="15"/>
      <c r="J726" s="15" t="str">
        <f>TEXT(A726,"yyyy-mm")</f>
        <v>yyyy-01</v>
      </c>
      <c r="K726" s="16">
        <f>K725 + IF(C726="Entrada", G726, -G726)</f>
        <v>-5277.5099999999984</v>
      </c>
    </row>
    <row r="727" spans="1:11" ht="15.75" customHeight="1" x14ac:dyDescent="0.25">
      <c r="A727" s="14"/>
      <c r="C727" s="15"/>
      <c r="D727" s="15"/>
      <c r="E727" s="15"/>
      <c r="F727" s="15"/>
      <c r="G727" s="16"/>
      <c r="H727" s="16"/>
      <c r="I727" s="15"/>
      <c r="J727" s="15" t="str">
        <f>TEXT(A727,"yyyy-mm")</f>
        <v>yyyy-01</v>
      </c>
      <c r="K727" s="16">
        <f>K726 + IF(C727="Entrada", G727, -G727)</f>
        <v>-5277.5099999999984</v>
      </c>
    </row>
    <row r="728" spans="1:11" ht="15.75" customHeight="1" x14ac:dyDescent="0.25">
      <c r="A728" s="14"/>
      <c r="C728" s="15"/>
      <c r="D728" s="15"/>
      <c r="E728" s="15"/>
      <c r="F728" s="15"/>
      <c r="G728" s="16"/>
      <c r="H728" s="16"/>
      <c r="I728" s="15"/>
      <c r="J728" s="15" t="str">
        <f>TEXT(A728,"yyyy-mm")</f>
        <v>yyyy-01</v>
      </c>
      <c r="K728" s="16">
        <f>K727 + IF(C728="Entrada", G728, -G728)</f>
        <v>-5277.5099999999984</v>
      </c>
    </row>
    <row r="729" spans="1:11" ht="15.75" customHeight="1" x14ac:dyDescent="0.25">
      <c r="A729" s="14"/>
      <c r="C729" s="15"/>
      <c r="D729" s="15"/>
      <c r="E729" s="15"/>
      <c r="F729" s="15"/>
      <c r="G729" s="16"/>
      <c r="H729" s="16"/>
      <c r="I729" s="15"/>
      <c r="J729" s="15" t="str">
        <f>TEXT(A729,"yyyy-mm")</f>
        <v>yyyy-01</v>
      </c>
      <c r="K729" s="16">
        <f>K728 + IF(C729="Entrada", G729, -G729)</f>
        <v>-5277.5099999999984</v>
      </c>
    </row>
    <row r="730" spans="1:11" ht="15.75" customHeight="1" x14ac:dyDescent="0.25">
      <c r="A730" s="14"/>
      <c r="C730" s="15"/>
      <c r="D730" s="15"/>
      <c r="E730" s="15"/>
      <c r="F730" s="15"/>
      <c r="G730" s="16"/>
      <c r="H730" s="16"/>
      <c r="I730" s="15"/>
      <c r="J730" s="15" t="str">
        <f>TEXT(A730,"yyyy-mm")</f>
        <v>yyyy-01</v>
      </c>
      <c r="K730" s="16">
        <f>K729 + IF(C730="Entrada", G730, -G730)</f>
        <v>-5277.5099999999984</v>
      </c>
    </row>
    <row r="731" spans="1:11" ht="15.75" customHeight="1" x14ac:dyDescent="0.25">
      <c r="A731" s="14"/>
      <c r="C731" s="15"/>
      <c r="D731" s="15"/>
      <c r="E731" s="15"/>
      <c r="F731" s="15"/>
      <c r="G731" s="16"/>
      <c r="H731" s="16"/>
      <c r="I731" s="15"/>
      <c r="J731" s="15" t="str">
        <f>TEXT(A731,"yyyy-mm")</f>
        <v>yyyy-01</v>
      </c>
      <c r="K731" s="16">
        <f>K730 + IF(C731="Entrada", G731, -G731)</f>
        <v>-5277.5099999999984</v>
      </c>
    </row>
    <row r="732" spans="1:11" ht="15.75" customHeight="1" x14ac:dyDescent="0.25">
      <c r="A732" s="14"/>
      <c r="C732" s="15"/>
      <c r="D732" s="15"/>
      <c r="E732" s="15"/>
      <c r="F732" s="15"/>
      <c r="G732" s="16"/>
      <c r="H732" s="16"/>
      <c r="I732" s="15"/>
      <c r="J732" s="15" t="str">
        <f>TEXT(A732,"yyyy-mm")</f>
        <v>yyyy-01</v>
      </c>
      <c r="K732" s="16">
        <f>K731 + IF(C732="Entrada", G732, -G732)</f>
        <v>-5277.5099999999984</v>
      </c>
    </row>
    <row r="733" spans="1:11" ht="15.75" customHeight="1" x14ac:dyDescent="0.25">
      <c r="A733" s="14"/>
      <c r="C733" s="15"/>
      <c r="D733" s="15"/>
      <c r="E733" s="15"/>
      <c r="F733" s="15"/>
      <c r="G733" s="16"/>
      <c r="H733" s="16"/>
      <c r="I733" s="15"/>
      <c r="J733" s="15" t="str">
        <f>TEXT(A733,"yyyy-mm")</f>
        <v>yyyy-01</v>
      </c>
      <c r="K733" s="16">
        <f>K732 + IF(C733="Entrada", G733, -G733)</f>
        <v>-5277.5099999999984</v>
      </c>
    </row>
    <row r="734" spans="1:11" ht="15.75" customHeight="1" x14ac:dyDescent="0.25">
      <c r="A734" s="14"/>
      <c r="C734" s="15"/>
      <c r="D734" s="15"/>
      <c r="E734" s="15"/>
      <c r="F734" s="15"/>
      <c r="G734" s="16"/>
      <c r="H734" s="16"/>
      <c r="I734" s="15"/>
      <c r="J734" s="15" t="str">
        <f>TEXT(A734,"yyyy-mm")</f>
        <v>yyyy-01</v>
      </c>
      <c r="K734" s="16">
        <f>K733 + IF(C734="Entrada", G734, -G734)</f>
        <v>-5277.5099999999984</v>
      </c>
    </row>
    <row r="735" spans="1:11" ht="15.75" customHeight="1" x14ac:dyDescent="0.25">
      <c r="A735" s="14"/>
      <c r="C735" s="15"/>
      <c r="D735" s="15"/>
      <c r="E735" s="15"/>
      <c r="F735" s="15"/>
      <c r="G735" s="16"/>
      <c r="H735" s="16"/>
      <c r="I735" s="15"/>
      <c r="J735" s="15" t="str">
        <f>TEXT(A735,"yyyy-mm")</f>
        <v>yyyy-01</v>
      </c>
      <c r="K735" s="16">
        <f>K734 + IF(C735="Entrada", G735, -G735)</f>
        <v>-5277.5099999999984</v>
      </c>
    </row>
    <row r="736" spans="1:11" ht="15.75" customHeight="1" x14ac:dyDescent="0.25">
      <c r="A736" s="14"/>
      <c r="C736" s="15"/>
      <c r="D736" s="15"/>
      <c r="E736" s="15"/>
      <c r="F736" s="15"/>
      <c r="G736" s="16"/>
      <c r="H736" s="16"/>
      <c r="I736" s="15"/>
      <c r="J736" s="15" t="str">
        <f>TEXT(A736,"yyyy-mm")</f>
        <v>yyyy-01</v>
      </c>
      <c r="K736" s="16">
        <f>K735 + IF(C736="Entrada", G736, -G736)</f>
        <v>-5277.5099999999984</v>
      </c>
    </row>
    <row r="737" spans="1:11" ht="15.75" customHeight="1" x14ac:dyDescent="0.25">
      <c r="A737" s="14"/>
      <c r="C737" s="15"/>
      <c r="D737" s="15"/>
      <c r="E737" s="15"/>
      <c r="F737" s="15"/>
      <c r="G737" s="16"/>
      <c r="H737" s="16"/>
      <c r="I737" s="15"/>
      <c r="J737" s="15" t="str">
        <f>TEXT(A737,"yyyy-mm")</f>
        <v>yyyy-01</v>
      </c>
      <c r="K737" s="16">
        <f>K736 + IF(C737="Entrada", G737, -G737)</f>
        <v>-5277.5099999999984</v>
      </c>
    </row>
    <row r="738" spans="1:11" ht="15.75" customHeight="1" x14ac:dyDescent="0.25">
      <c r="A738" s="14"/>
      <c r="C738" s="15"/>
      <c r="D738" s="15"/>
      <c r="E738" s="15"/>
      <c r="F738" s="15"/>
      <c r="G738" s="16"/>
      <c r="H738" s="16"/>
      <c r="I738" s="15"/>
      <c r="J738" s="15" t="str">
        <f>TEXT(A738,"yyyy-mm")</f>
        <v>yyyy-01</v>
      </c>
      <c r="K738" s="16">
        <f>K737 + IF(C738="Entrada", G738, -G738)</f>
        <v>-5277.5099999999984</v>
      </c>
    </row>
    <row r="739" spans="1:11" ht="15.75" customHeight="1" x14ac:dyDescent="0.25">
      <c r="A739" s="14"/>
      <c r="C739" s="15"/>
      <c r="D739" s="15"/>
      <c r="E739" s="15"/>
      <c r="F739" s="15"/>
      <c r="G739" s="16"/>
      <c r="H739" s="16"/>
      <c r="I739" s="15"/>
      <c r="J739" s="15" t="str">
        <f>TEXT(A739,"yyyy-mm")</f>
        <v>yyyy-01</v>
      </c>
      <c r="K739" s="16">
        <f>K738 + IF(C739="Entrada", G739, -G739)</f>
        <v>-5277.5099999999984</v>
      </c>
    </row>
    <row r="740" spans="1:11" ht="15.75" customHeight="1" x14ac:dyDescent="0.25">
      <c r="A740" s="14"/>
      <c r="C740" s="15"/>
      <c r="D740" s="15"/>
      <c r="E740" s="15"/>
      <c r="F740" s="15"/>
      <c r="G740" s="16"/>
      <c r="H740" s="16"/>
      <c r="I740" s="15"/>
      <c r="J740" s="15" t="str">
        <f>TEXT(A740,"yyyy-mm")</f>
        <v>yyyy-01</v>
      </c>
      <c r="K740" s="16">
        <f>K739 + IF(C740="Entrada", G740, -G740)</f>
        <v>-5277.5099999999984</v>
      </c>
    </row>
    <row r="741" spans="1:11" ht="15.75" customHeight="1" x14ac:dyDescent="0.25">
      <c r="A741" s="14"/>
      <c r="C741" s="15"/>
      <c r="D741" s="15"/>
      <c r="E741" s="15"/>
      <c r="F741" s="15"/>
      <c r="G741" s="16"/>
      <c r="H741" s="16"/>
      <c r="I741" s="15"/>
      <c r="J741" s="15" t="str">
        <f>TEXT(A741,"yyyy-mm")</f>
        <v>yyyy-01</v>
      </c>
      <c r="K741" s="16">
        <f>K740 + IF(C741="Entrada", G741, -G741)</f>
        <v>-5277.5099999999984</v>
      </c>
    </row>
    <row r="742" spans="1:11" ht="15.75" customHeight="1" x14ac:dyDescent="0.25">
      <c r="A742" s="14"/>
      <c r="C742" s="15"/>
      <c r="D742" s="15"/>
      <c r="E742" s="15"/>
      <c r="F742" s="15"/>
      <c r="G742" s="16"/>
      <c r="H742" s="16"/>
      <c r="I742" s="15"/>
      <c r="J742" s="15" t="str">
        <f>TEXT(A742,"yyyy-mm")</f>
        <v>yyyy-01</v>
      </c>
      <c r="K742" s="16">
        <f>K741 + IF(C742="Entrada", G742, -G742)</f>
        <v>-5277.5099999999984</v>
      </c>
    </row>
    <row r="743" spans="1:11" ht="15.75" customHeight="1" x14ac:dyDescent="0.25">
      <c r="A743" s="14"/>
      <c r="C743" s="15"/>
      <c r="D743" s="15"/>
      <c r="E743" s="15"/>
      <c r="F743" s="15"/>
      <c r="G743" s="16"/>
      <c r="H743" s="16"/>
      <c r="I743" s="15"/>
      <c r="J743" s="15" t="str">
        <f>TEXT(A743,"yyyy-mm")</f>
        <v>yyyy-01</v>
      </c>
      <c r="K743" s="16">
        <f>K742 + IF(C743="Entrada", G743, -G743)</f>
        <v>-5277.5099999999984</v>
      </c>
    </row>
    <row r="744" spans="1:11" ht="15.75" customHeight="1" x14ac:dyDescent="0.25">
      <c r="A744" s="14"/>
      <c r="C744" s="15"/>
      <c r="D744" s="15"/>
      <c r="E744" s="15"/>
      <c r="F744" s="15"/>
      <c r="G744" s="16"/>
      <c r="H744" s="16"/>
      <c r="I744" s="15"/>
      <c r="J744" s="15" t="str">
        <f>TEXT(A744,"yyyy-mm")</f>
        <v>yyyy-01</v>
      </c>
      <c r="K744" s="16">
        <f>K743 + IF(C744="Entrada", G744, -G744)</f>
        <v>-5277.5099999999984</v>
      </c>
    </row>
    <row r="745" spans="1:11" ht="15.75" customHeight="1" x14ac:dyDescent="0.25">
      <c r="A745" s="14"/>
      <c r="C745" s="15"/>
      <c r="D745" s="15"/>
      <c r="E745" s="15"/>
      <c r="F745" s="15"/>
      <c r="G745" s="16"/>
      <c r="H745" s="16"/>
      <c r="I745" s="15"/>
      <c r="J745" s="15" t="str">
        <f>TEXT(A745,"yyyy-mm")</f>
        <v>yyyy-01</v>
      </c>
      <c r="K745" s="16">
        <f>K744 + IF(C745="Entrada", G745, -G745)</f>
        <v>-5277.5099999999984</v>
      </c>
    </row>
    <row r="746" spans="1:11" ht="15.75" customHeight="1" x14ac:dyDescent="0.25">
      <c r="A746" s="14"/>
      <c r="C746" s="15"/>
      <c r="D746" s="15"/>
      <c r="E746" s="15"/>
      <c r="F746" s="15"/>
      <c r="G746" s="16"/>
      <c r="H746" s="16"/>
      <c r="I746" s="15"/>
      <c r="J746" s="15" t="str">
        <f>TEXT(A746,"yyyy-mm")</f>
        <v>yyyy-01</v>
      </c>
      <c r="K746" s="16">
        <f>K745 + IF(C746="Entrada", G746, -G746)</f>
        <v>-5277.5099999999984</v>
      </c>
    </row>
    <row r="747" spans="1:11" ht="15.75" customHeight="1" x14ac:dyDescent="0.25">
      <c r="A747" s="14"/>
      <c r="C747" s="15"/>
      <c r="D747" s="15"/>
      <c r="E747" s="15"/>
      <c r="F747" s="15"/>
      <c r="G747" s="16"/>
      <c r="H747" s="16"/>
      <c r="I747" s="15"/>
      <c r="J747" s="15" t="str">
        <f>TEXT(A747,"yyyy-mm")</f>
        <v>yyyy-01</v>
      </c>
      <c r="K747" s="16">
        <f>K746 + IF(C747="Entrada", G747, -G747)</f>
        <v>-5277.5099999999984</v>
      </c>
    </row>
    <row r="748" spans="1:11" ht="15.75" customHeight="1" x14ac:dyDescent="0.25">
      <c r="A748" s="14"/>
      <c r="C748" s="15"/>
      <c r="D748" s="15"/>
      <c r="E748" s="15"/>
      <c r="F748" s="15"/>
      <c r="G748" s="16"/>
      <c r="H748" s="16"/>
      <c r="I748" s="15"/>
      <c r="J748" s="15" t="str">
        <f>TEXT(A748,"yyyy-mm")</f>
        <v>yyyy-01</v>
      </c>
      <c r="K748" s="16">
        <f>K747 + IF(C748="Entrada", G748, -G748)</f>
        <v>-5277.5099999999984</v>
      </c>
    </row>
    <row r="749" spans="1:11" ht="15.75" customHeight="1" x14ac:dyDescent="0.25">
      <c r="A749" s="14"/>
      <c r="C749" s="15"/>
      <c r="D749" s="15"/>
      <c r="E749" s="15"/>
      <c r="F749" s="15"/>
      <c r="G749" s="16"/>
      <c r="H749" s="16"/>
      <c r="I749" s="15"/>
      <c r="J749" s="15" t="str">
        <f>TEXT(A749,"yyyy-mm")</f>
        <v>yyyy-01</v>
      </c>
      <c r="K749" s="16">
        <f>K748 + IF(C749="Entrada", G749, -G749)</f>
        <v>-5277.5099999999984</v>
      </c>
    </row>
    <row r="750" spans="1:11" ht="15.75" customHeight="1" x14ac:dyDescent="0.25">
      <c r="A750" s="14"/>
      <c r="C750" s="15"/>
      <c r="D750" s="15"/>
      <c r="E750" s="15"/>
      <c r="F750" s="15"/>
      <c r="G750" s="16"/>
      <c r="H750" s="16"/>
      <c r="I750" s="15"/>
      <c r="J750" s="15" t="str">
        <f>TEXT(A750,"yyyy-mm")</f>
        <v>yyyy-01</v>
      </c>
      <c r="K750" s="16">
        <f>K749 + IF(C750="Entrada", G750, -G750)</f>
        <v>-5277.5099999999984</v>
      </c>
    </row>
    <row r="751" spans="1:11" ht="15.75" customHeight="1" x14ac:dyDescent="0.25">
      <c r="A751" s="14"/>
      <c r="C751" s="15"/>
      <c r="D751" s="15"/>
      <c r="E751" s="15"/>
      <c r="F751" s="15"/>
      <c r="G751" s="16"/>
      <c r="H751" s="16"/>
      <c r="I751" s="15"/>
      <c r="J751" s="15" t="str">
        <f>TEXT(A751,"yyyy-mm")</f>
        <v>yyyy-01</v>
      </c>
      <c r="K751" s="16">
        <f>K750 + IF(C751="Entrada", G751, -G751)</f>
        <v>-5277.5099999999984</v>
      </c>
    </row>
    <row r="752" spans="1:11" ht="15.75" customHeight="1" x14ac:dyDescent="0.25">
      <c r="A752" s="14"/>
      <c r="C752" s="15"/>
      <c r="D752" s="15"/>
      <c r="E752" s="15"/>
      <c r="F752" s="15"/>
      <c r="G752" s="16"/>
      <c r="H752" s="16"/>
      <c r="I752" s="15"/>
      <c r="J752" s="15" t="str">
        <f>TEXT(A752,"yyyy-mm")</f>
        <v>yyyy-01</v>
      </c>
      <c r="K752" s="16">
        <f>K751 + IF(C752="Entrada", G752, -G752)</f>
        <v>-5277.5099999999984</v>
      </c>
    </row>
    <row r="753" spans="1:11" ht="15.75" customHeight="1" x14ac:dyDescent="0.25">
      <c r="A753" s="14"/>
      <c r="C753" s="15"/>
      <c r="D753" s="15"/>
      <c r="E753" s="15"/>
      <c r="F753" s="15"/>
      <c r="G753" s="16"/>
      <c r="H753" s="16"/>
      <c r="I753" s="15"/>
      <c r="J753" s="15" t="str">
        <f>TEXT(A753,"yyyy-mm")</f>
        <v>yyyy-01</v>
      </c>
      <c r="K753" s="16">
        <f>K752 + IF(C753="Entrada", G753, -G753)</f>
        <v>-5277.5099999999984</v>
      </c>
    </row>
    <row r="754" spans="1:11" ht="15.75" customHeight="1" x14ac:dyDescent="0.25">
      <c r="A754" s="14"/>
      <c r="C754" s="15"/>
      <c r="D754" s="15"/>
      <c r="E754" s="15"/>
      <c r="F754" s="15"/>
      <c r="G754" s="16"/>
      <c r="H754" s="16"/>
      <c r="I754" s="15"/>
      <c r="J754" s="15" t="str">
        <f>TEXT(A754,"yyyy-mm")</f>
        <v>yyyy-01</v>
      </c>
      <c r="K754" s="16">
        <f>K753 + IF(C754="Entrada", G754, -G754)</f>
        <v>-5277.5099999999984</v>
      </c>
    </row>
    <row r="755" spans="1:11" ht="15.75" customHeight="1" x14ac:dyDescent="0.25">
      <c r="A755" s="14"/>
      <c r="C755" s="15"/>
      <c r="D755" s="15"/>
      <c r="E755" s="15"/>
      <c r="F755" s="15"/>
      <c r="G755" s="16"/>
      <c r="H755" s="16"/>
      <c r="I755" s="15"/>
      <c r="J755" s="15" t="str">
        <f>TEXT(A755,"yyyy-mm")</f>
        <v>yyyy-01</v>
      </c>
      <c r="K755" s="16">
        <f>K754 + IF(C755="Entrada", G755, -G755)</f>
        <v>-5277.5099999999984</v>
      </c>
    </row>
    <row r="756" spans="1:11" ht="15.75" customHeight="1" x14ac:dyDescent="0.25">
      <c r="A756" s="14"/>
      <c r="C756" s="15"/>
      <c r="D756" s="15"/>
      <c r="E756" s="15"/>
      <c r="F756" s="15"/>
      <c r="G756" s="16"/>
      <c r="H756" s="16"/>
      <c r="I756" s="15"/>
      <c r="J756" s="15" t="str">
        <f>TEXT(A756,"yyyy-mm")</f>
        <v>yyyy-01</v>
      </c>
      <c r="K756" s="16">
        <f>K755 + IF(C756="Entrada", G756, -G756)</f>
        <v>-5277.5099999999984</v>
      </c>
    </row>
    <row r="757" spans="1:11" ht="15.75" customHeight="1" x14ac:dyDescent="0.25">
      <c r="A757" s="14"/>
      <c r="C757" s="15"/>
      <c r="D757" s="15"/>
      <c r="E757" s="15"/>
      <c r="F757" s="15"/>
      <c r="G757" s="16"/>
      <c r="H757" s="16"/>
      <c r="I757" s="15"/>
      <c r="J757" s="15" t="str">
        <f>TEXT(A757,"yyyy-mm")</f>
        <v>yyyy-01</v>
      </c>
      <c r="K757" s="16">
        <f>K756 + IF(C757="Entrada", G757, -G757)</f>
        <v>-5277.5099999999984</v>
      </c>
    </row>
    <row r="758" spans="1:11" ht="15.75" customHeight="1" x14ac:dyDescent="0.25">
      <c r="A758" s="14"/>
      <c r="C758" s="15"/>
      <c r="D758" s="15"/>
      <c r="E758" s="15"/>
      <c r="F758" s="15"/>
      <c r="G758" s="16"/>
      <c r="H758" s="16"/>
      <c r="I758" s="15"/>
      <c r="J758" s="15" t="str">
        <f>TEXT(A758,"yyyy-mm")</f>
        <v>yyyy-01</v>
      </c>
      <c r="K758" s="16">
        <f>K757 + IF(C758="Entrada", G758, -G758)</f>
        <v>-5277.5099999999984</v>
      </c>
    </row>
    <row r="759" spans="1:11" ht="15.75" customHeight="1" x14ac:dyDescent="0.25">
      <c r="A759" s="14"/>
      <c r="C759" s="15"/>
      <c r="D759" s="15"/>
      <c r="E759" s="15"/>
      <c r="F759" s="15"/>
      <c r="G759" s="16"/>
      <c r="H759" s="16"/>
      <c r="I759" s="15"/>
      <c r="J759" s="15" t="str">
        <f>TEXT(A759,"yyyy-mm")</f>
        <v>yyyy-01</v>
      </c>
      <c r="K759" s="16">
        <f>K758 + IF(C759="Entrada", G759, -G759)</f>
        <v>-5277.5099999999984</v>
      </c>
    </row>
    <row r="760" spans="1:11" ht="15.75" customHeight="1" x14ac:dyDescent="0.25">
      <c r="A760" s="14"/>
      <c r="C760" s="15"/>
      <c r="D760" s="15"/>
      <c r="E760" s="15"/>
      <c r="F760" s="15"/>
      <c r="G760" s="16"/>
      <c r="H760" s="16"/>
      <c r="I760" s="15"/>
      <c r="J760" s="15" t="str">
        <f>TEXT(A760,"yyyy-mm")</f>
        <v>yyyy-01</v>
      </c>
      <c r="K760" s="16">
        <f>K759 + IF(C760="Entrada", G760, -G760)</f>
        <v>-5277.5099999999984</v>
      </c>
    </row>
    <row r="761" spans="1:11" ht="15.75" customHeight="1" x14ac:dyDescent="0.25">
      <c r="A761" s="14"/>
      <c r="C761" s="15"/>
      <c r="D761" s="15"/>
      <c r="E761" s="15"/>
      <c r="F761" s="15"/>
      <c r="G761" s="16"/>
      <c r="H761" s="16"/>
      <c r="I761" s="15"/>
      <c r="J761" s="15" t="str">
        <f>TEXT(A761,"yyyy-mm")</f>
        <v>yyyy-01</v>
      </c>
      <c r="K761" s="16">
        <f>K760 + IF(C761="Entrada", G761, -G761)</f>
        <v>-5277.5099999999984</v>
      </c>
    </row>
    <row r="762" spans="1:11" ht="15.75" customHeight="1" x14ac:dyDescent="0.25">
      <c r="A762" s="14"/>
      <c r="C762" s="15"/>
      <c r="D762" s="15"/>
      <c r="E762" s="15"/>
      <c r="F762" s="15"/>
      <c r="G762" s="16"/>
      <c r="H762" s="16"/>
      <c r="I762" s="15"/>
      <c r="J762" s="15" t="str">
        <f>TEXT(A762,"yyyy-mm")</f>
        <v>yyyy-01</v>
      </c>
      <c r="K762" s="16">
        <f>K761 + IF(C762="Entrada", G762, -G762)</f>
        <v>-5277.5099999999984</v>
      </c>
    </row>
    <row r="763" spans="1:11" ht="15.75" customHeight="1" x14ac:dyDescent="0.25">
      <c r="A763" s="14"/>
      <c r="C763" s="15"/>
      <c r="D763" s="15"/>
      <c r="E763" s="15"/>
      <c r="F763" s="15"/>
      <c r="G763" s="16"/>
      <c r="H763" s="16"/>
      <c r="I763" s="15"/>
      <c r="J763" s="15" t="str">
        <f>TEXT(A763,"yyyy-mm")</f>
        <v>yyyy-01</v>
      </c>
      <c r="K763" s="16">
        <f>K762 + IF(C763="Entrada", G763, -G763)</f>
        <v>-5277.5099999999984</v>
      </c>
    </row>
    <row r="764" spans="1:11" ht="15.75" customHeight="1" x14ac:dyDescent="0.25">
      <c r="A764" s="14"/>
      <c r="C764" s="15"/>
      <c r="D764" s="15"/>
      <c r="E764" s="15"/>
      <c r="F764" s="15"/>
      <c r="G764" s="16"/>
      <c r="H764" s="16"/>
      <c r="I764" s="15"/>
      <c r="J764" s="15" t="str">
        <f>TEXT(A764,"yyyy-mm")</f>
        <v>yyyy-01</v>
      </c>
      <c r="K764" s="16">
        <f>K763 + IF(C764="Entrada", G764, -G764)</f>
        <v>-5277.5099999999984</v>
      </c>
    </row>
    <row r="765" spans="1:11" ht="15.75" customHeight="1" x14ac:dyDescent="0.25">
      <c r="A765" s="14"/>
      <c r="C765" s="15"/>
      <c r="D765" s="15"/>
      <c r="E765" s="15"/>
      <c r="F765" s="15"/>
      <c r="G765" s="16"/>
      <c r="H765" s="16"/>
      <c r="I765" s="15"/>
      <c r="J765" s="15" t="str">
        <f>TEXT(A765,"yyyy-mm")</f>
        <v>yyyy-01</v>
      </c>
      <c r="K765" s="16">
        <f>K764 + IF(C765="Entrada", G765, -G765)</f>
        <v>-5277.5099999999984</v>
      </c>
    </row>
    <row r="766" spans="1:11" ht="15.75" customHeight="1" x14ac:dyDescent="0.25">
      <c r="A766" s="14"/>
      <c r="C766" s="15"/>
      <c r="D766" s="15"/>
      <c r="E766" s="15"/>
      <c r="F766" s="15"/>
      <c r="G766" s="16"/>
      <c r="H766" s="16"/>
      <c r="I766" s="15"/>
      <c r="J766" s="15" t="str">
        <f>TEXT(A766,"yyyy-mm")</f>
        <v>yyyy-01</v>
      </c>
      <c r="K766" s="16">
        <f>K765 + IF(C766="Entrada", G766, -G766)</f>
        <v>-5277.5099999999984</v>
      </c>
    </row>
    <row r="767" spans="1:11" ht="15.75" customHeight="1" x14ac:dyDescent="0.25">
      <c r="A767" s="14"/>
      <c r="C767" s="15"/>
      <c r="D767" s="15"/>
      <c r="E767" s="15"/>
      <c r="F767" s="15"/>
      <c r="G767" s="16"/>
      <c r="H767" s="16"/>
      <c r="I767" s="15"/>
      <c r="J767" s="15" t="str">
        <f>TEXT(A767,"yyyy-mm")</f>
        <v>yyyy-01</v>
      </c>
      <c r="K767" s="16">
        <f>K766 + IF(C767="Entrada", G767, -G767)</f>
        <v>-5277.5099999999984</v>
      </c>
    </row>
    <row r="768" spans="1:11" ht="15.75" customHeight="1" x14ac:dyDescent="0.25">
      <c r="A768" s="14"/>
      <c r="C768" s="15"/>
      <c r="D768" s="15"/>
      <c r="E768" s="15"/>
      <c r="F768" s="15"/>
      <c r="G768" s="16"/>
      <c r="H768" s="16"/>
      <c r="I768" s="15"/>
      <c r="J768" s="15" t="str">
        <f>TEXT(A768,"yyyy-mm")</f>
        <v>yyyy-01</v>
      </c>
      <c r="K768" s="16">
        <f>K767 + IF(C768="Entrada", G768, -G768)</f>
        <v>-5277.5099999999984</v>
      </c>
    </row>
    <row r="769" spans="1:11" ht="15.75" customHeight="1" x14ac:dyDescent="0.25">
      <c r="A769" s="14"/>
      <c r="C769" s="15"/>
      <c r="D769" s="15"/>
      <c r="E769" s="15"/>
      <c r="F769" s="15"/>
      <c r="G769" s="16"/>
      <c r="H769" s="16"/>
      <c r="I769" s="15"/>
      <c r="J769" s="15" t="str">
        <f>TEXT(A769,"yyyy-mm")</f>
        <v>yyyy-01</v>
      </c>
      <c r="K769" s="16">
        <f>K768 + IF(C769="Entrada", G769, -G769)</f>
        <v>-5277.5099999999984</v>
      </c>
    </row>
    <row r="770" spans="1:11" ht="15.75" customHeight="1" x14ac:dyDescent="0.25">
      <c r="A770" s="14"/>
      <c r="C770" s="15"/>
      <c r="D770" s="15"/>
      <c r="E770" s="15"/>
      <c r="F770" s="15"/>
      <c r="G770" s="16"/>
      <c r="H770" s="16"/>
      <c r="I770" s="15"/>
      <c r="J770" s="15" t="str">
        <f>TEXT(A770,"yyyy-mm")</f>
        <v>yyyy-01</v>
      </c>
      <c r="K770" s="16">
        <f>K769 + IF(C770="Entrada", G770, -G770)</f>
        <v>-5277.5099999999984</v>
      </c>
    </row>
    <row r="771" spans="1:11" ht="15.75" customHeight="1" x14ac:dyDescent="0.25">
      <c r="A771" s="14"/>
      <c r="C771" s="15"/>
      <c r="D771" s="15"/>
      <c r="E771" s="15"/>
      <c r="F771" s="15"/>
      <c r="G771" s="16"/>
      <c r="H771" s="16"/>
      <c r="I771" s="15"/>
      <c r="J771" s="15" t="str">
        <f>TEXT(A771,"yyyy-mm")</f>
        <v>yyyy-01</v>
      </c>
      <c r="K771" s="16">
        <f>K770 + IF(C771="Entrada", G771, -G771)</f>
        <v>-5277.5099999999984</v>
      </c>
    </row>
    <row r="772" spans="1:11" ht="15.75" customHeight="1" x14ac:dyDescent="0.25">
      <c r="A772" s="14"/>
      <c r="C772" s="15"/>
      <c r="D772" s="15"/>
      <c r="E772" s="15"/>
      <c r="F772" s="15"/>
      <c r="G772" s="16"/>
      <c r="H772" s="16"/>
      <c r="I772" s="15"/>
      <c r="J772" s="15" t="str">
        <f>TEXT(A772,"yyyy-mm")</f>
        <v>yyyy-01</v>
      </c>
      <c r="K772" s="16">
        <f>K771 + IF(C772="Entrada", G772, -G772)</f>
        <v>-5277.5099999999984</v>
      </c>
    </row>
    <row r="773" spans="1:11" ht="15.75" customHeight="1" x14ac:dyDescent="0.25">
      <c r="A773" s="14"/>
      <c r="C773" s="15"/>
      <c r="D773" s="15"/>
      <c r="E773" s="15"/>
      <c r="F773" s="15"/>
      <c r="G773" s="16"/>
      <c r="H773" s="16"/>
      <c r="I773" s="15"/>
      <c r="J773" s="15" t="str">
        <f>TEXT(A773,"yyyy-mm")</f>
        <v>yyyy-01</v>
      </c>
      <c r="K773" s="16">
        <f>K772 + IF(C773="Entrada", G773, -G773)</f>
        <v>-5277.5099999999984</v>
      </c>
    </row>
    <row r="774" spans="1:11" ht="15.75" customHeight="1" x14ac:dyDescent="0.25">
      <c r="A774" s="14"/>
      <c r="C774" s="15"/>
      <c r="D774" s="15"/>
      <c r="E774" s="15"/>
      <c r="F774" s="15"/>
      <c r="G774" s="16"/>
      <c r="H774" s="16"/>
      <c r="I774" s="15"/>
      <c r="J774" s="15" t="str">
        <f>TEXT(A774,"yyyy-mm")</f>
        <v>yyyy-01</v>
      </c>
      <c r="K774" s="16">
        <f>K773 + IF(C774="Entrada", G774, -G774)</f>
        <v>-5277.5099999999984</v>
      </c>
    </row>
    <row r="775" spans="1:11" ht="15.75" customHeight="1" x14ac:dyDescent="0.25">
      <c r="A775" s="14"/>
      <c r="C775" s="15"/>
      <c r="D775" s="15"/>
      <c r="E775" s="15"/>
      <c r="F775" s="15"/>
      <c r="G775" s="16"/>
      <c r="H775" s="16"/>
      <c r="I775" s="15"/>
      <c r="J775" s="15" t="str">
        <f>TEXT(A775,"yyyy-mm")</f>
        <v>yyyy-01</v>
      </c>
      <c r="K775" s="16">
        <f>K774 + IF(C775="Entrada", G775, -G775)</f>
        <v>-5277.5099999999984</v>
      </c>
    </row>
    <row r="776" spans="1:11" ht="15.75" customHeight="1" x14ac:dyDescent="0.25">
      <c r="A776" s="14"/>
      <c r="C776" s="15"/>
      <c r="D776" s="15"/>
      <c r="E776" s="15"/>
      <c r="F776" s="15"/>
      <c r="G776" s="16"/>
      <c r="H776" s="16"/>
      <c r="I776" s="15"/>
      <c r="J776" s="15" t="str">
        <f>TEXT(A776,"yyyy-mm")</f>
        <v>yyyy-01</v>
      </c>
      <c r="K776" s="16">
        <f>K775 + IF(C776="Entrada", G776, -G776)</f>
        <v>-5277.5099999999984</v>
      </c>
    </row>
    <row r="777" spans="1:11" ht="15.75" customHeight="1" x14ac:dyDescent="0.25">
      <c r="A777" s="14"/>
      <c r="C777" s="15"/>
      <c r="D777" s="15"/>
      <c r="E777" s="15"/>
      <c r="F777" s="15"/>
      <c r="G777" s="16"/>
      <c r="H777" s="16"/>
      <c r="I777" s="15"/>
      <c r="J777" s="15" t="str">
        <f>TEXT(A777,"yyyy-mm")</f>
        <v>yyyy-01</v>
      </c>
      <c r="K777" s="16">
        <f>K776 + IF(C777="Entrada", G777, -G777)</f>
        <v>-5277.5099999999984</v>
      </c>
    </row>
    <row r="778" spans="1:11" ht="15.75" customHeight="1" x14ac:dyDescent="0.25">
      <c r="A778" s="14"/>
      <c r="C778" s="15"/>
      <c r="D778" s="15"/>
      <c r="E778" s="15"/>
      <c r="F778" s="15"/>
      <c r="G778" s="16"/>
      <c r="H778" s="16"/>
      <c r="I778" s="15"/>
      <c r="J778" s="15" t="str">
        <f>TEXT(A778,"yyyy-mm")</f>
        <v>yyyy-01</v>
      </c>
      <c r="K778" s="16">
        <f>K777 + IF(C778="Entrada", G778, -G778)</f>
        <v>-5277.5099999999984</v>
      </c>
    </row>
    <row r="779" spans="1:11" ht="15.75" customHeight="1" x14ac:dyDescent="0.25">
      <c r="A779" s="14"/>
      <c r="C779" s="15"/>
      <c r="D779" s="15"/>
      <c r="E779" s="15"/>
      <c r="F779" s="15"/>
      <c r="G779" s="16"/>
      <c r="H779" s="16"/>
      <c r="I779" s="15"/>
      <c r="J779" s="15" t="str">
        <f>TEXT(A779,"yyyy-mm")</f>
        <v>yyyy-01</v>
      </c>
      <c r="K779" s="16">
        <f>K778 + IF(C779="Entrada", G779, -G779)</f>
        <v>-5277.5099999999984</v>
      </c>
    </row>
    <row r="780" spans="1:11" ht="15.75" customHeight="1" x14ac:dyDescent="0.25">
      <c r="A780" s="14"/>
      <c r="C780" s="15"/>
      <c r="D780" s="15"/>
      <c r="E780" s="15"/>
      <c r="F780" s="15"/>
      <c r="G780" s="16"/>
      <c r="H780" s="16"/>
      <c r="I780" s="15"/>
      <c r="J780" s="15" t="str">
        <f>TEXT(A780,"yyyy-mm")</f>
        <v>yyyy-01</v>
      </c>
      <c r="K780" s="16">
        <f>K779 + IF(C780="Entrada", G780, -G780)</f>
        <v>-5277.5099999999984</v>
      </c>
    </row>
    <row r="781" spans="1:11" ht="15.75" customHeight="1" x14ac:dyDescent="0.25">
      <c r="A781" s="14"/>
      <c r="C781" s="15"/>
      <c r="D781" s="15"/>
      <c r="E781" s="15"/>
      <c r="F781" s="15"/>
      <c r="G781" s="16"/>
      <c r="H781" s="16"/>
      <c r="I781" s="15"/>
      <c r="J781" s="15" t="str">
        <f>TEXT(A781,"yyyy-mm")</f>
        <v>yyyy-01</v>
      </c>
      <c r="K781" s="16">
        <f>K780 + IF(C781="Entrada", G781, -G781)</f>
        <v>-5277.5099999999984</v>
      </c>
    </row>
    <row r="782" spans="1:11" ht="15.75" customHeight="1" x14ac:dyDescent="0.25">
      <c r="A782" s="14"/>
      <c r="C782" s="15"/>
      <c r="D782" s="15"/>
      <c r="E782" s="15"/>
      <c r="F782" s="15"/>
      <c r="G782" s="16"/>
      <c r="H782" s="16"/>
      <c r="I782" s="15"/>
      <c r="J782" s="15" t="str">
        <f>TEXT(A782,"yyyy-mm")</f>
        <v>yyyy-01</v>
      </c>
      <c r="K782" s="16">
        <f>K781 + IF(C782="Entrada", G782, -G782)</f>
        <v>-5277.5099999999984</v>
      </c>
    </row>
    <row r="783" spans="1:11" ht="15.75" customHeight="1" x14ac:dyDescent="0.25">
      <c r="A783" s="14"/>
      <c r="C783" s="15"/>
      <c r="D783" s="15"/>
      <c r="E783" s="15"/>
      <c r="F783" s="15"/>
      <c r="G783" s="16"/>
      <c r="H783" s="16"/>
      <c r="I783" s="15"/>
      <c r="J783" s="15" t="str">
        <f>TEXT(A783,"yyyy-mm")</f>
        <v>yyyy-01</v>
      </c>
      <c r="K783" s="16">
        <f>K782 + IF(C783="Entrada", G783, -G783)</f>
        <v>-5277.5099999999984</v>
      </c>
    </row>
    <row r="784" spans="1:11" ht="15.75" customHeight="1" x14ac:dyDescent="0.25">
      <c r="A784" s="14"/>
      <c r="C784" s="15"/>
      <c r="D784" s="15"/>
      <c r="E784" s="15"/>
      <c r="F784" s="15"/>
      <c r="G784" s="16"/>
      <c r="H784" s="16"/>
      <c r="I784" s="15"/>
      <c r="J784" s="15" t="str">
        <f>TEXT(A784,"yyyy-mm")</f>
        <v>yyyy-01</v>
      </c>
      <c r="K784" s="16">
        <f>K783 + IF(C784="Entrada", G784, -G784)</f>
        <v>-5277.5099999999984</v>
      </c>
    </row>
    <row r="785" spans="1:11" ht="15.75" customHeight="1" x14ac:dyDescent="0.25">
      <c r="A785" s="14"/>
      <c r="C785" s="15"/>
      <c r="D785" s="15"/>
      <c r="E785" s="15"/>
      <c r="F785" s="15"/>
      <c r="G785" s="16"/>
      <c r="H785" s="16"/>
      <c r="I785" s="15"/>
      <c r="J785" s="15" t="str">
        <f>TEXT(A785,"yyyy-mm")</f>
        <v>yyyy-01</v>
      </c>
      <c r="K785" s="16">
        <f>K784 + IF(C785="Entrada", G785, -G785)</f>
        <v>-5277.5099999999984</v>
      </c>
    </row>
    <row r="786" spans="1:11" ht="15.75" customHeight="1" x14ac:dyDescent="0.25">
      <c r="A786" s="14"/>
      <c r="C786" s="15"/>
      <c r="D786" s="15"/>
      <c r="E786" s="15"/>
      <c r="F786" s="15"/>
      <c r="G786" s="16"/>
      <c r="H786" s="16"/>
      <c r="I786" s="15"/>
      <c r="J786" s="15" t="str">
        <f>TEXT(A786,"yyyy-mm")</f>
        <v>yyyy-01</v>
      </c>
      <c r="K786" s="16">
        <f>K785 + IF(C786="Entrada", G786, -G786)</f>
        <v>-5277.5099999999984</v>
      </c>
    </row>
    <row r="787" spans="1:11" ht="15.75" customHeight="1" x14ac:dyDescent="0.25">
      <c r="A787" s="14"/>
      <c r="C787" s="15"/>
      <c r="D787" s="15"/>
      <c r="E787" s="15"/>
      <c r="F787" s="15"/>
      <c r="G787" s="16"/>
      <c r="H787" s="16"/>
      <c r="I787" s="15"/>
      <c r="J787" s="15" t="str">
        <f>TEXT(A787,"yyyy-mm")</f>
        <v>yyyy-01</v>
      </c>
      <c r="K787" s="16">
        <f>K786 + IF(C787="Entrada", G787, -G787)</f>
        <v>-5277.5099999999984</v>
      </c>
    </row>
    <row r="788" spans="1:11" ht="15.75" customHeight="1" x14ac:dyDescent="0.25">
      <c r="A788" s="14"/>
      <c r="C788" s="15"/>
      <c r="D788" s="15"/>
      <c r="E788" s="15"/>
      <c r="F788" s="15"/>
      <c r="G788" s="16"/>
      <c r="H788" s="16"/>
      <c r="I788" s="15"/>
      <c r="J788" s="15" t="str">
        <f>TEXT(A788,"yyyy-mm")</f>
        <v>yyyy-01</v>
      </c>
      <c r="K788" s="16">
        <f>K787 + IF(C788="Entrada", G788, -G788)</f>
        <v>-5277.5099999999984</v>
      </c>
    </row>
    <row r="789" spans="1:11" ht="15.75" customHeight="1" x14ac:dyDescent="0.25">
      <c r="A789" s="14"/>
      <c r="C789" s="15"/>
      <c r="D789" s="15"/>
      <c r="E789" s="15"/>
      <c r="F789" s="15"/>
      <c r="G789" s="16"/>
      <c r="H789" s="16"/>
      <c r="I789" s="15"/>
      <c r="J789" s="15" t="str">
        <f>TEXT(A789,"yyyy-mm")</f>
        <v>yyyy-01</v>
      </c>
      <c r="K789" s="16">
        <f>K788 + IF(C789="Entrada", G789, -G789)</f>
        <v>-5277.5099999999984</v>
      </c>
    </row>
    <row r="790" spans="1:11" ht="15.75" customHeight="1" x14ac:dyDescent="0.25">
      <c r="A790" s="14"/>
      <c r="C790" s="15"/>
      <c r="D790" s="15"/>
      <c r="E790" s="15"/>
      <c r="F790" s="15"/>
      <c r="G790" s="16"/>
      <c r="H790" s="16"/>
      <c r="I790" s="15"/>
      <c r="J790" s="15" t="str">
        <f>TEXT(A790,"yyyy-mm")</f>
        <v>yyyy-01</v>
      </c>
      <c r="K790" s="16">
        <f>K789 + IF(C790="Entrada", G790, -G790)</f>
        <v>-5277.5099999999984</v>
      </c>
    </row>
    <row r="791" spans="1:11" ht="15.75" customHeight="1" x14ac:dyDescent="0.25">
      <c r="A791" s="14"/>
      <c r="C791" s="15"/>
      <c r="D791" s="15"/>
      <c r="E791" s="15"/>
      <c r="F791" s="15"/>
      <c r="G791" s="16"/>
      <c r="H791" s="16"/>
      <c r="I791" s="15"/>
      <c r="J791" s="15" t="str">
        <f>TEXT(A791,"yyyy-mm")</f>
        <v>yyyy-01</v>
      </c>
      <c r="K791" s="16">
        <f>K790 + IF(C791="Entrada", G791, -G791)</f>
        <v>-5277.5099999999984</v>
      </c>
    </row>
    <row r="792" spans="1:11" ht="15.75" customHeight="1" x14ac:dyDescent="0.25">
      <c r="A792" s="14"/>
      <c r="C792" s="15"/>
      <c r="D792" s="15"/>
      <c r="E792" s="15"/>
      <c r="F792" s="15"/>
      <c r="G792" s="16"/>
      <c r="H792" s="16"/>
      <c r="I792" s="15"/>
      <c r="J792" s="15" t="str">
        <f>TEXT(A792,"yyyy-mm")</f>
        <v>yyyy-01</v>
      </c>
      <c r="K792" s="16">
        <f>K791 + IF(C792="Entrada", G792, -G792)</f>
        <v>-5277.5099999999984</v>
      </c>
    </row>
    <row r="793" spans="1:11" ht="15.75" customHeight="1" x14ac:dyDescent="0.25">
      <c r="A793" s="14"/>
      <c r="C793" s="15"/>
      <c r="D793" s="15"/>
      <c r="E793" s="15"/>
      <c r="F793" s="15"/>
      <c r="G793" s="16"/>
      <c r="H793" s="16"/>
      <c r="I793" s="15"/>
      <c r="J793" s="15" t="str">
        <f>TEXT(A793,"yyyy-mm")</f>
        <v>yyyy-01</v>
      </c>
      <c r="K793" s="16">
        <f>K792 + IF(C793="Entrada", G793, -G793)</f>
        <v>-5277.5099999999984</v>
      </c>
    </row>
    <row r="794" spans="1:11" ht="15.75" customHeight="1" x14ac:dyDescent="0.25">
      <c r="A794" s="14"/>
      <c r="C794" s="15"/>
      <c r="D794" s="15"/>
      <c r="E794" s="15"/>
      <c r="F794" s="15"/>
      <c r="G794" s="16"/>
      <c r="H794" s="16"/>
      <c r="I794" s="15"/>
      <c r="J794" s="15" t="str">
        <f>TEXT(A794,"yyyy-mm")</f>
        <v>yyyy-01</v>
      </c>
      <c r="K794" s="16">
        <f>K793 + IF(C794="Entrada", G794, -G794)</f>
        <v>-5277.5099999999984</v>
      </c>
    </row>
    <row r="795" spans="1:11" ht="15.75" customHeight="1" x14ac:dyDescent="0.25">
      <c r="A795" s="14"/>
      <c r="C795" s="15"/>
      <c r="D795" s="15"/>
      <c r="E795" s="15"/>
      <c r="F795" s="15"/>
      <c r="G795" s="16"/>
      <c r="H795" s="16"/>
      <c r="I795" s="15"/>
      <c r="J795" s="15" t="str">
        <f>TEXT(A795,"yyyy-mm")</f>
        <v>yyyy-01</v>
      </c>
      <c r="K795" s="16">
        <f>K794 + IF(C795="Entrada", G795, -G795)</f>
        <v>-5277.5099999999984</v>
      </c>
    </row>
    <row r="796" spans="1:11" ht="15.75" customHeight="1" x14ac:dyDescent="0.25">
      <c r="A796" s="14"/>
      <c r="C796" s="15"/>
      <c r="D796" s="15"/>
      <c r="E796" s="15"/>
      <c r="F796" s="15"/>
      <c r="G796" s="16"/>
      <c r="H796" s="16"/>
      <c r="I796" s="15"/>
      <c r="J796" s="15" t="str">
        <f>TEXT(A796,"yyyy-mm")</f>
        <v>yyyy-01</v>
      </c>
      <c r="K796" s="16">
        <f>K795 + IF(C796="Entrada", G796, -G796)</f>
        <v>-5277.5099999999984</v>
      </c>
    </row>
    <row r="797" spans="1:11" ht="15.75" customHeight="1" x14ac:dyDescent="0.25">
      <c r="A797" s="14"/>
      <c r="C797" s="15"/>
      <c r="D797" s="15"/>
      <c r="E797" s="15"/>
      <c r="F797" s="15"/>
      <c r="G797" s="16"/>
      <c r="H797" s="16"/>
      <c r="I797" s="15"/>
      <c r="J797" s="15" t="str">
        <f>TEXT(A797,"yyyy-mm")</f>
        <v>yyyy-01</v>
      </c>
      <c r="K797" s="16">
        <f>K796 + IF(C797="Entrada", G797, -G797)</f>
        <v>-5277.5099999999984</v>
      </c>
    </row>
    <row r="798" spans="1:11" ht="15.75" customHeight="1" x14ac:dyDescent="0.25">
      <c r="A798" s="14"/>
      <c r="C798" s="15"/>
      <c r="D798" s="15"/>
      <c r="E798" s="15"/>
      <c r="F798" s="15"/>
      <c r="G798" s="16"/>
      <c r="H798" s="16"/>
      <c r="I798" s="15"/>
      <c r="J798" s="15" t="str">
        <f>TEXT(A798,"yyyy-mm")</f>
        <v>yyyy-01</v>
      </c>
      <c r="K798" s="16">
        <f>K797 + IF(C798="Entrada", G798, -G798)</f>
        <v>-5277.5099999999984</v>
      </c>
    </row>
    <row r="799" spans="1:11" ht="15.75" customHeight="1" x14ac:dyDescent="0.25">
      <c r="A799" s="14"/>
      <c r="C799" s="15"/>
      <c r="D799" s="15"/>
      <c r="E799" s="15"/>
      <c r="F799" s="15"/>
      <c r="G799" s="16"/>
      <c r="H799" s="16"/>
      <c r="I799" s="15"/>
      <c r="J799" s="15" t="str">
        <f>TEXT(A799,"yyyy-mm")</f>
        <v>yyyy-01</v>
      </c>
      <c r="K799" s="16">
        <f>K798 + IF(C799="Entrada", G799, -G799)</f>
        <v>-5277.5099999999984</v>
      </c>
    </row>
    <row r="800" spans="1:11" ht="15.75" customHeight="1" x14ac:dyDescent="0.25">
      <c r="A800" s="14"/>
      <c r="C800" s="15"/>
      <c r="D800" s="15"/>
      <c r="E800" s="15"/>
      <c r="F800" s="15"/>
      <c r="G800" s="16"/>
      <c r="H800" s="16"/>
      <c r="I800" s="15"/>
      <c r="J800" s="15" t="str">
        <f>TEXT(A800,"yyyy-mm")</f>
        <v>yyyy-01</v>
      </c>
      <c r="K800" s="16">
        <f>K799 + IF(C800="Entrada", G800, -G800)</f>
        <v>-5277.5099999999984</v>
      </c>
    </row>
    <row r="801" spans="1:11" ht="15.75" customHeight="1" x14ac:dyDescent="0.25">
      <c r="A801" s="14"/>
      <c r="C801" s="15"/>
      <c r="D801" s="15"/>
      <c r="E801" s="15"/>
      <c r="F801" s="15"/>
      <c r="G801" s="16"/>
      <c r="H801" s="16"/>
      <c r="I801" s="15"/>
      <c r="J801" s="15" t="str">
        <f>TEXT(A801,"yyyy-mm")</f>
        <v>yyyy-01</v>
      </c>
      <c r="K801" s="16">
        <f>K800 + IF(C801="Entrada", G801, -G801)</f>
        <v>-5277.5099999999984</v>
      </c>
    </row>
    <row r="802" spans="1:11" ht="15.75" customHeight="1" x14ac:dyDescent="0.25">
      <c r="A802" s="14"/>
      <c r="C802" s="15"/>
      <c r="D802" s="15"/>
      <c r="E802" s="15"/>
      <c r="F802" s="15"/>
      <c r="G802" s="16"/>
      <c r="H802" s="16"/>
      <c r="I802" s="15"/>
      <c r="J802" s="15" t="str">
        <f>TEXT(A802,"yyyy-mm")</f>
        <v>yyyy-01</v>
      </c>
      <c r="K802" s="16">
        <f>K801 + IF(C802="Entrada", G802, -G802)</f>
        <v>-5277.5099999999984</v>
      </c>
    </row>
    <row r="803" spans="1:11" ht="15.75" customHeight="1" x14ac:dyDescent="0.25">
      <c r="A803" s="14"/>
      <c r="C803" s="15"/>
      <c r="D803" s="15"/>
      <c r="E803" s="15"/>
      <c r="F803" s="15"/>
      <c r="G803" s="16"/>
      <c r="H803" s="16"/>
      <c r="I803" s="15"/>
      <c r="J803" s="15" t="str">
        <f>TEXT(A803,"yyyy-mm")</f>
        <v>yyyy-01</v>
      </c>
      <c r="K803" s="16">
        <f>K802 + IF(C803="Entrada", G803, -G803)</f>
        <v>-5277.5099999999984</v>
      </c>
    </row>
    <row r="804" spans="1:11" ht="15.75" customHeight="1" x14ac:dyDescent="0.25">
      <c r="A804" s="14"/>
      <c r="C804" s="15"/>
      <c r="D804" s="15"/>
      <c r="E804" s="15"/>
      <c r="F804" s="15"/>
      <c r="G804" s="16"/>
      <c r="H804" s="16"/>
      <c r="I804" s="15"/>
      <c r="J804" s="15" t="str">
        <f>TEXT(A804,"yyyy-mm")</f>
        <v>yyyy-01</v>
      </c>
      <c r="K804" s="16">
        <f>K803 + IF(C804="Entrada", G804, -G804)</f>
        <v>-5277.5099999999984</v>
      </c>
    </row>
    <row r="805" spans="1:11" ht="15.75" customHeight="1" x14ac:dyDescent="0.25">
      <c r="A805" s="14"/>
      <c r="C805" s="15"/>
      <c r="D805" s="15"/>
      <c r="E805" s="15"/>
      <c r="F805" s="15"/>
      <c r="G805" s="16"/>
      <c r="H805" s="16"/>
      <c r="I805" s="15"/>
      <c r="J805" s="15" t="str">
        <f>TEXT(A805,"yyyy-mm")</f>
        <v>yyyy-01</v>
      </c>
      <c r="K805" s="16">
        <f>K804 + IF(C805="Entrada", G805, -G805)</f>
        <v>-5277.5099999999984</v>
      </c>
    </row>
    <row r="806" spans="1:11" ht="15.75" customHeight="1" x14ac:dyDescent="0.25">
      <c r="A806" s="14"/>
      <c r="C806" s="15"/>
      <c r="D806" s="15"/>
      <c r="E806" s="15"/>
      <c r="F806" s="15"/>
      <c r="G806" s="16"/>
      <c r="H806" s="16"/>
      <c r="I806" s="15"/>
      <c r="J806" s="15" t="str">
        <f>TEXT(A806,"yyyy-mm")</f>
        <v>yyyy-01</v>
      </c>
      <c r="K806" s="16">
        <f>K805 + IF(C806="Entrada", G806, -G806)</f>
        <v>-5277.5099999999984</v>
      </c>
    </row>
    <row r="807" spans="1:11" ht="15.75" customHeight="1" x14ac:dyDescent="0.25">
      <c r="A807" s="14"/>
      <c r="C807" s="15"/>
      <c r="D807" s="15"/>
      <c r="E807" s="15"/>
      <c r="F807" s="15"/>
      <c r="G807" s="16"/>
      <c r="H807" s="16"/>
      <c r="I807" s="15"/>
      <c r="J807" s="15" t="str">
        <f>TEXT(A807,"yyyy-mm")</f>
        <v>yyyy-01</v>
      </c>
      <c r="K807" s="16">
        <f>K806 + IF(C807="Entrada", G807, -G807)</f>
        <v>-5277.5099999999984</v>
      </c>
    </row>
    <row r="808" spans="1:11" ht="15.75" customHeight="1" x14ac:dyDescent="0.25">
      <c r="A808" s="14"/>
      <c r="C808" s="15"/>
      <c r="D808" s="15"/>
      <c r="E808" s="15"/>
      <c r="F808" s="15"/>
      <c r="G808" s="16"/>
      <c r="H808" s="16"/>
      <c r="I808" s="15"/>
      <c r="J808" s="15" t="str">
        <f>TEXT(A808,"yyyy-mm")</f>
        <v>yyyy-01</v>
      </c>
      <c r="K808" s="16">
        <f>K807 + IF(C808="Entrada", G808, -G808)</f>
        <v>-5277.5099999999984</v>
      </c>
    </row>
    <row r="809" spans="1:11" ht="15.75" customHeight="1" x14ac:dyDescent="0.25">
      <c r="A809" s="14"/>
      <c r="C809" s="15"/>
      <c r="D809" s="15"/>
      <c r="E809" s="15"/>
      <c r="F809" s="15"/>
      <c r="G809" s="16"/>
      <c r="H809" s="16"/>
      <c r="I809" s="15"/>
      <c r="J809" s="15" t="str">
        <f>TEXT(A809,"yyyy-mm")</f>
        <v>yyyy-01</v>
      </c>
      <c r="K809" s="16">
        <f>K808 + IF(C809="Entrada", G809, -G809)</f>
        <v>-5277.5099999999984</v>
      </c>
    </row>
    <row r="810" spans="1:11" ht="15.75" customHeight="1" x14ac:dyDescent="0.25">
      <c r="A810" s="14"/>
      <c r="C810" s="15"/>
      <c r="D810" s="15"/>
      <c r="E810" s="15"/>
      <c r="F810" s="15"/>
      <c r="G810" s="16"/>
      <c r="H810" s="16"/>
      <c r="I810" s="15"/>
      <c r="J810" s="15" t="str">
        <f>TEXT(A810,"yyyy-mm")</f>
        <v>yyyy-01</v>
      </c>
      <c r="K810" s="16">
        <f>K809 + IF(C810="Entrada", G810, -G810)</f>
        <v>-5277.5099999999984</v>
      </c>
    </row>
    <row r="811" spans="1:11" ht="15.75" customHeight="1" x14ac:dyDescent="0.25">
      <c r="A811" s="14"/>
      <c r="C811" s="15"/>
      <c r="D811" s="15"/>
      <c r="E811" s="15"/>
      <c r="F811" s="15"/>
      <c r="G811" s="16"/>
      <c r="H811" s="16"/>
      <c r="I811" s="15"/>
      <c r="J811" s="15" t="str">
        <f>TEXT(A811,"yyyy-mm")</f>
        <v>yyyy-01</v>
      </c>
      <c r="K811" s="16">
        <f>K810 + IF(C811="Entrada", G811, -G811)</f>
        <v>-5277.5099999999984</v>
      </c>
    </row>
    <row r="812" spans="1:11" ht="15.75" customHeight="1" x14ac:dyDescent="0.25">
      <c r="A812" s="14"/>
      <c r="C812" s="15"/>
      <c r="D812" s="15"/>
      <c r="E812" s="15"/>
      <c r="F812" s="15"/>
      <c r="G812" s="16"/>
      <c r="H812" s="16"/>
      <c r="I812" s="15"/>
      <c r="J812" s="15" t="str">
        <f>TEXT(A812,"yyyy-mm")</f>
        <v>yyyy-01</v>
      </c>
      <c r="K812" s="16">
        <f>K811 + IF(C812="Entrada", G812, -G812)</f>
        <v>-5277.5099999999984</v>
      </c>
    </row>
    <row r="813" spans="1:11" ht="15.75" customHeight="1" x14ac:dyDescent="0.25">
      <c r="A813" s="14"/>
      <c r="C813" s="15"/>
      <c r="D813" s="15"/>
      <c r="E813" s="15"/>
      <c r="F813" s="15"/>
      <c r="G813" s="16"/>
      <c r="H813" s="16"/>
      <c r="I813" s="15"/>
      <c r="J813" s="15" t="str">
        <f>TEXT(A813,"yyyy-mm")</f>
        <v>yyyy-01</v>
      </c>
      <c r="K813" s="16">
        <f>K812 + IF(C813="Entrada", G813, -G813)</f>
        <v>-5277.5099999999984</v>
      </c>
    </row>
    <row r="814" spans="1:11" ht="15.75" customHeight="1" x14ac:dyDescent="0.25">
      <c r="A814" s="14"/>
      <c r="C814" s="15"/>
      <c r="D814" s="15"/>
      <c r="E814" s="15"/>
      <c r="F814" s="15"/>
      <c r="G814" s="16"/>
      <c r="H814" s="16"/>
      <c r="I814" s="15"/>
      <c r="J814" s="15" t="str">
        <f>TEXT(A814,"yyyy-mm")</f>
        <v>yyyy-01</v>
      </c>
      <c r="K814" s="16">
        <f>K813 + IF(C814="Entrada", G814, -G814)</f>
        <v>-5277.5099999999984</v>
      </c>
    </row>
    <row r="815" spans="1:11" ht="15.75" customHeight="1" x14ac:dyDescent="0.25">
      <c r="A815" s="14"/>
      <c r="C815" s="15"/>
      <c r="D815" s="15"/>
      <c r="E815" s="15"/>
      <c r="F815" s="15"/>
      <c r="G815" s="16"/>
      <c r="H815" s="16"/>
      <c r="I815" s="15"/>
      <c r="J815" s="15" t="str">
        <f>TEXT(A815,"yyyy-mm")</f>
        <v>yyyy-01</v>
      </c>
      <c r="K815" s="16">
        <f>K814 + IF(C815="Entrada", G815, -G815)</f>
        <v>-5277.5099999999984</v>
      </c>
    </row>
    <row r="816" spans="1:11" ht="15.75" customHeight="1" x14ac:dyDescent="0.25">
      <c r="A816" s="14"/>
      <c r="C816" s="15"/>
      <c r="D816" s="15"/>
      <c r="E816" s="15"/>
      <c r="F816" s="15"/>
      <c r="G816" s="16"/>
      <c r="H816" s="16"/>
      <c r="I816" s="15"/>
      <c r="J816" s="15" t="str">
        <f>TEXT(A816,"yyyy-mm")</f>
        <v>yyyy-01</v>
      </c>
      <c r="K816" s="16">
        <f>K815 + IF(C816="Entrada", G816, -G816)</f>
        <v>-5277.5099999999984</v>
      </c>
    </row>
    <row r="817" spans="1:11" ht="15.75" customHeight="1" x14ac:dyDescent="0.25">
      <c r="A817" s="14"/>
      <c r="C817" s="15"/>
      <c r="D817" s="15"/>
      <c r="E817" s="15"/>
      <c r="F817" s="15"/>
      <c r="G817" s="16"/>
      <c r="H817" s="16"/>
      <c r="I817" s="15"/>
      <c r="J817" s="15" t="str">
        <f>TEXT(A817,"yyyy-mm")</f>
        <v>yyyy-01</v>
      </c>
      <c r="K817" s="16">
        <f>K816 + IF(C817="Entrada", G817, -G817)</f>
        <v>-5277.5099999999984</v>
      </c>
    </row>
    <row r="818" spans="1:11" ht="15.75" customHeight="1" x14ac:dyDescent="0.25">
      <c r="A818" s="14"/>
      <c r="C818" s="15"/>
      <c r="D818" s="15"/>
      <c r="E818" s="15"/>
      <c r="F818" s="15"/>
      <c r="G818" s="16"/>
      <c r="H818" s="16"/>
      <c r="I818" s="15"/>
      <c r="J818" s="15" t="str">
        <f>TEXT(A818,"yyyy-mm")</f>
        <v>yyyy-01</v>
      </c>
      <c r="K818" s="16">
        <f>K817 + IF(C818="Entrada", G818, -G818)</f>
        <v>-5277.5099999999984</v>
      </c>
    </row>
    <row r="819" spans="1:11" ht="15.75" customHeight="1" x14ac:dyDescent="0.25">
      <c r="A819" s="14"/>
      <c r="C819" s="15"/>
      <c r="D819" s="15"/>
      <c r="E819" s="15"/>
      <c r="F819" s="15"/>
      <c r="G819" s="16"/>
      <c r="H819" s="16"/>
      <c r="I819" s="15"/>
      <c r="J819" s="15" t="str">
        <f>TEXT(A819,"yyyy-mm")</f>
        <v>yyyy-01</v>
      </c>
      <c r="K819" s="16">
        <f>K818 + IF(C819="Entrada", G819, -G819)</f>
        <v>-5277.5099999999984</v>
      </c>
    </row>
    <row r="820" spans="1:11" ht="15.75" customHeight="1" x14ac:dyDescent="0.25">
      <c r="A820" s="14"/>
      <c r="C820" s="15"/>
      <c r="D820" s="15"/>
      <c r="E820" s="15"/>
      <c r="F820" s="15"/>
      <c r="G820" s="16"/>
      <c r="H820" s="16"/>
      <c r="I820" s="15"/>
      <c r="J820" s="15" t="str">
        <f>TEXT(A820,"yyyy-mm")</f>
        <v>yyyy-01</v>
      </c>
      <c r="K820" s="16">
        <f>K819 + IF(C820="Entrada", G820, -G820)</f>
        <v>-5277.5099999999984</v>
      </c>
    </row>
    <row r="821" spans="1:11" ht="15.75" customHeight="1" x14ac:dyDescent="0.25">
      <c r="A821" s="14"/>
      <c r="C821" s="15"/>
      <c r="D821" s="15"/>
      <c r="E821" s="15"/>
      <c r="F821" s="15"/>
      <c r="G821" s="16"/>
      <c r="H821" s="16"/>
      <c r="I821" s="15"/>
      <c r="J821" s="15" t="str">
        <f>TEXT(A821,"yyyy-mm")</f>
        <v>yyyy-01</v>
      </c>
      <c r="K821" s="16">
        <f>K820 + IF(C821="Entrada", G821, -G821)</f>
        <v>-5277.5099999999984</v>
      </c>
    </row>
    <row r="822" spans="1:11" ht="15.75" customHeight="1" x14ac:dyDescent="0.25">
      <c r="A822" s="14"/>
      <c r="C822" s="15"/>
      <c r="D822" s="15"/>
      <c r="E822" s="15"/>
      <c r="F822" s="15"/>
      <c r="G822" s="16"/>
      <c r="H822" s="16"/>
      <c r="I822" s="15"/>
      <c r="J822" s="15" t="str">
        <f>TEXT(A822,"yyyy-mm")</f>
        <v>yyyy-01</v>
      </c>
      <c r="K822" s="16">
        <f>K821 + IF(C822="Entrada", G822, -G822)</f>
        <v>-5277.5099999999984</v>
      </c>
    </row>
    <row r="823" spans="1:11" ht="15.75" customHeight="1" x14ac:dyDescent="0.25">
      <c r="A823" s="14"/>
      <c r="C823" s="15"/>
      <c r="D823" s="15"/>
      <c r="E823" s="15"/>
      <c r="F823" s="15"/>
      <c r="G823" s="16"/>
      <c r="H823" s="16"/>
      <c r="I823" s="15"/>
      <c r="J823" s="15" t="str">
        <f>TEXT(A823,"yyyy-mm")</f>
        <v>yyyy-01</v>
      </c>
      <c r="K823" s="16">
        <f>K822 + IF(C823="Entrada", G823, -G823)</f>
        <v>-5277.5099999999984</v>
      </c>
    </row>
    <row r="824" spans="1:11" ht="15.75" customHeight="1" x14ac:dyDescent="0.25">
      <c r="A824" s="14"/>
      <c r="C824" s="15"/>
      <c r="D824" s="15"/>
      <c r="E824" s="15"/>
      <c r="F824" s="15"/>
      <c r="G824" s="16"/>
      <c r="H824" s="16"/>
      <c r="I824" s="15"/>
      <c r="J824" s="15" t="str">
        <f>TEXT(A824,"yyyy-mm")</f>
        <v>yyyy-01</v>
      </c>
      <c r="K824" s="16">
        <f>K823 + IF(C824="Entrada", G824, -G824)</f>
        <v>-5277.5099999999984</v>
      </c>
    </row>
    <row r="825" spans="1:11" ht="15.75" customHeight="1" x14ac:dyDescent="0.25">
      <c r="A825" s="14"/>
      <c r="C825" s="15"/>
      <c r="D825" s="15"/>
      <c r="E825" s="15"/>
      <c r="F825" s="15"/>
      <c r="G825" s="16"/>
      <c r="H825" s="16"/>
      <c r="I825" s="15"/>
      <c r="J825" s="15" t="str">
        <f>TEXT(A825,"yyyy-mm")</f>
        <v>yyyy-01</v>
      </c>
      <c r="K825" s="16">
        <f>K824 + IF(C825="Entrada", G825, -G825)</f>
        <v>-5277.5099999999984</v>
      </c>
    </row>
    <row r="826" spans="1:11" ht="15.75" customHeight="1" x14ac:dyDescent="0.25">
      <c r="A826" s="14"/>
      <c r="C826" s="15"/>
      <c r="D826" s="15"/>
      <c r="E826" s="15"/>
      <c r="F826" s="15"/>
      <c r="G826" s="16"/>
      <c r="H826" s="16"/>
      <c r="I826" s="15"/>
      <c r="J826" s="15" t="str">
        <f>TEXT(A826,"yyyy-mm")</f>
        <v>yyyy-01</v>
      </c>
      <c r="K826" s="16">
        <f>K825 + IF(C826="Entrada", G826, -G826)</f>
        <v>-5277.5099999999984</v>
      </c>
    </row>
    <row r="827" spans="1:11" ht="15.75" customHeight="1" x14ac:dyDescent="0.25">
      <c r="A827" s="14"/>
      <c r="C827" s="15"/>
      <c r="D827" s="15"/>
      <c r="E827" s="15"/>
      <c r="F827" s="15"/>
      <c r="G827" s="16"/>
      <c r="H827" s="16"/>
      <c r="I827" s="15"/>
      <c r="J827" s="15" t="str">
        <f>TEXT(A827,"yyyy-mm")</f>
        <v>yyyy-01</v>
      </c>
      <c r="K827" s="16">
        <f>K826 + IF(C827="Entrada", G827, -G827)</f>
        <v>-5277.5099999999984</v>
      </c>
    </row>
    <row r="828" spans="1:11" ht="15.75" customHeight="1" x14ac:dyDescent="0.25">
      <c r="A828" s="14"/>
      <c r="C828" s="15"/>
      <c r="D828" s="15"/>
      <c r="E828" s="15"/>
      <c r="F828" s="15"/>
      <c r="G828" s="16"/>
      <c r="H828" s="16"/>
      <c r="I828" s="15"/>
      <c r="J828" s="15" t="str">
        <f>TEXT(A828,"yyyy-mm")</f>
        <v>yyyy-01</v>
      </c>
      <c r="K828" s="16">
        <f>K827 + IF(C828="Entrada", G828, -G828)</f>
        <v>-5277.5099999999984</v>
      </c>
    </row>
    <row r="829" spans="1:11" ht="15.75" customHeight="1" x14ac:dyDescent="0.25">
      <c r="A829" s="14"/>
      <c r="C829" s="15"/>
      <c r="D829" s="15"/>
      <c r="E829" s="15"/>
      <c r="F829" s="15"/>
      <c r="G829" s="16"/>
      <c r="H829" s="16"/>
      <c r="I829" s="15"/>
      <c r="J829" s="15" t="str">
        <f>TEXT(A829,"yyyy-mm")</f>
        <v>yyyy-01</v>
      </c>
      <c r="K829" s="16">
        <f>K828 + IF(C829="Entrada", G829, -G829)</f>
        <v>-5277.5099999999984</v>
      </c>
    </row>
    <row r="830" spans="1:11" ht="15.75" customHeight="1" x14ac:dyDescent="0.25">
      <c r="A830" s="14"/>
      <c r="C830" s="15"/>
      <c r="D830" s="15"/>
      <c r="E830" s="15"/>
      <c r="F830" s="15"/>
      <c r="G830" s="16"/>
      <c r="H830" s="16"/>
      <c r="I830" s="15"/>
      <c r="J830" s="15" t="str">
        <f>TEXT(A830,"yyyy-mm")</f>
        <v>yyyy-01</v>
      </c>
      <c r="K830" s="16">
        <f>K829 + IF(C830="Entrada", G830, -G830)</f>
        <v>-5277.5099999999984</v>
      </c>
    </row>
    <row r="831" spans="1:11" ht="15.75" customHeight="1" x14ac:dyDescent="0.25">
      <c r="A831" s="14"/>
      <c r="C831" s="15"/>
      <c r="D831" s="15"/>
      <c r="E831" s="15"/>
      <c r="F831" s="15"/>
      <c r="G831" s="16"/>
      <c r="H831" s="16"/>
      <c r="I831" s="15"/>
      <c r="J831" s="15" t="str">
        <f>TEXT(A831,"yyyy-mm")</f>
        <v>yyyy-01</v>
      </c>
      <c r="K831" s="16">
        <f>K830 + IF(C831="Entrada", G831, -G831)</f>
        <v>-5277.5099999999984</v>
      </c>
    </row>
    <row r="832" spans="1:11" ht="15.75" customHeight="1" x14ac:dyDescent="0.25">
      <c r="A832" s="14"/>
      <c r="C832" s="15"/>
      <c r="D832" s="15"/>
      <c r="E832" s="15"/>
      <c r="F832" s="15"/>
      <c r="G832" s="16"/>
      <c r="H832" s="16"/>
      <c r="I832" s="15"/>
      <c r="J832" s="15" t="str">
        <f>TEXT(A832,"yyyy-mm")</f>
        <v>yyyy-01</v>
      </c>
      <c r="K832" s="16">
        <f>K831 + IF(C832="Entrada", G832, -G832)</f>
        <v>-5277.5099999999984</v>
      </c>
    </row>
    <row r="833" spans="1:11" ht="15.75" customHeight="1" x14ac:dyDescent="0.25">
      <c r="A833" s="14"/>
      <c r="C833" s="15"/>
      <c r="D833" s="15"/>
      <c r="E833" s="15"/>
      <c r="F833" s="15"/>
      <c r="G833" s="16"/>
      <c r="H833" s="16"/>
      <c r="I833" s="15"/>
      <c r="J833" s="15" t="str">
        <f>TEXT(A833,"yyyy-mm")</f>
        <v>yyyy-01</v>
      </c>
      <c r="K833" s="16">
        <f>K832 + IF(C833="Entrada", G833, -G833)</f>
        <v>-5277.5099999999984</v>
      </c>
    </row>
    <row r="834" spans="1:11" ht="15.75" customHeight="1" x14ac:dyDescent="0.25">
      <c r="A834" s="14"/>
      <c r="C834" s="15"/>
      <c r="D834" s="15"/>
      <c r="E834" s="15"/>
      <c r="F834" s="15"/>
      <c r="G834" s="16"/>
      <c r="H834" s="16"/>
      <c r="I834" s="15"/>
      <c r="J834" s="15" t="str">
        <f>TEXT(A834,"yyyy-mm")</f>
        <v>yyyy-01</v>
      </c>
      <c r="K834" s="16">
        <f>K833 + IF(C834="Entrada", G834, -G834)</f>
        <v>-5277.5099999999984</v>
      </c>
    </row>
    <row r="835" spans="1:11" ht="15.75" customHeight="1" x14ac:dyDescent="0.25">
      <c r="A835" s="14"/>
      <c r="C835" s="15"/>
      <c r="D835" s="15"/>
      <c r="E835" s="15"/>
      <c r="F835" s="15"/>
      <c r="G835" s="16"/>
      <c r="H835" s="16"/>
      <c r="I835" s="15"/>
      <c r="J835" s="15" t="str">
        <f>TEXT(A835,"yyyy-mm")</f>
        <v>yyyy-01</v>
      </c>
      <c r="K835" s="16">
        <f>K834 + IF(C835="Entrada", G835, -G835)</f>
        <v>-5277.5099999999984</v>
      </c>
    </row>
    <row r="836" spans="1:11" ht="15.75" customHeight="1" x14ac:dyDescent="0.25">
      <c r="A836" s="14"/>
      <c r="C836" s="15"/>
      <c r="D836" s="15"/>
      <c r="E836" s="15"/>
      <c r="F836" s="15"/>
      <c r="G836" s="16"/>
      <c r="H836" s="16"/>
      <c r="I836" s="15"/>
      <c r="J836" s="15" t="str">
        <f>TEXT(A836,"yyyy-mm")</f>
        <v>yyyy-01</v>
      </c>
      <c r="K836" s="16">
        <f>K835 + IF(C836="Entrada", G836, -G836)</f>
        <v>-5277.5099999999984</v>
      </c>
    </row>
    <row r="837" spans="1:11" ht="15.75" customHeight="1" x14ac:dyDescent="0.25">
      <c r="A837" s="14"/>
      <c r="C837" s="15"/>
      <c r="D837" s="15"/>
      <c r="E837" s="15"/>
      <c r="F837" s="15"/>
      <c r="G837" s="16"/>
      <c r="H837" s="16"/>
      <c r="I837" s="15"/>
      <c r="J837" s="15" t="str">
        <f>TEXT(A837,"yyyy-mm")</f>
        <v>yyyy-01</v>
      </c>
      <c r="K837" s="16">
        <f>K836 + IF(C837="Entrada", G837, -G837)</f>
        <v>-5277.5099999999984</v>
      </c>
    </row>
    <row r="838" spans="1:11" ht="15.75" customHeight="1" x14ac:dyDescent="0.25">
      <c r="A838" s="14"/>
      <c r="C838" s="15"/>
      <c r="D838" s="15"/>
      <c r="E838" s="15"/>
      <c r="F838" s="15"/>
      <c r="G838" s="16"/>
      <c r="H838" s="16"/>
      <c r="I838" s="15"/>
      <c r="J838" s="15" t="str">
        <f>TEXT(A838,"yyyy-mm")</f>
        <v>yyyy-01</v>
      </c>
      <c r="K838" s="16">
        <f>K837 + IF(C838="Entrada", G838, -G838)</f>
        <v>-5277.5099999999984</v>
      </c>
    </row>
    <row r="839" spans="1:11" ht="15.75" customHeight="1" x14ac:dyDescent="0.25">
      <c r="A839" s="14"/>
      <c r="C839" s="15"/>
      <c r="D839" s="15"/>
      <c r="E839" s="15"/>
      <c r="F839" s="15"/>
      <c r="G839" s="16"/>
      <c r="H839" s="16"/>
      <c r="I839" s="15"/>
      <c r="J839" s="15" t="str">
        <f>TEXT(A839,"yyyy-mm")</f>
        <v>yyyy-01</v>
      </c>
      <c r="K839" s="16">
        <f>K838 + IF(C839="Entrada", G839, -G839)</f>
        <v>-5277.5099999999984</v>
      </c>
    </row>
    <row r="840" spans="1:11" ht="15.75" customHeight="1" x14ac:dyDescent="0.25">
      <c r="A840" s="14"/>
      <c r="C840" s="15"/>
      <c r="D840" s="15"/>
      <c r="E840" s="15"/>
      <c r="F840" s="15"/>
      <c r="G840" s="16"/>
      <c r="H840" s="16"/>
      <c r="I840" s="15"/>
      <c r="J840" s="15" t="str">
        <f>TEXT(A840,"yyyy-mm")</f>
        <v>yyyy-01</v>
      </c>
      <c r="K840" s="16">
        <f>K839 + IF(C840="Entrada", G840, -G840)</f>
        <v>-5277.5099999999984</v>
      </c>
    </row>
    <row r="841" spans="1:11" ht="15.75" customHeight="1" x14ac:dyDescent="0.25">
      <c r="A841" s="14"/>
      <c r="C841" s="15"/>
      <c r="D841" s="15"/>
      <c r="E841" s="15"/>
      <c r="F841" s="15"/>
      <c r="G841" s="16"/>
      <c r="H841" s="16"/>
      <c r="I841" s="15"/>
      <c r="J841" s="15" t="str">
        <f>TEXT(A841,"yyyy-mm")</f>
        <v>yyyy-01</v>
      </c>
      <c r="K841" s="16">
        <f>K840 + IF(C841="Entrada", G841, -G841)</f>
        <v>-5277.5099999999984</v>
      </c>
    </row>
    <row r="842" spans="1:11" ht="15.75" customHeight="1" x14ac:dyDescent="0.25">
      <c r="A842" s="14"/>
      <c r="C842" s="15"/>
      <c r="D842" s="15"/>
      <c r="E842" s="15"/>
      <c r="F842" s="15"/>
      <c r="G842" s="16"/>
      <c r="H842" s="16"/>
      <c r="I842" s="15"/>
      <c r="J842" s="15" t="str">
        <f>TEXT(A842,"yyyy-mm")</f>
        <v>yyyy-01</v>
      </c>
      <c r="K842" s="16">
        <f>K841 + IF(C842="Entrada", G842, -G842)</f>
        <v>-5277.5099999999984</v>
      </c>
    </row>
    <row r="843" spans="1:11" ht="15.75" customHeight="1" x14ac:dyDescent="0.25">
      <c r="A843" s="14"/>
      <c r="C843" s="15"/>
      <c r="D843" s="15"/>
      <c r="E843" s="15"/>
      <c r="F843" s="15"/>
      <c r="G843" s="16"/>
      <c r="H843" s="16"/>
      <c r="I843" s="15"/>
      <c r="J843" s="15" t="str">
        <f>TEXT(A843,"yyyy-mm")</f>
        <v>yyyy-01</v>
      </c>
      <c r="K843" s="16">
        <f>K842 + IF(C843="Entrada", G843, -G843)</f>
        <v>-5277.5099999999984</v>
      </c>
    </row>
    <row r="844" spans="1:11" ht="15.75" customHeight="1" x14ac:dyDescent="0.25">
      <c r="A844" s="14"/>
      <c r="C844" s="15"/>
      <c r="D844" s="15"/>
      <c r="E844" s="15"/>
      <c r="F844" s="15"/>
      <c r="G844" s="16"/>
      <c r="H844" s="16"/>
      <c r="I844" s="15"/>
      <c r="J844" s="15" t="str">
        <f>TEXT(A844,"yyyy-mm")</f>
        <v>yyyy-01</v>
      </c>
      <c r="K844" s="16">
        <f>K843 + IF(C844="Entrada", G844, -G844)</f>
        <v>-5277.5099999999984</v>
      </c>
    </row>
    <row r="845" spans="1:11" ht="15.75" customHeight="1" x14ac:dyDescent="0.25">
      <c r="A845" s="14"/>
      <c r="C845" s="15"/>
      <c r="D845" s="15"/>
      <c r="E845" s="15"/>
      <c r="F845" s="15"/>
      <c r="G845" s="16"/>
      <c r="H845" s="16"/>
      <c r="I845" s="15"/>
      <c r="J845" s="15" t="str">
        <f>TEXT(A845,"yyyy-mm")</f>
        <v>yyyy-01</v>
      </c>
      <c r="K845" s="16">
        <f>K844 + IF(C845="Entrada", G845, -G845)</f>
        <v>-5277.5099999999984</v>
      </c>
    </row>
    <row r="846" spans="1:11" ht="15.75" customHeight="1" x14ac:dyDescent="0.25">
      <c r="A846" s="14"/>
      <c r="C846" s="15"/>
      <c r="D846" s="15"/>
      <c r="E846" s="15"/>
      <c r="F846" s="15"/>
      <c r="G846" s="16"/>
      <c r="H846" s="16"/>
      <c r="I846" s="15"/>
      <c r="J846" s="15" t="str">
        <f>TEXT(A846,"yyyy-mm")</f>
        <v>yyyy-01</v>
      </c>
      <c r="K846" s="16">
        <f>K845 + IF(C846="Entrada", G846, -G846)</f>
        <v>-5277.5099999999984</v>
      </c>
    </row>
    <row r="847" spans="1:11" ht="15.75" customHeight="1" x14ac:dyDescent="0.25">
      <c r="A847" s="14"/>
      <c r="C847" s="15"/>
      <c r="D847" s="15"/>
      <c r="E847" s="15"/>
      <c r="F847" s="15"/>
      <c r="G847" s="16"/>
      <c r="H847" s="16"/>
      <c r="I847" s="15"/>
      <c r="J847" s="15" t="str">
        <f>TEXT(A847,"yyyy-mm")</f>
        <v>yyyy-01</v>
      </c>
      <c r="K847" s="16">
        <f>K846 + IF(C847="Entrada", G847, -G847)</f>
        <v>-5277.5099999999984</v>
      </c>
    </row>
    <row r="848" spans="1:11" ht="15.75" customHeight="1" x14ac:dyDescent="0.25">
      <c r="A848" s="14"/>
      <c r="C848" s="15"/>
      <c r="D848" s="15"/>
      <c r="E848" s="15"/>
      <c r="F848" s="15"/>
      <c r="G848" s="16"/>
      <c r="H848" s="16"/>
      <c r="I848" s="15"/>
      <c r="J848" s="15" t="str">
        <f>TEXT(A848,"yyyy-mm")</f>
        <v>yyyy-01</v>
      </c>
      <c r="K848" s="16">
        <f>K847 + IF(C848="Entrada", G848, -G848)</f>
        <v>-5277.5099999999984</v>
      </c>
    </row>
    <row r="849" spans="1:11" ht="15.75" customHeight="1" x14ac:dyDescent="0.25">
      <c r="A849" s="14"/>
      <c r="C849" s="15"/>
      <c r="D849" s="15"/>
      <c r="E849" s="15"/>
      <c r="F849" s="15"/>
      <c r="G849" s="16"/>
      <c r="H849" s="16"/>
      <c r="I849" s="15"/>
      <c r="J849" s="15" t="str">
        <f>TEXT(A849,"yyyy-mm")</f>
        <v>yyyy-01</v>
      </c>
      <c r="K849" s="16">
        <f>K848 + IF(C849="Entrada", G849, -G849)</f>
        <v>-5277.5099999999984</v>
      </c>
    </row>
    <row r="850" spans="1:11" ht="15.75" customHeight="1" x14ac:dyDescent="0.25">
      <c r="A850" s="14"/>
      <c r="C850" s="15"/>
      <c r="D850" s="15"/>
      <c r="E850" s="15"/>
      <c r="F850" s="15"/>
      <c r="G850" s="16"/>
      <c r="H850" s="16"/>
      <c r="I850" s="15"/>
      <c r="J850" s="15" t="str">
        <f>TEXT(A850,"yyyy-mm")</f>
        <v>yyyy-01</v>
      </c>
      <c r="K850" s="16">
        <f>K849 + IF(C850="Entrada", G850, -G850)</f>
        <v>-5277.5099999999984</v>
      </c>
    </row>
    <row r="851" spans="1:11" ht="15.75" customHeight="1" x14ac:dyDescent="0.25">
      <c r="A851" s="14"/>
      <c r="C851" s="15"/>
      <c r="D851" s="15"/>
      <c r="E851" s="15"/>
      <c r="F851" s="15"/>
      <c r="G851" s="16"/>
      <c r="H851" s="16"/>
      <c r="I851" s="15"/>
      <c r="J851" s="15" t="str">
        <f>TEXT(A851,"yyyy-mm")</f>
        <v>yyyy-01</v>
      </c>
      <c r="K851" s="16">
        <f>K850 + IF(C851="Entrada", G851, -G851)</f>
        <v>-5277.5099999999984</v>
      </c>
    </row>
    <row r="852" spans="1:11" ht="15.75" customHeight="1" x14ac:dyDescent="0.25">
      <c r="A852" s="14"/>
      <c r="C852" s="15"/>
      <c r="D852" s="15"/>
      <c r="E852" s="15"/>
      <c r="F852" s="15"/>
      <c r="G852" s="16"/>
      <c r="H852" s="16"/>
      <c r="I852" s="15"/>
      <c r="J852" s="15" t="str">
        <f>TEXT(A852,"yyyy-mm")</f>
        <v>yyyy-01</v>
      </c>
      <c r="K852" s="16">
        <f>K851 + IF(C852="Entrada", G852, -G852)</f>
        <v>-5277.5099999999984</v>
      </c>
    </row>
    <row r="853" spans="1:11" ht="15.75" customHeight="1" x14ac:dyDescent="0.25">
      <c r="A853" s="14"/>
      <c r="C853" s="15"/>
      <c r="D853" s="15"/>
      <c r="E853" s="15"/>
      <c r="F853" s="15"/>
      <c r="G853" s="16"/>
      <c r="H853" s="16"/>
      <c r="I853" s="15"/>
      <c r="J853" s="15" t="str">
        <f>TEXT(A853,"yyyy-mm")</f>
        <v>yyyy-01</v>
      </c>
      <c r="K853" s="16">
        <f>K852 + IF(C853="Entrada", G853, -G853)</f>
        <v>-5277.5099999999984</v>
      </c>
    </row>
    <row r="854" spans="1:11" ht="15.75" customHeight="1" x14ac:dyDescent="0.25">
      <c r="A854" s="14"/>
      <c r="C854" s="15"/>
      <c r="D854" s="15"/>
      <c r="E854" s="15"/>
      <c r="F854" s="15"/>
      <c r="G854" s="16"/>
      <c r="H854" s="16"/>
      <c r="I854" s="15"/>
      <c r="J854" s="15" t="str">
        <f>TEXT(A854,"yyyy-mm")</f>
        <v>yyyy-01</v>
      </c>
      <c r="K854" s="16">
        <f>K853 + IF(C854="Entrada", G854, -G854)</f>
        <v>-5277.5099999999984</v>
      </c>
    </row>
    <row r="855" spans="1:11" ht="15.75" customHeight="1" x14ac:dyDescent="0.25">
      <c r="A855" s="14"/>
      <c r="C855" s="15"/>
      <c r="D855" s="15"/>
      <c r="E855" s="15"/>
      <c r="F855" s="15"/>
      <c r="G855" s="16"/>
      <c r="H855" s="16"/>
      <c r="I855" s="15"/>
      <c r="J855" s="15" t="str">
        <f>TEXT(A855,"yyyy-mm")</f>
        <v>yyyy-01</v>
      </c>
      <c r="K855" s="16">
        <f>K854 + IF(C855="Entrada", G855, -G855)</f>
        <v>-5277.5099999999984</v>
      </c>
    </row>
    <row r="856" spans="1:11" ht="15.75" customHeight="1" x14ac:dyDescent="0.25">
      <c r="A856" s="14"/>
      <c r="C856" s="15"/>
      <c r="D856" s="15"/>
      <c r="E856" s="15"/>
      <c r="F856" s="15"/>
      <c r="G856" s="16"/>
      <c r="H856" s="16"/>
      <c r="I856" s="15"/>
      <c r="J856" s="15" t="str">
        <f>TEXT(A856,"yyyy-mm")</f>
        <v>yyyy-01</v>
      </c>
      <c r="K856" s="16">
        <f>K855 + IF(C856="Entrada", G856, -G856)</f>
        <v>-5277.5099999999984</v>
      </c>
    </row>
    <row r="857" spans="1:11" ht="15.75" customHeight="1" x14ac:dyDescent="0.25">
      <c r="A857" s="14"/>
      <c r="C857" s="15"/>
      <c r="D857" s="15"/>
      <c r="E857" s="15"/>
      <c r="F857" s="15"/>
      <c r="G857" s="16"/>
      <c r="H857" s="16"/>
      <c r="I857" s="15"/>
      <c r="J857" s="15" t="str">
        <f>TEXT(A857,"yyyy-mm")</f>
        <v>yyyy-01</v>
      </c>
      <c r="K857" s="16">
        <f>K856 + IF(C857="Entrada", G857, -G857)</f>
        <v>-5277.5099999999984</v>
      </c>
    </row>
    <row r="858" spans="1:11" ht="15.75" customHeight="1" x14ac:dyDescent="0.25">
      <c r="A858" s="14"/>
      <c r="C858" s="15"/>
      <c r="D858" s="15"/>
      <c r="E858" s="15"/>
      <c r="F858" s="15"/>
      <c r="G858" s="16"/>
      <c r="H858" s="16"/>
      <c r="I858" s="15"/>
      <c r="J858" s="15" t="str">
        <f>TEXT(A858,"yyyy-mm")</f>
        <v>yyyy-01</v>
      </c>
      <c r="K858" s="16">
        <f>K857 + IF(C858="Entrada", G858, -G858)</f>
        <v>-5277.5099999999984</v>
      </c>
    </row>
    <row r="859" spans="1:11" ht="15.75" customHeight="1" x14ac:dyDescent="0.25">
      <c r="A859" s="14"/>
      <c r="C859" s="15"/>
      <c r="D859" s="15"/>
      <c r="E859" s="15"/>
      <c r="F859" s="15"/>
      <c r="G859" s="16"/>
      <c r="H859" s="16"/>
      <c r="I859" s="15"/>
      <c r="J859" s="15" t="str">
        <f>TEXT(A859,"yyyy-mm")</f>
        <v>yyyy-01</v>
      </c>
      <c r="K859" s="16">
        <f>K858 + IF(C859="Entrada", G859, -G859)</f>
        <v>-5277.5099999999984</v>
      </c>
    </row>
    <row r="860" spans="1:11" ht="15.75" customHeight="1" x14ac:dyDescent="0.25">
      <c r="A860" s="14"/>
      <c r="C860" s="15"/>
      <c r="D860" s="15"/>
      <c r="E860" s="15"/>
      <c r="F860" s="15"/>
      <c r="G860" s="16"/>
      <c r="H860" s="16"/>
      <c r="I860" s="15"/>
      <c r="J860" s="15" t="str">
        <f>TEXT(A860,"yyyy-mm")</f>
        <v>yyyy-01</v>
      </c>
      <c r="K860" s="16">
        <f>K859 + IF(C860="Entrada", G860, -G860)</f>
        <v>-5277.5099999999984</v>
      </c>
    </row>
    <row r="861" spans="1:11" ht="15.75" customHeight="1" x14ac:dyDescent="0.25">
      <c r="A861" s="14"/>
      <c r="C861" s="15"/>
      <c r="D861" s="15"/>
      <c r="E861" s="15"/>
      <c r="F861" s="15"/>
      <c r="G861" s="16"/>
      <c r="H861" s="16"/>
      <c r="I861" s="15"/>
      <c r="J861" s="15" t="str">
        <f>TEXT(A861,"yyyy-mm")</f>
        <v>yyyy-01</v>
      </c>
      <c r="K861" s="16">
        <f>K860 + IF(C861="Entrada", G861, -G861)</f>
        <v>-5277.5099999999984</v>
      </c>
    </row>
    <row r="862" spans="1:11" ht="15.75" customHeight="1" x14ac:dyDescent="0.25">
      <c r="A862" s="14"/>
      <c r="C862" s="15"/>
      <c r="D862" s="15"/>
      <c r="E862" s="15"/>
      <c r="F862" s="15"/>
      <c r="G862" s="16"/>
      <c r="H862" s="16"/>
      <c r="I862" s="15"/>
      <c r="J862" s="15" t="str">
        <f>TEXT(A862,"yyyy-mm")</f>
        <v>yyyy-01</v>
      </c>
      <c r="K862" s="16">
        <f>K861 + IF(C862="Entrada", G862, -G862)</f>
        <v>-5277.5099999999984</v>
      </c>
    </row>
    <row r="863" spans="1:11" ht="15.75" customHeight="1" x14ac:dyDescent="0.25">
      <c r="A863" s="14"/>
      <c r="C863" s="15"/>
      <c r="D863" s="15"/>
      <c r="E863" s="15"/>
      <c r="F863" s="15"/>
      <c r="G863" s="16"/>
      <c r="H863" s="16"/>
      <c r="I863" s="15"/>
      <c r="J863" s="15" t="str">
        <f>TEXT(A863,"yyyy-mm")</f>
        <v>yyyy-01</v>
      </c>
      <c r="K863" s="16">
        <f>K862 + IF(C863="Entrada", G863, -G863)</f>
        <v>-5277.5099999999984</v>
      </c>
    </row>
    <row r="864" spans="1:11" ht="15.75" customHeight="1" x14ac:dyDescent="0.25">
      <c r="A864" s="14"/>
      <c r="C864" s="15"/>
      <c r="D864" s="15"/>
      <c r="E864" s="15"/>
      <c r="F864" s="15"/>
      <c r="G864" s="16"/>
      <c r="H864" s="16"/>
      <c r="I864" s="15"/>
      <c r="J864" s="15" t="str">
        <f>TEXT(A864,"yyyy-mm")</f>
        <v>yyyy-01</v>
      </c>
      <c r="K864" s="16">
        <f>K863 + IF(C864="Entrada", G864, -G864)</f>
        <v>-5277.5099999999984</v>
      </c>
    </row>
    <row r="865" spans="1:11" ht="15.75" customHeight="1" x14ac:dyDescent="0.25">
      <c r="A865" s="14"/>
      <c r="C865" s="15"/>
      <c r="D865" s="15"/>
      <c r="E865" s="15"/>
      <c r="F865" s="15"/>
      <c r="G865" s="16"/>
      <c r="H865" s="16"/>
      <c r="I865" s="15"/>
      <c r="J865" s="15" t="str">
        <f>TEXT(A865,"yyyy-mm")</f>
        <v>yyyy-01</v>
      </c>
      <c r="K865" s="16">
        <f>K864 + IF(C865="Entrada", G865, -G865)</f>
        <v>-5277.5099999999984</v>
      </c>
    </row>
    <row r="866" spans="1:11" ht="15.75" customHeight="1" x14ac:dyDescent="0.25">
      <c r="A866" s="14"/>
      <c r="C866" s="15"/>
      <c r="D866" s="15"/>
      <c r="E866" s="15"/>
      <c r="F866" s="15"/>
      <c r="G866" s="16"/>
      <c r="H866" s="16"/>
      <c r="I866" s="15"/>
      <c r="J866" s="15" t="str">
        <f>TEXT(A866,"yyyy-mm")</f>
        <v>yyyy-01</v>
      </c>
      <c r="K866" s="16">
        <f>K865 + IF(C866="Entrada", G866, -G866)</f>
        <v>-5277.5099999999984</v>
      </c>
    </row>
    <row r="867" spans="1:11" ht="15.75" customHeight="1" x14ac:dyDescent="0.25">
      <c r="A867" s="14"/>
      <c r="C867" s="15"/>
      <c r="D867" s="15"/>
      <c r="E867" s="15"/>
      <c r="F867" s="15"/>
      <c r="G867" s="16"/>
      <c r="H867" s="16"/>
      <c r="I867" s="15"/>
      <c r="J867" s="15" t="str">
        <f>TEXT(A867,"yyyy-mm")</f>
        <v>yyyy-01</v>
      </c>
      <c r="K867" s="16">
        <f>K866 + IF(C867="Entrada", G867, -G867)</f>
        <v>-5277.5099999999984</v>
      </c>
    </row>
    <row r="868" spans="1:11" ht="15.75" customHeight="1" x14ac:dyDescent="0.25">
      <c r="A868" s="14"/>
      <c r="C868" s="15"/>
      <c r="D868" s="15"/>
      <c r="E868" s="15"/>
      <c r="F868" s="15"/>
      <c r="G868" s="16"/>
      <c r="H868" s="16"/>
      <c r="I868" s="15"/>
      <c r="J868" s="15" t="str">
        <f>TEXT(A868,"yyyy-mm")</f>
        <v>yyyy-01</v>
      </c>
      <c r="K868" s="16">
        <f>K867 + IF(C868="Entrada", G868, -G868)</f>
        <v>-5277.5099999999984</v>
      </c>
    </row>
    <row r="869" spans="1:11" ht="15.75" customHeight="1" x14ac:dyDescent="0.25">
      <c r="A869" s="14"/>
      <c r="C869" s="15"/>
      <c r="D869" s="15"/>
      <c r="E869" s="15"/>
      <c r="F869" s="15"/>
      <c r="G869" s="16"/>
      <c r="H869" s="16"/>
      <c r="I869" s="15"/>
      <c r="J869" s="15" t="str">
        <f>TEXT(A869,"yyyy-mm")</f>
        <v>yyyy-01</v>
      </c>
      <c r="K869" s="16">
        <f>K868 + IF(C869="Entrada", G869, -G869)</f>
        <v>-5277.5099999999984</v>
      </c>
    </row>
    <row r="870" spans="1:11" ht="15.75" customHeight="1" x14ac:dyDescent="0.25">
      <c r="A870" s="14"/>
      <c r="C870" s="15"/>
      <c r="D870" s="15"/>
      <c r="E870" s="15"/>
      <c r="F870" s="15"/>
      <c r="G870" s="16"/>
      <c r="H870" s="16"/>
      <c r="I870" s="15"/>
      <c r="J870" s="15" t="str">
        <f>TEXT(A870,"yyyy-mm")</f>
        <v>yyyy-01</v>
      </c>
      <c r="K870" s="16">
        <f>K869 + IF(C870="Entrada", G870, -G870)</f>
        <v>-5277.5099999999984</v>
      </c>
    </row>
    <row r="871" spans="1:11" ht="15.75" customHeight="1" x14ac:dyDescent="0.25">
      <c r="A871" s="14"/>
      <c r="C871" s="15"/>
      <c r="D871" s="15"/>
      <c r="E871" s="15"/>
      <c r="F871" s="15"/>
      <c r="G871" s="16"/>
      <c r="H871" s="16"/>
      <c r="I871" s="15"/>
      <c r="J871" s="15" t="str">
        <f>TEXT(A871,"yyyy-mm")</f>
        <v>yyyy-01</v>
      </c>
      <c r="K871" s="16">
        <f>K870 + IF(C871="Entrada", G871, -G871)</f>
        <v>-5277.5099999999984</v>
      </c>
    </row>
    <row r="872" spans="1:11" ht="15.75" customHeight="1" x14ac:dyDescent="0.25">
      <c r="A872" s="14"/>
      <c r="C872" s="15"/>
      <c r="D872" s="15"/>
      <c r="E872" s="15"/>
      <c r="F872" s="15"/>
      <c r="G872" s="16"/>
      <c r="H872" s="16"/>
      <c r="I872" s="15"/>
      <c r="J872" s="15" t="str">
        <f>TEXT(A872,"yyyy-mm")</f>
        <v>yyyy-01</v>
      </c>
      <c r="K872" s="16">
        <f>K871 + IF(C872="Entrada", G872, -G872)</f>
        <v>-5277.5099999999984</v>
      </c>
    </row>
    <row r="873" spans="1:11" ht="15.75" customHeight="1" x14ac:dyDescent="0.25">
      <c r="A873" s="14"/>
      <c r="C873" s="15"/>
      <c r="D873" s="15"/>
      <c r="E873" s="15"/>
      <c r="F873" s="15"/>
      <c r="G873" s="16"/>
      <c r="H873" s="16"/>
      <c r="I873" s="15"/>
      <c r="J873" s="15" t="str">
        <f>TEXT(A873,"yyyy-mm")</f>
        <v>yyyy-01</v>
      </c>
      <c r="K873" s="16">
        <f>K872 + IF(C873="Entrada", G873, -G873)</f>
        <v>-5277.5099999999984</v>
      </c>
    </row>
    <row r="874" spans="1:11" ht="15.75" customHeight="1" x14ac:dyDescent="0.25">
      <c r="A874" s="14"/>
      <c r="C874" s="15"/>
      <c r="D874" s="15"/>
      <c r="E874" s="15"/>
      <c r="F874" s="15"/>
      <c r="G874" s="16"/>
      <c r="H874" s="16"/>
      <c r="I874" s="15"/>
      <c r="J874" s="15" t="str">
        <f>TEXT(A874,"yyyy-mm")</f>
        <v>yyyy-01</v>
      </c>
      <c r="K874" s="16">
        <f>K873 + IF(C874="Entrada", G874, -G874)</f>
        <v>-5277.5099999999984</v>
      </c>
    </row>
    <row r="875" spans="1:11" ht="15.75" customHeight="1" x14ac:dyDescent="0.25">
      <c r="A875" s="14"/>
      <c r="C875" s="15"/>
      <c r="D875" s="15"/>
      <c r="E875" s="15"/>
      <c r="F875" s="15"/>
      <c r="G875" s="16"/>
      <c r="H875" s="16"/>
      <c r="I875" s="15"/>
      <c r="J875" s="15" t="str">
        <f>TEXT(A875,"yyyy-mm")</f>
        <v>yyyy-01</v>
      </c>
      <c r="K875" s="16">
        <f>K874 + IF(C875="Entrada", G875, -G875)</f>
        <v>-5277.5099999999984</v>
      </c>
    </row>
    <row r="876" spans="1:11" ht="15.75" customHeight="1" x14ac:dyDescent="0.25">
      <c r="A876" s="14"/>
      <c r="C876" s="15"/>
      <c r="D876" s="15"/>
      <c r="E876" s="15"/>
      <c r="F876" s="15"/>
      <c r="G876" s="16"/>
      <c r="H876" s="16"/>
      <c r="I876" s="15"/>
      <c r="J876" s="15" t="str">
        <f>TEXT(A876,"yyyy-mm")</f>
        <v>yyyy-01</v>
      </c>
      <c r="K876" s="16">
        <f>K875 + IF(C876="Entrada", G876, -G876)</f>
        <v>-5277.5099999999984</v>
      </c>
    </row>
    <row r="877" spans="1:11" ht="15.75" customHeight="1" x14ac:dyDescent="0.25">
      <c r="A877" s="14"/>
      <c r="C877" s="15"/>
      <c r="D877" s="15"/>
      <c r="E877" s="15"/>
      <c r="F877" s="15"/>
      <c r="G877" s="16"/>
      <c r="H877" s="16"/>
      <c r="I877" s="15"/>
      <c r="J877" s="15" t="str">
        <f>TEXT(A877,"yyyy-mm")</f>
        <v>yyyy-01</v>
      </c>
      <c r="K877" s="16">
        <f>K876 + IF(C877="Entrada", G877, -G877)</f>
        <v>-5277.5099999999984</v>
      </c>
    </row>
    <row r="878" spans="1:11" ht="15.75" customHeight="1" x14ac:dyDescent="0.25">
      <c r="A878" s="14"/>
      <c r="C878" s="15"/>
      <c r="D878" s="15"/>
      <c r="E878" s="15"/>
      <c r="F878" s="15"/>
      <c r="G878" s="16"/>
      <c r="H878" s="16"/>
      <c r="I878" s="15"/>
      <c r="J878" s="15" t="str">
        <f>TEXT(A878,"yyyy-mm")</f>
        <v>yyyy-01</v>
      </c>
      <c r="K878" s="16">
        <f>K877 + IF(C878="Entrada", G878, -G878)</f>
        <v>-5277.5099999999984</v>
      </c>
    </row>
    <row r="879" spans="1:11" ht="15.75" customHeight="1" x14ac:dyDescent="0.25">
      <c r="A879" s="14"/>
      <c r="C879" s="15"/>
      <c r="D879" s="15"/>
      <c r="E879" s="15"/>
      <c r="F879" s="15"/>
      <c r="G879" s="16"/>
      <c r="H879" s="16"/>
      <c r="I879" s="15"/>
      <c r="J879" s="15" t="str">
        <f>TEXT(A879,"yyyy-mm")</f>
        <v>yyyy-01</v>
      </c>
      <c r="K879" s="16">
        <f>K878 + IF(C879="Entrada", G879, -G879)</f>
        <v>-5277.5099999999984</v>
      </c>
    </row>
    <row r="880" spans="1:11" ht="15.75" customHeight="1" x14ac:dyDescent="0.25">
      <c r="A880" s="14"/>
      <c r="C880" s="15"/>
      <c r="D880" s="15"/>
      <c r="E880" s="15"/>
      <c r="F880" s="15"/>
      <c r="G880" s="16"/>
      <c r="H880" s="16"/>
      <c r="I880" s="15"/>
      <c r="J880" s="15" t="str">
        <f>TEXT(A880,"yyyy-mm")</f>
        <v>yyyy-01</v>
      </c>
      <c r="K880" s="16">
        <f>K879 + IF(C880="Entrada", G880, -G880)</f>
        <v>-5277.5099999999984</v>
      </c>
    </row>
    <row r="881" spans="1:11" ht="15.75" customHeight="1" x14ac:dyDescent="0.25">
      <c r="A881" s="14"/>
      <c r="C881" s="15"/>
      <c r="D881" s="15"/>
      <c r="E881" s="15"/>
      <c r="F881" s="15"/>
      <c r="G881" s="16"/>
      <c r="H881" s="16"/>
      <c r="I881" s="15"/>
      <c r="J881" s="15" t="str">
        <f>TEXT(A881,"yyyy-mm")</f>
        <v>yyyy-01</v>
      </c>
      <c r="K881" s="16">
        <f>K880 + IF(C881="Entrada", G881, -G881)</f>
        <v>-5277.5099999999984</v>
      </c>
    </row>
    <row r="882" spans="1:11" ht="15.75" customHeight="1" x14ac:dyDescent="0.25">
      <c r="A882" s="14"/>
      <c r="C882" s="15"/>
      <c r="D882" s="15"/>
      <c r="E882" s="15"/>
      <c r="F882" s="15"/>
      <c r="G882" s="16"/>
      <c r="H882" s="16"/>
      <c r="I882" s="15"/>
      <c r="J882" s="15" t="str">
        <f>TEXT(A882,"yyyy-mm")</f>
        <v>yyyy-01</v>
      </c>
      <c r="K882" s="16">
        <f>K881 + IF(C882="Entrada", G882, -G882)</f>
        <v>-5277.5099999999984</v>
      </c>
    </row>
    <row r="883" spans="1:11" ht="15.75" customHeight="1" x14ac:dyDescent="0.25">
      <c r="A883" s="14"/>
      <c r="C883" s="15"/>
      <c r="D883" s="15"/>
      <c r="E883" s="15"/>
      <c r="F883" s="15"/>
      <c r="G883" s="16"/>
      <c r="H883" s="16"/>
      <c r="I883" s="15"/>
      <c r="J883" s="15" t="str">
        <f>TEXT(A883,"yyyy-mm")</f>
        <v>yyyy-01</v>
      </c>
      <c r="K883" s="16">
        <f>K882 + IF(C883="Entrada", G883, -G883)</f>
        <v>-5277.5099999999984</v>
      </c>
    </row>
    <row r="884" spans="1:11" ht="15.75" customHeight="1" x14ac:dyDescent="0.25">
      <c r="A884" s="14"/>
      <c r="C884" s="15"/>
      <c r="D884" s="15"/>
      <c r="E884" s="15"/>
      <c r="F884" s="15"/>
      <c r="G884" s="16"/>
      <c r="H884" s="16"/>
      <c r="I884" s="15"/>
      <c r="J884" s="15" t="str">
        <f>TEXT(A884,"yyyy-mm")</f>
        <v>yyyy-01</v>
      </c>
      <c r="K884" s="16">
        <f>K883 + IF(C884="Entrada", G884, -G884)</f>
        <v>-5277.5099999999984</v>
      </c>
    </row>
    <row r="885" spans="1:11" ht="15.75" customHeight="1" x14ac:dyDescent="0.25">
      <c r="A885" s="14"/>
      <c r="C885" s="15"/>
      <c r="D885" s="15"/>
      <c r="E885" s="15"/>
      <c r="F885" s="15"/>
      <c r="G885" s="16"/>
      <c r="H885" s="16"/>
      <c r="I885" s="15"/>
      <c r="J885" s="15" t="str">
        <f>TEXT(A885,"yyyy-mm")</f>
        <v>yyyy-01</v>
      </c>
      <c r="K885" s="16">
        <f>K884 + IF(C885="Entrada", G885, -G885)</f>
        <v>-5277.5099999999984</v>
      </c>
    </row>
    <row r="886" spans="1:11" ht="15.75" customHeight="1" x14ac:dyDescent="0.25">
      <c r="A886" s="14"/>
      <c r="C886" s="15"/>
      <c r="D886" s="15"/>
      <c r="E886" s="15"/>
      <c r="F886" s="15"/>
      <c r="G886" s="16"/>
      <c r="H886" s="16"/>
      <c r="I886" s="15"/>
      <c r="J886" s="15" t="str">
        <f>TEXT(A886,"yyyy-mm")</f>
        <v>yyyy-01</v>
      </c>
      <c r="K886" s="16">
        <f>K885 + IF(C886="Entrada", G886, -G886)</f>
        <v>-5277.5099999999984</v>
      </c>
    </row>
    <row r="887" spans="1:11" ht="15.75" customHeight="1" x14ac:dyDescent="0.25">
      <c r="A887" s="14"/>
      <c r="C887" s="15"/>
      <c r="D887" s="15"/>
      <c r="E887" s="15"/>
      <c r="F887" s="15"/>
      <c r="G887" s="16"/>
      <c r="H887" s="16"/>
      <c r="I887" s="15"/>
      <c r="J887" s="15" t="str">
        <f>TEXT(A887,"yyyy-mm")</f>
        <v>yyyy-01</v>
      </c>
      <c r="K887" s="16">
        <f>K886 + IF(C887="Entrada", G887, -G887)</f>
        <v>-5277.5099999999984</v>
      </c>
    </row>
    <row r="888" spans="1:11" ht="15.75" customHeight="1" x14ac:dyDescent="0.25">
      <c r="A888" s="14"/>
      <c r="C888" s="15"/>
      <c r="D888" s="15"/>
      <c r="E888" s="15"/>
      <c r="F888" s="15"/>
      <c r="G888" s="16"/>
      <c r="H888" s="16"/>
      <c r="I888" s="15"/>
      <c r="J888" s="15" t="str">
        <f>TEXT(A888,"yyyy-mm")</f>
        <v>yyyy-01</v>
      </c>
      <c r="K888" s="16">
        <f>K887 + IF(C888="Entrada", G888, -G888)</f>
        <v>-5277.5099999999984</v>
      </c>
    </row>
    <row r="889" spans="1:11" ht="15.75" customHeight="1" x14ac:dyDescent="0.25">
      <c r="A889" s="14"/>
      <c r="C889" s="15"/>
      <c r="D889" s="15"/>
      <c r="E889" s="15"/>
      <c r="F889" s="15"/>
      <c r="G889" s="16"/>
      <c r="H889" s="16"/>
      <c r="I889" s="15"/>
      <c r="J889" s="15" t="str">
        <f>TEXT(A889,"yyyy-mm")</f>
        <v>yyyy-01</v>
      </c>
      <c r="K889" s="16">
        <f>K888 + IF(C889="Entrada", G889, -G889)</f>
        <v>-5277.5099999999984</v>
      </c>
    </row>
    <row r="890" spans="1:11" ht="15.75" customHeight="1" x14ac:dyDescent="0.25">
      <c r="A890" s="14"/>
      <c r="C890" s="15"/>
      <c r="D890" s="15"/>
      <c r="E890" s="15"/>
      <c r="F890" s="15"/>
      <c r="G890" s="16"/>
      <c r="H890" s="16"/>
      <c r="I890" s="15"/>
      <c r="J890" s="15" t="str">
        <f>TEXT(A890,"yyyy-mm")</f>
        <v>yyyy-01</v>
      </c>
      <c r="K890" s="16">
        <f>K889 + IF(C890="Entrada", G890, -G890)</f>
        <v>-5277.5099999999984</v>
      </c>
    </row>
    <row r="891" spans="1:11" ht="15.75" customHeight="1" x14ac:dyDescent="0.25">
      <c r="A891" s="14"/>
      <c r="C891" s="15"/>
      <c r="D891" s="15"/>
      <c r="E891" s="15"/>
      <c r="F891" s="15"/>
      <c r="G891" s="16"/>
      <c r="H891" s="16"/>
      <c r="I891" s="15"/>
      <c r="J891" s="15" t="str">
        <f>TEXT(A891,"yyyy-mm")</f>
        <v>yyyy-01</v>
      </c>
      <c r="K891" s="16">
        <f>K890 + IF(C891="Entrada", G891, -G891)</f>
        <v>-5277.5099999999984</v>
      </c>
    </row>
    <row r="892" spans="1:11" ht="15.75" customHeight="1" x14ac:dyDescent="0.25">
      <c r="A892" s="14"/>
      <c r="C892" s="15"/>
      <c r="D892" s="15"/>
      <c r="E892" s="15"/>
      <c r="F892" s="15"/>
      <c r="G892" s="16"/>
      <c r="H892" s="16"/>
      <c r="I892" s="15"/>
      <c r="J892" s="15" t="str">
        <f>TEXT(A892,"yyyy-mm")</f>
        <v>yyyy-01</v>
      </c>
      <c r="K892" s="16">
        <f>K891 + IF(C892="Entrada", G892, -G892)</f>
        <v>-5277.5099999999984</v>
      </c>
    </row>
    <row r="893" spans="1:11" ht="15.75" customHeight="1" x14ac:dyDescent="0.25">
      <c r="A893" s="14"/>
      <c r="C893" s="15"/>
      <c r="D893" s="15"/>
      <c r="E893" s="15"/>
      <c r="F893" s="15"/>
      <c r="G893" s="16"/>
      <c r="H893" s="16"/>
      <c r="I893" s="15"/>
      <c r="J893" s="15" t="str">
        <f>TEXT(A893,"yyyy-mm")</f>
        <v>yyyy-01</v>
      </c>
      <c r="K893" s="16">
        <f>K892 + IF(C893="Entrada", G893, -G893)</f>
        <v>-5277.5099999999984</v>
      </c>
    </row>
    <row r="894" spans="1:11" ht="15.75" customHeight="1" x14ac:dyDescent="0.25">
      <c r="A894" s="14"/>
      <c r="C894" s="15"/>
      <c r="D894" s="15"/>
      <c r="E894" s="15"/>
      <c r="F894" s="15"/>
      <c r="G894" s="16"/>
      <c r="H894" s="16"/>
      <c r="I894" s="15"/>
      <c r="J894" s="15" t="str">
        <f>TEXT(A894,"yyyy-mm")</f>
        <v>yyyy-01</v>
      </c>
      <c r="K894" s="16">
        <f>K893 + IF(C894="Entrada", G894, -G894)</f>
        <v>-5277.5099999999984</v>
      </c>
    </row>
    <row r="895" spans="1:11" ht="15.75" customHeight="1" x14ac:dyDescent="0.25">
      <c r="A895" s="14"/>
      <c r="C895" s="15"/>
      <c r="D895" s="15"/>
      <c r="E895" s="15"/>
      <c r="F895" s="15"/>
      <c r="G895" s="16"/>
      <c r="H895" s="16"/>
      <c r="I895" s="15"/>
      <c r="J895" s="15" t="str">
        <f>TEXT(A895,"yyyy-mm")</f>
        <v>yyyy-01</v>
      </c>
      <c r="K895" s="16">
        <f>K894 + IF(C895="Entrada", G895, -G895)</f>
        <v>-5277.5099999999984</v>
      </c>
    </row>
    <row r="896" spans="1:11" ht="15.75" customHeight="1" x14ac:dyDescent="0.25">
      <c r="A896" s="14"/>
      <c r="C896" s="15"/>
      <c r="D896" s="15"/>
      <c r="E896" s="15"/>
      <c r="F896" s="15"/>
      <c r="G896" s="16"/>
      <c r="H896" s="16"/>
      <c r="I896" s="15"/>
      <c r="J896" s="15" t="str">
        <f>TEXT(A896,"yyyy-mm")</f>
        <v>yyyy-01</v>
      </c>
      <c r="K896" s="16">
        <f>K895 + IF(C896="Entrada", G896, -G896)</f>
        <v>-5277.5099999999984</v>
      </c>
    </row>
    <row r="897" spans="1:11" ht="15.75" customHeight="1" x14ac:dyDescent="0.25">
      <c r="A897" s="14"/>
      <c r="C897" s="15"/>
      <c r="D897" s="15"/>
      <c r="E897" s="15"/>
      <c r="F897" s="15"/>
      <c r="G897" s="16"/>
      <c r="H897" s="16"/>
      <c r="I897" s="15"/>
      <c r="J897" s="15" t="str">
        <f>TEXT(A897,"yyyy-mm")</f>
        <v>yyyy-01</v>
      </c>
      <c r="K897" s="16">
        <f>K896 + IF(C897="Entrada", G897, -G897)</f>
        <v>-5277.5099999999984</v>
      </c>
    </row>
    <row r="898" spans="1:11" ht="15.75" customHeight="1" x14ac:dyDescent="0.25">
      <c r="A898" s="14"/>
      <c r="C898" s="15"/>
      <c r="D898" s="15"/>
      <c r="E898" s="15"/>
      <c r="F898" s="15"/>
      <c r="G898" s="16"/>
      <c r="H898" s="16"/>
      <c r="I898" s="15"/>
      <c r="J898" s="15" t="str">
        <f>TEXT(A898,"yyyy-mm")</f>
        <v>yyyy-01</v>
      </c>
      <c r="K898" s="16">
        <f>K897 + IF(C898="Entrada", G898, -G898)</f>
        <v>-5277.5099999999984</v>
      </c>
    </row>
    <row r="899" spans="1:11" ht="15.75" customHeight="1" x14ac:dyDescent="0.25">
      <c r="A899" s="14"/>
      <c r="C899" s="15"/>
      <c r="D899" s="15"/>
      <c r="E899" s="15"/>
      <c r="F899" s="15"/>
      <c r="G899" s="16"/>
      <c r="H899" s="16"/>
      <c r="I899" s="15"/>
      <c r="J899" s="15" t="str">
        <f>TEXT(A899,"yyyy-mm")</f>
        <v>yyyy-01</v>
      </c>
      <c r="K899" s="16">
        <f>K898 + IF(C899="Entrada", G899, -G899)</f>
        <v>-5277.5099999999984</v>
      </c>
    </row>
    <row r="900" spans="1:11" ht="15.75" customHeight="1" x14ac:dyDescent="0.25">
      <c r="A900" s="14"/>
      <c r="C900" s="15"/>
      <c r="D900" s="15"/>
      <c r="E900" s="15"/>
      <c r="F900" s="15"/>
      <c r="G900" s="16"/>
      <c r="H900" s="16"/>
      <c r="I900" s="15"/>
      <c r="J900" s="15" t="str">
        <f>TEXT(A900,"yyyy-mm")</f>
        <v>yyyy-01</v>
      </c>
      <c r="K900" s="16">
        <f>K899 + IF(C900="Entrada", G900, -G900)</f>
        <v>-5277.5099999999984</v>
      </c>
    </row>
    <row r="901" spans="1:11" ht="15.75" customHeight="1" x14ac:dyDescent="0.25">
      <c r="A901" s="14"/>
      <c r="C901" s="15"/>
      <c r="D901" s="15"/>
      <c r="E901" s="15"/>
      <c r="F901" s="15"/>
      <c r="G901" s="16"/>
      <c r="H901" s="16"/>
      <c r="I901" s="15"/>
      <c r="J901" s="15" t="str">
        <f>TEXT(A901,"yyyy-mm")</f>
        <v>yyyy-01</v>
      </c>
      <c r="K901" s="16">
        <f>K900 + IF(C901="Entrada", G901, -G901)</f>
        <v>-5277.5099999999984</v>
      </c>
    </row>
    <row r="902" spans="1:11" ht="15.75" customHeight="1" x14ac:dyDescent="0.25">
      <c r="A902" s="14"/>
      <c r="C902" s="15"/>
      <c r="D902" s="15"/>
      <c r="E902" s="15"/>
      <c r="F902" s="15"/>
      <c r="G902" s="16"/>
      <c r="H902" s="16"/>
      <c r="I902" s="15"/>
      <c r="J902" s="15" t="str">
        <f>TEXT(A902,"yyyy-mm")</f>
        <v>yyyy-01</v>
      </c>
      <c r="K902" s="16">
        <f>K901 + IF(C902="Entrada", G902, -G902)</f>
        <v>-5277.5099999999984</v>
      </c>
    </row>
    <row r="903" spans="1:11" ht="15.75" customHeight="1" x14ac:dyDescent="0.25">
      <c r="A903" s="14"/>
      <c r="C903" s="15"/>
      <c r="D903" s="15"/>
      <c r="E903" s="15"/>
      <c r="F903" s="15"/>
      <c r="G903" s="16"/>
      <c r="H903" s="16"/>
      <c r="I903" s="15"/>
      <c r="J903" s="15" t="str">
        <f>TEXT(A903,"yyyy-mm")</f>
        <v>yyyy-01</v>
      </c>
      <c r="K903" s="16">
        <f>K902 + IF(C903="Entrada", G903, -G903)</f>
        <v>-5277.5099999999984</v>
      </c>
    </row>
    <row r="904" spans="1:11" ht="15.75" customHeight="1" x14ac:dyDescent="0.25">
      <c r="A904" s="14"/>
      <c r="C904" s="15"/>
      <c r="D904" s="15"/>
      <c r="E904" s="15"/>
      <c r="F904" s="15"/>
      <c r="G904" s="16"/>
      <c r="H904" s="16"/>
      <c r="I904" s="15"/>
      <c r="J904" s="15" t="str">
        <f>TEXT(A904,"yyyy-mm")</f>
        <v>yyyy-01</v>
      </c>
      <c r="K904" s="16">
        <f>K903 + IF(C904="Entrada", G904, -G904)</f>
        <v>-5277.5099999999984</v>
      </c>
    </row>
    <row r="905" spans="1:11" ht="15.75" customHeight="1" x14ac:dyDescent="0.25">
      <c r="A905" s="14"/>
      <c r="C905" s="15"/>
      <c r="D905" s="15"/>
      <c r="E905" s="15"/>
      <c r="F905" s="15"/>
      <c r="G905" s="16"/>
      <c r="H905" s="16"/>
      <c r="I905" s="15"/>
      <c r="J905" s="15" t="str">
        <f>TEXT(A905,"yyyy-mm")</f>
        <v>yyyy-01</v>
      </c>
      <c r="K905" s="16">
        <f>K904 + IF(C905="Entrada", G905, -G905)</f>
        <v>-5277.5099999999984</v>
      </c>
    </row>
    <row r="906" spans="1:11" ht="15.75" customHeight="1" x14ac:dyDescent="0.25">
      <c r="A906" s="14"/>
      <c r="C906" s="15"/>
      <c r="D906" s="15"/>
      <c r="E906" s="15"/>
      <c r="F906" s="15"/>
      <c r="G906" s="16"/>
      <c r="H906" s="16"/>
      <c r="I906" s="15"/>
      <c r="J906" s="15" t="str">
        <f>TEXT(A906,"yyyy-mm")</f>
        <v>yyyy-01</v>
      </c>
      <c r="K906" s="16">
        <f>K905 + IF(C906="Entrada", G906, -G906)</f>
        <v>-5277.5099999999984</v>
      </c>
    </row>
    <row r="907" spans="1:11" ht="15.75" customHeight="1" x14ac:dyDescent="0.25">
      <c r="A907" s="14"/>
      <c r="C907" s="15"/>
      <c r="D907" s="15"/>
      <c r="E907" s="15"/>
      <c r="F907" s="15"/>
      <c r="G907" s="16"/>
      <c r="H907" s="16"/>
      <c r="I907" s="15"/>
      <c r="J907" s="15" t="str">
        <f>TEXT(A907,"yyyy-mm")</f>
        <v>yyyy-01</v>
      </c>
      <c r="K907" s="16">
        <f>K906 + IF(C907="Entrada", G907, -G907)</f>
        <v>-5277.5099999999984</v>
      </c>
    </row>
    <row r="908" spans="1:11" ht="15.75" customHeight="1" x14ac:dyDescent="0.25">
      <c r="A908" s="14"/>
      <c r="C908" s="15"/>
      <c r="D908" s="15"/>
      <c r="E908" s="15"/>
      <c r="F908" s="15"/>
      <c r="G908" s="16"/>
      <c r="H908" s="16"/>
      <c r="I908" s="15"/>
      <c r="J908" s="15" t="str">
        <f>TEXT(A908,"yyyy-mm")</f>
        <v>yyyy-01</v>
      </c>
      <c r="K908" s="16">
        <f>K907 + IF(C908="Entrada", G908, -G908)</f>
        <v>-5277.5099999999984</v>
      </c>
    </row>
    <row r="909" spans="1:11" ht="15.75" customHeight="1" x14ac:dyDescent="0.25">
      <c r="A909" s="14"/>
      <c r="C909" s="15"/>
      <c r="D909" s="15"/>
      <c r="E909" s="15"/>
      <c r="F909" s="15"/>
      <c r="G909" s="16"/>
      <c r="H909" s="16"/>
      <c r="I909" s="15"/>
      <c r="J909" s="15" t="str">
        <f>TEXT(A909,"yyyy-mm")</f>
        <v>yyyy-01</v>
      </c>
      <c r="K909" s="16">
        <f>K908 + IF(C909="Entrada", G909, -G909)</f>
        <v>-5277.5099999999984</v>
      </c>
    </row>
    <row r="910" spans="1:11" ht="15.75" customHeight="1" x14ac:dyDescent="0.25">
      <c r="A910" s="14"/>
      <c r="C910" s="15"/>
      <c r="D910" s="15"/>
      <c r="E910" s="15"/>
      <c r="F910" s="15"/>
      <c r="G910" s="16"/>
      <c r="H910" s="16"/>
      <c r="I910" s="15"/>
      <c r="J910" s="15" t="str">
        <f>TEXT(A910,"yyyy-mm")</f>
        <v>yyyy-01</v>
      </c>
      <c r="K910" s="16">
        <f>K909 + IF(C910="Entrada", G910, -G910)</f>
        <v>-5277.5099999999984</v>
      </c>
    </row>
    <row r="911" spans="1:11" ht="15.75" customHeight="1" x14ac:dyDescent="0.25">
      <c r="A911" s="14"/>
      <c r="C911" s="15"/>
      <c r="D911" s="15"/>
      <c r="E911" s="15"/>
      <c r="F911" s="15"/>
      <c r="G911" s="16"/>
      <c r="H911" s="16"/>
      <c r="I911" s="15"/>
      <c r="J911" s="15" t="str">
        <f>TEXT(A911,"yyyy-mm")</f>
        <v>yyyy-01</v>
      </c>
      <c r="K911" s="16">
        <f>K910 + IF(C911="Entrada", G911, -G911)</f>
        <v>-5277.5099999999984</v>
      </c>
    </row>
    <row r="912" spans="1:11" ht="15.75" customHeight="1" x14ac:dyDescent="0.25">
      <c r="A912" s="14"/>
      <c r="C912" s="15"/>
      <c r="D912" s="15"/>
      <c r="E912" s="15"/>
      <c r="F912" s="15"/>
      <c r="G912" s="16"/>
      <c r="H912" s="16"/>
      <c r="I912" s="15"/>
      <c r="J912" s="15" t="str">
        <f>TEXT(A912,"yyyy-mm")</f>
        <v>yyyy-01</v>
      </c>
      <c r="K912" s="16">
        <f>K911 + IF(C912="Entrada", G912, -G912)</f>
        <v>-5277.5099999999984</v>
      </c>
    </row>
    <row r="913" spans="1:11" ht="15.75" customHeight="1" x14ac:dyDescent="0.25">
      <c r="A913" s="14"/>
      <c r="C913" s="15"/>
      <c r="D913" s="15"/>
      <c r="E913" s="15"/>
      <c r="F913" s="15"/>
      <c r="G913" s="16"/>
      <c r="H913" s="16"/>
      <c r="I913" s="15"/>
      <c r="J913" s="15" t="str">
        <f>TEXT(A913,"yyyy-mm")</f>
        <v>yyyy-01</v>
      </c>
      <c r="K913" s="16">
        <f>K912 + IF(C913="Entrada", G913, -G913)</f>
        <v>-5277.5099999999984</v>
      </c>
    </row>
    <row r="914" spans="1:11" ht="15.75" customHeight="1" x14ac:dyDescent="0.25">
      <c r="A914" s="14"/>
      <c r="C914" s="15"/>
      <c r="D914" s="15"/>
      <c r="E914" s="15"/>
      <c r="F914" s="15"/>
      <c r="G914" s="16"/>
      <c r="H914" s="16"/>
      <c r="I914" s="15"/>
      <c r="J914" s="15" t="str">
        <f>TEXT(A914,"yyyy-mm")</f>
        <v>yyyy-01</v>
      </c>
      <c r="K914" s="16">
        <f>K913 + IF(C914="Entrada", G914, -G914)</f>
        <v>-5277.5099999999984</v>
      </c>
    </row>
    <row r="915" spans="1:11" ht="15.75" customHeight="1" x14ac:dyDescent="0.25">
      <c r="A915" s="14"/>
      <c r="C915" s="15"/>
      <c r="D915" s="15"/>
      <c r="E915" s="15"/>
      <c r="F915" s="15"/>
      <c r="G915" s="16"/>
      <c r="H915" s="16"/>
      <c r="I915" s="15"/>
      <c r="J915" s="15" t="str">
        <f>TEXT(A915,"yyyy-mm")</f>
        <v>yyyy-01</v>
      </c>
      <c r="K915" s="16">
        <f>K914 + IF(C915="Entrada", G915, -G915)</f>
        <v>-5277.5099999999984</v>
      </c>
    </row>
    <row r="916" spans="1:11" ht="15.75" customHeight="1" x14ac:dyDescent="0.25">
      <c r="A916" s="14"/>
      <c r="C916" s="15"/>
      <c r="D916" s="15"/>
      <c r="E916" s="15"/>
      <c r="F916" s="15"/>
      <c r="G916" s="16"/>
      <c r="H916" s="16"/>
      <c r="I916" s="15"/>
      <c r="J916" s="15" t="str">
        <f>TEXT(A916,"yyyy-mm")</f>
        <v>yyyy-01</v>
      </c>
      <c r="K916" s="16">
        <f>K915 + IF(C916="Entrada", G916, -G916)</f>
        <v>-5277.5099999999984</v>
      </c>
    </row>
    <row r="917" spans="1:11" ht="15.75" customHeight="1" x14ac:dyDescent="0.25">
      <c r="A917" s="14"/>
      <c r="C917" s="15"/>
      <c r="D917" s="15"/>
      <c r="E917" s="15"/>
      <c r="F917" s="15"/>
      <c r="G917" s="16"/>
      <c r="H917" s="16"/>
      <c r="I917" s="15"/>
      <c r="J917" s="15" t="str">
        <f>TEXT(A917,"yyyy-mm")</f>
        <v>yyyy-01</v>
      </c>
      <c r="K917" s="16">
        <f>K916 + IF(C917="Entrada", G917, -G917)</f>
        <v>-5277.5099999999984</v>
      </c>
    </row>
    <row r="918" spans="1:11" ht="15.75" customHeight="1" x14ac:dyDescent="0.25">
      <c r="A918" s="14"/>
      <c r="C918" s="15"/>
      <c r="D918" s="15"/>
      <c r="E918" s="15"/>
      <c r="F918" s="15"/>
      <c r="G918" s="16"/>
      <c r="H918" s="16"/>
      <c r="I918" s="15"/>
      <c r="J918" s="15" t="str">
        <f>TEXT(A918,"yyyy-mm")</f>
        <v>yyyy-01</v>
      </c>
      <c r="K918" s="16">
        <f>K917 + IF(C918="Entrada", G918, -G918)</f>
        <v>-5277.5099999999984</v>
      </c>
    </row>
    <row r="919" spans="1:11" ht="15.75" customHeight="1" x14ac:dyDescent="0.25">
      <c r="A919" s="14"/>
      <c r="C919" s="15"/>
      <c r="D919" s="15"/>
      <c r="E919" s="15"/>
      <c r="F919" s="15"/>
      <c r="G919" s="16"/>
      <c r="H919" s="16"/>
      <c r="I919" s="15"/>
      <c r="J919" s="15" t="str">
        <f>TEXT(A919,"yyyy-mm")</f>
        <v>yyyy-01</v>
      </c>
      <c r="K919" s="16">
        <f>K918 + IF(C919="Entrada", G919, -G919)</f>
        <v>-5277.5099999999984</v>
      </c>
    </row>
    <row r="920" spans="1:11" ht="15.75" customHeight="1" x14ac:dyDescent="0.25">
      <c r="A920" s="14"/>
      <c r="C920" s="15"/>
      <c r="D920" s="15"/>
      <c r="E920" s="15"/>
      <c r="F920" s="15"/>
      <c r="G920" s="16"/>
      <c r="H920" s="16"/>
      <c r="I920" s="15"/>
      <c r="J920" s="15" t="str">
        <f>TEXT(A920,"yyyy-mm")</f>
        <v>yyyy-01</v>
      </c>
      <c r="K920" s="16">
        <f>K919 + IF(C920="Entrada", G920, -G920)</f>
        <v>-5277.5099999999984</v>
      </c>
    </row>
    <row r="921" spans="1:11" ht="15.75" customHeight="1" x14ac:dyDescent="0.25">
      <c r="A921" s="14"/>
      <c r="C921" s="15"/>
      <c r="D921" s="15"/>
      <c r="E921" s="15"/>
      <c r="F921" s="15"/>
      <c r="G921" s="16"/>
      <c r="H921" s="16"/>
      <c r="I921" s="15"/>
      <c r="J921" s="15" t="str">
        <f>TEXT(A921,"yyyy-mm")</f>
        <v>yyyy-01</v>
      </c>
      <c r="K921" s="16">
        <f>K920 + IF(C921="Entrada", G921, -G921)</f>
        <v>-5277.5099999999984</v>
      </c>
    </row>
    <row r="922" spans="1:11" ht="15.75" customHeight="1" x14ac:dyDescent="0.25">
      <c r="A922" s="14"/>
      <c r="C922" s="15"/>
      <c r="D922" s="15"/>
      <c r="E922" s="15"/>
      <c r="F922" s="15"/>
      <c r="G922" s="16"/>
      <c r="H922" s="16"/>
      <c r="I922" s="15"/>
      <c r="J922" s="15" t="str">
        <f>TEXT(A922,"yyyy-mm")</f>
        <v>yyyy-01</v>
      </c>
      <c r="K922" s="16">
        <f>K921 + IF(C922="Entrada", G922, -G922)</f>
        <v>-5277.5099999999984</v>
      </c>
    </row>
    <row r="923" spans="1:11" ht="15.75" customHeight="1" x14ac:dyDescent="0.25">
      <c r="A923" s="14"/>
      <c r="C923" s="15"/>
      <c r="D923" s="15"/>
      <c r="E923" s="15"/>
      <c r="F923" s="15"/>
      <c r="G923" s="16"/>
      <c r="H923" s="16"/>
      <c r="I923" s="15"/>
      <c r="J923" s="15" t="str">
        <f>TEXT(A923,"yyyy-mm")</f>
        <v>yyyy-01</v>
      </c>
      <c r="K923" s="16">
        <f>K922 + IF(C923="Entrada", G923, -G923)</f>
        <v>-5277.5099999999984</v>
      </c>
    </row>
    <row r="924" spans="1:11" ht="15.75" customHeight="1" x14ac:dyDescent="0.25">
      <c r="A924" s="14"/>
      <c r="C924" s="15"/>
      <c r="D924" s="15"/>
      <c r="E924" s="15"/>
      <c r="F924" s="15"/>
      <c r="G924" s="16"/>
      <c r="H924" s="16"/>
      <c r="I924" s="15"/>
      <c r="J924" s="15" t="str">
        <f>TEXT(A924,"yyyy-mm")</f>
        <v>yyyy-01</v>
      </c>
      <c r="K924" s="16">
        <f>K923 + IF(C924="Entrada", G924, -G924)</f>
        <v>-5277.5099999999984</v>
      </c>
    </row>
    <row r="925" spans="1:11" ht="15.75" customHeight="1" x14ac:dyDescent="0.25">
      <c r="A925" s="14"/>
      <c r="C925" s="15"/>
      <c r="D925" s="15"/>
      <c r="E925" s="15"/>
      <c r="F925" s="15"/>
      <c r="G925" s="16"/>
      <c r="H925" s="16"/>
      <c r="I925" s="15"/>
      <c r="J925" s="15" t="str">
        <f>TEXT(A925,"yyyy-mm")</f>
        <v>yyyy-01</v>
      </c>
      <c r="K925" s="16">
        <f>K924 + IF(C925="Entrada", G925, -G925)</f>
        <v>-5277.5099999999984</v>
      </c>
    </row>
    <row r="926" spans="1:11" ht="15.75" customHeight="1" x14ac:dyDescent="0.25">
      <c r="A926" s="14"/>
      <c r="C926" s="15"/>
      <c r="D926" s="15"/>
      <c r="E926" s="15"/>
      <c r="F926" s="15"/>
      <c r="G926" s="16"/>
      <c r="H926" s="16"/>
      <c r="I926" s="15"/>
      <c r="J926" s="15" t="str">
        <f>TEXT(A926,"yyyy-mm")</f>
        <v>yyyy-01</v>
      </c>
      <c r="K926" s="16">
        <f>K925 + IF(C926="Entrada", G926, -G926)</f>
        <v>-5277.5099999999984</v>
      </c>
    </row>
    <row r="927" spans="1:11" ht="15.75" customHeight="1" x14ac:dyDescent="0.25">
      <c r="A927" s="14"/>
      <c r="C927" s="15"/>
      <c r="D927" s="15"/>
      <c r="E927" s="15"/>
      <c r="F927" s="15"/>
      <c r="G927" s="16"/>
      <c r="H927" s="16"/>
      <c r="I927" s="15"/>
      <c r="J927" s="15" t="str">
        <f>TEXT(A927,"yyyy-mm")</f>
        <v>yyyy-01</v>
      </c>
      <c r="K927" s="16">
        <f>K926 + IF(C927="Entrada", G927, -G927)</f>
        <v>-5277.5099999999984</v>
      </c>
    </row>
    <row r="928" spans="1:11" ht="15.75" customHeight="1" x14ac:dyDescent="0.25">
      <c r="A928" s="14"/>
      <c r="C928" s="15"/>
      <c r="D928" s="15"/>
      <c r="E928" s="15"/>
      <c r="F928" s="15"/>
      <c r="G928" s="16"/>
      <c r="H928" s="16"/>
      <c r="I928" s="15"/>
      <c r="J928" s="15" t="str">
        <f>TEXT(A928,"yyyy-mm")</f>
        <v>yyyy-01</v>
      </c>
      <c r="K928" s="16">
        <f>K927 + IF(C928="Entrada", G928, -G928)</f>
        <v>-5277.5099999999984</v>
      </c>
    </row>
    <row r="929" spans="1:11" ht="15.75" customHeight="1" x14ac:dyDescent="0.25">
      <c r="A929" s="14"/>
      <c r="C929" s="15"/>
      <c r="D929" s="15"/>
      <c r="E929" s="15"/>
      <c r="F929" s="15"/>
      <c r="G929" s="16"/>
      <c r="H929" s="16"/>
      <c r="I929" s="15"/>
      <c r="J929" s="15" t="str">
        <f>TEXT(A929,"yyyy-mm")</f>
        <v>yyyy-01</v>
      </c>
      <c r="K929" s="16">
        <f>K928 + IF(C929="Entrada", G929, -G929)</f>
        <v>-5277.5099999999984</v>
      </c>
    </row>
    <row r="930" spans="1:11" ht="15.75" customHeight="1" x14ac:dyDescent="0.25">
      <c r="A930" s="14"/>
      <c r="C930" s="15"/>
      <c r="D930" s="15"/>
      <c r="E930" s="15"/>
      <c r="F930" s="15"/>
      <c r="G930" s="16"/>
      <c r="H930" s="16"/>
      <c r="I930" s="15"/>
      <c r="J930" s="15" t="str">
        <f>TEXT(A930,"yyyy-mm")</f>
        <v>yyyy-01</v>
      </c>
      <c r="K930" s="16">
        <f>K929 + IF(C930="Entrada", G930, -G930)</f>
        <v>-5277.5099999999984</v>
      </c>
    </row>
    <row r="931" spans="1:11" ht="15.75" customHeight="1" x14ac:dyDescent="0.25">
      <c r="A931" s="14"/>
      <c r="C931" s="15"/>
      <c r="D931" s="15"/>
      <c r="E931" s="15"/>
      <c r="F931" s="15"/>
      <c r="G931" s="16"/>
      <c r="H931" s="16"/>
      <c r="I931" s="15"/>
      <c r="J931" s="15" t="str">
        <f>TEXT(A931,"yyyy-mm")</f>
        <v>yyyy-01</v>
      </c>
      <c r="K931" s="16">
        <f>K930 + IF(C931="Entrada", G931, -G931)</f>
        <v>-5277.5099999999984</v>
      </c>
    </row>
    <row r="932" spans="1:11" ht="15.75" customHeight="1" x14ac:dyDescent="0.25">
      <c r="A932" s="14"/>
      <c r="C932" s="15"/>
      <c r="D932" s="15"/>
      <c r="E932" s="15"/>
      <c r="F932" s="15"/>
      <c r="G932" s="16"/>
      <c r="H932" s="16"/>
      <c r="I932" s="15"/>
      <c r="J932" s="15" t="str">
        <f>TEXT(A932,"yyyy-mm")</f>
        <v>yyyy-01</v>
      </c>
      <c r="K932" s="16">
        <f>K931 + IF(C932="Entrada", G932, -G932)</f>
        <v>-5277.5099999999984</v>
      </c>
    </row>
    <row r="933" spans="1:11" ht="15.75" customHeight="1" x14ac:dyDescent="0.25">
      <c r="A933" s="14"/>
      <c r="C933" s="15"/>
      <c r="D933" s="15"/>
      <c r="E933" s="15"/>
      <c r="F933" s="15"/>
      <c r="G933" s="16"/>
      <c r="H933" s="16"/>
      <c r="I933" s="15"/>
      <c r="J933" s="15" t="str">
        <f>TEXT(A933,"yyyy-mm")</f>
        <v>yyyy-01</v>
      </c>
      <c r="K933" s="16">
        <f>K932 + IF(C933="Entrada", G933, -G933)</f>
        <v>-5277.5099999999984</v>
      </c>
    </row>
    <row r="934" spans="1:11" ht="15.75" customHeight="1" x14ac:dyDescent="0.25">
      <c r="A934" s="14"/>
      <c r="C934" s="15"/>
      <c r="D934" s="15"/>
      <c r="E934" s="15"/>
      <c r="F934" s="15"/>
      <c r="G934" s="16"/>
      <c r="H934" s="16"/>
      <c r="I934" s="15"/>
      <c r="J934" s="15" t="str">
        <f>TEXT(A934,"yyyy-mm")</f>
        <v>yyyy-01</v>
      </c>
      <c r="K934" s="16">
        <f>K933 + IF(C934="Entrada", G934, -G934)</f>
        <v>-5277.5099999999984</v>
      </c>
    </row>
    <row r="935" spans="1:11" ht="15.75" customHeight="1" x14ac:dyDescent="0.25">
      <c r="A935" s="14"/>
      <c r="C935" s="15"/>
      <c r="D935" s="15"/>
      <c r="E935" s="15"/>
      <c r="F935" s="15"/>
      <c r="G935" s="16"/>
      <c r="H935" s="16"/>
      <c r="I935" s="15"/>
      <c r="J935" s="15" t="str">
        <f>TEXT(A935,"yyyy-mm")</f>
        <v>yyyy-01</v>
      </c>
      <c r="K935" s="16">
        <f>K934 + IF(C935="Entrada", G935, -G935)</f>
        <v>-5277.5099999999984</v>
      </c>
    </row>
    <row r="936" spans="1:11" ht="15.75" customHeight="1" x14ac:dyDescent="0.25">
      <c r="A936" s="14"/>
      <c r="C936" s="15"/>
      <c r="D936" s="15"/>
      <c r="E936" s="15"/>
      <c r="F936" s="15"/>
      <c r="G936" s="16"/>
      <c r="H936" s="16"/>
      <c r="I936" s="15"/>
      <c r="J936" s="15" t="str">
        <f>TEXT(A936,"yyyy-mm")</f>
        <v>yyyy-01</v>
      </c>
      <c r="K936" s="16">
        <f>K935 + IF(C936="Entrada", G936, -G936)</f>
        <v>-5277.5099999999984</v>
      </c>
    </row>
    <row r="937" spans="1:11" ht="15.75" customHeight="1" x14ac:dyDescent="0.25">
      <c r="A937" s="14"/>
      <c r="C937" s="15"/>
      <c r="D937" s="15"/>
      <c r="E937" s="15"/>
      <c r="F937" s="15"/>
      <c r="G937" s="16"/>
      <c r="H937" s="16"/>
      <c r="I937" s="15"/>
      <c r="J937" s="15" t="str">
        <f>TEXT(A937,"yyyy-mm")</f>
        <v>yyyy-01</v>
      </c>
      <c r="K937" s="16">
        <f>K936 + IF(C937="Entrada", G937, -G937)</f>
        <v>-5277.5099999999984</v>
      </c>
    </row>
    <row r="938" spans="1:11" ht="15.75" customHeight="1" x14ac:dyDescent="0.25">
      <c r="A938" s="14"/>
      <c r="C938" s="15"/>
      <c r="D938" s="15"/>
      <c r="E938" s="15"/>
      <c r="F938" s="15"/>
      <c r="G938" s="16"/>
      <c r="H938" s="16"/>
      <c r="I938" s="15"/>
      <c r="J938" s="15" t="str">
        <f>TEXT(A938,"yyyy-mm")</f>
        <v>yyyy-01</v>
      </c>
      <c r="K938" s="16">
        <f>K937 + IF(C938="Entrada", G938, -G938)</f>
        <v>-5277.5099999999984</v>
      </c>
    </row>
    <row r="939" spans="1:11" ht="15.75" customHeight="1" x14ac:dyDescent="0.25">
      <c r="A939" s="14"/>
      <c r="C939" s="15"/>
      <c r="D939" s="15"/>
      <c r="E939" s="15"/>
      <c r="F939" s="15"/>
      <c r="G939" s="16"/>
      <c r="H939" s="16"/>
      <c r="I939" s="15"/>
      <c r="J939" s="15" t="str">
        <f>TEXT(A939,"yyyy-mm")</f>
        <v>yyyy-01</v>
      </c>
      <c r="K939" s="16">
        <f>K938 + IF(C939="Entrada", G939, -G939)</f>
        <v>-5277.5099999999984</v>
      </c>
    </row>
    <row r="940" spans="1:11" ht="15.75" customHeight="1" x14ac:dyDescent="0.25">
      <c r="A940" s="14"/>
      <c r="C940" s="15"/>
      <c r="D940" s="15"/>
      <c r="E940" s="15"/>
      <c r="F940" s="15"/>
      <c r="G940" s="16"/>
      <c r="H940" s="16"/>
      <c r="I940" s="15"/>
      <c r="J940" s="15" t="str">
        <f>TEXT(A940,"yyyy-mm")</f>
        <v>yyyy-01</v>
      </c>
      <c r="K940" s="16">
        <f>K939 + IF(C940="Entrada", G940, -G940)</f>
        <v>-5277.5099999999984</v>
      </c>
    </row>
    <row r="941" spans="1:11" ht="15.75" customHeight="1" x14ac:dyDescent="0.25">
      <c r="A941" s="14"/>
      <c r="C941" s="15"/>
      <c r="D941" s="15"/>
      <c r="E941" s="15"/>
      <c r="F941" s="15"/>
      <c r="G941" s="16"/>
      <c r="H941" s="16"/>
      <c r="I941" s="15"/>
      <c r="J941" s="15" t="str">
        <f>TEXT(A941,"yyyy-mm")</f>
        <v>yyyy-01</v>
      </c>
      <c r="K941" s="16">
        <f>K940 + IF(C941="Entrada", G941, -G941)</f>
        <v>-5277.5099999999984</v>
      </c>
    </row>
    <row r="942" spans="1:11" ht="15.75" customHeight="1" x14ac:dyDescent="0.25">
      <c r="A942" s="14"/>
      <c r="C942" s="15"/>
      <c r="D942" s="15"/>
      <c r="E942" s="15"/>
      <c r="F942" s="15"/>
      <c r="G942" s="16"/>
      <c r="H942" s="16"/>
      <c r="I942" s="15"/>
      <c r="J942" s="15" t="str">
        <f>TEXT(A942,"yyyy-mm")</f>
        <v>yyyy-01</v>
      </c>
      <c r="K942" s="16">
        <f>K941 + IF(C942="Entrada", G942, -G942)</f>
        <v>-5277.5099999999984</v>
      </c>
    </row>
    <row r="943" spans="1:11" ht="15.75" customHeight="1" x14ac:dyDescent="0.25">
      <c r="A943" s="14"/>
      <c r="C943" s="15"/>
      <c r="D943" s="15"/>
      <c r="E943" s="15"/>
      <c r="F943" s="15"/>
      <c r="G943" s="16"/>
      <c r="H943" s="16"/>
      <c r="I943" s="15"/>
      <c r="J943" s="15" t="str">
        <f>TEXT(A943,"yyyy-mm")</f>
        <v>yyyy-01</v>
      </c>
      <c r="K943" s="16">
        <f>K942 + IF(C943="Entrada", G943, -G943)</f>
        <v>-5277.5099999999984</v>
      </c>
    </row>
    <row r="944" spans="1:11" ht="15.75" customHeight="1" x14ac:dyDescent="0.25">
      <c r="A944" s="14"/>
      <c r="C944" s="15"/>
      <c r="D944" s="15"/>
      <c r="E944" s="15"/>
      <c r="F944" s="15"/>
      <c r="G944" s="16"/>
      <c r="H944" s="16"/>
      <c r="I944" s="15"/>
      <c r="J944" s="15" t="str">
        <f>TEXT(A944,"yyyy-mm")</f>
        <v>yyyy-01</v>
      </c>
      <c r="K944" s="16">
        <f>K943 + IF(C944="Entrada", G944, -G944)</f>
        <v>-5277.5099999999984</v>
      </c>
    </row>
    <row r="945" spans="1:11" ht="15.75" customHeight="1" x14ac:dyDescent="0.25">
      <c r="A945" s="14"/>
      <c r="C945" s="15"/>
      <c r="D945" s="15"/>
      <c r="E945" s="15"/>
      <c r="F945" s="15"/>
      <c r="G945" s="16"/>
      <c r="H945" s="16"/>
      <c r="I945" s="15"/>
      <c r="J945" s="15" t="str">
        <f>TEXT(A945,"yyyy-mm")</f>
        <v>yyyy-01</v>
      </c>
      <c r="K945" s="16">
        <f>K944 + IF(C945="Entrada", G945, -G945)</f>
        <v>-5277.5099999999984</v>
      </c>
    </row>
    <row r="946" spans="1:11" ht="15.75" customHeight="1" x14ac:dyDescent="0.25">
      <c r="A946" s="14"/>
      <c r="C946" s="15"/>
      <c r="D946" s="15"/>
      <c r="E946" s="15"/>
      <c r="F946" s="15"/>
      <c r="G946" s="16"/>
      <c r="H946" s="16"/>
      <c r="I946" s="15"/>
      <c r="J946" s="15" t="str">
        <f>TEXT(A946,"yyyy-mm")</f>
        <v>yyyy-01</v>
      </c>
      <c r="K946" s="16">
        <f>K945 + IF(C946="Entrada", G946, -G946)</f>
        <v>-5277.5099999999984</v>
      </c>
    </row>
    <row r="947" spans="1:11" ht="15.75" customHeight="1" x14ac:dyDescent="0.25">
      <c r="A947" s="14"/>
      <c r="C947" s="15"/>
      <c r="D947" s="15"/>
      <c r="E947" s="15"/>
      <c r="F947" s="15"/>
      <c r="G947" s="16"/>
      <c r="H947" s="16"/>
      <c r="I947" s="15"/>
      <c r="J947" s="15" t="str">
        <f>TEXT(A947,"yyyy-mm")</f>
        <v>yyyy-01</v>
      </c>
      <c r="K947" s="16">
        <f>K946 + IF(C947="Entrada", G947, -G947)</f>
        <v>-5277.5099999999984</v>
      </c>
    </row>
    <row r="948" spans="1:11" ht="15.75" customHeight="1" x14ac:dyDescent="0.25">
      <c r="A948" s="14"/>
      <c r="C948" s="15"/>
      <c r="D948" s="15"/>
      <c r="E948" s="15"/>
      <c r="F948" s="15"/>
      <c r="G948" s="16"/>
      <c r="H948" s="16"/>
      <c r="I948" s="15"/>
      <c r="J948" s="15" t="str">
        <f>TEXT(A948,"yyyy-mm")</f>
        <v>yyyy-01</v>
      </c>
      <c r="K948" s="16">
        <f>K947 + IF(C948="Entrada", G948, -G948)</f>
        <v>-5277.5099999999984</v>
      </c>
    </row>
    <row r="949" spans="1:11" ht="15.75" customHeight="1" x14ac:dyDescent="0.25">
      <c r="A949" s="14"/>
      <c r="C949" s="15"/>
      <c r="D949" s="15"/>
      <c r="E949" s="15"/>
      <c r="F949" s="15"/>
      <c r="G949" s="16"/>
      <c r="H949" s="16"/>
      <c r="I949" s="15"/>
      <c r="J949" s="15" t="str">
        <f>TEXT(A949,"yyyy-mm")</f>
        <v>yyyy-01</v>
      </c>
      <c r="K949" s="16">
        <f>K948 + IF(C949="Entrada", G949, -G949)</f>
        <v>-5277.5099999999984</v>
      </c>
    </row>
    <row r="950" spans="1:11" ht="15.75" customHeight="1" x14ac:dyDescent="0.25">
      <c r="A950" s="14"/>
      <c r="C950" s="15"/>
      <c r="D950" s="15"/>
      <c r="E950" s="15"/>
      <c r="F950" s="15"/>
      <c r="G950" s="16"/>
      <c r="H950" s="16"/>
      <c r="I950" s="15"/>
      <c r="J950" s="15" t="str">
        <f>TEXT(A950,"yyyy-mm")</f>
        <v>yyyy-01</v>
      </c>
      <c r="K950" s="16">
        <f>K949 + IF(C950="Entrada", G950, -G950)</f>
        <v>-5277.5099999999984</v>
      </c>
    </row>
    <row r="951" spans="1:11" ht="15.75" customHeight="1" x14ac:dyDescent="0.25">
      <c r="A951" s="14"/>
      <c r="C951" s="15"/>
      <c r="D951" s="15"/>
      <c r="E951" s="15"/>
      <c r="F951" s="15"/>
      <c r="G951" s="16"/>
      <c r="H951" s="16"/>
      <c r="I951" s="15"/>
      <c r="J951" s="15" t="str">
        <f>TEXT(A951,"yyyy-mm")</f>
        <v>yyyy-01</v>
      </c>
      <c r="K951" s="16">
        <f>K950 + IF(C951="Entrada", G951, -G951)</f>
        <v>-5277.5099999999984</v>
      </c>
    </row>
    <row r="952" spans="1:11" ht="15.75" customHeight="1" x14ac:dyDescent="0.25">
      <c r="A952" s="14"/>
      <c r="C952" s="15"/>
      <c r="D952" s="15"/>
      <c r="E952" s="15"/>
      <c r="F952" s="15"/>
      <c r="G952" s="16"/>
      <c r="H952" s="16"/>
      <c r="I952" s="15"/>
      <c r="J952" s="15" t="str">
        <f>TEXT(A952,"yyyy-mm")</f>
        <v>yyyy-01</v>
      </c>
      <c r="K952" s="16">
        <f>K951 + IF(C952="Entrada", G952, -G952)</f>
        <v>-5277.5099999999984</v>
      </c>
    </row>
    <row r="953" spans="1:11" ht="15.75" customHeight="1" x14ac:dyDescent="0.25">
      <c r="A953" s="14"/>
      <c r="C953" s="15"/>
      <c r="D953" s="15"/>
      <c r="E953" s="15"/>
      <c r="F953" s="15"/>
      <c r="G953" s="16"/>
      <c r="H953" s="16"/>
      <c r="I953" s="15"/>
      <c r="J953" s="15" t="str">
        <f>TEXT(A953,"yyyy-mm")</f>
        <v>yyyy-01</v>
      </c>
      <c r="K953" s="16">
        <f>K952 + IF(C953="Entrada", G953, -G953)</f>
        <v>-5277.5099999999984</v>
      </c>
    </row>
    <row r="954" spans="1:11" ht="15.75" customHeight="1" x14ac:dyDescent="0.25">
      <c r="A954" s="14"/>
      <c r="C954" s="15"/>
      <c r="D954" s="15"/>
      <c r="E954" s="15"/>
      <c r="F954" s="15"/>
      <c r="G954" s="16"/>
      <c r="H954" s="16"/>
      <c r="I954" s="15"/>
      <c r="J954" s="15" t="str">
        <f>TEXT(A954,"yyyy-mm")</f>
        <v>yyyy-01</v>
      </c>
      <c r="K954" s="16">
        <f>K953 + IF(C954="Entrada", G954, -G954)</f>
        <v>-5277.5099999999984</v>
      </c>
    </row>
    <row r="955" spans="1:11" ht="15.75" customHeight="1" x14ac:dyDescent="0.25">
      <c r="A955" s="14"/>
      <c r="C955" s="15"/>
      <c r="D955" s="15"/>
      <c r="E955" s="15"/>
      <c r="F955" s="15"/>
      <c r="G955" s="16"/>
      <c r="H955" s="16"/>
      <c r="I955" s="15"/>
      <c r="J955" s="15" t="str">
        <f>TEXT(A955,"yyyy-mm")</f>
        <v>yyyy-01</v>
      </c>
      <c r="K955" s="16">
        <f>K954 + IF(C955="Entrada", G955, -G955)</f>
        <v>-5277.5099999999984</v>
      </c>
    </row>
    <row r="956" spans="1:11" ht="15.75" customHeight="1" x14ac:dyDescent="0.25">
      <c r="A956" s="14"/>
      <c r="C956" s="15"/>
      <c r="D956" s="15"/>
      <c r="E956" s="15"/>
      <c r="F956" s="15"/>
      <c r="G956" s="16"/>
      <c r="H956" s="16"/>
      <c r="I956" s="15"/>
      <c r="J956" s="15" t="str">
        <f>TEXT(A956,"yyyy-mm")</f>
        <v>yyyy-01</v>
      </c>
      <c r="K956" s="16">
        <f>K955 + IF(C956="Entrada", G956, -G956)</f>
        <v>-5277.5099999999984</v>
      </c>
    </row>
    <row r="957" spans="1:11" ht="15.75" customHeight="1" x14ac:dyDescent="0.25">
      <c r="A957" s="14"/>
      <c r="C957" s="15"/>
      <c r="D957" s="15"/>
      <c r="E957" s="15"/>
      <c r="F957" s="15"/>
      <c r="G957" s="16"/>
      <c r="H957" s="16"/>
      <c r="I957" s="15"/>
      <c r="J957" s="15" t="str">
        <f>TEXT(A957,"yyyy-mm")</f>
        <v>yyyy-01</v>
      </c>
      <c r="K957" s="16">
        <f>K956 + IF(C957="Entrada", G957, -G957)</f>
        <v>-5277.5099999999984</v>
      </c>
    </row>
    <row r="958" spans="1:11" ht="15.75" customHeight="1" x14ac:dyDescent="0.25">
      <c r="A958" s="14"/>
      <c r="C958" s="15"/>
      <c r="D958" s="15"/>
      <c r="E958" s="15"/>
      <c r="F958" s="15"/>
      <c r="G958" s="16"/>
      <c r="H958" s="16"/>
      <c r="I958" s="15"/>
      <c r="J958" s="15" t="str">
        <f>TEXT(A958,"yyyy-mm")</f>
        <v>yyyy-01</v>
      </c>
      <c r="K958" s="16">
        <f>K957 + IF(C958="Entrada", G958, -G958)</f>
        <v>-5277.5099999999984</v>
      </c>
    </row>
    <row r="959" spans="1:11" ht="15.75" customHeight="1" x14ac:dyDescent="0.25">
      <c r="A959" s="14"/>
      <c r="C959" s="15"/>
      <c r="D959" s="15"/>
      <c r="E959" s="15"/>
      <c r="F959" s="15"/>
      <c r="G959" s="16"/>
      <c r="H959" s="16"/>
      <c r="I959" s="15"/>
      <c r="J959" s="15" t="str">
        <f>TEXT(A959,"yyyy-mm")</f>
        <v>yyyy-01</v>
      </c>
      <c r="K959" s="16">
        <f>K958 + IF(C959="Entrada", G959, -G959)</f>
        <v>-5277.5099999999984</v>
      </c>
    </row>
    <row r="960" spans="1:11" ht="15.75" customHeight="1" x14ac:dyDescent="0.25">
      <c r="A960" s="14"/>
      <c r="C960" s="15"/>
      <c r="D960" s="15"/>
      <c r="E960" s="15"/>
      <c r="F960" s="15"/>
      <c r="G960" s="16"/>
      <c r="H960" s="16"/>
      <c r="I960" s="15"/>
      <c r="J960" s="15" t="str">
        <f>TEXT(A960,"yyyy-mm")</f>
        <v>yyyy-01</v>
      </c>
      <c r="K960" s="16">
        <f>K959 + IF(C960="Entrada", G960, -G960)</f>
        <v>-5277.5099999999984</v>
      </c>
    </row>
    <row r="961" spans="1:11" ht="15.75" customHeight="1" x14ac:dyDescent="0.25">
      <c r="A961" s="14"/>
      <c r="C961" s="15"/>
      <c r="D961" s="15"/>
      <c r="E961" s="15"/>
      <c r="F961" s="15"/>
      <c r="G961" s="16"/>
      <c r="H961" s="16"/>
      <c r="I961" s="15"/>
      <c r="J961" s="15" t="str">
        <f>TEXT(A961,"yyyy-mm")</f>
        <v>yyyy-01</v>
      </c>
      <c r="K961" s="16">
        <f>K960 + IF(C961="Entrada", G961, -G961)</f>
        <v>-5277.5099999999984</v>
      </c>
    </row>
    <row r="962" spans="1:11" ht="15.75" customHeight="1" x14ac:dyDescent="0.25">
      <c r="A962" s="14"/>
      <c r="C962" s="15"/>
      <c r="D962" s="15"/>
      <c r="E962" s="15"/>
      <c r="F962" s="15"/>
      <c r="G962" s="16"/>
      <c r="H962" s="16"/>
      <c r="I962" s="15"/>
      <c r="J962" s="15" t="str">
        <f>TEXT(A962,"yyyy-mm")</f>
        <v>yyyy-01</v>
      </c>
      <c r="K962" s="16">
        <f>K961 + IF(C962="Entrada", G962, -G962)</f>
        <v>-5277.5099999999984</v>
      </c>
    </row>
    <row r="963" spans="1:11" ht="15.75" customHeight="1" x14ac:dyDescent="0.25">
      <c r="A963" s="14"/>
      <c r="C963" s="15"/>
      <c r="D963" s="15"/>
      <c r="E963" s="15"/>
      <c r="F963" s="15"/>
      <c r="G963" s="16"/>
      <c r="H963" s="16"/>
      <c r="I963" s="15"/>
      <c r="J963" s="15" t="str">
        <f>TEXT(A963,"yyyy-mm")</f>
        <v>yyyy-01</v>
      </c>
      <c r="K963" s="16">
        <f>K962 + IF(C963="Entrada", G963, -G963)</f>
        <v>-5277.5099999999984</v>
      </c>
    </row>
    <row r="964" spans="1:11" ht="15.75" customHeight="1" x14ac:dyDescent="0.25">
      <c r="A964" s="14"/>
      <c r="C964" s="15"/>
      <c r="D964" s="15"/>
      <c r="E964" s="15"/>
      <c r="F964" s="15"/>
      <c r="G964" s="16"/>
      <c r="H964" s="16"/>
      <c r="I964" s="15"/>
      <c r="J964" s="15" t="str">
        <f>TEXT(A964,"yyyy-mm")</f>
        <v>yyyy-01</v>
      </c>
      <c r="K964" s="16">
        <f>K963 + IF(C964="Entrada", G964, -G964)</f>
        <v>-5277.5099999999984</v>
      </c>
    </row>
    <row r="965" spans="1:11" ht="15.75" customHeight="1" x14ac:dyDescent="0.25">
      <c r="A965" s="14"/>
      <c r="C965" s="15"/>
      <c r="D965" s="15"/>
      <c r="E965" s="15"/>
      <c r="F965" s="15"/>
      <c r="G965" s="16"/>
      <c r="H965" s="16"/>
      <c r="I965" s="15"/>
      <c r="J965" s="15" t="str">
        <f>TEXT(A965,"yyyy-mm")</f>
        <v>yyyy-01</v>
      </c>
      <c r="K965" s="16">
        <f>K964 + IF(C965="Entrada", G965, -G965)</f>
        <v>-5277.5099999999984</v>
      </c>
    </row>
    <row r="966" spans="1:11" ht="15.75" customHeight="1" x14ac:dyDescent="0.25">
      <c r="A966" s="14"/>
      <c r="C966" s="15"/>
      <c r="D966" s="15"/>
      <c r="E966" s="15"/>
      <c r="F966" s="15"/>
      <c r="G966" s="16"/>
      <c r="H966" s="16"/>
      <c r="I966" s="15"/>
      <c r="J966" s="15" t="str">
        <f>TEXT(A966,"yyyy-mm")</f>
        <v>yyyy-01</v>
      </c>
      <c r="K966" s="16">
        <f>K965 + IF(C966="Entrada", G966, -G966)</f>
        <v>-5277.5099999999984</v>
      </c>
    </row>
    <row r="967" spans="1:11" ht="15.75" customHeight="1" x14ac:dyDescent="0.25">
      <c r="A967" s="14"/>
      <c r="C967" s="15"/>
      <c r="D967" s="15"/>
      <c r="E967" s="15"/>
      <c r="F967" s="15"/>
      <c r="G967" s="16"/>
      <c r="H967" s="16"/>
      <c r="I967" s="15"/>
      <c r="J967" s="15" t="str">
        <f>TEXT(A967,"yyyy-mm")</f>
        <v>yyyy-01</v>
      </c>
      <c r="K967" s="16">
        <f>K966 + IF(C967="Entrada", G967, -G967)</f>
        <v>-5277.5099999999984</v>
      </c>
    </row>
    <row r="968" spans="1:11" ht="15.75" customHeight="1" x14ac:dyDescent="0.25">
      <c r="A968" s="14"/>
      <c r="C968" s="15"/>
      <c r="D968" s="15"/>
      <c r="E968" s="15"/>
      <c r="F968" s="15"/>
      <c r="G968" s="16"/>
      <c r="H968" s="16"/>
      <c r="I968" s="15"/>
      <c r="J968" s="15" t="str">
        <f>TEXT(A968,"yyyy-mm")</f>
        <v>yyyy-01</v>
      </c>
      <c r="K968" s="16">
        <f>K967 + IF(C968="Entrada", G968, -G968)</f>
        <v>-5277.5099999999984</v>
      </c>
    </row>
    <row r="969" spans="1:11" ht="15.75" customHeight="1" x14ac:dyDescent="0.25">
      <c r="A969" s="14"/>
      <c r="C969" s="15"/>
      <c r="D969" s="15"/>
      <c r="E969" s="15"/>
      <c r="F969" s="15"/>
      <c r="G969" s="16"/>
      <c r="H969" s="16"/>
      <c r="I969" s="15"/>
      <c r="J969" s="15" t="str">
        <f>TEXT(A969,"yyyy-mm")</f>
        <v>yyyy-01</v>
      </c>
      <c r="K969" s="16">
        <f>K968 + IF(C969="Entrada", G969, -G969)</f>
        <v>-5277.5099999999984</v>
      </c>
    </row>
    <row r="970" spans="1:11" ht="15.75" customHeight="1" x14ac:dyDescent="0.25">
      <c r="A970" s="14"/>
      <c r="C970" s="15"/>
      <c r="D970" s="15"/>
      <c r="E970" s="15"/>
      <c r="F970" s="15"/>
      <c r="G970" s="16"/>
      <c r="H970" s="16"/>
      <c r="I970" s="15"/>
      <c r="J970" s="15" t="str">
        <f>TEXT(A970,"yyyy-mm")</f>
        <v>yyyy-01</v>
      </c>
      <c r="K970" s="16">
        <f>K969 + IF(C970="Entrada", G970, -G970)</f>
        <v>-5277.5099999999984</v>
      </c>
    </row>
    <row r="971" spans="1:11" ht="15.75" customHeight="1" x14ac:dyDescent="0.25">
      <c r="A971" s="14"/>
      <c r="C971" s="15"/>
      <c r="D971" s="15"/>
      <c r="E971" s="15"/>
      <c r="F971" s="15"/>
      <c r="G971" s="16"/>
      <c r="H971" s="16"/>
      <c r="I971" s="15"/>
      <c r="J971" s="15" t="str">
        <f>TEXT(A971,"yyyy-mm")</f>
        <v>yyyy-01</v>
      </c>
      <c r="K971" s="16">
        <f>K970 + IF(C971="Entrada", G971, -G971)</f>
        <v>-5277.5099999999984</v>
      </c>
    </row>
    <row r="972" spans="1:11" ht="15.75" customHeight="1" x14ac:dyDescent="0.25">
      <c r="A972" s="14"/>
      <c r="C972" s="15"/>
      <c r="D972" s="15"/>
      <c r="E972" s="15"/>
      <c r="F972" s="15"/>
      <c r="G972" s="16"/>
      <c r="H972" s="16"/>
      <c r="I972" s="15"/>
      <c r="J972" s="15" t="str">
        <f>TEXT(A972,"yyyy-mm")</f>
        <v>yyyy-01</v>
      </c>
      <c r="K972" s="16">
        <f>K971 + IF(C972="Entrada", G972, -G972)</f>
        <v>-5277.5099999999984</v>
      </c>
    </row>
    <row r="973" spans="1:11" ht="15.75" customHeight="1" x14ac:dyDescent="0.25">
      <c r="A973" s="14"/>
      <c r="C973" s="15"/>
      <c r="D973" s="15"/>
      <c r="E973" s="15"/>
      <c r="F973" s="15"/>
      <c r="G973" s="16"/>
      <c r="H973" s="16"/>
      <c r="I973" s="15"/>
      <c r="J973" s="15" t="str">
        <f>TEXT(A973,"yyyy-mm")</f>
        <v>yyyy-01</v>
      </c>
      <c r="K973" s="16">
        <f>K972 + IF(C973="Entrada", G973, -G973)</f>
        <v>-5277.5099999999984</v>
      </c>
    </row>
    <row r="974" spans="1:11" ht="15.75" customHeight="1" x14ac:dyDescent="0.25">
      <c r="A974" s="14"/>
      <c r="C974" s="15"/>
      <c r="D974" s="15"/>
      <c r="E974" s="15"/>
      <c r="F974" s="15"/>
      <c r="G974" s="16"/>
      <c r="H974" s="16"/>
      <c r="I974" s="15"/>
      <c r="J974" s="15" t="str">
        <f>TEXT(A974,"yyyy-mm")</f>
        <v>yyyy-01</v>
      </c>
      <c r="K974" s="16">
        <f>K973 + IF(C974="Entrada", G974, -G974)</f>
        <v>-5277.5099999999984</v>
      </c>
    </row>
    <row r="975" spans="1:11" ht="15.75" customHeight="1" x14ac:dyDescent="0.25">
      <c r="A975" s="14"/>
      <c r="C975" s="15"/>
      <c r="D975" s="15"/>
      <c r="E975" s="15"/>
      <c r="F975" s="15"/>
      <c r="G975" s="16"/>
      <c r="H975" s="16"/>
      <c r="I975" s="15"/>
      <c r="J975" s="15" t="str">
        <f>TEXT(A975,"yyyy-mm")</f>
        <v>yyyy-01</v>
      </c>
      <c r="K975" s="16">
        <f>K974 + IF(C975="Entrada", G975, -G975)</f>
        <v>-5277.5099999999984</v>
      </c>
    </row>
    <row r="976" spans="1:11" ht="15.75" customHeight="1" x14ac:dyDescent="0.25">
      <c r="A976" s="14"/>
      <c r="C976" s="15"/>
      <c r="D976" s="15"/>
      <c r="E976" s="15"/>
      <c r="F976" s="15"/>
      <c r="G976" s="16"/>
      <c r="H976" s="16"/>
      <c r="I976" s="15"/>
      <c r="J976" s="15" t="str">
        <f>TEXT(A976,"yyyy-mm")</f>
        <v>yyyy-01</v>
      </c>
      <c r="K976" s="16">
        <f>K975 + IF(C976="Entrada", G976, -G976)</f>
        <v>-5277.5099999999984</v>
      </c>
    </row>
    <row r="977" spans="1:11" ht="15.75" customHeight="1" x14ac:dyDescent="0.25">
      <c r="A977" s="14"/>
      <c r="C977" s="15"/>
      <c r="D977" s="15"/>
      <c r="E977" s="15"/>
      <c r="F977" s="15"/>
      <c r="G977" s="16"/>
      <c r="H977" s="16"/>
      <c r="I977" s="15"/>
      <c r="J977" s="15" t="str">
        <f>TEXT(A977,"yyyy-mm")</f>
        <v>yyyy-01</v>
      </c>
      <c r="K977" s="16">
        <f>K976 + IF(C977="Entrada", G977, -G977)</f>
        <v>-5277.5099999999984</v>
      </c>
    </row>
    <row r="978" spans="1:11" ht="15.75" customHeight="1" x14ac:dyDescent="0.25">
      <c r="A978" s="14"/>
      <c r="C978" s="15"/>
      <c r="D978" s="15"/>
      <c r="E978" s="15"/>
      <c r="F978" s="15"/>
      <c r="G978" s="16"/>
      <c r="H978" s="16"/>
      <c r="I978" s="15"/>
      <c r="J978" s="15" t="str">
        <f>TEXT(A978,"yyyy-mm")</f>
        <v>yyyy-01</v>
      </c>
      <c r="K978" s="16">
        <f>K977 + IF(C978="Entrada", G978, -G978)</f>
        <v>-5277.5099999999984</v>
      </c>
    </row>
    <row r="979" spans="1:11" ht="15.75" customHeight="1" x14ac:dyDescent="0.25">
      <c r="A979" s="14"/>
      <c r="C979" s="15"/>
      <c r="D979" s="15"/>
      <c r="E979" s="15"/>
      <c r="F979" s="15"/>
      <c r="G979" s="16"/>
      <c r="H979" s="16"/>
      <c r="I979" s="15"/>
      <c r="J979" s="15" t="str">
        <f>TEXT(A979,"yyyy-mm")</f>
        <v>yyyy-01</v>
      </c>
      <c r="K979" s="16">
        <f>K978 + IF(C979="Entrada", G979, -G979)</f>
        <v>-5277.5099999999984</v>
      </c>
    </row>
    <row r="980" spans="1:11" ht="15.75" customHeight="1" x14ac:dyDescent="0.25">
      <c r="A980" s="14"/>
      <c r="C980" s="15"/>
      <c r="D980" s="15"/>
      <c r="E980" s="15"/>
      <c r="F980" s="15"/>
      <c r="G980" s="16"/>
      <c r="H980" s="16"/>
      <c r="I980" s="15"/>
      <c r="J980" s="15" t="str">
        <f>TEXT(A980,"yyyy-mm")</f>
        <v>yyyy-01</v>
      </c>
      <c r="K980" s="16">
        <f>K979 + IF(C980="Entrada", G980, -G980)</f>
        <v>-5277.5099999999984</v>
      </c>
    </row>
    <row r="981" spans="1:11" ht="15.75" customHeight="1" x14ac:dyDescent="0.25">
      <c r="A981" s="14"/>
      <c r="C981" s="15"/>
      <c r="D981" s="15"/>
      <c r="E981" s="15"/>
      <c r="F981" s="15"/>
      <c r="G981" s="16"/>
      <c r="H981" s="16"/>
      <c r="I981" s="15"/>
      <c r="J981" s="15" t="str">
        <f>TEXT(A981,"yyyy-mm")</f>
        <v>yyyy-01</v>
      </c>
      <c r="K981" s="16">
        <f>K980 + IF(C981="Entrada", G981, -G981)</f>
        <v>-5277.5099999999984</v>
      </c>
    </row>
    <row r="982" spans="1:11" ht="15.75" customHeight="1" x14ac:dyDescent="0.25">
      <c r="A982" s="14"/>
      <c r="C982" s="15"/>
      <c r="D982" s="15"/>
      <c r="E982" s="15"/>
      <c r="F982" s="15"/>
      <c r="G982" s="16"/>
      <c r="H982" s="16"/>
      <c r="I982" s="15"/>
      <c r="J982" s="15" t="str">
        <f>TEXT(A982,"yyyy-mm")</f>
        <v>yyyy-01</v>
      </c>
      <c r="K982" s="16">
        <f>K981 + IF(C982="Entrada", G982, -G982)</f>
        <v>-5277.5099999999984</v>
      </c>
    </row>
    <row r="983" spans="1:11" ht="15.75" customHeight="1" x14ac:dyDescent="0.25">
      <c r="A983" s="14"/>
      <c r="C983" s="15"/>
      <c r="D983" s="15"/>
      <c r="E983" s="15"/>
      <c r="F983" s="15"/>
      <c r="G983" s="16"/>
      <c r="H983" s="16"/>
      <c r="I983" s="15"/>
      <c r="J983" s="15" t="str">
        <f>TEXT(A983,"yyyy-mm")</f>
        <v>yyyy-01</v>
      </c>
      <c r="K983" s="16">
        <f>K982 + IF(C983="Entrada", G983, -G983)</f>
        <v>-5277.5099999999984</v>
      </c>
    </row>
    <row r="984" spans="1:11" ht="15.75" customHeight="1" x14ac:dyDescent="0.25">
      <c r="A984" s="14"/>
      <c r="C984" s="15"/>
      <c r="D984" s="15"/>
      <c r="E984" s="15"/>
      <c r="F984" s="15"/>
      <c r="G984" s="16"/>
      <c r="H984" s="16"/>
      <c r="I984" s="15"/>
      <c r="J984" s="15" t="str">
        <f>TEXT(A984,"yyyy-mm")</f>
        <v>yyyy-01</v>
      </c>
      <c r="K984" s="16">
        <f>K983 + IF(C984="Entrada", G984, -G984)</f>
        <v>-5277.5099999999984</v>
      </c>
    </row>
    <row r="985" spans="1:11" ht="15.75" customHeight="1" x14ac:dyDescent="0.25">
      <c r="A985" s="14"/>
      <c r="C985" s="15"/>
      <c r="D985" s="15"/>
      <c r="E985" s="15"/>
      <c r="F985" s="15"/>
      <c r="G985" s="16"/>
      <c r="H985" s="16"/>
      <c r="I985" s="15"/>
      <c r="J985" s="15" t="str">
        <f>TEXT(A985,"yyyy-mm")</f>
        <v>yyyy-01</v>
      </c>
      <c r="K985" s="16">
        <f>K984 + IF(C985="Entrada", G985, -G985)</f>
        <v>-5277.5099999999984</v>
      </c>
    </row>
    <row r="986" spans="1:11" ht="15.75" customHeight="1" x14ac:dyDescent="0.25">
      <c r="A986" s="14"/>
      <c r="C986" s="15"/>
      <c r="D986" s="15"/>
      <c r="E986" s="15"/>
      <c r="F986" s="15"/>
      <c r="G986" s="16"/>
      <c r="H986" s="16"/>
      <c r="I986" s="15"/>
      <c r="J986" s="15" t="str">
        <f>TEXT(A986,"yyyy-mm")</f>
        <v>yyyy-01</v>
      </c>
      <c r="K986" s="16">
        <f>K985 + IF(C986="Entrada", G986, -G986)</f>
        <v>-5277.5099999999984</v>
      </c>
    </row>
    <row r="987" spans="1:11" ht="15.75" customHeight="1" x14ac:dyDescent="0.25">
      <c r="A987" s="14"/>
      <c r="C987" s="15"/>
      <c r="D987" s="15"/>
      <c r="E987" s="15"/>
      <c r="F987" s="15"/>
      <c r="G987" s="16"/>
      <c r="H987" s="16"/>
      <c r="I987" s="15"/>
      <c r="J987" s="15" t="str">
        <f>TEXT(A987,"yyyy-mm")</f>
        <v>yyyy-01</v>
      </c>
      <c r="K987" s="16">
        <f>K986 + IF(C987="Entrada", G987, -G987)</f>
        <v>-5277.5099999999984</v>
      </c>
    </row>
    <row r="988" spans="1:11" ht="15.75" customHeight="1" x14ac:dyDescent="0.25">
      <c r="A988" s="14"/>
      <c r="C988" s="15"/>
      <c r="D988" s="15"/>
      <c r="E988" s="15"/>
      <c r="F988" s="15"/>
      <c r="G988" s="16"/>
      <c r="H988" s="16"/>
      <c r="I988" s="15"/>
      <c r="J988" s="15" t="str">
        <f>TEXT(A988,"yyyy-mm")</f>
        <v>yyyy-01</v>
      </c>
      <c r="K988" s="16">
        <f>K987 + IF(C988="Entrada", G988, -G988)</f>
        <v>-5277.5099999999984</v>
      </c>
    </row>
    <row r="989" spans="1:11" ht="15.75" customHeight="1" x14ac:dyDescent="0.25">
      <c r="A989" s="14"/>
      <c r="C989" s="15"/>
      <c r="D989" s="15"/>
      <c r="E989" s="15"/>
      <c r="F989" s="15"/>
      <c r="G989" s="16"/>
      <c r="H989" s="16"/>
      <c r="I989" s="15"/>
      <c r="J989" s="15" t="str">
        <f>TEXT(A989,"yyyy-mm")</f>
        <v>yyyy-01</v>
      </c>
      <c r="K989" s="16">
        <f>K988 + IF(C989="Entrada", G989, -G989)</f>
        <v>-5277.5099999999984</v>
      </c>
    </row>
    <row r="990" spans="1:11" ht="15.75" customHeight="1" x14ac:dyDescent="0.25">
      <c r="A990" s="14"/>
      <c r="C990" s="15"/>
      <c r="D990" s="15"/>
      <c r="E990" s="15"/>
      <c r="F990" s="15"/>
      <c r="G990" s="16"/>
      <c r="H990" s="16"/>
      <c r="I990" s="15"/>
      <c r="J990" s="15" t="str">
        <f>TEXT(A990,"yyyy-mm")</f>
        <v>yyyy-01</v>
      </c>
      <c r="K990" s="16">
        <f>K989 + IF(C990="Entrada", G990, -G990)</f>
        <v>-5277.5099999999984</v>
      </c>
    </row>
  </sheetData>
  <dataValidations count="5">
    <dataValidation type="list" allowBlank="1" showErrorMessage="1" sqref="E3:E177 E218:E239" xr:uid="{00000000-0002-0000-0000-000004000000}">
      <formula1>"Caixa,Banco Principal"</formula1>
    </dataValidation>
    <dataValidation type="list" allowBlank="1" showErrorMessage="1" sqref="F3:F177 F218:F239" xr:uid="{00000000-0002-0000-0000-000003000000}">
      <formula1>"Pix,Dinheiro,Débito,Crédito"</formula1>
    </dataValidation>
    <dataValidation type="list" allowBlank="1" showErrorMessage="1" sqref="D142" xr:uid="{00000000-0002-0000-0000-000002000000}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type="list" allowBlank="1" showErrorMessage="1" sqref="D3:D141 D143:D177 D218:D239" xr:uid="{00000000-0002-0000-0000-000001000000}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type="list" allowBlank="1" showInputMessage="1" showErrorMessage="1" prompt="Clique e digite um valor da lista de itens" sqref="C3:C177 C218:C990" xr:uid="{00000000-0002-0000-0000-000000000000}">
      <formula1>"Entrada,Saída"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44DFF-B850-457B-99B2-3D5E8AA51E26}">
  <dimension ref="A1:L1043"/>
  <sheetViews>
    <sheetView workbookViewId="0">
      <selection activeCell="B3" sqref="B3"/>
    </sheetView>
  </sheetViews>
  <sheetFormatPr defaultColWidth="14.42578125" defaultRowHeight="15" customHeight="1" x14ac:dyDescent="0.25"/>
  <cols>
    <col min="1" max="1" width="17" customWidth="1"/>
    <col min="2" max="3" width="18" customWidth="1"/>
    <col min="4" max="4" width="16" customWidth="1"/>
    <col min="5" max="5" width="7.140625" customWidth="1"/>
    <col min="6" max="6" width="8.7109375" customWidth="1"/>
    <col min="7" max="7" width="16.140625" customWidth="1"/>
    <col min="8" max="8" width="15.28515625" customWidth="1"/>
    <col min="9" max="9" width="13.42578125" customWidth="1"/>
    <col min="10" max="10" width="12.42578125" customWidth="1"/>
    <col min="11" max="11" width="14.85546875" customWidth="1"/>
    <col min="12" max="12" width="15.7109375" customWidth="1"/>
    <col min="13" max="26" width="8.7109375" customWidth="1"/>
  </cols>
  <sheetData>
    <row r="1" spans="1:10" ht="18.75" x14ac:dyDescent="0.3">
      <c r="A1" s="97" t="s">
        <v>46</v>
      </c>
      <c r="B1" s="96"/>
      <c r="C1" s="96"/>
      <c r="D1" s="95"/>
    </row>
    <row r="3" spans="1:10" x14ac:dyDescent="0.25">
      <c r="A3" s="19" t="s">
        <v>47</v>
      </c>
      <c r="B3" s="10">
        <f>SUMIF(Lançamentos!C:C,"Entrada",Lançamentos!G:G)</f>
        <v>21413</v>
      </c>
    </row>
    <row r="4" spans="1:10" x14ac:dyDescent="0.25">
      <c r="A4" s="19" t="s">
        <v>48</v>
      </c>
      <c r="B4" s="10">
        <f>SUMIF(Lançamentos!C:C,"Saída",Lançamentos!G:G)</f>
        <v>25237.329999999998</v>
      </c>
    </row>
    <row r="5" spans="1:10" x14ac:dyDescent="0.25">
      <c r="A5" s="19" t="s">
        <v>49</v>
      </c>
      <c r="B5" s="10">
        <f>B3-B4</f>
        <v>-3824.3299999999981</v>
      </c>
    </row>
    <row r="7" spans="1:10" x14ac:dyDescent="0.25">
      <c r="A7" s="20" t="s">
        <v>9</v>
      </c>
      <c r="B7" s="20" t="s">
        <v>50</v>
      </c>
      <c r="C7" s="20" t="s">
        <v>51</v>
      </c>
      <c r="D7" s="20" t="s">
        <v>52</v>
      </c>
      <c r="E7" s="94" t="s">
        <v>53</v>
      </c>
      <c r="G7" s="21"/>
      <c r="H7" s="21"/>
      <c r="I7" s="21"/>
      <c r="J7" s="21"/>
    </row>
    <row r="8" spans="1:10" x14ac:dyDescent="0.25">
      <c r="A8" s="22" t="s">
        <v>54</v>
      </c>
      <c r="B8" s="23">
        <v>133749.59000000003</v>
      </c>
      <c r="C8" s="23">
        <v>99338.319999999978</v>
      </c>
      <c r="D8" s="23">
        <v>34411.270000000048</v>
      </c>
      <c r="E8" s="93"/>
      <c r="H8" s="24"/>
      <c r="I8" s="24"/>
      <c r="J8" s="24"/>
    </row>
    <row r="9" spans="1:10" x14ac:dyDescent="0.25">
      <c r="A9" s="25" t="s">
        <v>13</v>
      </c>
      <c r="B9" s="26">
        <v>128337.2</v>
      </c>
      <c r="C9" s="26"/>
      <c r="D9" s="26"/>
      <c r="E9" s="93"/>
      <c r="H9" s="24"/>
      <c r="I9" s="24"/>
      <c r="J9" s="24"/>
    </row>
    <row r="10" spans="1:10" x14ac:dyDescent="0.25">
      <c r="A10" s="22" t="s">
        <v>55</v>
      </c>
      <c r="B10" s="23">
        <v>5470.7900000000009</v>
      </c>
      <c r="C10" s="23"/>
      <c r="D10" s="23"/>
      <c r="E10" s="93"/>
      <c r="H10" s="24"/>
      <c r="I10" s="24"/>
      <c r="J10" s="24"/>
    </row>
    <row r="11" spans="1:10" x14ac:dyDescent="0.25">
      <c r="A11" s="25" t="s">
        <v>56</v>
      </c>
      <c r="B11" s="26"/>
      <c r="C11" s="26">
        <v>20849.989999999998</v>
      </c>
      <c r="D11" s="26"/>
      <c r="E11" s="93"/>
      <c r="H11" s="24"/>
      <c r="I11" s="24"/>
      <c r="J11" s="24"/>
    </row>
    <row r="12" spans="1:10" x14ac:dyDescent="0.25">
      <c r="A12" s="22" t="s">
        <v>57</v>
      </c>
      <c r="B12" s="23"/>
      <c r="C12" s="23">
        <v>10960.75</v>
      </c>
      <c r="D12" s="23"/>
      <c r="E12" s="93"/>
      <c r="H12" s="24"/>
      <c r="I12" s="24"/>
      <c r="J12" s="24"/>
    </row>
    <row r="13" spans="1:10" x14ac:dyDescent="0.25">
      <c r="A13" s="25" t="s">
        <v>58</v>
      </c>
      <c r="B13" s="26"/>
      <c r="C13" s="26">
        <v>13106.57</v>
      </c>
      <c r="D13" s="26"/>
      <c r="E13" s="93"/>
      <c r="H13" s="24"/>
      <c r="I13" s="24"/>
      <c r="J13" s="24"/>
    </row>
    <row r="14" spans="1:10" x14ac:dyDescent="0.25">
      <c r="A14" s="22" t="s">
        <v>59</v>
      </c>
      <c r="B14" s="23"/>
      <c r="C14" s="23">
        <v>32119.400000000005</v>
      </c>
      <c r="D14" s="23"/>
      <c r="E14" s="93"/>
      <c r="H14" s="24"/>
      <c r="I14" s="24"/>
      <c r="J14" s="24"/>
    </row>
    <row r="15" spans="1:10" x14ac:dyDescent="0.25">
      <c r="A15" s="25" t="s">
        <v>60</v>
      </c>
      <c r="B15" s="26"/>
      <c r="C15" s="26">
        <v>736.5200000000001</v>
      </c>
      <c r="D15" s="26"/>
      <c r="E15" s="93"/>
      <c r="H15" s="24"/>
      <c r="I15" s="24"/>
      <c r="J15" s="24"/>
    </row>
    <row r="16" spans="1:10" x14ac:dyDescent="0.25">
      <c r="A16" s="22" t="s">
        <v>61</v>
      </c>
      <c r="B16" s="23"/>
      <c r="C16" s="23">
        <v>4478.1899999999996</v>
      </c>
      <c r="D16" s="23"/>
      <c r="E16" s="93"/>
      <c r="H16" s="24"/>
      <c r="I16" s="24"/>
      <c r="J16" s="24"/>
    </row>
    <row r="17" spans="1:10" x14ac:dyDescent="0.25">
      <c r="A17" s="25" t="s">
        <v>62</v>
      </c>
      <c r="B17" s="26"/>
      <c r="C17" s="26">
        <v>4744.17</v>
      </c>
      <c r="D17" s="26"/>
      <c r="E17" s="93"/>
      <c r="H17" s="24"/>
      <c r="I17" s="24"/>
      <c r="J17" s="24"/>
    </row>
    <row r="18" spans="1:10" x14ac:dyDescent="0.25">
      <c r="A18" s="22" t="s">
        <v>63</v>
      </c>
      <c r="B18" s="23"/>
      <c r="C18" s="23">
        <v>880</v>
      </c>
      <c r="D18" s="23"/>
      <c r="E18" s="93"/>
      <c r="H18" s="24"/>
      <c r="I18" s="24"/>
      <c r="J18" s="24"/>
    </row>
    <row r="19" spans="1:10" x14ac:dyDescent="0.25">
      <c r="A19" s="25" t="s">
        <v>64</v>
      </c>
      <c r="B19" s="26"/>
      <c r="C19" s="26">
        <v>730</v>
      </c>
      <c r="D19" s="26"/>
      <c r="E19" s="93"/>
      <c r="H19" s="24"/>
      <c r="I19" s="24"/>
      <c r="J19" s="24"/>
    </row>
    <row r="20" spans="1:10" x14ac:dyDescent="0.25">
      <c r="A20" s="22" t="s">
        <v>65</v>
      </c>
      <c r="B20" s="23"/>
      <c r="C20" s="23">
        <v>3260.25</v>
      </c>
      <c r="D20" s="23"/>
      <c r="E20" s="93"/>
      <c r="H20" s="24"/>
      <c r="I20" s="24"/>
      <c r="J20" s="24"/>
    </row>
    <row r="21" spans="1:10" x14ac:dyDescent="0.25">
      <c r="A21" s="25" t="s">
        <v>66</v>
      </c>
      <c r="B21" s="26"/>
      <c r="C21" s="26">
        <v>7726.31</v>
      </c>
      <c r="D21" s="26"/>
      <c r="E21" s="93"/>
      <c r="H21" s="24"/>
      <c r="I21" s="24"/>
      <c r="J21" s="24"/>
    </row>
    <row r="22" spans="1:10" x14ac:dyDescent="0.25">
      <c r="A22" s="22" t="s">
        <v>67</v>
      </c>
      <c r="B22" s="23"/>
      <c r="C22" s="23">
        <v>3.5</v>
      </c>
      <c r="D22" s="23"/>
      <c r="E22" s="93"/>
      <c r="H22" s="24"/>
      <c r="I22" s="24"/>
      <c r="J22" s="24"/>
    </row>
    <row r="23" spans="1:10" x14ac:dyDescent="0.25">
      <c r="A23" s="25" t="s">
        <v>33</v>
      </c>
      <c r="B23" s="26"/>
      <c r="C23" s="26">
        <v>1243.5</v>
      </c>
      <c r="D23" s="26"/>
      <c r="E23" s="93"/>
      <c r="H23" s="24"/>
      <c r="I23" s="24"/>
      <c r="J23" s="24"/>
    </row>
    <row r="24" spans="1:10" x14ac:dyDescent="0.25">
      <c r="A24" s="22" t="s">
        <v>68</v>
      </c>
      <c r="B24" s="23"/>
      <c r="C24" s="23">
        <v>2000</v>
      </c>
      <c r="D24" s="23"/>
      <c r="E24" s="93"/>
      <c r="H24" s="24"/>
      <c r="I24" s="24"/>
      <c r="J24" s="24"/>
    </row>
    <row r="25" spans="1:10" x14ac:dyDescent="0.25">
      <c r="A25" s="25" t="s">
        <v>69</v>
      </c>
      <c r="B25" s="26">
        <v>133807.99</v>
      </c>
      <c r="C25" s="26">
        <v>102839.15000000001</v>
      </c>
      <c r="D25" s="26"/>
      <c r="E25" s="92"/>
      <c r="H25" s="24"/>
      <c r="I25" s="24"/>
      <c r="J25" s="24"/>
    </row>
    <row r="26" spans="1:10" x14ac:dyDescent="0.25">
      <c r="B26" s="27"/>
      <c r="C26" s="27"/>
      <c r="D26" s="27"/>
    </row>
    <row r="27" spans="1:10" x14ac:dyDescent="0.25">
      <c r="A27" s="20" t="s">
        <v>9</v>
      </c>
      <c r="B27" s="20" t="s">
        <v>50</v>
      </c>
      <c r="C27" s="20" t="s">
        <v>51</v>
      </c>
      <c r="D27" s="20" t="s">
        <v>52</v>
      </c>
      <c r="E27" s="94" t="s">
        <v>70</v>
      </c>
    </row>
    <row r="28" spans="1:10" x14ac:dyDescent="0.25">
      <c r="A28" s="5" t="s">
        <v>71</v>
      </c>
      <c r="B28" s="26">
        <v>178658.54</v>
      </c>
      <c r="C28" s="26">
        <v>118968.96000000002</v>
      </c>
      <c r="D28" s="26">
        <v>59689.579999999987</v>
      </c>
      <c r="E28" s="93"/>
      <c r="G28" s="24"/>
      <c r="H28" s="24"/>
      <c r="I28" s="24"/>
    </row>
    <row r="29" spans="1:10" x14ac:dyDescent="0.25">
      <c r="A29" s="28" t="s">
        <v>13</v>
      </c>
      <c r="B29" s="29">
        <v>150151.28999999998</v>
      </c>
      <c r="C29" s="29"/>
      <c r="D29" s="29"/>
      <c r="E29" s="93"/>
      <c r="G29" s="24"/>
      <c r="H29" s="24"/>
      <c r="I29" s="24"/>
    </row>
    <row r="30" spans="1:10" x14ac:dyDescent="0.25">
      <c r="A30" s="30" t="s">
        <v>55</v>
      </c>
      <c r="B30" s="26">
        <v>4338.7999999999993</v>
      </c>
      <c r="C30" s="26"/>
      <c r="D30" s="26"/>
      <c r="E30" s="93"/>
      <c r="G30" s="24"/>
      <c r="H30" s="24"/>
      <c r="I30" s="24"/>
    </row>
    <row r="31" spans="1:10" x14ac:dyDescent="0.25">
      <c r="A31" s="28" t="s">
        <v>56</v>
      </c>
      <c r="B31" s="29"/>
      <c r="C31" s="29">
        <v>26328.019999999997</v>
      </c>
      <c r="D31" s="29"/>
      <c r="E31" s="93"/>
      <c r="G31" s="24"/>
      <c r="H31" s="24"/>
      <c r="I31" s="24"/>
    </row>
    <row r="32" spans="1:10" x14ac:dyDescent="0.25">
      <c r="A32" s="30" t="s">
        <v>57</v>
      </c>
      <c r="B32" s="26"/>
      <c r="C32" s="26">
        <v>15407.56</v>
      </c>
      <c r="D32" s="26"/>
      <c r="E32" s="93"/>
      <c r="G32" s="24"/>
      <c r="H32" s="24"/>
      <c r="I32" s="24"/>
    </row>
    <row r="33" spans="1:9" x14ac:dyDescent="0.25">
      <c r="A33" s="28" t="s">
        <v>58</v>
      </c>
      <c r="B33" s="29"/>
      <c r="C33" s="29">
        <v>14160.93</v>
      </c>
      <c r="D33" s="29"/>
      <c r="E33" s="93"/>
      <c r="G33" s="24"/>
      <c r="H33" s="24"/>
      <c r="I33" s="24"/>
    </row>
    <row r="34" spans="1:9" x14ac:dyDescent="0.25">
      <c r="A34" s="30" t="s">
        <v>59</v>
      </c>
      <c r="B34" s="26"/>
      <c r="C34" s="26">
        <v>47686.139999999992</v>
      </c>
      <c r="D34" s="26"/>
      <c r="E34" s="93"/>
      <c r="G34" s="24"/>
      <c r="H34" s="24"/>
      <c r="I34" s="24"/>
    </row>
    <row r="35" spans="1:9" x14ac:dyDescent="0.25">
      <c r="A35" s="28" t="s">
        <v>60</v>
      </c>
      <c r="B35" s="29"/>
      <c r="C35" s="29">
        <v>0</v>
      </c>
      <c r="D35" s="29"/>
      <c r="E35" s="93"/>
      <c r="G35" s="24"/>
      <c r="H35" s="24"/>
      <c r="I35" s="24"/>
    </row>
    <row r="36" spans="1:9" x14ac:dyDescent="0.25">
      <c r="A36" s="30" t="s">
        <v>61</v>
      </c>
      <c r="B36" s="26"/>
      <c r="C36" s="26">
        <v>3898.85</v>
      </c>
      <c r="D36" s="26"/>
      <c r="E36" s="93"/>
      <c r="G36" s="24"/>
      <c r="H36" s="24"/>
      <c r="I36" s="24"/>
    </row>
    <row r="37" spans="1:9" x14ac:dyDescent="0.25">
      <c r="A37" s="28" t="s">
        <v>62</v>
      </c>
      <c r="B37" s="29"/>
      <c r="C37" s="29">
        <v>387.65</v>
      </c>
      <c r="D37" s="29"/>
      <c r="E37" s="93"/>
      <c r="G37" s="24"/>
      <c r="H37" s="24"/>
      <c r="I37" s="24"/>
    </row>
    <row r="38" spans="1:9" x14ac:dyDescent="0.25">
      <c r="A38" s="30" t="s">
        <v>63</v>
      </c>
      <c r="B38" s="26"/>
      <c r="C38" s="26">
        <v>724</v>
      </c>
      <c r="D38" s="26"/>
      <c r="E38" s="93"/>
      <c r="G38" s="24"/>
      <c r="H38" s="24"/>
      <c r="I38" s="24"/>
    </row>
    <row r="39" spans="1:9" x14ac:dyDescent="0.25">
      <c r="A39" s="28" t="s">
        <v>64</v>
      </c>
      <c r="B39" s="29"/>
      <c r="C39" s="29">
        <v>1166.74</v>
      </c>
      <c r="D39" s="29"/>
      <c r="E39" s="93"/>
      <c r="G39" s="24"/>
      <c r="H39" s="24"/>
      <c r="I39" s="24"/>
    </row>
    <row r="40" spans="1:9" x14ac:dyDescent="0.25">
      <c r="A40" s="30" t="s">
        <v>65</v>
      </c>
      <c r="B40" s="26"/>
      <c r="C40" s="26">
        <v>0</v>
      </c>
      <c r="D40" s="26"/>
      <c r="E40" s="93"/>
      <c r="G40" s="24"/>
      <c r="H40" s="24"/>
      <c r="I40" s="24"/>
    </row>
    <row r="41" spans="1:9" x14ac:dyDescent="0.25">
      <c r="A41" s="28" t="s">
        <v>66</v>
      </c>
      <c r="B41" s="29"/>
      <c r="C41" s="29">
        <v>8013.92</v>
      </c>
      <c r="D41" s="29"/>
      <c r="E41" s="93"/>
      <c r="G41" s="24"/>
      <c r="H41" s="24"/>
      <c r="I41" s="24"/>
    </row>
    <row r="42" spans="1:9" x14ac:dyDescent="0.25">
      <c r="A42" s="30" t="s">
        <v>67</v>
      </c>
      <c r="B42" s="26"/>
      <c r="C42" s="26">
        <v>0</v>
      </c>
      <c r="D42" s="26"/>
      <c r="E42" s="93"/>
      <c r="G42" s="24"/>
      <c r="H42" s="24"/>
      <c r="I42" s="24"/>
    </row>
    <row r="43" spans="1:9" x14ac:dyDescent="0.25">
      <c r="A43" s="28" t="s">
        <v>16</v>
      </c>
      <c r="B43" s="29"/>
      <c r="C43" s="29">
        <v>13185</v>
      </c>
      <c r="D43" s="29"/>
      <c r="E43" s="93"/>
      <c r="G43" s="24"/>
      <c r="H43" s="24"/>
      <c r="I43" s="24"/>
    </row>
    <row r="44" spans="1:9" x14ac:dyDescent="0.25">
      <c r="A44" s="30" t="s">
        <v>33</v>
      </c>
      <c r="B44" s="26"/>
      <c r="C44" s="26">
        <v>1091</v>
      </c>
      <c r="D44" s="26"/>
      <c r="E44" s="93"/>
      <c r="G44" s="24"/>
      <c r="H44" s="24"/>
      <c r="I44" s="24"/>
    </row>
    <row r="45" spans="1:9" x14ac:dyDescent="0.25">
      <c r="A45" s="28" t="s">
        <v>68</v>
      </c>
      <c r="B45" s="29"/>
      <c r="C45" s="29">
        <v>2650</v>
      </c>
      <c r="D45" s="29"/>
      <c r="E45" s="93"/>
      <c r="G45" s="24"/>
      <c r="H45" s="24"/>
      <c r="I45" s="24"/>
    </row>
    <row r="46" spans="1:9" x14ac:dyDescent="0.25">
      <c r="A46" s="31" t="s">
        <v>69</v>
      </c>
      <c r="B46" s="32">
        <f>SUM(B29:B45)</f>
        <v>154490.08999999997</v>
      </c>
      <c r="C46" s="32">
        <f>SUM(C29:C45)</f>
        <v>134699.81</v>
      </c>
      <c r="D46" s="32"/>
      <c r="E46" s="92"/>
    </row>
    <row r="47" spans="1:9" x14ac:dyDescent="0.25">
      <c r="B47" s="27"/>
      <c r="C47" s="27"/>
      <c r="D47" s="27"/>
    </row>
    <row r="48" spans="1:9" x14ac:dyDescent="0.25">
      <c r="A48" s="20" t="s">
        <v>9</v>
      </c>
      <c r="B48" s="20" t="s">
        <v>50</v>
      </c>
      <c r="C48" s="20" t="s">
        <v>51</v>
      </c>
      <c r="D48" s="20" t="s">
        <v>52</v>
      </c>
      <c r="E48" s="94" t="s">
        <v>72</v>
      </c>
    </row>
    <row r="49" spans="1:10" x14ac:dyDescent="0.25">
      <c r="A49" s="33">
        <v>46023</v>
      </c>
      <c r="B49" s="7">
        <f>SUMIFS(Lançamentos!G:G,Lançamentos!C:C,"Entrada",Lançamentos!J:J,A49)</f>
        <v>0</v>
      </c>
      <c r="C49" s="7">
        <f>SUMIFS(Lançamentos!G:G,Lançamentos!C:C,"Saída",Lançamentos!J:J,A49)</f>
        <v>0</v>
      </c>
      <c r="D49" s="7">
        <f>B49-C49</f>
        <v>0</v>
      </c>
      <c r="E49" s="93"/>
    </row>
    <row r="50" spans="1:10" x14ac:dyDescent="0.25">
      <c r="A50" s="34" t="s">
        <v>13</v>
      </c>
      <c r="B50" s="35">
        <f>171115.5-5836</f>
        <v>165279.5</v>
      </c>
      <c r="C50" s="35"/>
      <c r="D50" s="36"/>
      <c r="E50" s="93"/>
      <c r="H50" s="24"/>
      <c r="I50" s="24"/>
      <c r="J50" s="24"/>
    </row>
    <row r="51" spans="1:10" x14ac:dyDescent="0.25">
      <c r="A51" s="30" t="s">
        <v>55</v>
      </c>
      <c r="B51" s="26">
        <f>4818.6-387.11</f>
        <v>4431.4900000000007</v>
      </c>
      <c r="C51" s="26"/>
      <c r="D51" s="37"/>
      <c r="E51" s="93"/>
      <c r="H51" s="24"/>
      <c r="I51" s="24"/>
      <c r="J51" s="24"/>
    </row>
    <row r="52" spans="1:10" x14ac:dyDescent="0.25">
      <c r="A52" s="34" t="s">
        <v>56</v>
      </c>
      <c r="B52" s="35"/>
      <c r="C52" s="35">
        <v>18632.36</v>
      </c>
      <c r="D52" s="38"/>
      <c r="E52" s="93"/>
      <c r="H52" s="24"/>
      <c r="I52" s="24"/>
      <c r="J52" s="24"/>
    </row>
    <row r="53" spans="1:10" x14ac:dyDescent="0.25">
      <c r="A53" s="30" t="s">
        <v>57</v>
      </c>
      <c r="B53" s="26"/>
      <c r="C53" s="26">
        <v>15132.1</v>
      </c>
      <c r="D53" s="37"/>
      <c r="E53" s="93"/>
      <c r="H53" s="24"/>
      <c r="I53" s="24"/>
      <c r="J53" s="24"/>
    </row>
    <row r="54" spans="1:10" x14ac:dyDescent="0.25">
      <c r="A54" s="34" t="s">
        <v>58</v>
      </c>
      <c r="B54" s="35"/>
      <c r="C54" s="35">
        <v>19998.870000000003</v>
      </c>
      <c r="D54" s="38"/>
      <c r="E54" s="93"/>
      <c r="H54" s="24"/>
      <c r="I54" s="24"/>
      <c r="J54" s="24"/>
    </row>
    <row r="55" spans="1:10" x14ac:dyDescent="0.25">
      <c r="A55" s="30" t="s">
        <v>59</v>
      </c>
      <c r="B55" s="26"/>
      <c r="C55" s="26">
        <v>46256.520000000004</v>
      </c>
      <c r="D55" s="37"/>
      <c r="E55" s="93"/>
      <c r="H55" s="24"/>
      <c r="I55" s="24"/>
      <c r="J55" s="24"/>
    </row>
    <row r="56" spans="1:10" x14ac:dyDescent="0.25">
      <c r="A56" s="34" t="s">
        <v>60</v>
      </c>
      <c r="B56" s="35"/>
      <c r="C56" s="35">
        <v>523.17999999999995</v>
      </c>
      <c r="D56" s="38"/>
      <c r="E56" s="93"/>
      <c r="H56" s="24"/>
      <c r="I56" s="24"/>
      <c r="J56" s="24"/>
    </row>
    <row r="57" spans="1:10" x14ac:dyDescent="0.25">
      <c r="A57" s="30" t="s">
        <v>61</v>
      </c>
      <c r="B57" s="26"/>
      <c r="C57" s="26">
        <v>5371.8</v>
      </c>
      <c r="D57" s="37"/>
      <c r="E57" s="93"/>
      <c r="H57" s="24"/>
      <c r="I57" s="24"/>
      <c r="J57" s="24"/>
    </row>
    <row r="58" spans="1:10" x14ac:dyDescent="0.25">
      <c r="A58" s="34" t="s">
        <v>62</v>
      </c>
      <c r="B58" s="35"/>
      <c r="C58" s="35">
        <v>5378.68</v>
      </c>
      <c r="D58" s="38"/>
      <c r="E58" s="93"/>
      <c r="H58" s="24"/>
      <c r="I58" s="24"/>
      <c r="J58" s="24"/>
    </row>
    <row r="59" spans="1:10" ht="15.75" customHeight="1" x14ac:dyDescent="0.25">
      <c r="A59" s="30" t="s">
        <v>63</v>
      </c>
      <c r="B59" s="26"/>
      <c r="C59" s="26">
        <f>785-54</f>
        <v>731</v>
      </c>
      <c r="D59" s="37"/>
      <c r="E59" s="93"/>
      <c r="H59" s="24"/>
      <c r="I59" s="24"/>
      <c r="J59" s="24"/>
    </row>
    <row r="60" spans="1:10" ht="15.75" customHeight="1" x14ac:dyDescent="0.25">
      <c r="A60" s="34" t="s">
        <v>64</v>
      </c>
      <c r="B60" s="35"/>
      <c r="C60" s="35">
        <v>45</v>
      </c>
      <c r="D60" s="38"/>
      <c r="E60" s="93"/>
      <c r="H60" s="24"/>
      <c r="I60" s="24"/>
      <c r="J60" s="24"/>
    </row>
    <row r="61" spans="1:10" ht="15.75" customHeight="1" x14ac:dyDescent="0.25">
      <c r="A61" s="30" t="s">
        <v>65</v>
      </c>
      <c r="B61" s="26"/>
      <c r="C61" s="26">
        <v>554.46</v>
      </c>
      <c r="D61" s="37"/>
      <c r="E61" s="93"/>
      <c r="H61" s="24"/>
      <c r="I61" s="24"/>
      <c r="J61" s="24"/>
    </row>
    <row r="62" spans="1:10" ht="15.75" customHeight="1" x14ac:dyDescent="0.25">
      <c r="A62" s="34" t="s">
        <v>66</v>
      </c>
      <c r="B62" s="35"/>
      <c r="C62" s="35">
        <v>9629.0499999999993</v>
      </c>
      <c r="D62" s="38"/>
      <c r="E62" s="93"/>
      <c r="H62" s="24"/>
      <c r="I62" s="24"/>
      <c r="J62" s="24"/>
    </row>
    <row r="63" spans="1:10" ht="15.75" customHeight="1" x14ac:dyDescent="0.25">
      <c r="A63" s="30" t="s">
        <v>67</v>
      </c>
      <c r="B63" s="26"/>
      <c r="C63" s="26">
        <v>0</v>
      </c>
      <c r="D63" s="37"/>
      <c r="E63" s="93"/>
      <c r="H63" s="24"/>
      <c r="I63" s="24"/>
      <c r="J63" s="24"/>
    </row>
    <row r="64" spans="1:10" ht="15.75" customHeight="1" x14ac:dyDescent="0.25">
      <c r="A64" s="34" t="s">
        <v>16</v>
      </c>
      <c r="B64" s="35"/>
      <c r="C64" s="35">
        <v>13185</v>
      </c>
      <c r="D64" s="38"/>
      <c r="E64" s="93"/>
      <c r="H64" s="24"/>
      <c r="I64" s="24"/>
      <c r="J64" s="24"/>
    </row>
    <row r="65" spans="1:10" ht="15.75" customHeight="1" x14ac:dyDescent="0.25">
      <c r="A65" s="30" t="s">
        <v>33</v>
      </c>
      <c r="B65" s="39"/>
      <c r="C65" s="39">
        <f>2242-390</f>
        <v>1852</v>
      </c>
      <c r="D65" s="37"/>
      <c r="E65" s="93"/>
      <c r="H65" s="24"/>
      <c r="I65" s="24"/>
      <c r="J65" s="24"/>
    </row>
    <row r="66" spans="1:10" ht="15.75" customHeight="1" x14ac:dyDescent="0.25">
      <c r="A66" s="34" t="s">
        <v>68</v>
      </c>
      <c r="B66" s="35"/>
      <c r="C66" s="35">
        <v>2150</v>
      </c>
      <c r="D66" s="38"/>
      <c r="E66" s="93"/>
      <c r="H66" s="24"/>
      <c r="I66" s="24"/>
      <c r="J66" s="24"/>
    </row>
    <row r="67" spans="1:10" ht="15.75" customHeight="1" x14ac:dyDescent="0.25">
      <c r="A67" s="30" t="s">
        <v>73</v>
      </c>
      <c r="B67" s="26"/>
      <c r="C67" s="26">
        <v>13554.32</v>
      </c>
      <c r="D67" s="40"/>
      <c r="E67" s="93"/>
      <c r="H67" s="24"/>
      <c r="I67" s="24"/>
      <c r="J67" s="24"/>
    </row>
    <row r="68" spans="1:10" ht="15.75" customHeight="1" x14ac:dyDescent="0.25">
      <c r="A68" s="31" t="s">
        <v>69</v>
      </c>
      <c r="B68" s="32">
        <f>SUM(B50:B66)</f>
        <v>169710.99</v>
      </c>
      <c r="C68" s="32">
        <f>SUM(C50:C67)</f>
        <v>152994.34000000003</v>
      </c>
      <c r="D68" s="32"/>
      <c r="E68" s="92"/>
    </row>
    <row r="69" spans="1:10" ht="15.75" customHeight="1" x14ac:dyDescent="0.25"/>
    <row r="70" spans="1:10" ht="15.75" customHeight="1" x14ac:dyDescent="0.25">
      <c r="A70" s="20" t="s">
        <v>9</v>
      </c>
      <c r="B70" s="20" t="s">
        <v>50</v>
      </c>
      <c r="C70" s="20" t="s">
        <v>51</v>
      </c>
      <c r="D70" s="20" t="s">
        <v>52</v>
      </c>
      <c r="E70" s="94" t="s">
        <v>74</v>
      </c>
      <c r="G70" s="21"/>
      <c r="H70" s="21"/>
      <c r="I70" s="21"/>
      <c r="J70" s="21"/>
    </row>
    <row r="71" spans="1:10" ht="15.75" customHeight="1" x14ac:dyDescent="0.25">
      <c r="A71" s="33">
        <v>46054</v>
      </c>
      <c r="B71" s="26">
        <v>122551.38</v>
      </c>
      <c r="C71" s="26">
        <v>102298.93</v>
      </c>
      <c r="D71" s="26">
        <v>20252.450000000012</v>
      </c>
      <c r="E71" s="93"/>
      <c r="G71" s="41"/>
      <c r="H71" s="24"/>
      <c r="I71" s="24"/>
      <c r="J71" s="24"/>
    </row>
    <row r="72" spans="1:10" ht="15.75" customHeight="1" x14ac:dyDescent="0.25">
      <c r="A72" s="22" t="s">
        <v>13</v>
      </c>
      <c r="B72" s="23">
        <v>127109.6</v>
      </c>
      <c r="C72" s="23"/>
      <c r="D72" s="23"/>
      <c r="E72" s="93"/>
      <c r="H72" s="24"/>
      <c r="I72" s="24"/>
      <c r="J72" s="24"/>
    </row>
    <row r="73" spans="1:10" ht="15.75" customHeight="1" x14ac:dyDescent="0.25">
      <c r="A73" s="30" t="s">
        <v>55</v>
      </c>
      <c r="B73" s="26">
        <v>5097.08</v>
      </c>
      <c r="C73" s="26"/>
      <c r="D73" s="26"/>
      <c r="E73" s="93"/>
      <c r="H73" s="24"/>
      <c r="I73" s="24"/>
      <c r="J73" s="24"/>
    </row>
    <row r="74" spans="1:10" ht="15.75" customHeight="1" x14ac:dyDescent="0.25">
      <c r="A74" s="22" t="s">
        <v>56</v>
      </c>
      <c r="B74" s="23"/>
      <c r="C74" s="23">
        <v>15298.470000000001</v>
      </c>
      <c r="D74" s="23"/>
      <c r="E74" s="93"/>
      <c r="H74" s="24"/>
      <c r="I74" s="24"/>
      <c r="J74" s="24"/>
    </row>
    <row r="75" spans="1:10" ht="15.75" customHeight="1" x14ac:dyDescent="0.25">
      <c r="A75" s="30" t="s">
        <v>57</v>
      </c>
      <c r="B75" s="26"/>
      <c r="C75" s="26">
        <v>13355</v>
      </c>
      <c r="D75" s="26"/>
      <c r="E75" s="93"/>
      <c r="H75" s="24"/>
      <c r="I75" s="24"/>
      <c r="J75" s="24"/>
    </row>
    <row r="76" spans="1:10" ht="15.75" customHeight="1" x14ac:dyDescent="0.25">
      <c r="A76" s="22" t="s">
        <v>58</v>
      </c>
      <c r="B76" s="23"/>
      <c r="C76" s="23">
        <v>5859.01</v>
      </c>
      <c r="D76" s="23"/>
      <c r="E76" s="93"/>
      <c r="H76" s="24"/>
      <c r="I76" s="24"/>
      <c r="J76" s="24"/>
    </row>
    <row r="77" spans="1:10" ht="15.75" customHeight="1" x14ac:dyDescent="0.25">
      <c r="A77" s="30" t="s">
        <v>59</v>
      </c>
      <c r="B77" s="26"/>
      <c r="C77" s="26">
        <v>50433.540000000008</v>
      </c>
      <c r="D77" s="26"/>
      <c r="E77" s="93"/>
      <c r="H77" s="24"/>
      <c r="I77" s="24"/>
      <c r="J77" s="24"/>
    </row>
    <row r="78" spans="1:10" ht="15.75" customHeight="1" x14ac:dyDescent="0.25">
      <c r="A78" s="22" t="s">
        <v>60</v>
      </c>
      <c r="B78" s="23"/>
      <c r="C78" s="23">
        <v>0</v>
      </c>
      <c r="D78" s="23"/>
      <c r="E78" s="93"/>
      <c r="H78" s="24"/>
      <c r="I78" s="24"/>
      <c r="J78" s="24"/>
    </row>
    <row r="79" spans="1:10" ht="15.75" customHeight="1" x14ac:dyDescent="0.25">
      <c r="A79" s="30" t="s">
        <v>61</v>
      </c>
      <c r="B79" s="26"/>
      <c r="C79" s="26">
        <v>6212.3700000000008</v>
      </c>
      <c r="D79" s="26"/>
      <c r="E79" s="93"/>
      <c r="H79" s="24"/>
      <c r="I79" s="24"/>
      <c r="J79" s="24"/>
    </row>
    <row r="80" spans="1:10" ht="15.75" customHeight="1" x14ac:dyDescent="0.25">
      <c r="A80" s="22" t="s">
        <v>62</v>
      </c>
      <c r="B80" s="23"/>
      <c r="C80" s="23">
        <v>1758.4</v>
      </c>
      <c r="D80" s="23"/>
      <c r="E80" s="93"/>
      <c r="H80" s="24"/>
      <c r="I80" s="24"/>
      <c r="J80" s="24"/>
    </row>
    <row r="81" spans="1:10" ht="15.75" customHeight="1" x14ac:dyDescent="0.25">
      <c r="A81" s="30" t="s">
        <v>63</v>
      </c>
      <c r="B81" s="26"/>
      <c r="C81" s="26">
        <v>920</v>
      </c>
      <c r="D81" s="26"/>
      <c r="E81" s="93"/>
      <c r="H81" s="24"/>
      <c r="I81" s="24"/>
      <c r="J81" s="24"/>
    </row>
    <row r="82" spans="1:10" ht="15.75" customHeight="1" x14ac:dyDescent="0.25">
      <c r="A82" s="22" t="s">
        <v>64</v>
      </c>
      <c r="B82" s="23"/>
      <c r="C82" s="23">
        <v>777</v>
      </c>
      <c r="D82" s="23"/>
      <c r="E82" s="93"/>
      <c r="H82" s="24"/>
      <c r="I82" s="24"/>
      <c r="J82" s="24"/>
    </row>
    <row r="83" spans="1:10" ht="15.75" customHeight="1" x14ac:dyDescent="0.25">
      <c r="A83" s="30" t="s">
        <v>65</v>
      </c>
      <c r="B83" s="26"/>
      <c r="C83" s="26">
        <v>0</v>
      </c>
      <c r="D83" s="26"/>
      <c r="E83" s="93"/>
      <c r="H83" s="24"/>
      <c r="I83" s="24"/>
      <c r="J83" s="24"/>
    </row>
    <row r="84" spans="1:10" ht="15.75" customHeight="1" x14ac:dyDescent="0.25">
      <c r="A84" s="22" t="s">
        <v>66</v>
      </c>
      <c r="B84" s="23"/>
      <c r="C84" s="23">
        <v>10172.6</v>
      </c>
      <c r="D84" s="23"/>
      <c r="E84" s="93"/>
      <c r="H84" s="24"/>
      <c r="I84" s="24"/>
      <c r="J84" s="24"/>
    </row>
    <row r="85" spans="1:10" ht="15.75" customHeight="1" x14ac:dyDescent="0.25">
      <c r="A85" s="30" t="s">
        <v>67</v>
      </c>
      <c r="B85" s="26"/>
      <c r="C85" s="26">
        <v>33</v>
      </c>
      <c r="D85" s="26"/>
      <c r="E85" s="93"/>
      <c r="H85" s="24"/>
      <c r="I85" s="24"/>
      <c r="J85" s="24"/>
    </row>
    <row r="86" spans="1:10" ht="15.75" customHeight="1" x14ac:dyDescent="0.25">
      <c r="A86" s="22" t="s">
        <v>16</v>
      </c>
      <c r="B86" s="23"/>
      <c r="C86" s="23">
        <v>13185</v>
      </c>
      <c r="D86" s="23"/>
      <c r="E86" s="93"/>
      <c r="H86" s="24"/>
      <c r="I86" s="24"/>
      <c r="J86" s="24"/>
    </row>
    <row r="87" spans="1:10" ht="15.75" customHeight="1" x14ac:dyDescent="0.25">
      <c r="A87" s="30" t="s">
        <v>33</v>
      </c>
      <c r="B87" s="26"/>
      <c r="C87" s="26">
        <v>1650</v>
      </c>
      <c r="D87" s="26"/>
      <c r="E87" s="93"/>
      <c r="H87" s="24"/>
      <c r="I87" s="24"/>
      <c r="J87" s="24"/>
    </row>
    <row r="88" spans="1:10" ht="15.75" customHeight="1" x14ac:dyDescent="0.25">
      <c r="A88" s="22" t="s">
        <v>29</v>
      </c>
      <c r="B88" s="23"/>
      <c r="C88" s="23">
        <v>2665</v>
      </c>
      <c r="D88" s="23"/>
      <c r="E88" s="93"/>
      <c r="H88" s="24"/>
      <c r="I88" s="24"/>
      <c r="J88" s="24"/>
    </row>
    <row r="89" spans="1:10" ht="15.75" customHeight="1" x14ac:dyDescent="0.25">
      <c r="A89" s="30" t="s">
        <v>68</v>
      </c>
      <c r="B89" s="26"/>
      <c r="C89" s="26">
        <v>3222.5</v>
      </c>
      <c r="D89" s="26"/>
      <c r="E89" s="93"/>
      <c r="H89" s="24"/>
      <c r="I89" s="24"/>
      <c r="J89" s="24"/>
    </row>
    <row r="90" spans="1:10" ht="15.75" customHeight="1" x14ac:dyDescent="0.25">
      <c r="A90" s="22" t="s">
        <v>73</v>
      </c>
      <c r="B90" s="23"/>
      <c r="C90" s="23">
        <v>0</v>
      </c>
      <c r="D90" s="23"/>
      <c r="E90" s="93"/>
      <c r="H90" s="24"/>
      <c r="I90" s="24"/>
      <c r="J90" s="24"/>
    </row>
    <row r="91" spans="1:10" ht="15.75" customHeight="1" x14ac:dyDescent="0.25">
      <c r="A91" s="31" t="s">
        <v>69</v>
      </c>
      <c r="B91" s="42">
        <v>132206.68</v>
      </c>
      <c r="C91" s="42">
        <v>125541.89000000001</v>
      </c>
      <c r="D91" s="42"/>
      <c r="E91" s="92"/>
      <c r="H91" s="24"/>
      <c r="I91" s="24"/>
      <c r="J91" s="24"/>
    </row>
    <row r="92" spans="1:10" ht="15.75" customHeight="1" x14ac:dyDescent="0.25">
      <c r="B92" s="27"/>
      <c r="C92" s="27"/>
      <c r="D92" s="27"/>
    </row>
    <row r="93" spans="1:10" ht="15.75" customHeight="1" x14ac:dyDescent="0.25">
      <c r="A93" s="20" t="s">
        <v>9</v>
      </c>
      <c r="B93" s="20" t="s">
        <v>50</v>
      </c>
      <c r="C93" s="20" t="s">
        <v>51</v>
      </c>
      <c r="D93" s="20" t="s">
        <v>52</v>
      </c>
      <c r="E93" s="94" t="s">
        <v>75</v>
      </c>
    </row>
    <row r="94" spans="1:10" ht="15.75" customHeight="1" x14ac:dyDescent="0.25">
      <c r="A94" s="33">
        <v>46082</v>
      </c>
      <c r="B94" s="7">
        <f>SUMIFS(Lançamentos!G:G,Lançamentos!C:C,"Entrada",Lançamentos!J:J,A94)</f>
        <v>0</v>
      </c>
      <c r="C94" s="7">
        <f>SUMIFS(Lançamentos!G:G,Lançamentos!C:C,"Saída",Lançamentos!J:J,A94)</f>
        <v>0</v>
      </c>
      <c r="D94" s="7">
        <f>B94-C94</f>
        <v>0</v>
      </c>
      <c r="E94" s="93"/>
      <c r="G94" s="24"/>
      <c r="H94" s="24"/>
      <c r="I94" s="24"/>
    </row>
    <row r="95" spans="1:10" ht="15.75" customHeight="1" x14ac:dyDescent="0.25">
      <c r="A95" s="22" t="s">
        <v>13</v>
      </c>
      <c r="B95" s="23">
        <v>108054.29999999999</v>
      </c>
      <c r="C95" s="23"/>
      <c r="D95" s="36"/>
      <c r="E95" s="93"/>
      <c r="G95" s="24"/>
      <c r="H95" s="24"/>
      <c r="I95" s="24"/>
    </row>
    <row r="96" spans="1:10" ht="15.75" customHeight="1" x14ac:dyDescent="0.25">
      <c r="A96" s="30" t="s">
        <v>55</v>
      </c>
      <c r="B96" s="26">
        <v>6374.1000000000013</v>
      </c>
      <c r="C96" s="26"/>
      <c r="D96" s="37"/>
      <c r="E96" s="93"/>
      <c r="G96" s="24"/>
      <c r="H96" s="24"/>
      <c r="I96" s="24"/>
    </row>
    <row r="97" spans="1:12" ht="15.75" customHeight="1" x14ac:dyDescent="0.25">
      <c r="A97" s="22" t="s">
        <v>56</v>
      </c>
      <c r="B97" s="23"/>
      <c r="C97" s="23">
        <v>20384.82</v>
      </c>
      <c r="D97" s="36"/>
      <c r="E97" s="93"/>
      <c r="G97" s="24"/>
      <c r="H97" s="24"/>
      <c r="I97" s="24"/>
    </row>
    <row r="98" spans="1:12" ht="15.75" customHeight="1" x14ac:dyDescent="0.25">
      <c r="A98" s="30" t="s">
        <v>57</v>
      </c>
      <c r="B98" s="26"/>
      <c r="C98" s="26">
        <v>16349.609999999999</v>
      </c>
      <c r="D98" s="37"/>
      <c r="E98" s="93"/>
      <c r="G98" s="24"/>
      <c r="H98" s="24"/>
      <c r="I98" s="24"/>
    </row>
    <row r="99" spans="1:12" ht="15.75" customHeight="1" x14ac:dyDescent="0.25">
      <c r="A99" s="22" t="s">
        <v>58</v>
      </c>
      <c r="B99" s="23"/>
      <c r="C99" s="23">
        <v>21144.749999999996</v>
      </c>
      <c r="D99" s="36"/>
      <c r="E99" s="93"/>
      <c r="G99" s="24"/>
      <c r="H99" s="24"/>
      <c r="I99" s="24"/>
      <c r="L99" s="24"/>
    </row>
    <row r="100" spans="1:12" ht="15.75" customHeight="1" x14ac:dyDescent="0.25">
      <c r="A100" s="30" t="s">
        <v>59</v>
      </c>
      <c r="B100" s="26"/>
      <c r="C100" s="26">
        <v>32719.780000000002</v>
      </c>
      <c r="D100" s="37"/>
      <c r="E100" s="93"/>
      <c r="G100" s="24"/>
      <c r="H100" s="24"/>
      <c r="I100" s="24"/>
    </row>
    <row r="101" spans="1:12" ht="15.75" customHeight="1" x14ac:dyDescent="0.25">
      <c r="A101" s="22" t="s">
        <v>60</v>
      </c>
      <c r="B101" s="23"/>
      <c r="C101" s="23">
        <v>1050.8899999999999</v>
      </c>
      <c r="D101" s="36"/>
      <c r="E101" s="93"/>
      <c r="G101" s="24"/>
      <c r="H101" s="24"/>
      <c r="I101" s="24"/>
      <c r="L101" s="24"/>
    </row>
    <row r="102" spans="1:12" ht="15.75" customHeight="1" x14ac:dyDescent="0.25">
      <c r="A102" s="30" t="s">
        <v>61</v>
      </c>
      <c r="B102" s="26"/>
      <c r="C102" s="26">
        <v>2862.64</v>
      </c>
      <c r="D102" s="37"/>
      <c r="E102" s="93"/>
      <c r="G102" s="24"/>
      <c r="H102" s="24"/>
      <c r="I102" s="24"/>
      <c r="L102" s="24"/>
    </row>
    <row r="103" spans="1:12" ht="15.75" customHeight="1" x14ac:dyDescent="0.25">
      <c r="A103" s="22" t="s">
        <v>62</v>
      </c>
      <c r="B103" s="23"/>
      <c r="C103" s="23">
        <v>1399.5100000000002</v>
      </c>
      <c r="D103" s="36"/>
      <c r="E103" s="93"/>
      <c r="G103" s="24"/>
      <c r="H103" s="24"/>
      <c r="I103" s="24"/>
    </row>
    <row r="104" spans="1:12" ht="15.75" customHeight="1" x14ac:dyDescent="0.25">
      <c r="A104" s="30" t="s">
        <v>63</v>
      </c>
      <c r="B104" s="26"/>
      <c r="C104" s="26">
        <v>1026</v>
      </c>
      <c r="D104" s="37"/>
      <c r="E104" s="93"/>
      <c r="G104" s="24"/>
      <c r="H104" s="24"/>
      <c r="I104" s="24"/>
    </row>
    <row r="105" spans="1:12" ht="15.75" customHeight="1" x14ac:dyDescent="0.25">
      <c r="A105" s="22" t="s">
        <v>64</v>
      </c>
      <c r="B105" s="23"/>
      <c r="C105" s="23">
        <v>972</v>
      </c>
      <c r="D105" s="36"/>
      <c r="E105" s="93"/>
      <c r="G105" s="24"/>
      <c r="H105" s="24"/>
      <c r="I105" s="24"/>
      <c r="L105" s="24"/>
    </row>
    <row r="106" spans="1:12" ht="15.75" customHeight="1" x14ac:dyDescent="0.25">
      <c r="A106" s="30" t="s">
        <v>65</v>
      </c>
      <c r="B106" s="26"/>
      <c r="C106" s="26">
        <v>0</v>
      </c>
      <c r="D106" s="37"/>
      <c r="E106" s="93"/>
      <c r="G106" s="24"/>
      <c r="H106" s="24"/>
      <c r="I106" s="24"/>
      <c r="L106" s="24"/>
    </row>
    <row r="107" spans="1:12" ht="15.75" customHeight="1" x14ac:dyDescent="0.25">
      <c r="A107" s="22" t="s">
        <v>66</v>
      </c>
      <c r="B107" s="23"/>
      <c r="C107" s="23">
        <v>7563.28</v>
      </c>
      <c r="D107" s="36"/>
      <c r="E107" s="93"/>
      <c r="G107" s="24"/>
      <c r="H107" s="24"/>
      <c r="I107" s="24"/>
      <c r="L107" s="24"/>
    </row>
    <row r="108" spans="1:12" ht="15.75" customHeight="1" x14ac:dyDescent="0.25">
      <c r="A108" s="30" t="s">
        <v>67</v>
      </c>
      <c r="B108" s="26"/>
      <c r="C108" s="26">
        <v>0</v>
      </c>
      <c r="D108" s="37"/>
      <c r="E108" s="93"/>
      <c r="G108" s="24"/>
      <c r="H108" s="24"/>
      <c r="I108" s="24"/>
      <c r="L108" s="24"/>
    </row>
    <row r="109" spans="1:12" ht="15.75" customHeight="1" x14ac:dyDescent="0.25">
      <c r="A109" s="22" t="s">
        <v>16</v>
      </c>
      <c r="B109" s="23"/>
      <c r="C109" s="23">
        <v>13185</v>
      </c>
      <c r="D109" s="36"/>
      <c r="E109" s="93"/>
      <c r="G109" s="24"/>
      <c r="H109" s="24"/>
      <c r="I109" s="24"/>
      <c r="L109" s="24"/>
    </row>
    <row r="110" spans="1:12" ht="15.75" customHeight="1" x14ac:dyDescent="0.25">
      <c r="A110" s="30" t="s">
        <v>33</v>
      </c>
      <c r="B110" s="26"/>
      <c r="C110" s="26">
        <v>0</v>
      </c>
      <c r="D110" s="37"/>
      <c r="E110" s="93"/>
      <c r="G110" s="24"/>
      <c r="H110" s="24"/>
      <c r="I110" s="24"/>
      <c r="L110" s="24"/>
    </row>
    <row r="111" spans="1:12" ht="15.75" customHeight="1" x14ac:dyDescent="0.25">
      <c r="A111" s="22" t="s">
        <v>29</v>
      </c>
      <c r="B111" s="23"/>
      <c r="C111" s="23">
        <v>219</v>
      </c>
      <c r="D111" s="36"/>
      <c r="E111" s="93"/>
      <c r="G111" s="24"/>
      <c r="H111" s="24"/>
      <c r="I111" s="24"/>
      <c r="L111" s="24"/>
    </row>
    <row r="112" spans="1:12" ht="15.75" customHeight="1" x14ac:dyDescent="0.25">
      <c r="A112" s="30" t="s">
        <v>68</v>
      </c>
      <c r="B112" s="26"/>
      <c r="C112" s="26">
        <v>2065</v>
      </c>
      <c r="D112" s="37"/>
      <c r="E112" s="93"/>
      <c r="G112" s="24"/>
      <c r="H112" s="24"/>
      <c r="I112" s="24"/>
      <c r="L112" s="24"/>
    </row>
    <row r="113" spans="1:12" ht="15.75" customHeight="1" x14ac:dyDescent="0.25">
      <c r="A113" s="22" t="s">
        <v>73</v>
      </c>
      <c r="B113" s="23"/>
      <c r="C113" s="23">
        <v>0</v>
      </c>
      <c r="D113" s="43"/>
      <c r="E113" s="93"/>
      <c r="G113" s="24"/>
      <c r="H113" s="24"/>
      <c r="I113" s="24"/>
      <c r="L113" s="24"/>
    </row>
    <row r="114" spans="1:12" ht="15.75" customHeight="1" x14ac:dyDescent="0.25">
      <c r="A114" s="31" t="s">
        <v>69</v>
      </c>
      <c r="B114" s="32">
        <f>SUM(B95:B112)</f>
        <v>114428.4</v>
      </c>
      <c r="C114" s="32">
        <f>SUM(C95:C113)</f>
        <v>120942.27999999998</v>
      </c>
      <c r="D114" s="32"/>
      <c r="E114" s="92"/>
    </row>
    <row r="115" spans="1:12" ht="15.75" customHeight="1" x14ac:dyDescent="0.25"/>
    <row r="116" spans="1:12" ht="15.75" customHeight="1" x14ac:dyDescent="0.25">
      <c r="A116" s="20" t="s">
        <v>9</v>
      </c>
      <c r="B116" s="20" t="s">
        <v>50</v>
      </c>
      <c r="C116" s="20" t="s">
        <v>51</v>
      </c>
      <c r="D116" s="20" t="s">
        <v>52</v>
      </c>
      <c r="E116" s="94" t="s">
        <v>76</v>
      </c>
    </row>
    <row r="117" spans="1:12" ht="15.75" customHeight="1" x14ac:dyDescent="0.25">
      <c r="A117" s="33">
        <v>46082</v>
      </c>
      <c r="B117" s="26">
        <v>0</v>
      </c>
      <c r="C117" s="26">
        <v>0</v>
      </c>
      <c r="D117" s="26">
        <v>0</v>
      </c>
      <c r="E117" s="93"/>
      <c r="G117" s="24"/>
      <c r="H117" s="24"/>
      <c r="I117" s="24"/>
    </row>
    <row r="118" spans="1:12" ht="15.75" customHeight="1" x14ac:dyDescent="0.25">
      <c r="A118" s="22" t="s">
        <v>13</v>
      </c>
      <c r="B118" s="23">
        <v>127830</v>
      </c>
      <c r="C118" s="23"/>
      <c r="D118" s="23"/>
      <c r="E118" s="93"/>
      <c r="G118" s="24"/>
      <c r="H118" s="24"/>
      <c r="I118" s="24"/>
    </row>
    <row r="119" spans="1:12" ht="15.75" customHeight="1" x14ac:dyDescent="0.25">
      <c r="A119" s="30" t="s">
        <v>55</v>
      </c>
      <c r="B119" s="26">
        <v>3005.6</v>
      </c>
      <c r="C119" s="26"/>
      <c r="D119" s="26"/>
      <c r="E119" s="93"/>
      <c r="G119" s="24"/>
      <c r="H119" s="24"/>
      <c r="I119" s="24"/>
    </row>
    <row r="120" spans="1:12" ht="15.75" customHeight="1" x14ac:dyDescent="0.25">
      <c r="A120" s="22" t="s">
        <v>56</v>
      </c>
      <c r="B120" s="23"/>
      <c r="C120" s="23">
        <v>19187.510000000002</v>
      </c>
      <c r="D120" s="23"/>
      <c r="E120" s="93"/>
      <c r="G120" s="24"/>
      <c r="H120" s="24"/>
      <c r="I120" s="24"/>
    </row>
    <row r="121" spans="1:12" ht="15.75" customHeight="1" x14ac:dyDescent="0.25">
      <c r="A121" s="30" t="s">
        <v>57</v>
      </c>
      <c r="B121" s="26"/>
      <c r="C121" s="26">
        <v>9583.14</v>
      </c>
      <c r="D121" s="26"/>
      <c r="E121" s="93"/>
      <c r="G121" s="24"/>
      <c r="H121" s="24"/>
      <c r="I121" s="24"/>
    </row>
    <row r="122" spans="1:12" ht="15.75" customHeight="1" x14ac:dyDescent="0.25">
      <c r="A122" s="22" t="s">
        <v>58</v>
      </c>
      <c r="B122" s="23"/>
      <c r="C122" s="23">
        <v>8510.5</v>
      </c>
      <c r="D122" s="23"/>
      <c r="E122" s="93"/>
      <c r="G122" s="24"/>
      <c r="H122" s="24"/>
      <c r="I122" s="24"/>
    </row>
    <row r="123" spans="1:12" ht="15.75" customHeight="1" x14ac:dyDescent="0.25">
      <c r="A123" s="30" t="s">
        <v>59</v>
      </c>
      <c r="B123" s="26"/>
      <c r="C123" s="26">
        <v>34565.839999999997</v>
      </c>
      <c r="D123" s="26"/>
      <c r="E123" s="93"/>
      <c r="G123" s="24"/>
      <c r="H123" s="24"/>
      <c r="I123" s="24"/>
    </row>
    <row r="124" spans="1:12" ht="15.75" customHeight="1" x14ac:dyDescent="0.25">
      <c r="A124" s="22" t="s">
        <v>60</v>
      </c>
      <c r="B124" s="23"/>
      <c r="C124" s="23">
        <v>218.41</v>
      </c>
      <c r="D124" s="23"/>
      <c r="E124" s="93"/>
      <c r="G124" s="24"/>
      <c r="H124" s="24"/>
      <c r="I124" s="24"/>
    </row>
    <row r="125" spans="1:12" ht="15.75" customHeight="1" x14ac:dyDescent="0.25">
      <c r="A125" s="30" t="s">
        <v>61</v>
      </c>
      <c r="B125" s="26"/>
      <c r="C125" s="26">
        <v>3016.13</v>
      </c>
      <c r="D125" s="26"/>
      <c r="E125" s="93"/>
      <c r="G125" s="24"/>
      <c r="H125" s="24"/>
      <c r="I125" s="24"/>
    </row>
    <row r="126" spans="1:12" ht="15.75" customHeight="1" x14ac:dyDescent="0.25">
      <c r="A126" s="22" t="s">
        <v>62</v>
      </c>
      <c r="B126" s="23"/>
      <c r="C126" s="23">
        <v>2652.87</v>
      </c>
      <c r="D126" s="23"/>
      <c r="E126" s="93"/>
      <c r="G126" s="24"/>
      <c r="H126" s="24"/>
      <c r="I126" s="24"/>
    </row>
    <row r="127" spans="1:12" ht="15.75" customHeight="1" x14ac:dyDescent="0.25">
      <c r="A127" s="30" t="s">
        <v>63</v>
      </c>
      <c r="B127" s="26"/>
      <c r="C127" s="26">
        <v>504</v>
      </c>
      <c r="D127" s="26"/>
      <c r="E127" s="93"/>
      <c r="G127" s="24"/>
      <c r="H127" s="24"/>
      <c r="I127" s="24"/>
    </row>
    <row r="128" spans="1:12" ht="15.75" customHeight="1" x14ac:dyDescent="0.25">
      <c r="A128" s="22" t="s">
        <v>64</v>
      </c>
      <c r="B128" s="23"/>
      <c r="C128" s="23">
        <v>800</v>
      </c>
      <c r="D128" s="23"/>
      <c r="E128" s="93"/>
      <c r="G128" s="24"/>
      <c r="H128" s="24"/>
      <c r="I128" s="24"/>
    </row>
    <row r="129" spans="1:9" ht="15.75" customHeight="1" x14ac:dyDescent="0.25">
      <c r="A129" s="30" t="s">
        <v>65</v>
      </c>
      <c r="B129" s="26"/>
      <c r="C129" s="26">
        <v>1185.28</v>
      </c>
      <c r="D129" s="26"/>
      <c r="E129" s="93"/>
      <c r="G129" s="24"/>
      <c r="H129" s="24"/>
      <c r="I129" s="24"/>
    </row>
    <row r="130" spans="1:9" ht="15.75" customHeight="1" x14ac:dyDescent="0.25">
      <c r="A130" s="22" t="s">
        <v>66</v>
      </c>
      <c r="B130" s="23"/>
      <c r="C130" s="23">
        <v>6853.92</v>
      </c>
      <c r="D130" s="23"/>
      <c r="E130" s="93"/>
      <c r="G130" s="24"/>
      <c r="H130" s="24"/>
      <c r="I130" s="24"/>
    </row>
    <row r="131" spans="1:9" ht="15.75" customHeight="1" x14ac:dyDescent="0.25">
      <c r="A131" s="30" t="s">
        <v>67</v>
      </c>
      <c r="B131" s="26"/>
      <c r="C131" s="26">
        <v>0</v>
      </c>
      <c r="D131" s="26"/>
      <c r="E131" s="93"/>
      <c r="G131" s="24"/>
      <c r="H131" s="24"/>
      <c r="I131" s="24"/>
    </row>
    <row r="132" spans="1:9" ht="15.75" customHeight="1" x14ac:dyDescent="0.25">
      <c r="A132" s="22" t="s">
        <v>16</v>
      </c>
      <c r="B132" s="23"/>
      <c r="C132" s="23">
        <v>13185</v>
      </c>
      <c r="D132" s="23"/>
      <c r="E132" s="93"/>
      <c r="G132" s="24"/>
      <c r="H132" s="24"/>
      <c r="I132" s="24"/>
    </row>
    <row r="133" spans="1:9" ht="15.75" customHeight="1" x14ac:dyDescent="0.25">
      <c r="A133" s="30" t="s">
        <v>33</v>
      </c>
      <c r="B133" s="26"/>
      <c r="C133" s="26">
        <v>965</v>
      </c>
      <c r="D133" s="26"/>
      <c r="E133" s="93"/>
      <c r="G133" s="24"/>
      <c r="H133" s="24"/>
      <c r="I133" s="24"/>
    </row>
    <row r="134" spans="1:9" ht="15.75" customHeight="1" x14ac:dyDescent="0.25">
      <c r="A134" s="22" t="s">
        <v>29</v>
      </c>
      <c r="B134" s="23"/>
      <c r="C134" s="23">
        <v>0</v>
      </c>
      <c r="D134" s="23"/>
      <c r="E134" s="93"/>
      <c r="G134" s="24"/>
      <c r="H134" s="24"/>
      <c r="I134" s="24"/>
    </row>
    <row r="135" spans="1:9" ht="15.75" customHeight="1" x14ac:dyDescent="0.25">
      <c r="A135" s="30" t="s">
        <v>68</v>
      </c>
      <c r="B135" s="26"/>
      <c r="C135" s="26">
        <v>2050</v>
      </c>
      <c r="D135" s="26"/>
      <c r="E135" s="93"/>
      <c r="G135" s="24"/>
      <c r="H135" s="24"/>
      <c r="I135" s="24"/>
    </row>
    <row r="136" spans="1:9" ht="15.75" customHeight="1" x14ac:dyDescent="0.25">
      <c r="A136" s="22" t="s">
        <v>73</v>
      </c>
      <c r="B136" s="23"/>
      <c r="C136" s="23">
        <v>0</v>
      </c>
      <c r="D136" s="23"/>
      <c r="E136" s="93"/>
      <c r="G136" s="24"/>
      <c r="H136" s="24"/>
      <c r="I136" s="24"/>
    </row>
    <row r="137" spans="1:9" ht="15.75" customHeight="1" x14ac:dyDescent="0.25">
      <c r="A137" s="31" t="s">
        <v>69</v>
      </c>
      <c r="B137" s="32">
        <f>SUM(B118:B135)</f>
        <v>130835.6</v>
      </c>
      <c r="C137" s="32">
        <f>SUM(C118:C136)</f>
        <v>103277.59999999999</v>
      </c>
      <c r="D137" s="32"/>
      <c r="E137" s="92"/>
    </row>
    <row r="138" spans="1:9" ht="15.75" customHeight="1" x14ac:dyDescent="0.25"/>
    <row r="139" spans="1:9" ht="15.75" customHeight="1" x14ac:dyDescent="0.25">
      <c r="A139" s="20" t="s">
        <v>9</v>
      </c>
      <c r="B139" s="20" t="s">
        <v>50</v>
      </c>
      <c r="C139" s="20" t="s">
        <v>51</v>
      </c>
      <c r="D139" s="20" t="s">
        <v>52</v>
      </c>
      <c r="E139" s="94" t="s">
        <v>77</v>
      </c>
    </row>
    <row r="140" spans="1:9" ht="15.75" customHeight="1" x14ac:dyDescent="0.25">
      <c r="A140" s="33">
        <v>46143</v>
      </c>
      <c r="B140" s="37"/>
      <c r="C140" s="37"/>
      <c r="D140" s="37"/>
      <c r="E140" s="93"/>
      <c r="G140" s="24"/>
      <c r="H140" s="24"/>
      <c r="I140" s="24"/>
    </row>
    <row r="141" spans="1:9" ht="15.75" customHeight="1" x14ac:dyDescent="0.25">
      <c r="A141" s="22" t="s">
        <v>13</v>
      </c>
      <c r="B141" s="23">
        <v>110052</v>
      </c>
      <c r="C141" s="23"/>
      <c r="D141" s="23"/>
      <c r="E141" s="93"/>
      <c r="G141" s="24"/>
      <c r="H141" s="24"/>
      <c r="I141" s="24"/>
    </row>
    <row r="142" spans="1:9" ht="15.75" customHeight="1" x14ac:dyDescent="0.25">
      <c r="A142" s="30" t="s">
        <v>55</v>
      </c>
      <c r="B142" s="39">
        <v>4223</v>
      </c>
      <c r="C142" s="39"/>
      <c r="D142" s="39"/>
      <c r="E142" s="93"/>
      <c r="G142" s="24"/>
      <c r="H142" s="24"/>
      <c r="I142" s="24"/>
    </row>
    <row r="143" spans="1:9" ht="15.75" customHeight="1" x14ac:dyDescent="0.25">
      <c r="A143" s="22" t="s">
        <v>56</v>
      </c>
      <c r="B143" s="44"/>
      <c r="C143" s="23">
        <v>17692.13</v>
      </c>
      <c r="D143" s="23"/>
      <c r="E143" s="93"/>
      <c r="G143" s="24"/>
      <c r="H143" s="24"/>
      <c r="I143" s="24"/>
    </row>
    <row r="144" spans="1:9" ht="15.75" customHeight="1" x14ac:dyDescent="0.25">
      <c r="A144" s="30" t="s">
        <v>57</v>
      </c>
      <c r="B144" s="39"/>
      <c r="C144" s="39">
        <v>12199.979999999998</v>
      </c>
      <c r="D144" s="39"/>
      <c r="E144" s="93"/>
      <c r="G144" s="24"/>
      <c r="H144" s="24"/>
      <c r="I144" s="24"/>
    </row>
    <row r="145" spans="1:9" ht="15.75" customHeight="1" x14ac:dyDescent="0.25">
      <c r="A145" s="22" t="s">
        <v>58</v>
      </c>
      <c r="B145" s="23"/>
      <c r="C145" s="23">
        <v>11000.95</v>
      </c>
      <c r="D145" s="23"/>
      <c r="E145" s="93"/>
      <c r="G145" s="24"/>
      <c r="H145" s="24"/>
      <c r="I145" s="24"/>
    </row>
    <row r="146" spans="1:9" ht="15.75" customHeight="1" x14ac:dyDescent="0.25">
      <c r="A146" s="30" t="s">
        <v>59</v>
      </c>
      <c r="B146" s="39"/>
      <c r="C146" s="39">
        <v>30241.590000000004</v>
      </c>
      <c r="D146" s="39"/>
      <c r="E146" s="93"/>
      <c r="G146" s="24"/>
      <c r="H146" s="24"/>
      <c r="I146" s="24"/>
    </row>
    <row r="147" spans="1:9" ht="15.75" customHeight="1" x14ac:dyDescent="0.25">
      <c r="A147" s="22" t="s">
        <v>60</v>
      </c>
      <c r="B147" s="23"/>
      <c r="C147" s="23">
        <v>438.4</v>
      </c>
      <c r="D147" s="23"/>
      <c r="E147" s="93"/>
      <c r="G147" s="24"/>
      <c r="H147" s="24"/>
      <c r="I147" s="24"/>
    </row>
    <row r="148" spans="1:9" ht="15.75" customHeight="1" x14ac:dyDescent="0.25">
      <c r="A148" s="30" t="s">
        <v>61</v>
      </c>
      <c r="B148" s="39"/>
      <c r="C148" s="39">
        <v>0</v>
      </c>
      <c r="D148" s="39"/>
      <c r="E148" s="93"/>
      <c r="G148" s="24"/>
      <c r="H148" s="24"/>
      <c r="I148" s="24"/>
    </row>
    <row r="149" spans="1:9" ht="15.75" customHeight="1" x14ac:dyDescent="0.25">
      <c r="A149" s="22" t="s">
        <v>62</v>
      </c>
      <c r="B149" s="23"/>
      <c r="C149" s="23">
        <v>447.35999999999996</v>
      </c>
      <c r="D149" s="23"/>
      <c r="E149" s="93"/>
      <c r="G149" s="24"/>
      <c r="H149" s="24"/>
      <c r="I149" s="24"/>
    </row>
    <row r="150" spans="1:9" ht="15.75" customHeight="1" x14ac:dyDescent="0.25">
      <c r="A150" s="30" t="s">
        <v>63</v>
      </c>
      <c r="B150" s="39"/>
      <c r="C150" s="39">
        <v>542</v>
      </c>
      <c r="D150" s="39"/>
      <c r="E150" s="93"/>
      <c r="G150" s="24"/>
      <c r="H150" s="24"/>
      <c r="I150" s="24"/>
    </row>
    <row r="151" spans="1:9" ht="15.75" customHeight="1" x14ac:dyDescent="0.25">
      <c r="A151" s="22" t="s">
        <v>64</v>
      </c>
      <c r="B151" s="23"/>
      <c r="C151" s="23">
        <v>800</v>
      </c>
      <c r="D151" s="23"/>
      <c r="E151" s="93"/>
      <c r="G151" s="24"/>
      <c r="H151" s="24"/>
      <c r="I151" s="24"/>
    </row>
    <row r="152" spans="1:9" ht="15.75" customHeight="1" x14ac:dyDescent="0.25">
      <c r="A152" s="30" t="s">
        <v>65</v>
      </c>
      <c r="B152" s="39"/>
      <c r="C152" s="39">
        <v>467.25</v>
      </c>
      <c r="D152" s="39"/>
      <c r="E152" s="93"/>
      <c r="G152" s="24"/>
      <c r="H152" s="24"/>
      <c r="I152" s="24"/>
    </row>
    <row r="153" spans="1:9" ht="15.75" customHeight="1" x14ac:dyDescent="0.25">
      <c r="A153" s="22" t="s">
        <v>66</v>
      </c>
      <c r="B153" s="23"/>
      <c r="C153" s="23">
        <v>7834.23</v>
      </c>
      <c r="D153" s="23"/>
      <c r="E153" s="93"/>
      <c r="G153" s="24"/>
      <c r="H153" s="24"/>
      <c r="I153" s="24"/>
    </row>
    <row r="154" spans="1:9" ht="15.75" customHeight="1" x14ac:dyDescent="0.25">
      <c r="A154" s="30" t="s">
        <v>67</v>
      </c>
      <c r="B154" s="39"/>
      <c r="C154" s="39">
        <v>28</v>
      </c>
      <c r="D154" s="39"/>
      <c r="E154" s="93"/>
      <c r="G154" s="24"/>
      <c r="H154" s="24"/>
      <c r="I154" s="24"/>
    </row>
    <row r="155" spans="1:9" ht="15.75" customHeight="1" x14ac:dyDescent="0.25">
      <c r="A155" s="22" t="s">
        <v>16</v>
      </c>
      <c r="B155" s="23"/>
      <c r="C155" s="23">
        <v>0</v>
      </c>
      <c r="D155" s="23"/>
      <c r="E155" s="93"/>
      <c r="G155" s="24"/>
      <c r="H155" s="24"/>
      <c r="I155" s="24"/>
    </row>
    <row r="156" spans="1:9" ht="15.75" customHeight="1" x14ac:dyDescent="0.25">
      <c r="A156" s="30" t="s">
        <v>33</v>
      </c>
      <c r="B156" s="39"/>
      <c r="C156" s="39">
        <v>900</v>
      </c>
      <c r="D156" s="39"/>
      <c r="E156" s="93"/>
      <c r="G156" s="24"/>
      <c r="H156" s="24"/>
      <c r="I156" s="24"/>
    </row>
    <row r="157" spans="1:9" ht="15.75" customHeight="1" x14ac:dyDescent="0.25">
      <c r="A157" s="22" t="s">
        <v>29</v>
      </c>
      <c r="B157" s="23"/>
      <c r="C157" s="23">
        <v>102</v>
      </c>
      <c r="D157" s="23"/>
      <c r="E157" s="93"/>
      <c r="G157" s="24"/>
      <c r="H157" s="24"/>
      <c r="I157" s="24"/>
    </row>
    <row r="158" spans="1:9" ht="15.75" customHeight="1" x14ac:dyDescent="0.25">
      <c r="A158" s="30" t="s">
        <v>68</v>
      </c>
      <c r="B158" s="39"/>
      <c r="C158" s="39">
        <v>562.68000000000006</v>
      </c>
      <c r="D158" s="39"/>
      <c r="E158" s="93"/>
      <c r="G158" s="24"/>
      <c r="H158" s="24"/>
      <c r="I158" s="24"/>
    </row>
    <row r="159" spans="1:9" ht="15.75" customHeight="1" x14ac:dyDescent="0.25">
      <c r="A159" s="22" t="s">
        <v>73</v>
      </c>
      <c r="B159" s="23"/>
      <c r="C159" s="44"/>
      <c r="D159" s="23"/>
      <c r="E159" s="93"/>
      <c r="G159" s="24"/>
      <c r="H159" s="24"/>
      <c r="I159" s="24"/>
    </row>
    <row r="160" spans="1:9" ht="15.75" customHeight="1" x14ac:dyDescent="0.25">
      <c r="A160" s="31" t="s">
        <v>69</v>
      </c>
      <c r="B160" s="39">
        <f>SUM(B141:B159)</f>
        <v>114275</v>
      </c>
      <c r="C160" s="39">
        <f>SUM(C141:C158)</f>
        <v>83256.569999999978</v>
      </c>
      <c r="D160" s="39"/>
      <c r="E160" s="92"/>
    </row>
    <row r="161" spans="1:9" ht="15.75" customHeight="1" x14ac:dyDescent="0.25"/>
    <row r="162" spans="1:9" ht="15.75" customHeight="1" x14ac:dyDescent="0.25">
      <c r="A162" s="20" t="s">
        <v>9</v>
      </c>
      <c r="B162" s="20" t="s">
        <v>50</v>
      </c>
      <c r="C162" s="20" t="s">
        <v>51</v>
      </c>
      <c r="D162" s="20" t="s">
        <v>52</v>
      </c>
      <c r="E162" s="94" t="s">
        <v>78</v>
      </c>
    </row>
    <row r="163" spans="1:9" ht="15.75" customHeight="1" x14ac:dyDescent="0.25">
      <c r="A163" s="33">
        <v>46174</v>
      </c>
      <c r="B163" s="26">
        <v>0</v>
      </c>
      <c r="C163" s="26">
        <v>0</v>
      </c>
      <c r="D163" s="26">
        <v>0</v>
      </c>
      <c r="E163" s="93"/>
      <c r="G163" s="24"/>
      <c r="H163" s="24"/>
      <c r="I163" s="24"/>
    </row>
    <row r="164" spans="1:9" ht="15.75" customHeight="1" x14ac:dyDescent="0.25">
      <c r="A164" s="22" t="s">
        <v>13</v>
      </c>
      <c r="B164" s="23">
        <v>76873.399999999994</v>
      </c>
      <c r="C164" s="23"/>
      <c r="D164" s="23"/>
      <c r="E164" s="93"/>
      <c r="G164" s="24"/>
      <c r="H164" s="24"/>
      <c r="I164" s="24"/>
    </row>
    <row r="165" spans="1:9" ht="15.75" customHeight="1" x14ac:dyDescent="0.25">
      <c r="A165" s="30" t="s">
        <v>55</v>
      </c>
      <c r="B165" s="26">
        <v>2552</v>
      </c>
      <c r="C165" s="26"/>
      <c r="D165" s="26"/>
      <c r="E165" s="93"/>
      <c r="G165" s="24"/>
      <c r="H165" s="24"/>
      <c r="I165" s="24"/>
    </row>
    <row r="166" spans="1:9" ht="15.75" customHeight="1" x14ac:dyDescent="0.25">
      <c r="A166" s="22" t="s">
        <v>56</v>
      </c>
      <c r="B166" s="23"/>
      <c r="C166" s="23">
        <v>17754.989999999998</v>
      </c>
      <c r="D166" s="23"/>
      <c r="E166" s="93"/>
      <c r="G166" s="24"/>
      <c r="H166" s="24"/>
      <c r="I166" s="24"/>
    </row>
    <row r="167" spans="1:9" ht="15.75" customHeight="1" x14ac:dyDescent="0.25">
      <c r="A167" s="30" t="s">
        <v>57</v>
      </c>
      <c r="B167" s="26"/>
      <c r="C167" s="26">
        <v>12701.789999999999</v>
      </c>
      <c r="D167" s="26"/>
      <c r="E167" s="93"/>
      <c r="G167" s="24"/>
      <c r="H167" s="24"/>
      <c r="I167" s="24"/>
    </row>
    <row r="168" spans="1:9" ht="15.75" customHeight="1" x14ac:dyDescent="0.25">
      <c r="A168" s="22" t="s">
        <v>58</v>
      </c>
      <c r="B168" s="23"/>
      <c r="C168" s="23">
        <v>9286.630000000001</v>
      </c>
      <c r="D168" s="23"/>
      <c r="E168" s="93"/>
      <c r="G168" s="24"/>
      <c r="H168" s="24"/>
      <c r="I168" s="24"/>
    </row>
    <row r="169" spans="1:9" ht="15.75" customHeight="1" x14ac:dyDescent="0.25">
      <c r="A169" s="30" t="s">
        <v>59</v>
      </c>
      <c r="B169" s="26"/>
      <c r="C169" s="26">
        <v>27449.079999999998</v>
      </c>
      <c r="D169" s="26"/>
      <c r="E169" s="93"/>
      <c r="G169" s="24"/>
      <c r="H169" s="24"/>
      <c r="I169" s="24"/>
    </row>
    <row r="170" spans="1:9" ht="15.75" customHeight="1" x14ac:dyDescent="0.25">
      <c r="A170" s="22" t="s">
        <v>60</v>
      </c>
      <c r="B170" s="23"/>
      <c r="C170" s="23">
        <v>0</v>
      </c>
      <c r="D170" s="23"/>
      <c r="E170" s="93"/>
      <c r="G170" s="24"/>
      <c r="H170" s="24"/>
      <c r="I170" s="24"/>
    </row>
    <row r="171" spans="1:9" ht="15.75" customHeight="1" x14ac:dyDescent="0.25">
      <c r="A171" s="30" t="s">
        <v>61</v>
      </c>
      <c r="B171" s="26"/>
      <c r="C171" s="26">
        <v>2570.7600000000002</v>
      </c>
      <c r="D171" s="26"/>
      <c r="E171" s="93"/>
      <c r="G171" s="24"/>
      <c r="H171" s="24"/>
      <c r="I171" s="24"/>
    </row>
    <row r="172" spans="1:9" ht="15.75" customHeight="1" x14ac:dyDescent="0.25">
      <c r="A172" s="22" t="s">
        <v>62</v>
      </c>
      <c r="B172" s="23"/>
      <c r="C172" s="23">
        <v>1108.9000000000001</v>
      </c>
      <c r="D172" s="23"/>
      <c r="E172" s="93"/>
      <c r="G172" s="24"/>
      <c r="H172" s="24"/>
      <c r="I172" s="24"/>
    </row>
    <row r="173" spans="1:9" ht="15.75" customHeight="1" x14ac:dyDescent="0.25">
      <c r="A173" s="30" t="s">
        <v>63</v>
      </c>
      <c r="B173" s="26"/>
      <c r="C173" s="26">
        <v>402</v>
      </c>
      <c r="D173" s="26"/>
      <c r="E173" s="93"/>
      <c r="G173" s="24"/>
      <c r="H173" s="24"/>
      <c r="I173" s="24"/>
    </row>
    <row r="174" spans="1:9" ht="15.75" customHeight="1" x14ac:dyDescent="0.25">
      <c r="A174" s="22" t="s">
        <v>64</v>
      </c>
      <c r="B174" s="23"/>
      <c r="C174" s="23">
        <v>800</v>
      </c>
      <c r="D174" s="23"/>
      <c r="E174" s="93"/>
      <c r="G174" s="24"/>
      <c r="H174" s="24"/>
      <c r="I174" s="24"/>
    </row>
    <row r="175" spans="1:9" ht="15.75" customHeight="1" x14ac:dyDescent="0.25">
      <c r="A175" s="30" t="s">
        <v>65</v>
      </c>
      <c r="B175" s="26"/>
      <c r="C175" s="26">
        <v>3473.21</v>
      </c>
      <c r="D175" s="26"/>
      <c r="E175" s="93"/>
      <c r="G175" s="24"/>
      <c r="H175" s="24"/>
      <c r="I175" s="24"/>
    </row>
    <row r="176" spans="1:9" ht="15.75" customHeight="1" x14ac:dyDescent="0.25">
      <c r="A176" s="22" t="s">
        <v>66</v>
      </c>
      <c r="B176" s="23"/>
      <c r="C176" s="23">
        <v>7228.96</v>
      </c>
      <c r="D176" s="23"/>
      <c r="E176" s="93"/>
      <c r="G176" s="24"/>
      <c r="H176" s="24"/>
      <c r="I176" s="24"/>
    </row>
    <row r="177" spans="1:9" ht="15.75" customHeight="1" x14ac:dyDescent="0.25">
      <c r="A177" s="30" t="s">
        <v>67</v>
      </c>
      <c r="B177" s="26"/>
      <c r="C177" s="26">
        <v>50</v>
      </c>
      <c r="D177" s="26"/>
      <c r="E177" s="93"/>
      <c r="G177" s="24"/>
      <c r="H177" s="24"/>
      <c r="I177" s="24"/>
    </row>
    <row r="178" spans="1:9" ht="15.75" customHeight="1" x14ac:dyDescent="0.25">
      <c r="A178" s="22" t="s">
        <v>16</v>
      </c>
      <c r="B178" s="23"/>
      <c r="C178" s="23">
        <v>26370</v>
      </c>
      <c r="D178" s="23"/>
      <c r="E178" s="93"/>
      <c r="G178" s="24"/>
      <c r="H178" s="24"/>
      <c r="I178" s="24"/>
    </row>
    <row r="179" spans="1:9" ht="15.75" customHeight="1" x14ac:dyDescent="0.25">
      <c r="A179" s="30" t="s">
        <v>33</v>
      </c>
      <c r="B179" s="26"/>
      <c r="C179" s="26">
        <v>1020</v>
      </c>
      <c r="D179" s="26"/>
      <c r="E179" s="93"/>
      <c r="G179" s="24"/>
      <c r="H179" s="24"/>
      <c r="I179" s="24"/>
    </row>
    <row r="180" spans="1:9" ht="15.75" customHeight="1" x14ac:dyDescent="0.25">
      <c r="A180" s="22" t="s">
        <v>29</v>
      </c>
      <c r="B180" s="23"/>
      <c r="C180" s="23">
        <v>855.62000000000012</v>
      </c>
      <c r="D180" s="23"/>
      <c r="E180" s="93"/>
      <c r="G180" s="24"/>
      <c r="H180" s="24"/>
      <c r="I180" s="24"/>
    </row>
    <row r="181" spans="1:9" ht="15.75" customHeight="1" x14ac:dyDescent="0.25">
      <c r="A181" s="30" t="s">
        <v>68</v>
      </c>
      <c r="B181" s="26"/>
      <c r="C181" s="26">
        <v>3195</v>
      </c>
      <c r="D181" s="26"/>
      <c r="E181" s="93"/>
      <c r="G181" s="24"/>
      <c r="H181" s="24"/>
      <c r="I181" s="24"/>
    </row>
    <row r="182" spans="1:9" ht="15.75" customHeight="1" x14ac:dyDescent="0.25">
      <c r="A182" s="22" t="s">
        <v>73</v>
      </c>
      <c r="B182" s="23"/>
      <c r="C182" s="23">
        <v>0</v>
      </c>
      <c r="D182" s="23"/>
      <c r="E182" s="93"/>
      <c r="G182" s="24"/>
      <c r="H182" s="24"/>
      <c r="I182" s="24"/>
    </row>
    <row r="183" spans="1:9" ht="15.75" customHeight="1" x14ac:dyDescent="0.25">
      <c r="A183" s="31" t="s">
        <v>69</v>
      </c>
      <c r="B183" s="32">
        <f>SUM(B164:B181)</f>
        <v>79425.399999999994</v>
      </c>
      <c r="C183" s="32">
        <f>SUM(C164:C182)</f>
        <v>114266.94</v>
      </c>
      <c r="D183" s="32"/>
      <c r="E183" s="92"/>
    </row>
    <row r="184" spans="1:9" ht="15.75" customHeight="1" x14ac:dyDescent="0.25"/>
    <row r="185" spans="1:9" ht="15.75" customHeight="1" x14ac:dyDescent="0.25">
      <c r="A185" s="20" t="s">
        <v>9</v>
      </c>
      <c r="B185" s="20" t="s">
        <v>50</v>
      </c>
      <c r="C185" s="20" t="s">
        <v>51</v>
      </c>
      <c r="D185" s="20" t="s">
        <v>52</v>
      </c>
      <c r="E185" s="94" t="s">
        <v>79</v>
      </c>
    </row>
    <row r="186" spans="1:9" ht="15.75" customHeight="1" x14ac:dyDescent="0.25">
      <c r="A186" s="33">
        <v>46204</v>
      </c>
      <c r="B186" s="7">
        <f>SUMIFS(Lançamentos!G:G,Lançamentos!C:C,"Entrada",Lançamentos!J:J,A186)</f>
        <v>0</v>
      </c>
      <c r="C186" s="7">
        <f>SUMIFS(Lançamentos!G:G,Lançamentos!C:C,"Saída",Lançamentos!J:J,A186)</f>
        <v>0</v>
      </c>
      <c r="D186" s="7">
        <f>B186-C186</f>
        <v>0</v>
      </c>
      <c r="E186" s="93"/>
    </row>
    <row r="187" spans="1:9" ht="15.75" customHeight="1" x14ac:dyDescent="0.25">
      <c r="A187" s="22" t="s">
        <v>13</v>
      </c>
      <c r="B187" s="36">
        <f>SUMIF(Lançamentos!D:D,"Vendas",Lançamentos!G:G)</f>
        <v>20304</v>
      </c>
      <c r="C187" s="36"/>
      <c r="D187" s="36"/>
      <c r="E187" s="93"/>
    </row>
    <row r="188" spans="1:9" ht="15.75" customHeight="1" x14ac:dyDescent="0.25">
      <c r="A188" s="30" t="s">
        <v>55</v>
      </c>
      <c r="B188" s="37">
        <f>SUMIF(Lançamentos!D:D,"Vendas iFood",Lançamentos!G:G)</f>
        <v>1109</v>
      </c>
      <c r="C188" s="37"/>
      <c r="D188" s="37"/>
      <c r="E188" s="93"/>
    </row>
    <row r="189" spans="1:9" ht="15.75" customHeight="1" x14ac:dyDescent="0.25">
      <c r="A189" s="22" t="s">
        <v>56</v>
      </c>
      <c r="B189" s="36"/>
      <c r="C189" s="36">
        <f>SUMIF(Lançamentos!D:D,"Salário",Lançamentos!G:G)</f>
        <v>9458.41</v>
      </c>
      <c r="D189" s="36"/>
      <c r="E189" s="93"/>
    </row>
    <row r="190" spans="1:9" ht="15.75" customHeight="1" x14ac:dyDescent="0.25">
      <c r="A190" s="30" t="s">
        <v>57</v>
      </c>
      <c r="B190" s="37"/>
      <c r="C190" s="37">
        <f>SUMIF(Lançamentos!D:D,"CustoFixo",Lançamentos!G:G)</f>
        <v>9113.5399999999991</v>
      </c>
      <c r="D190" s="37"/>
      <c r="E190" s="93"/>
    </row>
    <row r="191" spans="1:9" ht="15.75" customHeight="1" x14ac:dyDescent="0.25">
      <c r="A191" s="22" t="s">
        <v>58</v>
      </c>
      <c r="B191" s="36"/>
      <c r="C191" s="36">
        <f>SUMIF(Lançamentos!D:D,"Impostos",Lançamentos!G:G)</f>
        <v>0</v>
      </c>
      <c r="D191" s="36"/>
      <c r="E191" s="93"/>
    </row>
    <row r="192" spans="1:9" ht="15.75" customHeight="1" x14ac:dyDescent="0.25">
      <c r="A192" s="30" t="s">
        <v>59</v>
      </c>
      <c r="B192" s="37"/>
      <c r="C192" s="37">
        <f>SUMIF(Lançamentos!D:D,"Matéria Prima",Lançamentos!G:G)</f>
        <v>2440.4299999999994</v>
      </c>
      <c r="D192" s="37"/>
      <c r="E192" s="93"/>
    </row>
    <row r="193" spans="1:5" ht="15.75" customHeight="1" x14ac:dyDescent="0.25">
      <c r="A193" s="22" t="s">
        <v>60</v>
      </c>
      <c r="B193" s="36"/>
      <c r="C193" s="36">
        <f>SUMIF(Lançamentos!D:D,"Frete",Lançamentos!G:G)</f>
        <v>0</v>
      </c>
      <c r="D193" s="36"/>
      <c r="E193" s="93"/>
    </row>
    <row r="194" spans="1:5" ht="15.75" customHeight="1" x14ac:dyDescent="0.25">
      <c r="A194" s="30" t="s">
        <v>61</v>
      </c>
      <c r="B194" s="37"/>
      <c r="C194" s="37">
        <f>SUMIF(Lançamentos!D:D,"Cartao de Credito",Lançamentos!G:G)</f>
        <v>1899.95</v>
      </c>
      <c r="D194" s="37"/>
      <c r="E194" s="93"/>
    </row>
    <row r="195" spans="1:5" ht="15.75" customHeight="1" x14ac:dyDescent="0.25">
      <c r="A195" s="22" t="s">
        <v>62</v>
      </c>
      <c r="B195" s="36"/>
      <c r="C195" s="36">
        <f>SUMIF(Lançamentos!D:D,"Mat Consumo",Lançamentos!G:G)</f>
        <v>0</v>
      </c>
      <c r="D195" s="36"/>
      <c r="E195" s="93"/>
    </row>
    <row r="196" spans="1:5" ht="15.75" customHeight="1" x14ac:dyDescent="0.25">
      <c r="A196" s="30" t="s">
        <v>63</v>
      </c>
      <c r="B196" s="37"/>
      <c r="C196" s="37">
        <f>SUMIF(Lançamentos!D:D,"IFood",Lançamentos!G:G)</f>
        <v>175</v>
      </c>
      <c r="D196" s="37"/>
      <c r="E196" s="93"/>
    </row>
    <row r="197" spans="1:5" ht="15.75" customHeight="1" x14ac:dyDescent="0.25">
      <c r="A197" s="22" t="s">
        <v>64</v>
      </c>
      <c r="B197" s="36"/>
      <c r="C197" s="36">
        <f>SUMIF(Lançamentos!D:D,"Contabilidade",Lançamentos!G:G)</f>
        <v>0</v>
      </c>
      <c r="D197" s="36"/>
      <c r="E197" s="93"/>
    </row>
    <row r="198" spans="1:5" ht="15.75" customHeight="1" x14ac:dyDescent="0.25">
      <c r="A198" s="30" t="s">
        <v>65</v>
      </c>
      <c r="B198" s="37"/>
      <c r="C198" s="37">
        <f>SUMIF(Lançamentos!D:D,"Demissão",Lançamentos!G:G)</f>
        <v>0</v>
      </c>
      <c r="D198" s="37"/>
      <c r="E198" s="93"/>
    </row>
    <row r="199" spans="1:5" ht="15.75" customHeight="1" x14ac:dyDescent="0.25">
      <c r="A199" s="22" t="s">
        <v>66</v>
      </c>
      <c r="B199" s="36"/>
      <c r="C199" s="36">
        <f>SUMIF(Lançamentos!D:D,"Royalt",Lançamentos!G:G)</f>
        <v>0</v>
      </c>
      <c r="D199" s="36"/>
      <c r="E199" s="93"/>
    </row>
    <row r="200" spans="1:5" ht="15.75" customHeight="1" x14ac:dyDescent="0.25">
      <c r="A200" s="30" t="s">
        <v>67</v>
      </c>
      <c r="B200" s="37"/>
      <c r="C200" s="37">
        <f>SUMIF(Lançamentos!D:D,"Papelaria",Lançamentos!G:G)</f>
        <v>0</v>
      </c>
      <c r="D200" s="37"/>
      <c r="E200" s="93"/>
    </row>
    <row r="201" spans="1:5" ht="15.75" customHeight="1" x14ac:dyDescent="0.25">
      <c r="A201" s="22" t="s">
        <v>16</v>
      </c>
      <c r="B201" s="36"/>
      <c r="C201" s="36">
        <f>SUMIF(Lançamentos!D:D,"Tortelli",Lançamentos!G:G)</f>
        <v>0</v>
      </c>
      <c r="D201" s="36"/>
      <c r="E201" s="93"/>
    </row>
    <row r="202" spans="1:5" ht="15.75" customHeight="1" x14ac:dyDescent="0.25">
      <c r="A202" s="30" t="s">
        <v>33</v>
      </c>
      <c r="B202" s="37"/>
      <c r="C202" s="37">
        <f>SUMIF(Lançamentos!D:D,"Freelancer",Lançamentos!G:G)</f>
        <v>750</v>
      </c>
      <c r="D202" s="37"/>
      <c r="E202" s="93"/>
    </row>
    <row r="203" spans="1:5" ht="15.75" customHeight="1" x14ac:dyDescent="0.25">
      <c r="A203" s="22" t="s">
        <v>29</v>
      </c>
      <c r="B203" s="36"/>
      <c r="C203" s="36">
        <f>SUMIF(Lançamentos!D:D,"Manutenção",Lançamentos!G:G)</f>
        <v>400</v>
      </c>
      <c r="D203" s="36"/>
      <c r="E203" s="93"/>
    </row>
    <row r="204" spans="1:5" ht="15.75" customHeight="1" x14ac:dyDescent="0.25">
      <c r="A204" s="30" t="s">
        <v>68</v>
      </c>
      <c r="B204" s="37"/>
      <c r="C204" s="37">
        <f>SUMIF(Lançamentos!D:D,"Marketing",Lançamentos!G:G)</f>
        <v>1000</v>
      </c>
      <c r="D204" s="37"/>
      <c r="E204" s="93"/>
    </row>
    <row r="205" spans="1:5" ht="15.75" customHeight="1" x14ac:dyDescent="0.25">
      <c r="A205" s="22" t="s">
        <v>73</v>
      </c>
      <c r="B205" s="43"/>
      <c r="C205" s="43">
        <f>SUMIF(Lançamentos!D:D,"Celso",Lançamentos!G:G)</f>
        <v>0</v>
      </c>
      <c r="D205" s="43"/>
      <c r="E205" s="93"/>
    </row>
    <row r="206" spans="1:5" ht="15.75" customHeight="1" x14ac:dyDescent="0.25">
      <c r="A206" s="31" t="s">
        <v>69</v>
      </c>
      <c r="B206" s="32">
        <f>SUM(B187:B204)</f>
        <v>21413</v>
      </c>
      <c r="C206" s="32">
        <f>SUM(C187:C205)</f>
        <v>25237.329999999998</v>
      </c>
      <c r="D206" s="32"/>
      <c r="E206" s="92"/>
    </row>
    <row r="207" spans="1:5" ht="15.75" customHeight="1" x14ac:dyDescent="0.25"/>
    <row r="208" spans="1:5" ht="15.75" customHeight="1" x14ac:dyDescent="0.25"/>
    <row r="209" customFormat="1" ht="15.75" customHeight="1" x14ac:dyDescent="0.25"/>
    <row r="210" customFormat="1" ht="15.75" customHeight="1" x14ac:dyDescent="0.25"/>
    <row r="211" customFormat="1" ht="15.75" customHeight="1" x14ac:dyDescent="0.25"/>
    <row r="212" customFormat="1" ht="15.75" customHeight="1" x14ac:dyDescent="0.25"/>
    <row r="213" customFormat="1" ht="15.75" customHeight="1" x14ac:dyDescent="0.25"/>
    <row r="214" customFormat="1" ht="15.75" customHeight="1" x14ac:dyDescent="0.25"/>
    <row r="215" customFormat="1" ht="15.75" customHeight="1" x14ac:dyDescent="0.25"/>
    <row r="216" customFormat="1" ht="15.75" customHeight="1" x14ac:dyDescent="0.25"/>
    <row r="217" customFormat="1" ht="15.75" customHeight="1" x14ac:dyDescent="0.25"/>
    <row r="218" customFormat="1" ht="15.75" customHeight="1" x14ac:dyDescent="0.25"/>
    <row r="219" customFormat="1" ht="15.75" customHeight="1" x14ac:dyDescent="0.25"/>
    <row r="220" customFormat="1" ht="15.75" customHeight="1" x14ac:dyDescent="0.25"/>
    <row r="221" customFormat="1" ht="15.75" customHeight="1" x14ac:dyDescent="0.25"/>
    <row r="222" customFormat="1" ht="15.75" customHeight="1" x14ac:dyDescent="0.25"/>
    <row r="223" customFormat="1" ht="15.75" customHeight="1" x14ac:dyDescent="0.25"/>
    <row r="224" customFormat="1" ht="15.75" customHeight="1" x14ac:dyDescent="0.25"/>
    <row r="225" customFormat="1" ht="15.75" customHeight="1" x14ac:dyDescent="0.25"/>
    <row r="226" customFormat="1" ht="15.75" customHeight="1" x14ac:dyDescent="0.25"/>
    <row r="227" customFormat="1" ht="15.75" customHeight="1" x14ac:dyDescent="0.25"/>
    <row r="228" customFormat="1" ht="15.75" customHeight="1" x14ac:dyDescent="0.25"/>
    <row r="229" customFormat="1" ht="15.75" customHeight="1" x14ac:dyDescent="0.25"/>
    <row r="230" customFormat="1" ht="15.75" customHeight="1" x14ac:dyDescent="0.25"/>
    <row r="231" customFormat="1" ht="15.75" customHeight="1" x14ac:dyDescent="0.25"/>
    <row r="232" customFormat="1" ht="15.75" customHeight="1" x14ac:dyDescent="0.25"/>
    <row r="233" customFormat="1" ht="15.75" customHeight="1" x14ac:dyDescent="0.25"/>
    <row r="234" customFormat="1" ht="15.75" customHeight="1" x14ac:dyDescent="0.25"/>
    <row r="235" customFormat="1" ht="15.75" customHeight="1" x14ac:dyDescent="0.25"/>
    <row r="236" customFormat="1" ht="15.75" customHeight="1" x14ac:dyDescent="0.25"/>
    <row r="237" customFormat="1" ht="15.75" customHeight="1" x14ac:dyDescent="0.25"/>
    <row r="238" customFormat="1" ht="15.75" customHeight="1" x14ac:dyDescent="0.25"/>
    <row r="239" customFormat="1" ht="15.75" customHeight="1" x14ac:dyDescent="0.25"/>
    <row r="240" customFormat="1" ht="15.75" customHeight="1" x14ac:dyDescent="0.25"/>
    <row r="241" customFormat="1" ht="15.75" customHeight="1" x14ac:dyDescent="0.25"/>
    <row r="242" customFormat="1" ht="15.75" customHeight="1" x14ac:dyDescent="0.25"/>
    <row r="243" customFormat="1" ht="15.75" customHeight="1" x14ac:dyDescent="0.25"/>
    <row r="244" customFormat="1" ht="15.75" customHeight="1" x14ac:dyDescent="0.25"/>
    <row r="245" customFormat="1" ht="15.75" customHeight="1" x14ac:dyDescent="0.25"/>
    <row r="246" customFormat="1" ht="15.75" customHeight="1" x14ac:dyDescent="0.25"/>
    <row r="247" customFormat="1" ht="15.75" customHeight="1" x14ac:dyDescent="0.25"/>
    <row r="248" customFormat="1" ht="15.75" customHeight="1" x14ac:dyDescent="0.25"/>
    <row r="249" customFormat="1" ht="15.75" customHeight="1" x14ac:dyDescent="0.25"/>
    <row r="250" customFormat="1" ht="15.75" customHeight="1" x14ac:dyDescent="0.25"/>
    <row r="251" customFormat="1" ht="15.75" customHeight="1" x14ac:dyDescent="0.25"/>
    <row r="252" customFormat="1" ht="15.75" customHeight="1" x14ac:dyDescent="0.25"/>
    <row r="253" customFormat="1" ht="15.75" customHeight="1" x14ac:dyDescent="0.25"/>
    <row r="254" customFormat="1" ht="15.75" customHeight="1" x14ac:dyDescent="0.25"/>
    <row r="255" customFormat="1" ht="15.75" customHeight="1" x14ac:dyDescent="0.25"/>
    <row r="256" customFormat="1" ht="15.75" customHeight="1" x14ac:dyDescent="0.25"/>
    <row r="257" customFormat="1" ht="15.75" customHeight="1" x14ac:dyDescent="0.25"/>
    <row r="258" customFormat="1" ht="15.75" customHeight="1" x14ac:dyDescent="0.25"/>
    <row r="259" customFormat="1" ht="15.75" customHeight="1" x14ac:dyDescent="0.25"/>
    <row r="260" customFormat="1" ht="15.75" customHeight="1" x14ac:dyDescent="0.25"/>
    <row r="261" customFormat="1" ht="15.75" customHeight="1" x14ac:dyDescent="0.25"/>
    <row r="262" customFormat="1" ht="15.75" customHeight="1" x14ac:dyDescent="0.25"/>
    <row r="263" customFormat="1" ht="15.75" customHeight="1" x14ac:dyDescent="0.25"/>
    <row r="264" customFormat="1" ht="15.75" customHeight="1" x14ac:dyDescent="0.25"/>
    <row r="265" customFormat="1" ht="15.75" customHeight="1" x14ac:dyDescent="0.25"/>
    <row r="266" customFormat="1" ht="15.75" customHeight="1" x14ac:dyDescent="0.25"/>
    <row r="267" customFormat="1" ht="15.75" customHeight="1" x14ac:dyDescent="0.25"/>
    <row r="268" customFormat="1" ht="15.75" customHeight="1" x14ac:dyDescent="0.25"/>
    <row r="269" customFormat="1" ht="15.75" customHeight="1" x14ac:dyDescent="0.25"/>
    <row r="270" customFormat="1" ht="15.75" customHeight="1" x14ac:dyDescent="0.25"/>
    <row r="271" customFormat="1" ht="15.75" customHeight="1" x14ac:dyDescent="0.25"/>
    <row r="272" customFormat="1" ht="15.75" customHeight="1" x14ac:dyDescent="0.25"/>
    <row r="273" customFormat="1" ht="15.75" customHeight="1" x14ac:dyDescent="0.25"/>
    <row r="274" customFormat="1" ht="15.75" customHeight="1" x14ac:dyDescent="0.25"/>
    <row r="275" customFormat="1" ht="15.75" customHeight="1" x14ac:dyDescent="0.25"/>
    <row r="276" customFormat="1" ht="15.75" customHeight="1" x14ac:dyDescent="0.25"/>
    <row r="277" customFormat="1" ht="15.75" customHeight="1" x14ac:dyDescent="0.25"/>
    <row r="278" customFormat="1" ht="15.75" customHeight="1" x14ac:dyDescent="0.25"/>
    <row r="279" customFormat="1" ht="15.75" customHeight="1" x14ac:dyDescent="0.25"/>
    <row r="280" customFormat="1" ht="15.75" customHeight="1" x14ac:dyDescent="0.25"/>
    <row r="281" customFormat="1" ht="15.75" customHeight="1" x14ac:dyDescent="0.25"/>
    <row r="282" customFormat="1" ht="15.75" customHeight="1" x14ac:dyDescent="0.25"/>
    <row r="283" customFormat="1" ht="15.75" customHeight="1" x14ac:dyDescent="0.25"/>
    <row r="284" customFormat="1" ht="15.75" customHeight="1" x14ac:dyDescent="0.25"/>
    <row r="285" customFormat="1" ht="15.75" customHeight="1" x14ac:dyDescent="0.25"/>
    <row r="286" customFormat="1" ht="15.75" customHeight="1" x14ac:dyDescent="0.25"/>
    <row r="287" customFormat="1" ht="15.75" customHeight="1" x14ac:dyDescent="0.25"/>
    <row r="288" customFormat="1" ht="15.75" customHeight="1" x14ac:dyDescent="0.25"/>
    <row r="289" customFormat="1" ht="15.75" customHeight="1" x14ac:dyDescent="0.25"/>
    <row r="290" customFormat="1" ht="15.75" customHeight="1" x14ac:dyDescent="0.25"/>
    <row r="291" customFormat="1" ht="15.75" customHeight="1" x14ac:dyDescent="0.25"/>
    <row r="292" customFormat="1" ht="15.75" customHeight="1" x14ac:dyDescent="0.25"/>
    <row r="293" customFormat="1" ht="15.75" customHeight="1" x14ac:dyDescent="0.25"/>
    <row r="294" customFormat="1" ht="15.75" customHeight="1" x14ac:dyDescent="0.25"/>
    <row r="295" customFormat="1" ht="15.75" customHeight="1" x14ac:dyDescent="0.25"/>
    <row r="296" customFormat="1" ht="15.75" customHeight="1" x14ac:dyDescent="0.25"/>
    <row r="297" customFormat="1" ht="15.75" customHeight="1" x14ac:dyDescent="0.25"/>
    <row r="298" customFormat="1" ht="15.75" customHeight="1" x14ac:dyDescent="0.25"/>
    <row r="299" customFormat="1" ht="15.75" customHeight="1" x14ac:dyDescent="0.25"/>
    <row r="300" customFormat="1" ht="15.75" customHeight="1" x14ac:dyDescent="0.25"/>
    <row r="301" customFormat="1" ht="15.75" customHeight="1" x14ac:dyDescent="0.25"/>
    <row r="302" customFormat="1" ht="15.75" customHeight="1" x14ac:dyDescent="0.25"/>
    <row r="303" customFormat="1" ht="15.75" customHeight="1" x14ac:dyDescent="0.25"/>
    <row r="304" customFormat="1" ht="15.75" customHeight="1" x14ac:dyDescent="0.25"/>
    <row r="305" customFormat="1" ht="15.75" customHeight="1" x14ac:dyDescent="0.25"/>
    <row r="306" customFormat="1" ht="15.75" customHeight="1" x14ac:dyDescent="0.25"/>
    <row r="307" customFormat="1" ht="15.75" customHeight="1" x14ac:dyDescent="0.25"/>
    <row r="308" customFormat="1" ht="15.75" customHeight="1" x14ac:dyDescent="0.25"/>
    <row r="309" customFormat="1" ht="15.75" customHeight="1" x14ac:dyDescent="0.25"/>
    <row r="310" customFormat="1" ht="15.75" customHeight="1" x14ac:dyDescent="0.25"/>
    <row r="311" customFormat="1" ht="15.75" customHeight="1" x14ac:dyDescent="0.25"/>
    <row r="312" customFormat="1" ht="15.75" customHeight="1" x14ac:dyDescent="0.25"/>
    <row r="313" customFormat="1" ht="15.75" customHeight="1" x14ac:dyDescent="0.25"/>
    <row r="314" customFormat="1" ht="15.75" customHeight="1" x14ac:dyDescent="0.25"/>
    <row r="315" customFormat="1" ht="15.75" customHeight="1" x14ac:dyDescent="0.25"/>
    <row r="316" customFormat="1" ht="15.75" customHeight="1" x14ac:dyDescent="0.25"/>
    <row r="317" customFormat="1" ht="15.75" customHeight="1" x14ac:dyDescent="0.25"/>
    <row r="318" customFormat="1" ht="15.75" customHeight="1" x14ac:dyDescent="0.25"/>
    <row r="319" customFormat="1" ht="15.75" customHeight="1" x14ac:dyDescent="0.25"/>
    <row r="320" customFormat="1" ht="15.75" customHeight="1" x14ac:dyDescent="0.25"/>
    <row r="321" customFormat="1" ht="15.75" customHeight="1" x14ac:dyDescent="0.25"/>
    <row r="322" customFormat="1" ht="15.75" customHeight="1" x14ac:dyDescent="0.25"/>
    <row r="323" customFormat="1" ht="15.75" customHeight="1" x14ac:dyDescent="0.25"/>
    <row r="324" customFormat="1" ht="15.75" customHeight="1" x14ac:dyDescent="0.25"/>
    <row r="325" customFormat="1" ht="15.75" customHeight="1" x14ac:dyDescent="0.25"/>
    <row r="326" customFormat="1" ht="15.75" customHeight="1" x14ac:dyDescent="0.25"/>
    <row r="327" customFormat="1" ht="15.75" customHeight="1" x14ac:dyDescent="0.25"/>
    <row r="328" customFormat="1" ht="15.75" customHeight="1" x14ac:dyDescent="0.25"/>
    <row r="329" customFormat="1" ht="15.75" customHeight="1" x14ac:dyDescent="0.25"/>
    <row r="330" customFormat="1" ht="15.75" customHeight="1" x14ac:dyDescent="0.25"/>
    <row r="331" customFormat="1" ht="15.75" customHeight="1" x14ac:dyDescent="0.25"/>
    <row r="332" customFormat="1" ht="15.75" customHeight="1" x14ac:dyDescent="0.25"/>
    <row r="333" customFormat="1" ht="15.75" customHeight="1" x14ac:dyDescent="0.25"/>
    <row r="334" customFormat="1" ht="15.75" customHeight="1" x14ac:dyDescent="0.25"/>
    <row r="335" customFormat="1" ht="15.75" customHeight="1" x14ac:dyDescent="0.25"/>
    <row r="336" customFormat="1" ht="15.75" customHeight="1" x14ac:dyDescent="0.25"/>
    <row r="337" customFormat="1" ht="15.75" customHeight="1" x14ac:dyDescent="0.25"/>
    <row r="338" customFormat="1" ht="15.75" customHeight="1" x14ac:dyDescent="0.25"/>
    <row r="339" customFormat="1" ht="15.75" customHeight="1" x14ac:dyDescent="0.25"/>
    <row r="340" customFormat="1" ht="15.75" customHeight="1" x14ac:dyDescent="0.25"/>
    <row r="341" customFormat="1" ht="15.75" customHeight="1" x14ac:dyDescent="0.25"/>
    <row r="342" customFormat="1" ht="15.75" customHeight="1" x14ac:dyDescent="0.25"/>
    <row r="343" customFormat="1" ht="15.75" customHeight="1" x14ac:dyDescent="0.25"/>
    <row r="344" customFormat="1" ht="15.75" customHeight="1" x14ac:dyDescent="0.25"/>
    <row r="345" customFormat="1" ht="15.75" customHeight="1" x14ac:dyDescent="0.25"/>
    <row r="346" customFormat="1" ht="15.75" customHeight="1" x14ac:dyDescent="0.25"/>
    <row r="347" customFormat="1" ht="15.75" customHeight="1" x14ac:dyDescent="0.25"/>
    <row r="348" customFormat="1" ht="15.75" customHeight="1" x14ac:dyDescent="0.25"/>
    <row r="349" customFormat="1" ht="15.75" customHeight="1" x14ac:dyDescent="0.25"/>
    <row r="350" customFormat="1" ht="15.75" customHeight="1" x14ac:dyDescent="0.25"/>
    <row r="351" customFormat="1" ht="15.75" customHeight="1" x14ac:dyDescent="0.25"/>
    <row r="352" customFormat="1" ht="15.75" customHeight="1" x14ac:dyDescent="0.25"/>
    <row r="353" customFormat="1" ht="15.75" customHeight="1" x14ac:dyDescent="0.25"/>
    <row r="354" customFormat="1" ht="15.75" customHeight="1" x14ac:dyDescent="0.25"/>
    <row r="355" customFormat="1" ht="15.75" customHeight="1" x14ac:dyDescent="0.25"/>
    <row r="356" customFormat="1" ht="15.75" customHeight="1" x14ac:dyDescent="0.25"/>
    <row r="357" customFormat="1" ht="15.75" customHeight="1" x14ac:dyDescent="0.25"/>
    <row r="358" customFormat="1" ht="15.75" customHeight="1" x14ac:dyDescent="0.25"/>
    <row r="359" customFormat="1" ht="15.75" customHeight="1" x14ac:dyDescent="0.25"/>
    <row r="360" customFormat="1" ht="15.75" customHeight="1" x14ac:dyDescent="0.25"/>
    <row r="361" customFormat="1" ht="15.75" customHeight="1" x14ac:dyDescent="0.25"/>
    <row r="362" customFormat="1" ht="15.75" customHeight="1" x14ac:dyDescent="0.25"/>
    <row r="363" customFormat="1" ht="15.75" customHeight="1" x14ac:dyDescent="0.25"/>
    <row r="364" customFormat="1" ht="15.75" customHeight="1" x14ac:dyDescent="0.25"/>
    <row r="365" customFormat="1" ht="15.75" customHeight="1" x14ac:dyDescent="0.25"/>
    <row r="366" customFormat="1" ht="15.75" customHeight="1" x14ac:dyDescent="0.25"/>
    <row r="367" customFormat="1" ht="15.75" customHeight="1" x14ac:dyDescent="0.25"/>
    <row r="368" customFormat="1" ht="15.75" customHeight="1" x14ac:dyDescent="0.25"/>
    <row r="369" customFormat="1" ht="15.75" customHeight="1" x14ac:dyDescent="0.25"/>
    <row r="370" customFormat="1" ht="15.75" customHeight="1" x14ac:dyDescent="0.25"/>
    <row r="371" customFormat="1" ht="15.75" customHeight="1" x14ac:dyDescent="0.25"/>
    <row r="372" customFormat="1" ht="15.75" customHeight="1" x14ac:dyDescent="0.25"/>
    <row r="373" customFormat="1" ht="15.75" customHeight="1" x14ac:dyDescent="0.25"/>
    <row r="374" customFormat="1" ht="15.75" customHeight="1" x14ac:dyDescent="0.25"/>
    <row r="375" customFormat="1" ht="15.75" customHeight="1" x14ac:dyDescent="0.25"/>
    <row r="376" customFormat="1" ht="15.75" customHeight="1" x14ac:dyDescent="0.25"/>
    <row r="377" customFormat="1" ht="15.75" customHeight="1" x14ac:dyDescent="0.25"/>
    <row r="378" customFormat="1" ht="15.75" customHeight="1" x14ac:dyDescent="0.25"/>
    <row r="379" customFormat="1" ht="15.75" customHeight="1" x14ac:dyDescent="0.25"/>
    <row r="380" customFormat="1" ht="15.75" customHeight="1" x14ac:dyDescent="0.25"/>
    <row r="381" customFormat="1" ht="15.75" customHeight="1" x14ac:dyDescent="0.25"/>
    <row r="382" customFormat="1" ht="15.75" customHeight="1" x14ac:dyDescent="0.25"/>
    <row r="383" customFormat="1" ht="15.75" customHeight="1" x14ac:dyDescent="0.25"/>
    <row r="384" customFormat="1" ht="15.75" customHeight="1" x14ac:dyDescent="0.25"/>
    <row r="385" customFormat="1" ht="15.75" customHeight="1" x14ac:dyDescent="0.25"/>
    <row r="386" customFormat="1" ht="15.75" customHeight="1" x14ac:dyDescent="0.25"/>
    <row r="387" customFormat="1" ht="15.75" customHeight="1" x14ac:dyDescent="0.25"/>
    <row r="388" customFormat="1" ht="15.75" customHeight="1" x14ac:dyDescent="0.25"/>
    <row r="389" customFormat="1" ht="15.75" customHeight="1" x14ac:dyDescent="0.25"/>
    <row r="390" customFormat="1" ht="15.75" customHeight="1" x14ac:dyDescent="0.25"/>
    <row r="391" customFormat="1" ht="15.75" customHeight="1" x14ac:dyDescent="0.25"/>
    <row r="392" customFormat="1" ht="15.75" customHeight="1" x14ac:dyDescent="0.25"/>
    <row r="393" customFormat="1" ht="15.75" customHeight="1" x14ac:dyDescent="0.25"/>
    <row r="394" customFormat="1" ht="15.75" customHeight="1" x14ac:dyDescent="0.25"/>
    <row r="395" customFormat="1" ht="15.75" customHeight="1" x14ac:dyDescent="0.25"/>
    <row r="396" customFormat="1" ht="15.75" customHeight="1" x14ac:dyDescent="0.25"/>
    <row r="397" customFormat="1" ht="15.75" customHeight="1" x14ac:dyDescent="0.25"/>
    <row r="398" customFormat="1" ht="15.75" customHeight="1" x14ac:dyDescent="0.25"/>
    <row r="399" customFormat="1" ht="15.75" customHeight="1" x14ac:dyDescent="0.25"/>
    <row r="400" customFormat="1" ht="15.75" customHeight="1" x14ac:dyDescent="0.25"/>
    <row r="401" customFormat="1" ht="15.75" customHeight="1" x14ac:dyDescent="0.25"/>
    <row r="402" customFormat="1" ht="15.75" customHeight="1" x14ac:dyDescent="0.25"/>
    <row r="403" customFormat="1" ht="15.75" customHeight="1" x14ac:dyDescent="0.25"/>
    <row r="404" customFormat="1" ht="15.75" customHeight="1" x14ac:dyDescent="0.25"/>
    <row r="405" customFormat="1" ht="15.75" customHeight="1" x14ac:dyDescent="0.25"/>
    <row r="406" customFormat="1" ht="15.75" customHeight="1" x14ac:dyDescent="0.25"/>
    <row r="407" customFormat="1" ht="15.75" customHeight="1" x14ac:dyDescent="0.25"/>
    <row r="408" customFormat="1" ht="15.75" customHeight="1" x14ac:dyDescent="0.25"/>
    <row r="409" customFormat="1" ht="15.75" customHeight="1" x14ac:dyDescent="0.25"/>
    <row r="410" customFormat="1" ht="15.75" customHeight="1" x14ac:dyDescent="0.25"/>
    <row r="411" customFormat="1" ht="15.75" customHeight="1" x14ac:dyDescent="0.25"/>
    <row r="412" customFormat="1" ht="15.75" customHeight="1" x14ac:dyDescent="0.25"/>
    <row r="413" customFormat="1" ht="15.75" customHeight="1" x14ac:dyDescent="0.25"/>
    <row r="414" customFormat="1" ht="15.75" customHeight="1" x14ac:dyDescent="0.25"/>
    <row r="415" customFormat="1" ht="15.75" customHeight="1" x14ac:dyDescent="0.25"/>
    <row r="416" customFormat="1" ht="15.75" customHeight="1" x14ac:dyDescent="0.25"/>
    <row r="417" customFormat="1" ht="15.75" customHeight="1" x14ac:dyDescent="0.25"/>
    <row r="418" customFormat="1" ht="15.75" customHeight="1" x14ac:dyDescent="0.25"/>
    <row r="419" customFormat="1" ht="15.75" customHeight="1" x14ac:dyDescent="0.25"/>
    <row r="420" customFormat="1" ht="15.75" customHeight="1" x14ac:dyDescent="0.25"/>
    <row r="421" customFormat="1" ht="15.75" customHeight="1" x14ac:dyDescent="0.25"/>
    <row r="422" customFormat="1" ht="15.75" customHeight="1" x14ac:dyDescent="0.25"/>
    <row r="423" customFormat="1" ht="15.75" customHeight="1" x14ac:dyDescent="0.25"/>
    <row r="424" customFormat="1" ht="15.75" customHeight="1" x14ac:dyDescent="0.25"/>
    <row r="425" customFormat="1" ht="15.75" customHeight="1" x14ac:dyDescent="0.25"/>
    <row r="426" customFormat="1" ht="15.75" customHeight="1" x14ac:dyDescent="0.25"/>
    <row r="427" customFormat="1" ht="15.75" customHeight="1" x14ac:dyDescent="0.25"/>
    <row r="428" customFormat="1" ht="15.75" customHeight="1" x14ac:dyDescent="0.25"/>
    <row r="429" customFormat="1" ht="15.75" customHeight="1" x14ac:dyDescent="0.25"/>
    <row r="430" customFormat="1" ht="15.75" customHeight="1" x14ac:dyDescent="0.25"/>
    <row r="431" customFormat="1" ht="15.75" customHeight="1" x14ac:dyDescent="0.25"/>
    <row r="432" customFormat="1" ht="15.75" customHeight="1" x14ac:dyDescent="0.25"/>
    <row r="433" customFormat="1" ht="15.75" customHeight="1" x14ac:dyDescent="0.25"/>
    <row r="434" customFormat="1" ht="15.75" customHeight="1" x14ac:dyDescent="0.25"/>
    <row r="435" customFormat="1" ht="15.75" customHeight="1" x14ac:dyDescent="0.25"/>
    <row r="436" customFormat="1" ht="15.75" customHeight="1" x14ac:dyDescent="0.25"/>
    <row r="437" customFormat="1" ht="15.75" customHeight="1" x14ac:dyDescent="0.25"/>
    <row r="438" customFormat="1" ht="15.75" customHeight="1" x14ac:dyDescent="0.25"/>
    <row r="439" customFormat="1" ht="15.75" customHeight="1" x14ac:dyDescent="0.25"/>
    <row r="440" customFormat="1" ht="15.75" customHeight="1" x14ac:dyDescent="0.25"/>
    <row r="441" customFormat="1" ht="15.75" customHeight="1" x14ac:dyDescent="0.25"/>
    <row r="442" customFormat="1" ht="15.75" customHeight="1" x14ac:dyDescent="0.25"/>
    <row r="443" customFormat="1" ht="15.75" customHeight="1" x14ac:dyDescent="0.25"/>
    <row r="444" customFormat="1" ht="15.75" customHeight="1" x14ac:dyDescent="0.25"/>
    <row r="445" customFormat="1" ht="15.75" customHeight="1" x14ac:dyDescent="0.25"/>
    <row r="446" customFormat="1" ht="15.75" customHeight="1" x14ac:dyDescent="0.25"/>
    <row r="447" customFormat="1" ht="15.75" customHeight="1" x14ac:dyDescent="0.25"/>
    <row r="448" customFormat="1" ht="15.75" customHeight="1" x14ac:dyDescent="0.25"/>
    <row r="449" customFormat="1" ht="15.75" customHeight="1" x14ac:dyDescent="0.25"/>
    <row r="450" customFormat="1" ht="15.75" customHeight="1" x14ac:dyDescent="0.25"/>
    <row r="451" customFormat="1" ht="15.75" customHeight="1" x14ac:dyDescent="0.25"/>
    <row r="452" customFormat="1" ht="15.75" customHeight="1" x14ac:dyDescent="0.25"/>
    <row r="453" customFormat="1" ht="15.75" customHeight="1" x14ac:dyDescent="0.25"/>
    <row r="454" customFormat="1" ht="15.75" customHeight="1" x14ac:dyDescent="0.25"/>
    <row r="455" customFormat="1" ht="15.75" customHeight="1" x14ac:dyDescent="0.25"/>
    <row r="456" customFormat="1" ht="15.75" customHeight="1" x14ac:dyDescent="0.25"/>
    <row r="457" customFormat="1" ht="15.75" customHeight="1" x14ac:dyDescent="0.25"/>
    <row r="458" customFormat="1" ht="15.75" customHeight="1" x14ac:dyDescent="0.25"/>
    <row r="459" customFormat="1" ht="15.75" customHeight="1" x14ac:dyDescent="0.25"/>
    <row r="460" customFormat="1" ht="15.75" customHeight="1" x14ac:dyDescent="0.25"/>
    <row r="461" customFormat="1" ht="15.75" customHeight="1" x14ac:dyDescent="0.25"/>
    <row r="462" customFormat="1" ht="15.75" customHeight="1" x14ac:dyDescent="0.25"/>
    <row r="463" customFormat="1" ht="15.75" customHeight="1" x14ac:dyDescent="0.25"/>
    <row r="464" customFormat="1" ht="15.75" customHeight="1" x14ac:dyDescent="0.25"/>
    <row r="465" customFormat="1" ht="15.75" customHeight="1" x14ac:dyDescent="0.25"/>
    <row r="466" customFormat="1" ht="15.75" customHeight="1" x14ac:dyDescent="0.25"/>
    <row r="467" customFormat="1" ht="15.75" customHeight="1" x14ac:dyDescent="0.25"/>
    <row r="468" customFormat="1" ht="15.75" customHeight="1" x14ac:dyDescent="0.25"/>
    <row r="469" customFormat="1" ht="15.75" customHeight="1" x14ac:dyDescent="0.25"/>
    <row r="470" customFormat="1" ht="15.75" customHeight="1" x14ac:dyDescent="0.25"/>
    <row r="471" customFormat="1" ht="15.75" customHeight="1" x14ac:dyDescent="0.25"/>
    <row r="472" customFormat="1" ht="15.75" customHeight="1" x14ac:dyDescent="0.25"/>
    <row r="473" customFormat="1" ht="15.75" customHeight="1" x14ac:dyDescent="0.25"/>
    <row r="474" customFormat="1" ht="15.75" customHeight="1" x14ac:dyDescent="0.25"/>
    <row r="475" customFormat="1" ht="15.75" customHeight="1" x14ac:dyDescent="0.25"/>
    <row r="476" customFormat="1" ht="15.75" customHeight="1" x14ac:dyDescent="0.25"/>
    <row r="477" customFormat="1" ht="15.75" customHeight="1" x14ac:dyDescent="0.25"/>
    <row r="478" customFormat="1" ht="15.75" customHeight="1" x14ac:dyDescent="0.25"/>
    <row r="479" customFormat="1" ht="15.75" customHeight="1" x14ac:dyDescent="0.25"/>
    <row r="480" customFormat="1" ht="15.75" customHeight="1" x14ac:dyDescent="0.25"/>
    <row r="481" customFormat="1" ht="15.75" customHeight="1" x14ac:dyDescent="0.25"/>
    <row r="482" customFormat="1" ht="15.75" customHeight="1" x14ac:dyDescent="0.25"/>
    <row r="483" customFormat="1" ht="15.75" customHeight="1" x14ac:dyDescent="0.25"/>
    <row r="484" customFormat="1" ht="15.75" customHeight="1" x14ac:dyDescent="0.25"/>
    <row r="485" customFormat="1" ht="15.75" customHeight="1" x14ac:dyDescent="0.25"/>
    <row r="486" customFormat="1" ht="15.75" customHeight="1" x14ac:dyDescent="0.25"/>
    <row r="487" customFormat="1" ht="15.75" customHeight="1" x14ac:dyDescent="0.25"/>
    <row r="488" customFormat="1" ht="15.75" customHeight="1" x14ac:dyDescent="0.25"/>
    <row r="489" customFormat="1" ht="15.75" customHeight="1" x14ac:dyDescent="0.25"/>
    <row r="490" customFormat="1" ht="15.75" customHeight="1" x14ac:dyDescent="0.25"/>
    <row r="491" customFormat="1" ht="15.75" customHeight="1" x14ac:dyDescent="0.25"/>
    <row r="492" customFormat="1" ht="15.75" customHeight="1" x14ac:dyDescent="0.25"/>
    <row r="493" customFormat="1" ht="15.75" customHeight="1" x14ac:dyDescent="0.25"/>
    <row r="494" customFormat="1" ht="15.75" customHeight="1" x14ac:dyDescent="0.25"/>
    <row r="495" customFormat="1" ht="15.75" customHeight="1" x14ac:dyDescent="0.25"/>
    <row r="496" customFormat="1" ht="15.75" customHeight="1" x14ac:dyDescent="0.25"/>
    <row r="497" customFormat="1" ht="15.75" customHeight="1" x14ac:dyDescent="0.25"/>
    <row r="498" customFormat="1" ht="15.75" customHeight="1" x14ac:dyDescent="0.25"/>
    <row r="499" customFormat="1" ht="15.75" customHeight="1" x14ac:dyDescent="0.25"/>
    <row r="500" customFormat="1" ht="15.75" customHeight="1" x14ac:dyDescent="0.25"/>
    <row r="501" customFormat="1" ht="15.75" customHeight="1" x14ac:dyDescent="0.25"/>
    <row r="502" customFormat="1" ht="15.75" customHeight="1" x14ac:dyDescent="0.25"/>
    <row r="503" customFormat="1" ht="15.75" customHeight="1" x14ac:dyDescent="0.25"/>
    <row r="504" customFormat="1" ht="15.75" customHeight="1" x14ac:dyDescent="0.25"/>
    <row r="505" customFormat="1" ht="15.75" customHeight="1" x14ac:dyDescent="0.25"/>
    <row r="506" customFormat="1" ht="15.75" customHeight="1" x14ac:dyDescent="0.25"/>
    <row r="507" customFormat="1" ht="15.75" customHeight="1" x14ac:dyDescent="0.25"/>
    <row r="508" customFormat="1" ht="15.75" customHeight="1" x14ac:dyDescent="0.25"/>
    <row r="509" customFormat="1" ht="15.75" customHeight="1" x14ac:dyDescent="0.25"/>
    <row r="510" customFormat="1" ht="15.75" customHeight="1" x14ac:dyDescent="0.25"/>
    <row r="511" customFormat="1" ht="15.75" customHeight="1" x14ac:dyDescent="0.25"/>
    <row r="512" customFormat="1" ht="15.75" customHeight="1" x14ac:dyDescent="0.25"/>
    <row r="513" customFormat="1" ht="15.75" customHeight="1" x14ac:dyDescent="0.25"/>
    <row r="514" customFormat="1" ht="15.75" customHeight="1" x14ac:dyDescent="0.25"/>
    <row r="515" customFormat="1" ht="15.75" customHeight="1" x14ac:dyDescent="0.25"/>
    <row r="516" customFormat="1" ht="15.75" customHeight="1" x14ac:dyDescent="0.25"/>
    <row r="517" customFormat="1" ht="15.75" customHeight="1" x14ac:dyDescent="0.25"/>
    <row r="518" customFormat="1" ht="15.75" customHeight="1" x14ac:dyDescent="0.25"/>
    <row r="519" customFormat="1" ht="15.75" customHeight="1" x14ac:dyDescent="0.25"/>
    <row r="520" customFormat="1" ht="15.75" customHeight="1" x14ac:dyDescent="0.25"/>
    <row r="521" customFormat="1" ht="15.75" customHeight="1" x14ac:dyDescent="0.25"/>
    <row r="522" customFormat="1" ht="15.75" customHeight="1" x14ac:dyDescent="0.25"/>
    <row r="523" customFormat="1" ht="15.75" customHeight="1" x14ac:dyDescent="0.25"/>
    <row r="524" customFormat="1" ht="15.75" customHeight="1" x14ac:dyDescent="0.25"/>
    <row r="525" customFormat="1" ht="15.75" customHeight="1" x14ac:dyDescent="0.25"/>
    <row r="526" customFormat="1" ht="15.75" customHeight="1" x14ac:dyDescent="0.25"/>
    <row r="527" customFormat="1" ht="15.75" customHeight="1" x14ac:dyDescent="0.25"/>
    <row r="528" customFormat="1" ht="15.75" customHeight="1" x14ac:dyDescent="0.25"/>
    <row r="529" customFormat="1" ht="15.75" customHeight="1" x14ac:dyDescent="0.25"/>
    <row r="530" customFormat="1" ht="15.75" customHeight="1" x14ac:dyDescent="0.25"/>
    <row r="531" customFormat="1" ht="15.75" customHeight="1" x14ac:dyDescent="0.25"/>
    <row r="532" customFormat="1" ht="15.75" customHeight="1" x14ac:dyDescent="0.25"/>
    <row r="533" customFormat="1" ht="15.75" customHeight="1" x14ac:dyDescent="0.25"/>
    <row r="534" customFormat="1" ht="15.75" customHeight="1" x14ac:dyDescent="0.25"/>
    <row r="535" customFormat="1" ht="15.75" customHeight="1" x14ac:dyDescent="0.25"/>
    <row r="536" customFormat="1" ht="15.75" customHeight="1" x14ac:dyDescent="0.25"/>
    <row r="537" customFormat="1" ht="15.75" customHeight="1" x14ac:dyDescent="0.25"/>
    <row r="538" customFormat="1" ht="15.75" customHeight="1" x14ac:dyDescent="0.25"/>
    <row r="539" customFormat="1" ht="15.75" customHeight="1" x14ac:dyDescent="0.25"/>
    <row r="540" customFormat="1" ht="15.75" customHeight="1" x14ac:dyDescent="0.25"/>
    <row r="541" customFormat="1" ht="15.75" customHeight="1" x14ac:dyDescent="0.25"/>
    <row r="542" customFormat="1" ht="15.75" customHeight="1" x14ac:dyDescent="0.25"/>
    <row r="543" customFormat="1" ht="15.75" customHeight="1" x14ac:dyDescent="0.25"/>
    <row r="544" customFormat="1" ht="15.75" customHeight="1" x14ac:dyDescent="0.25"/>
    <row r="545" customFormat="1" ht="15.75" customHeight="1" x14ac:dyDescent="0.25"/>
    <row r="546" customFormat="1" ht="15.75" customHeight="1" x14ac:dyDescent="0.25"/>
    <row r="547" customFormat="1" ht="15.75" customHeight="1" x14ac:dyDescent="0.25"/>
    <row r="548" customFormat="1" ht="15.75" customHeight="1" x14ac:dyDescent="0.25"/>
    <row r="549" customFormat="1" ht="15.75" customHeight="1" x14ac:dyDescent="0.25"/>
    <row r="550" customFormat="1" ht="15.75" customHeight="1" x14ac:dyDescent="0.25"/>
    <row r="551" customFormat="1" ht="15.75" customHeight="1" x14ac:dyDescent="0.25"/>
    <row r="552" customFormat="1" ht="15.75" customHeight="1" x14ac:dyDescent="0.25"/>
    <row r="553" customFormat="1" ht="15.75" customHeight="1" x14ac:dyDescent="0.25"/>
    <row r="554" customFormat="1" ht="15.75" customHeight="1" x14ac:dyDescent="0.25"/>
    <row r="555" customFormat="1" ht="15.75" customHeight="1" x14ac:dyDescent="0.25"/>
    <row r="556" customFormat="1" ht="15.75" customHeight="1" x14ac:dyDescent="0.25"/>
    <row r="557" customFormat="1" ht="15.75" customHeight="1" x14ac:dyDescent="0.25"/>
    <row r="558" customFormat="1" ht="15.75" customHeight="1" x14ac:dyDescent="0.25"/>
    <row r="559" customFormat="1" ht="15.75" customHeight="1" x14ac:dyDescent="0.25"/>
    <row r="560" customFormat="1" ht="15.75" customHeight="1" x14ac:dyDescent="0.25"/>
    <row r="561" customFormat="1" ht="15.75" customHeight="1" x14ac:dyDescent="0.25"/>
    <row r="562" customFormat="1" ht="15.75" customHeight="1" x14ac:dyDescent="0.25"/>
    <row r="563" customFormat="1" ht="15.75" customHeight="1" x14ac:dyDescent="0.25"/>
    <row r="564" customFormat="1" ht="15.75" customHeight="1" x14ac:dyDescent="0.25"/>
    <row r="565" customFormat="1" ht="15.75" customHeight="1" x14ac:dyDescent="0.25"/>
    <row r="566" customFormat="1" ht="15.75" customHeight="1" x14ac:dyDescent="0.25"/>
    <row r="567" customFormat="1" ht="15.75" customHeight="1" x14ac:dyDescent="0.25"/>
    <row r="568" customFormat="1" ht="15.75" customHeight="1" x14ac:dyDescent="0.25"/>
    <row r="569" customFormat="1" ht="15.75" customHeight="1" x14ac:dyDescent="0.25"/>
    <row r="570" customFormat="1" ht="15.75" customHeight="1" x14ac:dyDescent="0.25"/>
    <row r="571" customFormat="1" ht="15.75" customHeight="1" x14ac:dyDescent="0.25"/>
    <row r="572" customFormat="1" ht="15.75" customHeight="1" x14ac:dyDescent="0.25"/>
    <row r="573" customFormat="1" ht="15.75" customHeight="1" x14ac:dyDescent="0.25"/>
    <row r="574" customFormat="1" ht="15.75" customHeight="1" x14ac:dyDescent="0.25"/>
    <row r="575" customFormat="1" ht="15.75" customHeight="1" x14ac:dyDescent="0.25"/>
    <row r="576" customFormat="1" ht="15.75" customHeight="1" x14ac:dyDescent="0.25"/>
    <row r="577" customFormat="1" ht="15.75" customHeight="1" x14ac:dyDescent="0.25"/>
    <row r="578" customFormat="1" ht="15.75" customHeight="1" x14ac:dyDescent="0.25"/>
    <row r="579" customFormat="1" ht="15.75" customHeight="1" x14ac:dyDescent="0.25"/>
    <row r="580" customFormat="1" ht="15.75" customHeight="1" x14ac:dyDescent="0.25"/>
    <row r="581" customFormat="1" ht="15.75" customHeight="1" x14ac:dyDescent="0.25"/>
    <row r="582" customFormat="1" ht="15.75" customHeight="1" x14ac:dyDescent="0.25"/>
    <row r="583" customFormat="1" ht="15.75" customHeight="1" x14ac:dyDescent="0.25"/>
    <row r="584" customFormat="1" ht="15.75" customHeight="1" x14ac:dyDescent="0.25"/>
    <row r="585" customFormat="1" ht="15.75" customHeight="1" x14ac:dyDescent="0.25"/>
    <row r="586" customFormat="1" ht="15.75" customHeight="1" x14ac:dyDescent="0.25"/>
    <row r="587" customFormat="1" ht="15.75" customHeight="1" x14ac:dyDescent="0.25"/>
    <row r="588" customFormat="1" ht="15.75" customHeight="1" x14ac:dyDescent="0.25"/>
    <row r="589" customFormat="1" ht="15.75" customHeight="1" x14ac:dyDescent="0.25"/>
    <row r="590" customFormat="1" ht="15.75" customHeight="1" x14ac:dyDescent="0.25"/>
    <row r="591" customFormat="1" ht="15.75" customHeight="1" x14ac:dyDescent="0.25"/>
    <row r="592" customFormat="1" ht="15.75" customHeight="1" x14ac:dyDescent="0.25"/>
    <row r="593" customFormat="1" ht="15.75" customHeight="1" x14ac:dyDescent="0.25"/>
    <row r="594" customFormat="1" ht="15.75" customHeight="1" x14ac:dyDescent="0.25"/>
    <row r="595" customFormat="1" ht="15.75" customHeight="1" x14ac:dyDescent="0.25"/>
    <row r="596" customFormat="1" ht="15.75" customHeight="1" x14ac:dyDescent="0.25"/>
    <row r="597" customFormat="1" ht="15.75" customHeight="1" x14ac:dyDescent="0.25"/>
    <row r="598" customFormat="1" ht="15.75" customHeight="1" x14ac:dyDescent="0.25"/>
    <row r="599" customFormat="1" ht="15.75" customHeight="1" x14ac:dyDescent="0.25"/>
    <row r="600" customFormat="1" ht="15.75" customHeight="1" x14ac:dyDescent="0.25"/>
    <row r="601" customFormat="1" ht="15.75" customHeight="1" x14ac:dyDescent="0.25"/>
    <row r="602" customFormat="1" ht="15.75" customHeight="1" x14ac:dyDescent="0.25"/>
    <row r="603" customFormat="1" ht="15.75" customHeight="1" x14ac:dyDescent="0.25"/>
    <row r="604" customFormat="1" ht="15.75" customHeight="1" x14ac:dyDescent="0.25"/>
    <row r="605" customFormat="1" ht="15.75" customHeight="1" x14ac:dyDescent="0.25"/>
    <row r="606" customFormat="1" ht="15.75" customHeight="1" x14ac:dyDescent="0.25"/>
    <row r="607" customFormat="1" ht="15.75" customHeight="1" x14ac:dyDescent="0.25"/>
    <row r="608" customFormat="1" ht="15.75" customHeight="1" x14ac:dyDescent="0.25"/>
    <row r="609" customFormat="1" ht="15.75" customHeight="1" x14ac:dyDescent="0.25"/>
    <row r="610" customFormat="1" ht="15.75" customHeight="1" x14ac:dyDescent="0.25"/>
    <row r="611" customFormat="1" ht="15.75" customHeight="1" x14ac:dyDescent="0.25"/>
    <row r="612" customFormat="1" ht="15.75" customHeight="1" x14ac:dyDescent="0.25"/>
    <row r="613" customFormat="1" ht="15.75" customHeight="1" x14ac:dyDescent="0.25"/>
    <row r="614" customFormat="1" ht="15.75" customHeight="1" x14ac:dyDescent="0.25"/>
    <row r="615" customFormat="1" ht="15.75" customHeight="1" x14ac:dyDescent="0.25"/>
    <row r="616" customFormat="1" ht="15.75" customHeight="1" x14ac:dyDescent="0.25"/>
    <row r="617" customFormat="1" ht="15.75" customHeight="1" x14ac:dyDescent="0.25"/>
    <row r="618" customFormat="1" ht="15.75" customHeight="1" x14ac:dyDescent="0.25"/>
    <row r="619" customFormat="1" ht="15.75" customHeight="1" x14ac:dyDescent="0.25"/>
    <row r="620" customFormat="1" ht="15.75" customHeight="1" x14ac:dyDescent="0.25"/>
    <row r="621" customFormat="1" ht="15.75" customHeight="1" x14ac:dyDescent="0.25"/>
    <row r="622" customFormat="1" ht="15.75" customHeight="1" x14ac:dyDescent="0.25"/>
    <row r="623" customFormat="1" ht="15.75" customHeight="1" x14ac:dyDescent="0.25"/>
    <row r="624" customFormat="1" ht="15.75" customHeight="1" x14ac:dyDescent="0.25"/>
    <row r="625" customFormat="1" ht="15.75" customHeight="1" x14ac:dyDescent="0.25"/>
    <row r="626" customFormat="1" ht="15.75" customHeight="1" x14ac:dyDescent="0.25"/>
    <row r="627" customFormat="1" ht="15.75" customHeight="1" x14ac:dyDescent="0.25"/>
    <row r="628" customFormat="1" ht="15.75" customHeight="1" x14ac:dyDescent="0.25"/>
    <row r="629" customFormat="1" ht="15.75" customHeight="1" x14ac:dyDescent="0.25"/>
    <row r="630" customFormat="1" ht="15.75" customHeight="1" x14ac:dyDescent="0.25"/>
    <row r="631" customFormat="1" ht="15.75" customHeight="1" x14ac:dyDescent="0.25"/>
    <row r="632" customFormat="1" ht="15.75" customHeight="1" x14ac:dyDescent="0.25"/>
    <row r="633" customFormat="1" ht="15.75" customHeight="1" x14ac:dyDescent="0.25"/>
    <row r="634" customFormat="1" ht="15.75" customHeight="1" x14ac:dyDescent="0.25"/>
    <row r="635" customFormat="1" ht="15.75" customHeight="1" x14ac:dyDescent="0.25"/>
    <row r="636" customFormat="1" ht="15.75" customHeight="1" x14ac:dyDescent="0.25"/>
    <row r="637" customFormat="1" ht="15.75" customHeight="1" x14ac:dyDescent="0.25"/>
    <row r="638" customFormat="1" ht="15.75" customHeight="1" x14ac:dyDescent="0.25"/>
    <row r="639" customFormat="1" ht="15.75" customHeight="1" x14ac:dyDescent="0.25"/>
    <row r="640" customFormat="1" ht="15.75" customHeight="1" x14ac:dyDescent="0.25"/>
    <row r="641" customFormat="1" ht="15.75" customHeight="1" x14ac:dyDescent="0.25"/>
    <row r="642" customFormat="1" ht="15.75" customHeight="1" x14ac:dyDescent="0.25"/>
    <row r="643" customFormat="1" ht="15.75" customHeight="1" x14ac:dyDescent="0.25"/>
    <row r="644" customFormat="1" ht="15.75" customHeight="1" x14ac:dyDescent="0.25"/>
    <row r="645" customFormat="1" ht="15.75" customHeight="1" x14ac:dyDescent="0.25"/>
    <row r="646" customFormat="1" ht="15.75" customHeight="1" x14ac:dyDescent="0.25"/>
    <row r="647" customFormat="1" ht="15.75" customHeight="1" x14ac:dyDescent="0.25"/>
    <row r="648" customFormat="1" ht="15.75" customHeight="1" x14ac:dyDescent="0.25"/>
    <row r="649" customFormat="1" ht="15.75" customHeight="1" x14ac:dyDescent="0.25"/>
    <row r="650" customFormat="1" ht="15.75" customHeight="1" x14ac:dyDescent="0.25"/>
    <row r="651" customFormat="1" ht="15.75" customHeight="1" x14ac:dyDescent="0.25"/>
    <row r="652" customFormat="1" ht="15.75" customHeight="1" x14ac:dyDescent="0.25"/>
    <row r="653" customFormat="1" ht="15.75" customHeight="1" x14ac:dyDescent="0.25"/>
    <row r="654" customFormat="1" ht="15.75" customHeight="1" x14ac:dyDescent="0.25"/>
    <row r="655" customFormat="1" ht="15.75" customHeight="1" x14ac:dyDescent="0.25"/>
    <row r="656" customFormat="1" ht="15.75" customHeight="1" x14ac:dyDescent="0.25"/>
    <row r="657" customFormat="1" ht="15.75" customHeight="1" x14ac:dyDescent="0.25"/>
    <row r="658" customFormat="1" ht="15.75" customHeight="1" x14ac:dyDescent="0.25"/>
    <row r="659" customFormat="1" ht="15.75" customHeight="1" x14ac:dyDescent="0.25"/>
    <row r="660" customFormat="1" ht="15.75" customHeight="1" x14ac:dyDescent="0.25"/>
    <row r="661" customFormat="1" ht="15.75" customHeight="1" x14ac:dyDescent="0.25"/>
    <row r="662" customFormat="1" ht="15.75" customHeight="1" x14ac:dyDescent="0.25"/>
    <row r="663" customFormat="1" ht="15.75" customHeight="1" x14ac:dyDescent="0.25"/>
    <row r="664" customFormat="1" ht="15.75" customHeight="1" x14ac:dyDescent="0.25"/>
    <row r="665" customFormat="1" ht="15.75" customHeight="1" x14ac:dyDescent="0.25"/>
    <row r="666" customFormat="1" ht="15.75" customHeight="1" x14ac:dyDescent="0.25"/>
    <row r="667" customFormat="1" ht="15.75" customHeight="1" x14ac:dyDescent="0.25"/>
    <row r="668" customFormat="1" ht="15.75" customHeight="1" x14ac:dyDescent="0.25"/>
    <row r="669" customFormat="1" ht="15.75" customHeight="1" x14ac:dyDescent="0.25"/>
    <row r="670" customFormat="1" ht="15.75" customHeight="1" x14ac:dyDescent="0.25"/>
    <row r="671" customFormat="1" ht="15.75" customHeight="1" x14ac:dyDescent="0.25"/>
    <row r="672" customFormat="1" ht="15.75" customHeight="1" x14ac:dyDescent="0.25"/>
    <row r="673" customFormat="1" ht="15.75" customHeight="1" x14ac:dyDescent="0.25"/>
    <row r="674" customFormat="1" ht="15.75" customHeight="1" x14ac:dyDescent="0.25"/>
    <row r="675" customFormat="1" ht="15.75" customHeight="1" x14ac:dyDescent="0.25"/>
    <row r="676" customFormat="1" ht="15.75" customHeight="1" x14ac:dyDescent="0.25"/>
    <row r="677" customFormat="1" ht="15.75" customHeight="1" x14ac:dyDescent="0.25"/>
    <row r="678" customFormat="1" ht="15.75" customHeight="1" x14ac:dyDescent="0.25"/>
    <row r="679" customFormat="1" ht="15.75" customHeight="1" x14ac:dyDescent="0.25"/>
    <row r="680" customFormat="1" ht="15.75" customHeight="1" x14ac:dyDescent="0.25"/>
    <row r="681" customFormat="1" ht="15.75" customHeight="1" x14ac:dyDescent="0.25"/>
    <row r="682" customFormat="1" ht="15.75" customHeight="1" x14ac:dyDescent="0.25"/>
    <row r="683" customFormat="1" ht="15.75" customHeight="1" x14ac:dyDescent="0.25"/>
    <row r="684" customFormat="1" ht="15.75" customHeight="1" x14ac:dyDescent="0.25"/>
    <row r="685" customFormat="1" ht="15.75" customHeight="1" x14ac:dyDescent="0.25"/>
    <row r="686" customFormat="1" ht="15.75" customHeight="1" x14ac:dyDescent="0.25"/>
    <row r="687" customFormat="1" ht="15.75" customHeight="1" x14ac:dyDescent="0.25"/>
    <row r="688" customFormat="1" ht="15.75" customHeight="1" x14ac:dyDescent="0.25"/>
    <row r="689" customFormat="1" ht="15.75" customHeight="1" x14ac:dyDescent="0.25"/>
    <row r="690" customFormat="1" ht="15.75" customHeight="1" x14ac:dyDescent="0.25"/>
    <row r="691" customFormat="1" ht="15.75" customHeight="1" x14ac:dyDescent="0.25"/>
    <row r="692" customFormat="1" ht="15.75" customHeight="1" x14ac:dyDescent="0.25"/>
    <row r="693" customFormat="1" ht="15.75" customHeight="1" x14ac:dyDescent="0.25"/>
    <row r="694" customFormat="1" ht="15.75" customHeight="1" x14ac:dyDescent="0.25"/>
    <row r="695" customFormat="1" ht="15.75" customHeight="1" x14ac:dyDescent="0.25"/>
    <row r="696" customFormat="1" ht="15.75" customHeight="1" x14ac:dyDescent="0.25"/>
    <row r="697" customFormat="1" ht="15.75" customHeight="1" x14ac:dyDescent="0.25"/>
    <row r="698" customFormat="1" ht="15.75" customHeight="1" x14ac:dyDescent="0.25"/>
    <row r="699" customFormat="1" ht="15.75" customHeight="1" x14ac:dyDescent="0.25"/>
    <row r="700" customFormat="1" ht="15.75" customHeight="1" x14ac:dyDescent="0.25"/>
    <row r="701" customFormat="1" ht="15.75" customHeight="1" x14ac:dyDescent="0.25"/>
    <row r="702" customFormat="1" ht="15.75" customHeight="1" x14ac:dyDescent="0.25"/>
    <row r="703" customFormat="1" ht="15.75" customHeight="1" x14ac:dyDescent="0.25"/>
    <row r="704" customFormat="1" ht="15.75" customHeight="1" x14ac:dyDescent="0.25"/>
    <row r="705" customFormat="1" ht="15.75" customHeight="1" x14ac:dyDescent="0.25"/>
    <row r="706" customFormat="1" ht="15.75" customHeight="1" x14ac:dyDescent="0.25"/>
    <row r="707" customFormat="1" ht="15.75" customHeight="1" x14ac:dyDescent="0.25"/>
    <row r="708" customFormat="1" ht="15.75" customHeight="1" x14ac:dyDescent="0.25"/>
    <row r="709" customFormat="1" ht="15.75" customHeight="1" x14ac:dyDescent="0.25"/>
    <row r="710" customFormat="1" ht="15.75" customHeight="1" x14ac:dyDescent="0.25"/>
    <row r="711" customFormat="1" ht="15.75" customHeight="1" x14ac:dyDescent="0.25"/>
    <row r="712" customFormat="1" ht="15.75" customHeight="1" x14ac:dyDescent="0.25"/>
    <row r="713" customFormat="1" ht="15.75" customHeight="1" x14ac:dyDescent="0.25"/>
    <row r="714" customFormat="1" ht="15.75" customHeight="1" x14ac:dyDescent="0.25"/>
    <row r="715" customFormat="1" ht="15.75" customHeight="1" x14ac:dyDescent="0.25"/>
    <row r="716" customFormat="1" ht="15.75" customHeight="1" x14ac:dyDescent="0.25"/>
    <row r="717" customFormat="1" ht="15.75" customHeight="1" x14ac:dyDescent="0.25"/>
    <row r="718" customFormat="1" ht="15.75" customHeight="1" x14ac:dyDescent="0.25"/>
    <row r="719" customFormat="1" ht="15.75" customHeight="1" x14ac:dyDescent="0.25"/>
    <row r="720" customFormat="1" ht="15.75" customHeight="1" x14ac:dyDescent="0.25"/>
    <row r="721" customFormat="1" ht="15.75" customHeight="1" x14ac:dyDescent="0.25"/>
    <row r="722" customFormat="1" ht="15.75" customHeight="1" x14ac:dyDescent="0.25"/>
    <row r="723" customFormat="1" ht="15.75" customHeight="1" x14ac:dyDescent="0.25"/>
    <row r="724" customFormat="1" ht="15.75" customHeight="1" x14ac:dyDescent="0.25"/>
    <row r="725" customFormat="1" ht="15.75" customHeight="1" x14ac:dyDescent="0.25"/>
    <row r="726" customFormat="1" ht="15.75" customHeight="1" x14ac:dyDescent="0.25"/>
    <row r="727" customFormat="1" ht="15.75" customHeight="1" x14ac:dyDescent="0.25"/>
    <row r="728" customFormat="1" ht="15.75" customHeight="1" x14ac:dyDescent="0.25"/>
    <row r="729" customFormat="1" ht="15.75" customHeight="1" x14ac:dyDescent="0.25"/>
    <row r="730" customFormat="1" ht="15.75" customHeight="1" x14ac:dyDescent="0.25"/>
    <row r="731" customFormat="1" ht="15.75" customHeight="1" x14ac:dyDescent="0.25"/>
    <row r="732" customFormat="1" ht="15.75" customHeight="1" x14ac:dyDescent="0.25"/>
    <row r="733" customFormat="1" ht="15.75" customHeight="1" x14ac:dyDescent="0.25"/>
    <row r="734" customFormat="1" ht="15.75" customHeight="1" x14ac:dyDescent="0.25"/>
    <row r="735" customFormat="1" ht="15.75" customHeight="1" x14ac:dyDescent="0.25"/>
    <row r="736" customFormat="1" ht="15.75" customHeight="1" x14ac:dyDescent="0.25"/>
    <row r="737" customFormat="1" ht="15.75" customHeight="1" x14ac:dyDescent="0.25"/>
    <row r="738" customFormat="1" ht="15.75" customHeight="1" x14ac:dyDescent="0.25"/>
    <row r="739" customFormat="1" ht="15.75" customHeight="1" x14ac:dyDescent="0.25"/>
    <row r="740" customFormat="1" ht="15.75" customHeight="1" x14ac:dyDescent="0.25"/>
    <row r="741" customFormat="1" ht="15.75" customHeight="1" x14ac:dyDescent="0.25"/>
    <row r="742" customFormat="1" ht="15.75" customHeight="1" x14ac:dyDescent="0.25"/>
    <row r="743" customFormat="1" ht="15.75" customHeight="1" x14ac:dyDescent="0.25"/>
    <row r="744" customFormat="1" ht="15.75" customHeight="1" x14ac:dyDescent="0.25"/>
    <row r="745" customFormat="1" ht="15.75" customHeight="1" x14ac:dyDescent="0.25"/>
    <row r="746" customFormat="1" ht="15.75" customHeight="1" x14ac:dyDescent="0.25"/>
    <row r="747" customFormat="1" ht="15.75" customHeight="1" x14ac:dyDescent="0.25"/>
    <row r="748" customFormat="1" ht="15.75" customHeight="1" x14ac:dyDescent="0.25"/>
    <row r="749" customFormat="1" ht="15.75" customHeight="1" x14ac:dyDescent="0.25"/>
    <row r="750" customFormat="1" ht="15.75" customHeight="1" x14ac:dyDescent="0.25"/>
    <row r="751" customFormat="1" ht="15.75" customHeight="1" x14ac:dyDescent="0.25"/>
    <row r="752" customFormat="1" ht="15.75" customHeight="1" x14ac:dyDescent="0.25"/>
    <row r="753" customFormat="1" ht="15.75" customHeight="1" x14ac:dyDescent="0.25"/>
    <row r="754" customFormat="1" ht="15.75" customHeight="1" x14ac:dyDescent="0.25"/>
    <row r="755" customFormat="1" ht="15.75" customHeight="1" x14ac:dyDescent="0.25"/>
    <row r="756" customFormat="1" ht="15.75" customHeight="1" x14ac:dyDescent="0.25"/>
    <row r="757" customFormat="1" ht="15.75" customHeight="1" x14ac:dyDescent="0.25"/>
    <row r="758" customFormat="1" ht="15.75" customHeight="1" x14ac:dyDescent="0.25"/>
    <row r="759" customFormat="1" ht="15.75" customHeight="1" x14ac:dyDescent="0.25"/>
    <row r="760" customFormat="1" ht="15.75" customHeight="1" x14ac:dyDescent="0.25"/>
    <row r="761" customFormat="1" ht="15.75" customHeight="1" x14ac:dyDescent="0.25"/>
    <row r="762" customFormat="1" ht="15.75" customHeight="1" x14ac:dyDescent="0.25"/>
    <row r="763" customFormat="1" ht="15.75" customHeight="1" x14ac:dyDescent="0.25"/>
    <row r="764" customFormat="1" ht="15.75" customHeight="1" x14ac:dyDescent="0.25"/>
    <row r="765" customFormat="1" ht="15.75" customHeight="1" x14ac:dyDescent="0.25"/>
    <row r="766" customFormat="1" ht="15.75" customHeight="1" x14ac:dyDescent="0.25"/>
    <row r="767" customFormat="1" ht="15.75" customHeight="1" x14ac:dyDescent="0.25"/>
    <row r="768" customFormat="1" ht="15.75" customHeight="1" x14ac:dyDescent="0.25"/>
    <row r="769" customFormat="1" ht="15.75" customHeight="1" x14ac:dyDescent="0.25"/>
    <row r="770" customFormat="1" ht="15.75" customHeight="1" x14ac:dyDescent="0.25"/>
    <row r="771" customFormat="1" ht="15.75" customHeight="1" x14ac:dyDescent="0.25"/>
    <row r="772" customFormat="1" ht="15.75" customHeight="1" x14ac:dyDescent="0.25"/>
    <row r="773" customFormat="1" ht="15.75" customHeight="1" x14ac:dyDescent="0.25"/>
    <row r="774" customFormat="1" ht="15.75" customHeight="1" x14ac:dyDescent="0.25"/>
    <row r="775" customFormat="1" ht="15.75" customHeight="1" x14ac:dyDescent="0.25"/>
    <row r="776" customFormat="1" ht="15.75" customHeight="1" x14ac:dyDescent="0.25"/>
    <row r="777" customFormat="1" ht="15.75" customHeight="1" x14ac:dyDescent="0.25"/>
    <row r="778" customFormat="1" ht="15.75" customHeight="1" x14ac:dyDescent="0.25"/>
    <row r="779" customFormat="1" ht="15.75" customHeight="1" x14ac:dyDescent="0.25"/>
    <row r="780" customFormat="1" ht="15.75" customHeight="1" x14ac:dyDescent="0.25"/>
    <row r="781" customFormat="1" ht="15.75" customHeight="1" x14ac:dyDescent="0.25"/>
    <row r="782" customFormat="1" ht="15.75" customHeight="1" x14ac:dyDescent="0.25"/>
    <row r="783" customFormat="1" ht="15.75" customHeight="1" x14ac:dyDescent="0.25"/>
    <row r="784" customFormat="1" ht="15.75" customHeight="1" x14ac:dyDescent="0.25"/>
    <row r="785" customFormat="1" ht="15.75" customHeight="1" x14ac:dyDescent="0.25"/>
    <row r="786" customFormat="1" ht="15.75" customHeight="1" x14ac:dyDescent="0.25"/>
    <row r="787" customFormat="1" ht="15.75" customHeight="1" x14ac:dyDescent="0.25"/>
    <row r="788" customFormat="1" ht="15.75" customHeight="1" x14ac:dyDescent="0.25"/>
    <row r="789" customFormat="1" ht="15.75" customHeight="1" x14ac:dyDescent="0.25"/>
    <row r="790" customFormat="1" ht="15.75" customHeight="1" x14ac:dyDescent="0.25"/>
    <row r="791" customFormat="1" ht="15.75" customHeight="1" x14ac:dyDescent="0.25"/>
    <row r="792" customFormat="1" ht="15.75" customHeight="1" x14ac:dyDescent="0.25"/>
    <row r="793" customFormat="1" ht="15.75" customHeight="1" x14ac:dyDescent="0.25"/>
    <row r="794" customFormat="1" ht="15.75" customHeight="1" x14ac:dyDescent="0.25"/>
    <row r="795" customFormat="1" ht="15.75" customHeight="1" x14ac:dyDescent="0.25"/>
    <row r="796" customFormat="1" ht="15.75" customHeight="1" x14ac:dyDescent="0.25"/>
    <row r="797" customFormat="1" ht="15.75" customHeight="1" x14ac:dyDescent="0.25"/>
    <row r="798" customFormat="1" ht="15.75" customHeight="1" x14ac:dyDescent="0.25"/>
    <row r="799" customFormat="1" ht="15.75" customHeight="1" x14ac:dyDescent="0.25"/>
    <row r="800" customFormat="1" ht="15.75" customHeight="1" x14ac:dyDescent="0.25"/>
    <row r="801" customFormat="1" ht="15.75" customHeight="1" x14ac:dyDescent="0.25"/>
    <row r="802" customFormat="1" ht="15.75" customHeight="1" x14ac:dyDescent="0.25"/>
    <row r="803" customFormat="1" ht="15.75" customHeight="1" x14ac:dyDescent="0.25"/>
    <row r="804" customFormat="1" ht="15.75" customHeight="1" x14ac:dyDescent="0.25"/>
    <row r="805" customFormat="1" ht="15.75" customHeight="1" x14ac:dyDescent="0.25"/>
    <row r="806" customFormat="1" ht="15.75" customHeight="1" x14ac:dyDescent="0.25"/>
    <row r="807" customFormat="1" ht="15.75" customHeight="1" x14ac:dyDescent="0.25"/>
    <row r="808" customFormat="1" ht="15.75" customHeight="1" x14ac:dyDescent="0.25"/>
    <row r="809" customFormat="1" ht="15.75" customHeight="1" x14ac:dyDescent="0.25"/>
    <row r="810" customFormat="1" ht="15.75" customHeight="1" x14ac:dyDescent="0.25"/>
    <row r="811" customFormat="1" ht="15.75" customHeight="1" x14ac:dyDescent="0.25"/>
    <row r="812" customFormat="1" ht="15.75" customHeight="1" x14ac:dyDescent="0.25"/>
    <row r="813" customFormat="1" ht="15.75" customHeight="1" x14ac:dyDescent="0.25"/>
    <row r="814" customFormat="1" ht="15.75" customHeight="1" x14ac:dyDescent="0.25"/>
    <row r="815" customFormat="1" ht="15.75" customHeight="1" x14ac:dyDescent="0.25"/>
    <row r="816" customFormat="1" ht="15.75" customHeight="1" x14ac:dyDescent="0.25"/>
    <row r="817" customFormat="1" ht="15.75" customHeight="1" x14ac:dyDescent="0.25"/>
    <row r="818" customFormat="1" ht="15.75" customHeight="1" x14ac:dyDescent="0.25"/>
    <row r="819" customFormat="1" ht="15.75" customHeight="1" x14ac:dyDescent="0.25"/>
    <row r="820" customFormat="1" ht="15.75" customHeight="1" x14ac:dyDescent="0.25"/>
    <row r="821" customFormat="1" ht="15.75" customHeight="1" x14ac:dyDescent="0.25"/>
    <row r="822" customFormat="1" ht="15.75" customHeight="1" x14ac:dyDescent="0.25"/>
    <row r="823" customFormat="1" ht="15.75" customHeight="1" x14ac:dyDescent="0.25"/>
    <row r="824" customFormat="1" ht="15.75" customHeight="1" x14ac:dyDescent="0.25"/>
    <row r="825" customFormat="1" ht="15.75" customHeight="1" x14ac:dyDescent="0.25"/>
    <row r="826" customFormat="1" ht="15.75" customHeight="1" x14ac:dyDescent="0.25"/>
    <row r="827" customFormat="1" ht="15.75" customHeight="1" x14ac:dyDescent="0.25"/>
    <row r="828" customFormat="1" ht="15.75" customHeight="1" x14ac:dyDescent="0.25"/>
    <row r="829" customFormat="1" ht="15.75" customHeight="1" x14ac:dyDescent="0.25"/>
    <row r="830" customFormat="1" ht="15.75" customHeight="1" x14ac:dyDescent="0.25"/>
    <row r="831" customFormat="1" ht="15.75" customHeight="1" x14ac:dyDescent="0.25"/>
    <row r="832" customFormat="1" ht="15.75" customHeight="1" x14ac:dyDescent="0.25"/>
    <row r="833" customFormat="1" ht="15.75" customHeight="1" x14ac:dyDescent="0.25"/>
    <row r="834" customFormat="1" ht="15.75" customHeight="1" x14ac:dyDescent="0.25"/>
    <row r="835" customFormat="1" ht="15.75" customHeight="1" x14ac:dyDescent="0.25"/>
    <row r="836" customFormat="1" ht="15.75" customHeight="1" x14ac:dyDescent="0.25"/>
    <row r="837" customFormat="1" ht="15.75" customHeight="1" x14ac:dyDescent="0.25"/>
    <row r="838" customFormat="1" ht="15.75" customHeight="1" x14ac:dyDescent="0.25"/>
    <row r="839" customFormat="1" ht="15.75" customHeight="1" x14ac:dyDescent="0.25"/>
    <row r="840" customFormat="1" ht="15.75" customHeight="1" x14ac:dyDescent="0.25"/>
    <row r="841" customFormat="1" ht="15.75" customHeight="1" x14ac:dyDescent="0.25"/>
    <row r="842" customFormat="1" ht="15.75" customHeight="1" x14ac:dyDescent="0.25"/>
    <row r="843" customFormat="1" ht="15.75" customHeight="1" x14ac:dyDescent="0.25"/>
    <row r="844" customFormat="1" ht="15.75" customHeight="1" x14ac:dyDescent="0.25"/>
    <row r="845" customFormat="1" ht="15.75" customHeight="1" x14ac:dyDescent="0.25"/>
    <row r="846" customFormat="1" ht="15.75" customHeight="1" x14ac:dyDescent="0.25"/>
    <row r="847" customFormat="1" ht="15.75" customHeight="1" x14ac:dyDescent="0.25"/>
    <row r="848" customFormat="1" ht="15.75" customHeight="1" x14ac:dyDescent="0.25"/>
    <row r="849" customFormat="1" ht="15.75" customHeight="1" x14ac:dyDescent="0.25"/>
    <row r="850" customFormat="1" ht="15.75" customHeight="1" x14ac:dyDescent="0.25"/>
    <row r="851" customFormat="1" ht="15.75" customHeight="1" x14ac:dyDescent="0.25"/>
    <row r="852" customFormat="1" ht="15.75" customHeight="1" x14ac:dyDescent="0.25"/>
    <row r="853" customFormat="1" ht="15.75" customHeight="1" x14ac:dyDescent="0.25"/>
    <row r="854" customFormat="1" ht="15.75" customHeight="1" x14ac:dyDescent="0.25"/>
    <row r="855" customFormat="1" ht="15.75" customHeight="1" x14ac:dyDescent="0.25"/>
    <row r="856" customFormat="1" ht="15.75" customHeight="1" x14ac:dyDescent="0.25"/>
    <row r="857" customFormat="1" ht="15.75" customHeight="1" x14ac:dyDescent="0.25"/>
    <row r="858" customFormat="1" ht="15.75" customHeight="1" x14ac:dyDescent="0.25"/>
    <row r="859" customFormat="1" ht="15.75" customHeight="1" x14ac:dyDescent="0.25"/>
    <row r="860" customFormat="1" ht="15.75" customHeight="1" x14ac:dyDescent="0.25"/>
    <row r="861" customFormat="1" ht="15.75" customHeight="1" x14ac:dyDescent="0.25"/>
    <row r="862" customFormat="1" ht="15.75" customHeight="1" x14ac:dyDescent="0.25"/>
    <row r="863" customFormat="1" ht="15.75" customHeight="1" x14ac:dyDescent="0.25"/>
    <row r="864" customFormat="1" ht="15.75" customHeight="1" x14ac:dyDescent="0.25"/>
    <row r="865" customFormat="1" ht="15.75" customHeight="1" x14ac:dyDescent="0.25"/>
    <row r="866" customFormat="1" ht="15.75" customHeight="1" x14ac:dyDescent="0.25"/>
    <row r="867" customFormat="1" ht="15.75" customHeight="1" x14ac:dyDescent="0.25"/>
    <row r="868" customFormat="1" ht="15.75" customHeight="1" x14ac:dyDescent="0.25"/>
    <row r="869" customFormat="1" ht="15.75" customHeight="1" x14ac:dyDescent="0.25"/>
    <row r="870" customFormat="1" ht="15.75" customHeight="1" x14ac:dyDescent="0.25"/>
    <row r="871" customFormat="1" ht="15.75" customHeight="1" x14ac:dyDescent="0.25"/>
    <row r="872" customFormat="1" ht="15.75" customHeight="1" x14ac:dyDescent="0.25"/>
    <row r="873" customFormat="1" ht="15.75" customHeight="1" x14ac:dyDescent="0.25"/>
    <row r="874" customFormat="1" ht="15.75" customHeight="1" x14ac:dyDescent="0.25"/>
    <row r="875" customFormat="1" ht="15.75" customHeight="1" x14ac:dyDescent="0.25"/>
    <row r="876" customFormat="1" ht="15.75" customHeight="1" x14ac:dyDescent="0.25"/>
    <row r="877" customFormat="1" ht="15.75" customHeight="1" x14ac:dyDescent="0.25"/>
    <row r="878" customFormat="1" ht="15.75" customHeight="1" x14ac:dyDescent="0.25"/>
    <row r="879" customFormat="1" ht="15.75" customHeight="1" x14ac:dyDescent="0.25"/>
    <row r="880" customFormat="1" ht="15.75" customHeight="1" x14ac:dyDescent="0.25"/>
    <row r="881" customFormat="1" ht="15.75" customHeight="1" x14ac:dyDescent="0.25"/>
    <row r="882" customFormat="1" ht="15.75" customHeight="1" x14ac:dyDescent="0.25"/>
    <row r="883" customFormat="1" ht="15.75" customHeight="1" x14ac:dyDescent="0.25"/>
    <row r="884" customFormat="1" ht="15.75" customHeight="1" x14ac:dyDescent="0.25"/>
    <row r="885" customFormat="1" ht="15.75" customHeight="1" x14ac:dyDescent="0.25"/>
    <row r="886" customFormat="1" ht="15.75" customHeight="1" x14ac:dyDescent="0.25"/>
    <row r="887" customFormat="1" ht="15.75" customHeight="1" x14ac:dyDescent="0.25"/>
    <row r="888" customFormat="1" ht="15.75" customHeight="1" x14ac:dyDescent="0.25"/>
    <row r="889" customFormat="1" ht="15.75" customHeight="1" x14ac:dyDescent="0.25"/>
    <row r="890" customFormat="1" ht="15.75" customHeight="1" x14ac:dyDescent="0.25"/>
    <row r="891" customFormat="1" ht="15.75" customHeight="1" x14ac:dyDescent="0.25"/>
    <row r="892" customFormat="1" ht="15.75" customHeight="1" x14ac:dyDescent="0.25"/>
    <row r="893" customFormat="1" ht="15.75" customHeight="1" x14ac:dyDescent="0.25"/>
    <row r="894" customFormat="1" ht="15.75" customHeight="1" x14ac:dyDescent="0.25"/>
    <row r="895" customFormat="1" ht="15.75" customHeight="1" x14ac:dyDescent="0.25"/>
    <row r="896" customFormat="1" ht="15.75" customHeight="1" x14ac:dyDescent="0.25"/>
    <row r="897" customFormat="1" ht="15.75" customHeight="1" x14ac:dyDescent="0.25"/>
    <row r="898" customFormat="1" ht="15.75" customHeight="1" x14ac:dyDescent="0.25"/>
    <row r="899" customFormat="1" ht="15.75" customHeight="1" x14ac:dyDescent="0.25"/>
    <row r="900" customFormat="1" ht="15.75" customHeight="1" x14ac:dyDescent="0.25"/>
    <row r="901" customFormat="1" ht="15.75" customHeight="1" x14ac:dyDescent="0.25"/>
    <row r="902" customFormat="1" ht="15.75" customHeight="1" x14ac:dyDescent="0.25"/>
    <row r="903" customFormat="1" ht="15.75" customHeight="1" x14ac:dyDescent="0.25"/>
    <row r="904" customFormat="1" ht="15.75" customHeight="1" x14ac:dyDescent="0.25"/>
    <row r="905" customFormat="1" ht="15.75" customHeight="1" x14ac:dyDescent="0.25"/>
    <row r="906" customFormat="1" ht="15.75" customHeight="1" x14ac:dyDescent="0.25"/>
    <row r="907" customFormat="1" ht="15.75" customHeight="1" x14ac:dyDescent="0.25"/>
    <row r="908" customFormat="1" ht="15.75" customHeight="1" x14ac:dyDescent="0.25"/>
    <row r="909" customFormat="1" ht="15.75" customHeight="1" x14ac:dyDescent="0.25"/>
    <row r="910" customFormat="1" ht="15.75" customHeight="1" x14ac:dyDescent="0.25"/>
    <row r="911" customFormat="1" ht="15.75" customHeight="1" x14ac:dyDescent="0.25"/>
    <row r="912" customFormat="1" ht="15.75" customHeight="1" x14ac:dyDescent="0.25"/>
    <row r="913" customFormat="1" ht="15.75" customHeight="1" x14ac:dyDescent="0.25"/>
    <row r="914" customFormat="1" ht="15.75" customHeight="1" x14ac:dyDescent="0.25"/>
    <row r="915" customFormat="1" ht="15.75" customHeight="1" x14ac:dyDescent="0.25"/>
    <row r="916" customFormat="1" ht="15.75" customHeight="1" x14ac:dyDescent="0.25"/>
    <row r="917" customFormat="1" ht="15.75" customHeight="1" x14ac:dyDescent="0.25"/>
    <row r="918" customFormat="1" ht="15.75" customHeight="1" x14ac:dyDescent="0.25"/>
    <row r="919" customFormat="1" ht="15.75" customHeight="1" x14ac:dyDescent="0.25"/>
    <row r="920" customFormat="1" ht="15.75" customHeight="1" x14ac:dyDescent="0.25"/>
    <row r="921" customFormat="1" ht="15.75" customHeight="1" x14ac:dyDescent="0.25"/>
    <row r="922" customFormat="1" ht="15.75" customHeight="1" x14ac:dyDescent="0.25"/>
    <row r="923" customFormat="1" ht="15.75" customHeight="1" x14ac:dyDescent="0.25"/>
    <row r="924" customFormat="1" ht="15.75" customHeight="1" x14ac:dyDescent="0.25"/>
    <row r="925" customFormat="1" ht="15.75" customHeight="1" x14ac:dyDescent="0.25"/>
    <row r="926" customFormat="1" ht="15.75" customHeight="1" x14ac:dyDescent="0.25"/>
    <row r="927" customFormat="1" ht="15.75" customHeight="1" x14ac:dyDescent="0.25"/>
    <row r="928" customFormat="1" ht="15.75" customHeight="1" x14ac:dyDescent="0.25"/>
    <row r="929" customFormat="1" ht="15.75" customHeight="1" x14ac:dyDescent="0.25"/>
    <row r="930" customFormat="1" ht="15.75" customHeight="1" x14ac:dyDescent="0.25"/>
    <row r="931" customFormat="1" ht="15.75" customHeight="1" x14ac:dyDescent="0.25"/>
    <row r="932" customFormat="1" ht="15.75" customHeight="1" x14ac:dyDescent="0.25"/>
    <row r="933" customFormat="1" ht="15.75" customHeight="1" x14ac:dyDescent="0.25"/>
    <row r="934" customFormat="1" ht="15.75" customHeight="1" x14ac:dyDescent="0.25"/>
    <row r="935" customFormat="1" ht="15.75" customHeight="1" x14ac:dyDescent="0.25"/>
    <row r="936" customFormat="1" ht="15.75" customHeight="1" x14ac:dyDescent="0.25"/>
    <row r="937" customFormat="1" ht="15.75" customHeight="1" x14ac:dyDescent="0.25"/>
    <row r="938" customFormat="1" ht="15.75" customHeight="1" x14ac:dyDescent="0.25"/>
    <row r="939" customFormat="1" ht="15.75" customHeight="1" x14ac:dyDescent="0.25"/>
    <row r="940" customFormat="1" ht="15.75" customHeight="1" x14ac:dyDescent="0.25"/>
    <row r="941" customFormat="1" ht="15.75" customHeight="1" x14ac:dyDescent="0.25"/>
    <row r="942" customFormat="1" ht="15.75" customHeight="1" x14ac:dyDescent="0.25"/>
    <row r="943" customFormat="1" ht="15.75" customHeight="1" x14ac:dyDescent="0.25"/>
    <row r="944" customFormat="1" ht="15.75" customHeight="1" x14ac:dyDescent="0.25"/>
    <row r="945" customFormat="1" ht="15.75" customHeight="1" x14ac:dyDescent="0.25"/>
    <row r="946" customFormat="1" ht="15.75" customHeight="1" x14ac:dyDescent="0.25"/>
    <row r="947" customFormat="1" ht="15.75" customHeight="1" x14ac:dyDescent="0.25"/>
    <row r="948" customFormat="1" ht="15.75" customHeight="1" x14ac:dyDescent="0.25"/>
    <row r="949" customFormat="1" ht="15.75" customHeight="1" x14ac:dyDescent="0.25"/>
    <row r="950" customFormat="1" ht="15.75" customHeight="1" x14ac:dyDescent="0.25"/>
    <row r="951" customFormat="1" ht="15.75" customHeight="1" x14ac:dyDescent="0.25"/>
    <row r="952" customFormat="1" ht="15.75" customHeight="1" x14ac:dyDescent="0.25"/>
    <row r="953" customFormat="1" ht="15.75" customHeight="1" x14ac:dyDescent="0.25"/>
    <row r="954" customFormat="1" ht="15.75" customHeight="1" x14ac:dyDescent="0.25"/>
    <row r="955" customFormat="1" ht="15.75" customHeight="1" x14ac:dyDescent="0.25"/>
    <row r="956" customFormat="1" ht="15.75" customHeight="1" x14ac:dyDescent="0.25"/>
    <row r="957" customFormat="1" ht="15.75" customHeight="1" x14ac:dyDescent="0.25"/>
    <row r="958" customFormat="1" ht="15.75" customHeight="1" x14ac:dyDescent="0.25"/>
    <row r="959" customFormat="1" ht="15.75" customHeight="1" x14ac:dyDescent="0.25"/>
    <row r="960" customFormat="1" ht="15.75" customHeight="1" x14ac:dyDescent="0.25"/>
    <row r="961" customFormat="1" ht="15.75" customHeight="1" x14ac:dyDescent="0.25"/>
    <row r="962" customFormat="1" ht="15.75" customHeight="1" x14ac:dyDescent="0.25"/>
    <row r="963" customFormat="1" ht="15.75" customHeight="1" x14ac:dyDescent="0.25"/>
    <row r="964" customFormat="1" ht="15.75" customHeight="1" x14ac:dyDescent="0.25"/>
    <row r="965" customFormat="1" ht="15.75" customHeight="1" x14ac:dyDescent="0.25"/>
    <row r="966" customFormat="1" ht="15.75" customHeight="1" x14ac:dyDescent="0.25"/>
    <row r="967" customFormat="1" ht="15.75" customHeight="1" x14ac:dyDescent="0.25"/>
    <row r="968" customFormat="1" ht="15.75" customHeight="1" x14ac:dyDescent="0.25"/>
    <row r="969" customFormat="1" ht="15.75" customHeight="1" x14ac:dyDescent="0.25"/>
    <row r="970" customFormat="1" ht="15.75" customHeight="1" x14ac:dyDescent="0.25"/>
    <row r="971" customFormat="1" ht="15.75" customHeight="1" x14ac:dyDescent="0.25"/>
    <row r="972" customFormat="1" ht="15.75" customHeight="1" x14ac:dyDescent="0.25"/>
    <row r="973" customFormat="1" ht="15.75" customHeight="1" x14ac:dyDescent="0.25"/>
    <row r="974" customFormat="1" ht="15.75" customHeight="1" x14ac:dyDescent="0.25"/>
    <row r="975" customFormat="1" ht="15.75" customHeight="1" x14ac:dyDescent="0.25"/>
    <row r="976" customFormat="1" ht="15.75" customHeight="1" x14ac:dyDescent="0.25"/>
    <row r="977" customFormat="1" ht="15.75" customHeight="1" x14ac:dyDescent="0.25"/>
    <row r="978" customFormat="1" ht="15.75" customHeight="1" x14ac:dyDescent="0.25"/>
    <row r="979" customFormat="1" ht="15.75" customHeight="1" x14ac:dyDescent="0.25"/>
    <row r="980" customFormat="1" ht="15.75" customHeight="1" x14ac:dyDescent="0.25"/>
    <row r="981" customFormat="1" ht="15.75" customHeight="1" x14ac:dyDescent="0.25"/>
    <row r="982" customFormat="1" ht="15.75" customHeight="1" x14ac:dyDescent="0.25"/>
    <row r="983" customFormat="1" ht="15.75" customHeight="1" x14ac:dyDescent="0.25"/>
    <row r="984" customFormat="1" ht="15.75" customHeight="1" x14ac:dyDescent="0.25"/>
    <row r="985" customFormat="1" ht="15.75" customHeight="1" x14ac:dyDescent="0.25"/>
    <row r="986" customFormat="1" ht="15.75" customHeight="1" x14ac:dyDescent="0.25"/>
    <row r="987" customFormat="1" ht="15.75" customHeight="1" x14ac:dyDescent="0.25"/>
    <row r="988" customFormat="1" ht="15.75" customHeight="1" x14ac:dyDescent="0.25"/>
    <row r="989" customFormat="1" ht="15.75" customHeight="1" x14ac:dyDescent="0.25"/>
    <row r="990" customFormat="1" ht="15.75" customHeight="1" x14ac:dyDescent="0.25"/>
    <row r="991" customFormat="1" ht="15.75" customHeight="1" x14ac:dyDescent="0.25"/>
    <row r="992" customFormat="1" ht="15.75" customHeight="1" x14ac:dyDescent="0.25"/>
    <row r="993" customFormat="1" ht="15.75" customHeight="1" x14ac:dyDescent="0.25"/>
    <row r="994" customFormat="1" ht="15.75" customHeight="1" x14ac:dyDescent="0.25"/>
    <row r="995" customFormat="1" ht="15.75" customHeight="1" x14ac:dyDescent="0.25"/>
    <row r="996" customFormat="1" ht="15.75" customHeight="1" x14ac:dyDescent="0.25"/>
    <row r="997" customFormat="1" ht="15.75" customHeight="1" x14ac:dyDescent="0.25"/>
    <row r="998" customFormat="1" ht="15.75" customHeight="1" x14ac:dyDescent="0.25"/>
    <row r="999" customFormat="1" ht="15.75" customHeight="1" x14ac:dyDescent="0.25"/>
    <row r="1000" customFormat="1" ht="15.75" customHeight="1" x14ac:dyDescent="0.25"/>
    <row r="1001" customFormat="1" ht="15.75" customHeight="1" x14ac:dyDescent="0.25"/>
    <row r="1002" customFormat="1" ht="15.75" customHeight="1" x14ac:dyDescent="0.25"/>
    <row r="1003" customFormat="1" ht="15.75" customHeight="1" x14ac:dyDescent="0.25"/>
    <row r="1004" customFormat="1" ht="15.75" customHeight="1" x14ac:dyDescent="0.25"/>
    <row r="1005" customFormat="1" ht="15.75" customHeight="1" x14ac:dyDescent="0.25"/>
    <row r="1006" customFormat="1" ht="15.75" customHeight="1" x14ac:dyDescent="0.25"/>
    <row r="1007" customFormat="1" ht="15.75" customHeight="1" x14ac:dyDescent="0.25"/>
    <row r="1008" customFormat="1" ht="15.75" customHeight="1" x14ac:dyDescent="0.25"/>
    <row r="1009" customFormat="1" ht="15.75" customHeight="1" x14ac:dyDescent="0.25"/>
    <row r="1010" customFormat="1" ht="15.75" customHeight="1" x14ac:dyDescent="0.25"/>
    <row r="1011" customFormat="1" ht="15.75" customHeight="1" x14ac:dyDescent="0.25"/>
    <row r="1012" customFormat="1" ht="15.75" customHeight="1" x14ac:dyDescent="0.25"/>
    <row r="1013" customFormat="1" ht="15.75" customHeight="1" x14ac:dyDescent="0.25"/>
    <row r="1014" customFormat="1" ht="15.75" customHeight="1" x14ac:dyDescent="0.25"/>
    <row r="1015" customFormat="1" ht="15.75" customHeight="1" x14ac:dyDescent="0.25"/>
    <row r="1016" customFormat="1" ht="15.75" customHeight="1" x14ac:dyDescent="0.25"/>
    <row r="1017" customFormat="1" ht="15.75" customHeight="1" x14ac:dyDescent="0.25"/>
    <row r="1018" customFormat="1" ht="15.75" customHeight="1" x14ac:dyDescent="0.25"/>
    <row r="1019" customFormat="1" ht="15.75" customHeight="1" x14ac:dyDescent="0.25"/>
    <row r="1020" customFormat="1" ht="15.75" customHeight="1" x14ac:dyDescent="0.25"/>
    <row r="1021" customFormat="1" ht="15.75" customHeight="1" x14ac:dyDescent="0.25"/>
    <row r="1022" customFormat="1" ht="15.75" customHeight="1" x14ac:dyDescent="0.25"/>
    <row r="1023" customFormat="1" ht="15.75" customHeight="1" x14ac:dyDescent="0.25"/>
    <row r="1024" customFormat="1" ht="15.75" customHeight="1" x14ac:dyDescent="0.25"/>
    <row r="1025" customFormat="1" ht="15.75" customHeight="1" x14ac:dyDescent="0.25"/>
    <row r="1026" customFormat="1" ht="15.75" customHeight="1" x14ac:dyDescent="0.25"/>
    <row r="1027" customFormat="1" ht="15.75" customHeight="1" x14ac:dyDescent="0.25"/>
    <row r="1028" customFormat="1" ht="15.75" customHeight="1" x14ac:dyDescent="0.25"/>
    <row r="1029" customFormat="1" ht="15.75" customHeight="1" x14ac:dyDescent="0.25"/>
    <row r="1030" customFormat="1" ht="15.75" customHeight="1" x14ac:dyDescent="0.25"/>
    <row r="1031" customFormat="1" ht="15.75" customHeight="1" x14ac:dyDescent="0.25"/>
    <row r="1032" customFormat="1" ht="15.75" customHeight="1" x14ac:dyDescent="0.25"/>
    <row r="1033" customFormat="1" ht="15.75" customHeight="1" x14ac:dyDescent="0.25"/>
    <row r="1034" customFormat="1" ht="15.75" customHeight="1" x14ac:dyDescent="0.25"/>
    <row r="1035" customFormat="1" ht="15.75" customHeight="1" x14ac:dyDescent="0.25"/>
    <row r="1036" customFormat="1" ht="15.75" customHeight="1" x14ac:dyDescent="0.25"/>
    <row r="1037" customFormat="1" ht="15.75" customHeight="1" x14ac:dyDescent="0.25"/>
    <row r="1038" customFormat="1" ht="15.75" customHeight="1" x14ac:dyDescent="0.25"/>
    <row r="1039" customFormat="1" ht="15.75" customHeight="1" x14ac:dyDescent="0.25"/>
    <row r="1040" customFormat="1" ht="15.75" customHeight="1" x14ac:dyDescent="0.25"/>
    <row r="1041" customFormat="1" ht="15.75" customHeight="1" x14ac:dyDescent="0.25"/>
    <row r="1042" customFormat="1" ht="15.75" customHeight="1" x14ac:dyDescent="0.25"/>
    <row r="1043" customFormat="1" ht="15.75" customHeight="1" x14ac:dyDescent="0.25"/>
  </sheetData>
  <mergeCells count="10">
    <mergeCell ref="E139:E160"/>
    <mergeCell ref="E162:E183"/>
    <mergeCell ref="E185:E206"/>
    <mergeCell ref="A1:D1"/>
    <mergeCell ref="E7:E25"/>
    <mergeCell ref="E27:E46"/>
    <mergeCell ref="E48:E68"/>
    <mergeCell ref="E70:E91"/>
    <mergeCell ref="E93:E114"/>
    <mergeCell ref="E116:E13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F0ACF-AD2F-45D3-81AB-2EA8F184CF71}">
  <sheetPr>
    <outlinePr summaryBelow="0" summaryRight="0"/>
  </sheetPr>
  <dimension ref="A1:P1015"/>
  <sheetViews>
    <sheetView workbookViewId="0">
      <selection activeCell="B3" sqref="B3"/>
    </sheetView>
  </sheetViews>
  <sheetFormatPr defaultColWidth="14.42578125" defaultRowHeight="15" customHeight="1" x14ac:dyDescent="0.25"/>
  <cols>
    <col min="1" max="1" width="13.5703125" customWidth="1"/>
    <col min="2" max="2" width="25.28515625" customWidth="1"/>
    <col min="3" max="3" width="9" customWidth="1"/>
    <col min="4" max="4" width="5.140625" customWidth="1"/>
    <col min="5" max="5" width="18.140625" customWidth="1"/>
    <col min="6" max="6" width="19.42578125" customWidth="1"/>
    <col min="7" max="7" width="12.28515625" customWidth="1"/>
    <col min="8" max="8" width="4.28515625" customWidth="1"/>
    <col min="9" max="9" width="14.7109375" customWidth="1"/>
    <col min="10" max="10" width="22.7109375" customWidth="1"/>
    <col min="11" max="11" width="6.28515625" customWidth="1"/>
    <col min="12" max="12" width="3.28515625" customWidth="1"/>
    <col min="14" max="14" width="19.42578125" customWidth="1"/>
    <col min="15" max="15" width="3.42578125" customWidth="1"/>
  </cols>
  <sheetData>
    <row r="1" spans="1:16" x14ac:dyDescent="0.25">
      <c r="A1" s="45" t="s">
        <v>4</v>
      </c>
      <c r="B1" s="45" t="s">
        <v>80</v>
      </c>
      <c r="C1" s="45" t="s">
        <v>81</v>
      </c>
      <c r="E1" s="45" t="s">
        <v>4</v>
      </c>
      <c r="F1" s="45" t="s">
        <v>80</v>
      </c>
      <c r="G1" s="45" t="s">
        <v>81</v>
      </c>
      <c r="I1" s="45" t="s">
        <v>4</v>
      </c>
      <c r="J1" s="45" t="s">
        <v>80</v>
      </c>
      <c r="K1" s="45" t="s">
        <v>81</v>
      </c>
      <c r="M1" s="45" t="s">
        <v>4</v>
      </c>
      <c r="N1" s="45" t="s">
        <v>80</v>
      </c>
      <c r="O1" s="45" t="s">
        <v>81</v>
      </c>
      <c r="P1" s="45" t="s">
        <v>8</v>
      </c>
    </row>
    <row r="2" spans="1:16" x14ac:dyDescent="0.25">
      <c r="A2" s="46" t="s">
        <v>82</v>
      </c>
      <c r="B2" s="46" t="s">
        <v>83</v>
      </c>
      <c r="C2" s="47">
        <v>1.5</v>
      </c>
      <c r="E2" s="48"/>
      <c r="F2" s="48"/>
      <c r="G2" s="49"/>
      <c r="H2" s="50"/>
      <c r="I2" s="51"/>
      <c r="J2" s="51"/>
      <c r="K2" s="52"/>
      <c r="M2" s="53"/>
      <c r="N2" s="53"/>
      <c r="O2" s="54"/>
      <c r="P2" s="54"/>
    </row>
    <row r="3" spans="1:16" x14ac:dyDescent="0.25">
      <c r="A3" s="46" t="s">
        <v>82</v>
      </c>
      <c r="B3" s="46" t="s">
        <v>84</v>
      </c>
      <c r="C3" s="47">
        <v>3</v>
      </c>
      <c r="E3" s="48" t="s">
        <v>85</v>
      </c>
      <c r="F3" s="48" t="s">
        <v>86</v>
      </c>
      <c r="G3" s="49"/>
      <c r="H3" s="50"/>
      <c r="I3" s="51" t="s">
        <v>87</v>
      </c>
      <c r="J3" s="51" t="s">
        <v>88</v>
      </c>
      <c r="K3" s="52">
        <v>3</v>
      </c>
      <c r="M3" s="53" t="s">
        <v>89</v>
      </c>
      <c r="N3" s="53" t="s">
        <v>90</v>
      </c>
      <c r="O3" s="54">
        <v>4</v>
      </c>
      <c r="P3" s="54" t="s">
        <v>91</v>
      </c>
    </row>
    <row r="4" spans="1:16" x14ac:dyDescent="0.25">
      <c r="A4" s="46" t="s">
        <v>82</v>
      </c>
      <c r="B4" s="46" t="s">
        <v>92</v>
      </c>
      <c r="C4" s="47">
        <v>1</v>
      </c>
      <c r="E4" s="48" t="s">
        <v>85</v>
      </c>
      <c r="F4" s="48" t="s">
        <v>93</v>
      </c>
      <c r="G4" s="49"/>
      <c r="H4" s="50"/>
      <c r="I4" s="51" t="s">
        <v>87</v>
      </c>
      <c r="J4" s="51" t="s">
        <v>94</v>
      </c>
      <c r="K4" s="52">
        <v>13</v>
      </c>
      <c r="M4" s="53" t="s">
        <v>89</v>
      </c>
      <c r="N4" s="53" t="s">
        <v>90</v>
      </c>
      <c r="O4" s="54">
        <v>1</v>
      </c>
      <c r="P4" s="54" t="s">
        <v>95</v>
      </c>
    </row>
    <row r="5" spans="1:16" x14ac:dyDescent="0.25">
      <c r="A5" s="46" t="s">
        <v>82</v>
      </c>
      <c r="B5" s="46" t="s">
        <v>96</v>
      </c>
      <c r="C5" s="47">
        <v>1</v>
      </c>
      <c r="E5" s="48" t="s">
        <v>85</v>
      </c>
      <c r="F5" s="48" t="s">
        <v>97</v>
      </c>
      <c r="G5" s="49">
        <v>18</v>
      </c>
      <c r="H5" s="50"/>
      <c r="I5" s="51" t="s">
        <v>87</v>
      </c>
      <c r="J5" s="51" t="s">
        <v>98</v>
      </c>
      <c r="K5" s="52">
        <v>19</v>
      </c>
      <c r="M5" s="53" t="s">
        <v>89</v>
      </c>
      <c r="N5" s="53" t="s">
        <v>99</v>
      </c>
      <c r="O5" s="54">
        <v>2</v>
      </c>
      <c r="P5" s="54" t="s">
        <v>91</v>
      </c>
    </row>
    <row r="6" spans="1:16" x14ac:dyDescent="0.25">
      <c r="A6" s="46" t="s">
        <v>82</v>
      </c>
      <c r="B6" s="46" t="s">
        <v>100</v>
      </c>
      <c r="C6" s="47">
        <v>2</v>
      </c>
      <c r="E6" s="48" t="s">
        <v>85</v>
      </c>
      <c r="F6" s="48" t="s">
        <v>101</v>
      </c>
      <c r="G6" s="49" t="s">
        <v>102</v>
      </c>
      <c r="H6" s="50"/>
      <c r="I6" s="51" t="s">
        <v>87</v>
      </c>
      <c r="J6" s="51" t="s">
        <v>103</v>
      </c>
      <c r="K6" s="52">
        <v>30</v>
      </c>
      <c r="M6" s="53" t="s">
        <v>89</v>
      </c>
      <c r="N6" s="53" t="s">
        <v>99</v>
      </c>
      <c r="O6" s="54">
        <v>1</v>
      </c>
      <c r="P6" s="54" t="s">
        <v>95</v>
      </c>
    </row>
    <row r="7" spans="1:16" x14ac:dyDescent="0.25">
      <c r="A7" s="46" t="s">
        <v>82</v>
      </c>
      <c r="B7" s="46" t="s">
        <v>104</v>
      </c>
      <c r="C7" s="47">
        <v>5</v>
      </c>
      <c r="E7" s="48" t="s">
        <v>85</v>
      </c>
      <c r="F7" s="48" t="s">
        <v>105</v>
      </c>
      <c r="G7" s="49">
        <v>2</v>
      </c>
      <c r="H7" s="50"/>
      <c r="I7" s="51" t="s">
        <v>87</v>
      </c>
      <c r="J7" s="51" t="s">
        <v>106</v>
      </c>
      <c r="K7" s="52">
        <v>41</v>
      </c>
      <c r="M7" s="53" t="s">
        <v>89</v>
      </c>
      <c r="N7" s="53" t="s">
        <v>107</v>
      </c>
      <c r="O7" s="54">
        <v>2</v>
      </c>
      <c r="P7" s="54" t="s">
        <v>91</v>
      </c>
    </row>
    <row r="8" spans="1:16" x14ac:dyDescent="0.25">
      <c r="A8" s="46" t="s">
        <v>82</v>
      </c>
      <c r="B8" s="46" t="s">
        <v>108</v>
      </c>
      <c r="C8" s="47">
        <v>4</v>
      </c>
      <c r="E8" s="48" t="s">
        <v>85</v>
      </c>
      <c r="F8" s="48" t="s">
        <v>109</v>
      </c>
      <c r="G8" s="49" t="s">
        <v>110</v>
      </c>
      <c r="H8" s="50"/>
      <c r="I8" s="51" t="s">
        <v>87</v>
      </c>
      <c r="J8" s="51" t="s">
        <v>111</v>
      </c>
      <c r="K8" s="52">
        <v>8</v>
      </c>
      <c r="M8" s="53" t="s">
        <v>89</v>
      </c>
      <c r="N8" s="53" t="s">
        <v>107</v>
      </c>
      <c r="O8" s="54">
        <v>1</v>
      </c>
      <c r="P8" s="54" t="s">
        <v>95</v>
      </c>
    </row>
    <row r="9" spans="1:16" x14ac:dyDescent="0.25">
      <c r="A9" s="46" t="s">
        <v>82</v>
      </c>
      <c r="B9" s="46" t="s">
        <v>112</v>
      </c>
      <c r="C9" s="47">
        <v>25</v>
      </c>
      <c r="E9" s="48" t="s">
        <v>85</v>
      </c>
      <c r="F9" s="48" t="s">
        <v>113</v>
      </c>
      <c r="G9" s="49">
        <v>1</v>
      </c>
      <c r="H9" s="50"/>
      <c r="I9" s="51" t="s">
        <v>87</v>
      </c>
      <c r="J9" s="51" t="s">
        <v>114</v>
      </c>
      <c r="K9" s="52">
        <v>2</v>
      </c>
      <c r="M9" s="53" t="s">
        <v>89</v>
      </c>
      <c r="N9" s="53" t="s">
        <v>115</v>
      </c>
      <c r="O9" s="54">
        <v>1</v>
      </c>
      <c r="P9" s="54" t="s">
        <v>116</v>
      </c>
    </row>
    <row r="10" spans="1:16" x14ac:dyDescent="0.25">
      <c r="A10" s="46" t="s">
        <v>82</v>
      </c>
      <c r="B10" s="46" t="s">
        <v>117</v>
      </c>
      <c r="C10" s="47">
        <v>26</v>
      </c>
      <c r="E10" s="48" t="s">
        <v>85</v>
      </c>
      <c r="F10" s="48" t="s">
        <v>113</v>
      </c>
      <c r="G10" s="49" t="s">
        <v>118</v>
      </c>
      <c r="H10" s="50"/>
      <c r="I10" s="51" t="s">
        <v>87</v>
      </c>
      <c r="J10" s="51" t="s">
        <v>119</v>
      </c>
      <c r="K10" s="52">
        <v>0</v>
      </c>
      <c r="M10" s="53" t="s">
        <v>89</v>
      </c>
      <c r="N10" s="53" t="s">
        <v>115</v>
      </c>
      <c r="O10" s="54">
        <v>0</v>
      </c>
      <c r="P10" s="54" t="s">
        <v>120</v>
      </c>
    </row>
    <row r="11" spans="1:16" x14ac:dyDescent="0.25">
      <c r="A11" s="46" t="s">
        <v>82</v>
      </c>
      <c r="B11" s="46" t="s">
        <v>121</v>
      </c>
      <c r="C11" s="47">
        <v>0</v>
      </c>
      <c r="E11" s="48"/>
      <c r="F11" s="48"/>
      <c r="G11" s="49"/>
      <c r="H11" s="50"/>
      <c r="K11" s="15"/>
      <c r="M11" s="53"/>
      <c r="N11" s="53"/>
      <c r="O11" s="54"/>
      <c r="P11" s="54"/>
    </row>
    <row r="12" spans="1:16" x14ac:dyDescent="0.25">
      <c r="A12" s="46" t="s">
        <v>82</v>
      </c>
      <c r="B12" s="46" t="s">
        <v>122</v>
      </c>
      <c r="C12" s="47">
        <v>0</v>
      </c>
      <c r="E12" s="48"/>
      <c r="F12" s="48"/>
      <c r="G12" s="49"/>
      <c r="H12" s="50"/>
      <c r="K12" s="15"/>
      <c r="M12" s="53"/>
      <c r="N12" s="53"/>
      <c r="O12" s="54"/>
      <c r="P12" s="54"/>
    </row>
    <row r="13" spans="1:16" x14ac:dyDescent="0.25">
      <c r="A13" s="46" t="s">
        <v>82</v>
      </c>
      <c r="B13" s="46" t="s">
        <v>123</v>
      </c>
      <c r="C13" s="47">
        <v>1</v>
      </c>
      <c r="E13" s="48" t="s">
        <v>85</v>
      </c>
      <c r="F13" s="48" t="s">
        <v>124</v>
      </c>
      <c r="G13" s="49">
        <v>2</v>
      </c>
      <c r="H13" s="50"/>
      <c r="K13" s="15"/>
      <c r="M13" s="53" t="s">
        <v>89</v>
      </c>
      <c r="N13" s="53" t="s">
        <v>125</v>
      </c>
      <c r="O13" s="54">
        <v>1</v>
      </c>
      <c r="P13" s="54" t="s">
        <v>116</v>
      </c>
    </row>
    <row r="14" spans="1:16" x14ac:dyDescent="0.25">
      <c r="A14" s="46" t="s">
        <v>82</v>
      </c>
      <c r="B14" s="46" t="s">
        <v>126</v>
      </c>
      <c r="C14" s="47">
        <v>0</v>
      </c>
      <c r="E14" s="48"/>
      <c r="F14" s="48"/>
      <c r="G14" s="49"/>
      <c r="H14" s="50"/>
      <c r="K14" s="15"/>
      <c r="M14" s="53"/>
      <c r="N14" s="53"/>
      <c r="O14" s="54"/>
      <c r="P14" s="54"/>
    </row>
    <row r="15" spans="1:16" x14ac:dyDescent="0.25">
      <c r="A15" s="46" t="s">
        <v>82</v>
      </c>
      <c r="B15" s="46" t="s">
        <v>127</v>
      </c>
      <c r="C15" s="47">
        <v>1</v>
      </c>
      <c r="E15" s="48"/>
      <c r="F15" s="48"/>
      <c r="G15" s="49"/>
      <c r="H15" s="50"/>
      <c r="K15" s="15"/>
      <c r="M15" s="53"/>
      <c r="N15" s="53"/>
      <c r="O15" s="54"/>
      <c r="P15" s="54"/>
    </row>
    <row r="16" spans="1:16" x14ac:dyDescent="0.25">
      <c r="A16" s="46" t="s">
        <v>82</v>
      </c>
      <c r="B16" s="46" t="s">
        <v>128</v>
      </c>
      <c r="C16" s="47">
        <v>3</v>
      </c>
      <c r="E16" s="48" t="s">
        <v>85</v>
      </c>
      <c r="F16" s="48" t="s">
        <v>129</v>
      </c>
      <c r="G16" s="49">
        <v>1</v>
      </c>
      <c r="H16" s="50"/>
      <c r="K16" s="15"/>
      <c r="M16" s="53" t="s">
        <v>89</v>
      </c>
      <c r="N16" s="53" t="s">
        <v>130</v>
      </c>
      <c r="O16" s="54">
        <v>1</v>
      </c>
      <c r="P16" s="54" t="s">
        <v>116</v>
      </c>
    </row>
    <row r="17" spans="1:16" x14ac:dyDescent="0.25">
      <c r="A17" s="46" t="s">
        <v>82</v>
      </c>
      <c r="B17" s="46" t="s">
        <v>131</v>
      </c>
      <c r="C17" s="47">
        <v>1</v>
      </c>
      <c r="E17" s="48" t="s">
        <v>85</v>
      </c>
      <c r="F17" s="48" t="s">
        <v>132</v>
      </c>
      <c r="G17" s="49"/>
      <c r="H17" s="55"/>
      <c r="K17" s="15"/>
      <c r="M17" s="53" t="s">
        <v>89</v>
      </c>
      <c r="N17" s="53" t="s">
        <v>130</v>
      </c>
      <c r="O17" s="54">
        <v>1</v>
      </c>
      <c r="P17" s="54" t="s">
        <v>120</v>
      </c>
    </row>
    <row r="18" spans="1:16" x14ac:dyDescent="0.25">
      <c r="A18" s="46" t="s">
        <v>82</v>
      </c>
      <c r="B18" s="46" t="s">
        <v>133</v>
      </c>
      <c r="C18" s="47">
        <v>0</v>
      </c>
      <c r="E18" s="48" t="s">
        <v>85</v>
      </c>
      <c r="F18" s="48" t="s">
        <v>132</v>
      </c>
      <c r="G18" s="49"/>
      <c r="H18" s="56"/>
      <c r="K18" s="15"/>
      <c r="M18" s="53" t="s">
        <v>89</v>
      </c>
      <c r="N18" s="53" t="s">
        <v>134</v>
      </c>
      <c r="O18" s="54">
        <v>1</v>
      </c>
      <c r="P18" s="54" t="s">
        <v>116</v>
      </c>
    </row>
    <row r="19" spans="1:16" x14ac:dyDescent="0.25">
      <c r="A19" s="46" t="s">
        <v>82</v>
      </c>
      <c r="B19" s="46" t="s">
        <v>135</v>
      </c>
      <c r="C19" s="47">
        <v>1</v>
      </c>
      <c r="E19" s="48" t="s">
        <v>85</v>
      </c>
      <c r="F19" s="48" t="s">
        <v>136</v>
      </c>
      <c r="G19" s="49"/>
      <c r="H19" s="56"/>
      <c r="K19" s="15"/>
      <c r="M19" s="53" t="s">
        <v>89</v>
      </c>
      <c r="N19" s="53" t="s">
        <v>137</v>
      </c>
      <c r="O19" s="54">
        <v>1</v>
      </c>
      <c r="P19" s="54" t="s">
        <v>116</v>
      </c>
    </row>
    <row r="20" spans="1:16" x14ac:dyDescent="0.25">
      <c r="A20" s="46" t="s">
        <v>82</v>
      </c>
      <c r="B20" s="46" t="s">
        <v>138</v>
      </c>
      <c r="C20" s="47">
        <v>2</v>
      </c>
      <c r="E20" s="48" t="s">
        <v>85</v>
      </c>
      <c r="F20" s="48" t="s">
        <v>136</v>
      </c>
      <c r="G20" s="49"/>
      <c r="H20" s="56"/>
      <c r="K20" s="15"/>
      <c r="M20" s="53" t="s">
        <v>89</v>
      </c>
      <c r="N20" s="53" t="s">
        <v>139</v>
      </c>
      <c r="O20" s="54">
        <v>10</v>
      </c>
      <c r="P20" s="54"/>
    </row>
    <row r="21" spans="1:16" x14ac:dyDescent="0.25">
      <c r="A21" s="46" t="s">
        <v>82</v>
      </c>
      <c r="B21" s="46" t="s">
        <v>140</v>
      </c>
      <c r="C21" s="47">
        <v>1</v>
      </c>
      <c r="E21" s="48" t="s">
        <v>85</v>
      </c>
      <c r="F21" s="48" t="s">
        <v>141</v>
      </c>
      <c r="G21" s="49"/>
      <c r="H21" s="56"/>
      <c r="K21" s="15"/>
      <c r="M21" s="53" t="s">
        <v>89</v>
      </c>
      <c r="N21" s="53" t="s">
        <v>142</v>
      </c>
      <c r="O21" s="54">
        <v>6</v>
      </c>
      <c r="P21" s="54"/>
    </row>
    <row r="22" spans="1:16" x14ac:dyDescent="0.25">
      <c r="A22" s="46" t="s">
        <v>82</v>
      </c>
      <c r="B22" s="46" t="s">
        <v>992</v>
      </c>
      <c r="C22" s="47">
        <v>0</v>
      </c>
      <c r="K22" s="15"/>
      <c r="M22" s="57" t="s">
        <v>89</v>
      </c>
      <c r="N22" s="57"/>
      <c r="O22" s="58"/>
      <c r="P22" s="58"/>
    </row>
    <row r="23" spans="1:16" x14ac:dyDescent="0.25">
      <c r="A23" s="46" t="s">
        <v>82</v>
      </c>
      <c r="B23" s="46" t="s">
        <v>143</v>
      </c>
      <c r="C23" s="47">
        <v>2</v>
      </c>
      <c r="G23" s="15"/>
      <c r="K23" s="15"/>
      <c r="M23" s="59"/>
      <c r="N23" s="59"/>
      <c r="O23" s="56"/>
      <c r="P23" s="56"/>
    </row>
    <row r="24" spans="1:16" x14ac:dyDescent="0.25">
      <c r="A24" s="46" t="s">
        <v>82</v>
      </c>
      <c r="B24" s="46" t="s">
        <v>144</v>
      </c>
      <c r="C24" s="47">
        <v>1</v>
      </c>
      <c r="G24" s="15"/>
      <c r="K24" s="15"/>
    </row>
    <row r="25" spans="1:16" x14ac:dyDescent="0.25">
      <c r="A25" s="46" t="s">
        <v>82</v>
      </c>
      <c r="B25" s="46" t="s">
        <v>145</v>
      </c>
      <c r="C25" s="47">
        <v>0</v>
      </c>
      <c r="G25" s="15"/>
      <c r="K25" s="15"/>
    </row>
    <row r="26" spans="1:16" x14ac:dyDescent="0.25">
      <c r="A26" s="46" t="s">
        <v>82</v>
      </c>
      <c r="B26" s="46" t="s">
        <v>146</v>
      </c>
      <c r="C26" s="47">
        <v>3</v>
      </c>
      <c r="G26" s="15"/>
      <c r="K26" s="15"/>
    </row>
    <row r="27" spans="1:16" x14ac:dyDescent="0.25">
      <c r="A27" s="46" t="s">
        <v>82</v>
      </c>
      <c r="B27" s="46" t="s">
        <v>147</v>
      </c>
      <c r="C27" s="47"/>
      <c r="G27" s="15"/>
      <c r="K27" s="15"/>
    </row>
    <row r="28" spans="1:16" x14ac:dyDescent="0.25">
      <c r="A28" s="46" t="s">
        <v>82</v>
      </c>
      <c r="B28" s="46" t="s">
        <v>148</v>
      </c>
      <c r="C28" s="47">
        <v>2</v>
      </c>
      <c r="G28" s="15"/>
      <c r="K28" s="15"/>
    </row>
    <row r="29" spans="1:16" x14ac:dyDescent="0.25">
      <c r="A29" s="46" t="s">
        <v>82</v>
      </c>
      <c r="B29" s="46" t="s">
        <v>149</v>
      </c>
      <c r="C29" s="47">
        <v>9</v>
      </c>
      <c r="G29" s="15"/>
      <c r="K29" s="15"/>
      <c r="O29" s="15"/>
      <c r="P29" s="15"/>
    </row>
    <row r="30" spans="1:16" x14ac:dyDescent="0.25">
      <c r="A30" s="46" t="s">
        <v>82</v>
      </c>
      <c r="B30" s="46" t="s">
        <v>150</v>
      </c>
      <c r="C30" s="47">
        <v>1.5</v>
      </c>
      <c r="G30" s="15"/>
      <c r="K30" s="15"/>
      <c r="O30" s="15"/>
      <c r="P30" s="15"/>
    </row>
    <row r="31" spans="1:16" x14ac:dyDescent="0.25">
      <c r="A31" s="46" t="s">
        <v>82</v>
      </c>
      <c r="B31" s="46" t="s">
        <v>151</v>
      </c>
      <c r="C31" s="47">
        <v>3</v>
      </c>
      <c r="G31" s="15"/>
      <c r="K31" s="15"/>
      <c r="O31" s="15"/>
      <c r="P31" s="15"/>
    </row>
    <row r="32" spans="1:16" x14ac:dyDescent="0.25">
      <c r="A32" s="46" t="s">
        <v>82</v>
      </c>
      <c r="B32" s="46" t="s">
        <v>152</v>
      </c>
      <c r="C32" s="47">
        <v>0</v>
      </c>
      <c r="G32" s="15"/>
      <c r="K32" s="15"/>
      <c r="O32" s="15"/>
      <c r="P32" s="15"/>
    </row>
    <row r="33" spans="1:16" x14ac:dyDescent="0.25">
      <c r="A33" s="46" t="s">
        <v>82</v>
      </c>
      <c r="B33" s="46" t="s">
        <v>153</v>
      </c>
      <c r="C33" s="47">
        <v>1</v>
      </c>
      <c r="G33" s="15"/>
      <c r="K33" s="15"/>
      <c r="O33" s="15"/>
      <c r="P33" s="15"/>
    </row>
    <row r="34" spans="1:16" x14ac:dyDescent="0.25">
      <c r="A34" s="46" t="s">
        <v>82</v>
      </c>
      <c r="B34" s="46" t="s">
        <v>154</v>
      </c>
      <c r="C34" s="47">
        <v>4</v>
      </c>
      <c r="G34" s="15"/>
      <c r="K34" s="15"/>
      <c r="O34" s="15"/>
      <c r="P34" s="15"/>
    </row>
    <row r="35" spans="1:16" x14ac:dyDescent="0.25">
      <c r="A35" s="46" t="s">
        <v>82</v>
      </c>
      <c r="B35" s="46" t="s">
        <v>155</v>
      </c>
      <c r="C35" s="47">
        <v>0</v>
      </c>
      <c r="G35" s="15"/>
      <c r="K35" s="15"/>
      <c r="O35" s="15"/>
      <c r="P35" s="15"/>
    </row>
    <row r="36" spans="1:16" x14ac:dyDescent="0.25">
      <c r="A36" s="46" t="s">
        <v>82</v>
      </c>
      <c r="B36" s="46" t="s">
        <v>156</v>
      </c>
      <c r="C36" s="47">
        <v>2</v>
      </c>
      <c r="G36" s="15"/>
      <c r="K36" s="15"/>
      <c r="O36" s="15"/>
      <c r="P36" s="15"/>
    </row>
    <row r="37" spans="1:16" x14ac:dyDescent="0.25">
      <c r="A37" s="46" t="s">
        <v>82</v>
      </c>
      <c r="B37" s="46" t="s">
        <v>157</v>
      </c>
      <c r="C37" s="47">
        <v>3</v>
      </c>
      <c r="G37" s="15"/>
      <c r="K37" s="15"/>
      <c r="O37" s="15"/>
      <c r="P37" s="15"/>
    </row>
    <row r="38" spans="1:16" x14ac:dyDescent="0.25">
      <c r="A38" s="46" t="s">
        <v>82</v>
      </c>
      <c r="B38" s="46" t="s">
        <v>158</v>
      </c>
      <c r="C38" s="47">
        <v>2</v>
      </c>
      <c r="G38" s="15"/>
      <c r="K38" s="15"/>
      <c r="O38" s="15"/>
      <c r="P38" s="15"/>
    </row>
    <row r="39" spans="1:16" x14ac:dyDescent="0.25">
      <c r="A39" s="46" t="s">
        <v>82</v>
      </c>
      <c r="B39" s="46" t="s">
        <v>159</v>
      </c>
      <c r="C39" s="47">
        <v>3</v>
      </c>
      <c r="G39" s="15"/>
      <c r="K39" s="15"/>
      <c r="O39" s="15"/>
      <c r="P39" s="15"/>
    </row>
    <row r="40" spans="1:16" x14ac:dyDescent="0.25">
      <c r="A40" s="46" t="s">
        <v>82</v>
      </c>
      <c r="B40" s="46" t="s">
        <v>160</v>
      </c>
      <c r="C40" s="47">
        <v>0</v>
      </c>
      <c r="G40" s="15"/>
      <c r="K40" s="15"/>
      <c r="O40" s="15"/>
      <c r="P40" s="15"/>
    </row>
    <row r="41" spans="1:16" x14ac:dyDescent="0.25">
      <c r="A41" s="46" t="s">
        <v>82</v>
      </c>
      <c r="B41" s="46" t="s">
        <v>161</v>
      </c>
      <c r="C41" s="47">
        <v>1</v>
      </c>
      <c r="G41" s="15"/>
      <c r="K41" s="15"/>
      <c r="O41" s="15"/>
      <c r="P41" s="15"/>
    </row>
    <row r="42" spans="1:16" x14ac:dyDescent="0.25">
      <c r="A42" s="46" t="s">
        <v>82</v>
      </c>
      <c r="B42" s="46" t="s">
        <v>162</v>
      </c>
      <c r="C42" s="47">
        <v>0</v>
      </c>
      <c r="G42" s="15"/>
      <c r="K42" s="15"/>
      <c r="O42" s="15"/>
      <c r="P42" s="15"/>
    </row>
    <row r="43" spans="1:16" x14ac:dyDescent="0.25">
      <c r="A43" s="46" t="s">
        <v>82</v>
      </c>
      <c r="B43" s="46" t="s">
        <v>163</v>
      </c>
      <c r="C43" s="47">
        <v>0</v>
      </c>
      <c r="G43" s="15"/>
      <c r="K43" s="15"/>
      <c r="O43" s="15"/>
      <c r="P43" s="15"/>
    </row>
    <row r="44" spans="1:16" x14ac:dyDescent="0.25">
      <c r="A44" s="46" t="s">
        <v>82</v>
      </c>
      <c r="B44" s="46" t="s">
        <v>164</v>
      </c>
      <c r="C44" s="47">
        <v>1</v>
      </c>
      <c r="G44" s="15"/>
      <c r="K44" s="15"/>
      <c r="O44" s="15"/>
      <c r="P44" s="15"/>
    </row>
    <row r="45" spans="1:16" x14ac:dyDescent="0.25">
      <c r="A45" s="46" t="s">
        <v>82</v>
      </c>
      <c r="B45" s="46" t="s">
        <v>165</v>
      </c>
      <c r="C45" s="47">
        <v>1</v>
      </c>
      <c r="G45" s="15"/>
      <c r="K45" s="15"/>
      <c r="O45" s="15"/>
      <c r="P45" s="15"/>
    </row>
    <row r="46" spans="1:16" x14ac:dyDescent="0.25">
      <c r="A46" s="46" t="s">
        <v>82</v>
      </c>
      <c r="B46" s="46" t="s">
        <v>166</v>
      </c>
      <c r="C46" s="47">
        <v>1.5</v>
      </c>
      <c r="G46" s="15"/>
      <c r="K46" s="15"/>
      <c r="O46" s="15"/>
      <c r="P46" s="15"/>
    </row>
    <row r="47" spans="1:16" x14ac:dyDescent="0.25">
      <c r="A47" s="46" t="s">
        <v>82</v>
      </c>
      <c r="B47" s="46" t="s">
        <v>167</v>
      </c>
      <c r="C47" s="47">
        <v>0</v>
      </c>
      <c r="G47" s="15"/>
      <c r="K47" s="15"/>
      <c r="O47" s="15"/>
      <c r="P47" s="15"/>
    </row>
    <row r="48" spans="1:16" x14ac:dyDescent="0.25">
      <c r="A48" s="46" t="s">
        <v>82</v>
      </c>
      <c r="B48" s="46" t="s">
        <v>168</v>
      </c>
      <c r="C48" s="47">
        <v>0</v>
      </c>
      <c r="G48" s="15"/>
      <c r="K48" s="15"/>
      <c r="O48" s="15"/>
      <c r="P48" s="15"/>
    </row>
    <row r="49" spans="1:16" x14ac:dyDescent="0.25">
      <c r="A49" s="46" t="s">
        <v>82</v>
      </c>
      <c r="B49" s="46" t="s">
        <v>169</v>
      </c>
      <c r="C49" s="47">
        <v>0</v>
      </c>
      <c r="G49" s="15"/>
      <c r="K49" s="15"/>
      <c r="O49" s="15"/>
      <c r="P49" s="15"/>
    </row>
    <row r="50" spans="1:16" x14ac:dyDescent="0.25">
      <c r="A50" s="46" t="s">
        <v>82</v>
      </c>
      <c r="B50" s="46" t="s">
        <v>170</v>
      </c>
      <c r="C50" s="47">
        <v>5</v>
      </c>
      <c r="G50" s="15"/>
      <c r="K50" s="15"/>
      <c r="O50" s="15"/>
      <c r="P50" s="15"/>
    </row>
    <row r="51" spans="1:16" x14ac:dyDescent="0.25">
      <c r="A51" s="46" t="s">
        <v>82</v>
      </c>
      <c r="B51" s="46" t="s">
        <v>171</v>
      </c>
      <c r="C51" s="47">
        <v>1</v>
      </c>
      <c r="G51" s="15"/>
      <c r="K51" s="15"/>
      <c r="O51" s="15"/>
      <c r="P51" s="15"/>
    </row>
    <row r="52" spans="1:16" x14ac:dyDescent="0.25">
      <c r="A52" s="46" t="s">
        <v>82</v>
      </c>
      <c r="B52" s="46" t="s">
        <v>172</v>
      </c>
      <c r="C52" s="47">
        <v>1</v>
      </c>
      <c r="G52" s="15"/>
      <c r="K52" s="15"/>
      <c r="O52" s="15"/>
      <c r="P52" s="15"/>
    </row>
    <row r="53" spans="1:16" x14ac:dyDescent="0.25">
      <c r="A53" s="46" t="s">
        <v>82</v>
      </c>
      <c r="B53" s="46" t="s">
        <v>173</v>
      </c>
      <c r="C53" s="47">
        <v>2</v>
      </c>
      <c r="G53" s="15"/>
      <c r="K53" s="15"/>
      <c r="O53" s="15"/>
      <c r="P53" s="15"/>
    </row>
    <row r="54" spans="1:16" x14ac:dyDescent="0.25">
      <c r="A54" s="46" t="s">
        <v>82</v>
      </c>
      <c r="B54" s="46" t="s">
        <v>174</v>
      </c>
      <c r="C54" s="47">
        <v>0</v>
      </c>
      <c r="G54" s="15"/>
      <c r="K54" s="15"/>
      <c r="O54" s="15"/>
      <c r="P54" s="15"/>
    </row>
    <row r="55" spans="1:16" x14ac:dyDescent="0.25">
      <c r="A55" s="46" t="s">
        <v>82</v>
      </c>
      <c r="B55" s="46" t="s">
        <v>175</v>
      </c>
      <c r="C55" s="47">
        <v>1</v>
      </c>
      <c r="G55" s="15"/>
      <c r="K55" s="15"/>
      <c r="O55" s="15"/>
      <c r="P55" s="15"/>
    </row>
    <row r="56" spans="1:16" x14ac:dyDescent="0.25">
      <c r="A56" s="46" t="s">
        <v>82</v>
      </c>
      <c r="B56" s="46" t="s">
        <v>176</v>
      </c>
      <c r="C56" s="47">
        <v>1.5</v>
      </c>
      <c r="G56" s="15"/>
      <c r="K56" s="15"/>
      <c r="O56" s="15"/>
      <c r="P56" s="15"/>
    </row>
    <row r="57" spans="1:16" x14ac:dyDescent="0.25">
      <c r="A57" s="46" t="s">
        <v>82</v>
      </c>
      <c r="B57" s="46" t="s">
        <v>177</v>
      </c>
      <c r="C57" s="47">
        <v>2</v>
      </c>
      <c r="G57" s="15"/>
      <c r="K57" s="15"/>
      <c r="O57" s="15"/>
      <c r="P57" s="15"/>
    </row>
    <row r="58" spans="1:16" x14ac:dyDescent="0.25">
      <c r="A58" s="46" t="s">
        <v>82</v>
      </c>
      <c r="B58" s="46" t="s">
        <v>178</v>
      </c>
      <c r="C58" s="47">
        <v>12</v>
      </c>
      <c r="G58" s="15"/>
      <c r="K58" s="15"/>
      <c r="O58" s="15"/>
      <c r="P58" s="15"/>
    </row>
    <row r="59" spans="1:16" x14ac:dyDescent="0.25">
      <c r="A59" s="46" t="s">
        <v>82</v>
      </c>
      <c r="B59" s="46" t="s">
        <v>179</v>
      </c>
      <c r="C59" s="47">
        <v>2</v>
      </c>
      <c r="G59" s="15"/>
      <c r="K59" s="15"/>
      <c r="O59" s="15"/>
      <c r="P59" s="15"/>
    </row>
    <row r="60" spans="1:16" x14ac:dyDescent="0.25">
      <c r="A60" s="46" t="s">
        <v>82</v>
      </c>
      <c r="B60" s="46" t="s">
        <v>180</v>
      </c>
      <c r="C60" s="47">
        <v>1</v>
      </c>
      <c r="G60" s="15"/>
      <c r="K60" s="15"/>
      <c r="O60" s="15"/>
      <c r="P60" s="15"/>
    </row>
    <row r="61" spans="1:16" x14ac:dyDescent="0.25">
      <c r="A61" s="46" t="s">
        <v>82</v>
      </c>
      <c r="B61" s="46" t="s">
        <v>181</v>
      </c>
      <c r="C61" s="47">
        <v>1</v>
      </c>
      <c r="G61" s="15"/>
      <c r="K61" s="15"/>
      <c r="O61" s="15"/>
      <c r="P61" s="15"/>
    </row>
    <row r="62" spans="1:16" x14ac:dyDescent="0.25">
      <c r="A62" s="46" t="s">
        <v>82</v>
      </c>
      <c r="B62" s="46" t="s">
        <v>182</v>
      </c>
      <c r="C62" s="47">
        <v>2</v>
      </c>
      <c r="G62" s="15"/>
      <c r="K62" s="15"/>
      <c r="O62" s="15"/>
      <c r="P62" s="15"/>
    </row>
    <row r="63" spans="1:16" x14ac:dyDescent="0.25">
      <c r="A63" s="46" t="s">
        <v>82</v>
      </c>
      <c r="B63" s="46" t="s">
        <v>183</v>
      </c>
      <c r="C63" s="47">
        <v>2</v>
      </c>
      <c r="G63" s="15"/>
      <c r="K63" s="15"/>
      <c r="O63" s="15"/>
      <c r="P63" s="15"/>
    </row>
    <row r="64" spans="1:16" x14ac:dyDescent="0.25">
      <c r="C64" s="15"/>
      <c r="G64" s="15"/>
      <c r="K64" s="15"/>
      <c r="O64" s="15"/>
      <c r="P64" s="15"/>
    </row>
    <row r="65" spans="3:16" x14ac:dyDescent="0.25">
      <c r="C65" s="15"/>
      <c r="G65" s="15"/>
      <c r="K65" s="15"/>
      <c r="O65" s="15"/>
      <c r="P65" s="15"/>
    </row>
    <row r="66" spans="3:16" x14ac:dyDescent="0.25">
      <c r="C66" s="15"/>
      <c r="G66" s="15"/>
      <c r="K66" s="15"/>
      <c r="O66" s="15"/>
      <c r="P66" s="15"/>
    </row>
    <row r="67" spans="3:16" x14ac:dyDescent="0.25">
      <c r="C67" s="15"/>
      <c r="G67" s="15"/>
      <c r="K67" s="15"/>
      <c r="O67" s="15"/>
      <c r="P67" s="15"/>
    </row>
    <row r="68" spans="3:16" x14ac:dyDescent="0.25">
      <c r="C68" s="15"/>
      <c r="G68" s="15"/>
      <c r="K68" s="15"/>
      <c r="O68" s="15"/>
      <c r="P68" s="15"/>
    </row>
    <row r="69" spans="3:16" x14ac:dyDescent="0.25">
      <c r="C69" s="15"/>
      <c r="G69" s="15"/>
      <c r="K69" s="15"/>
      <c r="O69" s="15"/>
      <c r="P69" s="15"/>
    </row>
    <row r="70" spans="3:16" x14ac:dyDescent="0.25">
      <c r="C70" s="15"/>
      <c r="G70" s="15"/>
      <c r="K70" s="15"/>
      <c r="O70" s="15"/>
      <c r="P70" s="15"/>
    </row>
    <row r="71" spans="3:16" x14ac:dyDescent="0.25">
      <c r="C71" s="15"/>
      <c r="G71" s="15"/>
      <c r="K71" s="15"/>
      <c r="O71" s="15"/>
      <c r="P71" s="15"/>
    </row>
    <row r="72" spans="3:16" x14ac:dyDescent="0.25">
      <c r="C72" s="15"/>
      <c r="G72" s="15"/>
      <c r="K72" s="15"/>
      <c r="O72" s="15"/>
      <c r="P72" s="15"/>
    </row>
    <row r="73" spans="3:16" x14ac:dyDescent="0.25">
      <c r="C73" s="15"/>
      <c r="G73" s="15"/>
      <c r="K73" s="15"/>
      <c r="O73" s="15"/>
      <c r="P73" s="15"/>
    </row>
    <row r="74" spans="3:16" x14ac:dyDescent="0.25">
      <c r="C74" s="15"/>
      <c r="G74" s="15"/>
      <c r="K74" s="15"/>
      <c r="O74" s="15"/>
      <c r="P74" s="15"/>
    </row>
    <row r="75" spans="3:16" x14ac:dyDescent="0.25">
      <c r="C75" s="15"/>
      <c r="G75" s="15"/>
      <c r="K75" s="15"/>
      <c r="O75" s="15"/>
      <c r="P75" s="15"/>
    </row>
    <row r="76" spans="3:16" x14ac:dyDescent="0.25">
      <c r="C76" s="15"/>
      <c r="G76" s="15"/>
      <c r="K76" s="15"/>
      <c r="O76" s="15"/>
      <c r="P76" s="15"/>
    </row>
    <row r="77" spans="3:16" x14ac:dyDescent="0.25">
      <c r="C77" s="15"/>
      <c r="G77" s="15"/>
      <c r="K77" s="15"/>
      <c r="O77" s="15"/>
      <c r="P77" s="15"/>
    </row>
    <row r="78" spans="3:16" x14ac:dyDescent="0.25">
      <c r="C78" s="15"/>
      <c r="G78" s="15"/>
      <c r="K78" s="15"/>
      <c r="O78" s="15"/>
      <c r="P78" s="15"/>
    </row>
    <row r="79" spans="3:16" x14ac:dyDescent="0.25">
      <c r="C79" s="15"/>
      <c r="G79" s="15"/>
      <c r="K79" s="15"/>
      <c r="O79" s="15"/>
      <c r="P79" s="15"/>
    </row>
    <row r="80" spans="3:16" x14ac:dyDescent="0.25">
      <c r="C80" s="15"/>
      <c r="G80" s="15"/>
      <c r="K80" s="15"/>
      <c r="O80" s="15"/>
      <c r="P80" s="15"/>
    </row>
    <row r="81" spans="3:16" x14ac:dyDescent="0.25">
      <c r="C81" s="15"/>
      <c r="G81" s="15"/>
      <c r="K81" s="15"/>
      <c r="O81" s="15"/>
      <c r="P81" s="15"/>
    </row>
    <row r="82" spans="3:16" x14ac:dyDescent="0.25">
      <c r="C82" s="15"/>
      <c r="G82" s="15"/>
      <c r="K82" s="15"/>
      <c r="O82" s="15"/>
      <c r="P82" s="15"/>
    </row>
    <row r="83" spans="3:16" x14ac:dyDescent="0.25">
      <c r="C83" s="15"/>
      <c r="G83" s="15"/>
      <c r="K83" s="15"/>
      <c r="O83" s="15"/>
      <c r="P83" s="15"/>
    </row>
    <row r="84" spans="3:16" x14ac:dyDescent="0.25">
      <c r="C84" s="15"/>
      <c r="G84" s="15"/>
      <c r="K84" s="15"/>
      <c r="O84" s="15"/>
      <c r="P84" s="15"/>
    </row>
    <row r="85" spans="3:16" x14ac:dyDescent="0.25">
      <c r="C85" s="15"/>
      <c r="G85" s="15"/>
      <c r="K85" s="15"/>
      <c r="O85" s="15"/>
      <c r="P85" s="15"/>
    </row>
    <row r="86" spans="3:16" x14ac:dyDescent="0.25">
      <c r="C86" s="15"/>
      <c r="G86" s="15"/>
      <c r="K86" s="15"/>
      <c r="O86" s="15"/>
      <c r="P86" s="15"/>
    </row>
    <row r="87" spans="3:16" x14ac:dyDescent="0.25">
      <c r="C87" s="15"/>
      <c r="G87" s="15"/>
      <c r="K87" s="15"/>
      <c r="O87" s="15"/>
      <c r="P87" s="15"/>
    </row>
    <row r="88" spans="3:16" x14ac:dyDescent="0.25">
      <c r="C88" s="15"/>
      <c r="G88" s="15"/>
      <c r="K88" s="15"/>
      <c r="O88" s="15"/>
      <c r="P88" s="15"/>
    </row>
    <row r="89" spans="3:16" x14ac:dyDescent="0.25">
      <c r="C89" s="15"/>
      <c r="G89" s="15"/>
      <c r="K89" s="15"/>
      <c r="O89" s="15"/>
      <c r="P89" s="15"/>
    </row>
    <row r="90" spans="3:16" x14ac:dyDescent="0.25">
      <c r="C90" s="15"/>
      <c r="G90" s="15"/>
      <c r="K90" s="15"/>
      <c r="O90" s="15"/>
      <c r="P90" s="15"/>
    </row>
    <row r="91" spans="3:16" x14ac:dyDescent="0.25">
      <c r="C91" s="15"/>
      <c r="G91" s="15"/>
      <c r="K91" s="15"/>
      <c r="O91" s="15"/>
      <c r="P91" s="15"/>
    </row>
    <row r="92" spans="3:16" x14ac:dyDescent="0.25">
      <c r="C92" s="15"/>
      <c r="G92" s="15"/>
      <c r="K92" s="15"/>
      <c r="O92" s="15"/>
      <c r="P92" s="15"/>
    </row>
    <row r="93" spans="3:16" x14ac:dyDescent="0.25">
      <c r="C93" s="15"/>
      <c r="G93" s="15"/>
      <c r="K93" s="15"/>
      <c r="O93" s="15"/>
      <c r="P93" s="15"/>
    </row>
    <row r="94" spans="3:16" x14ac:dyDescent="0.25">
      <c r="C94" s="15"/>
      <c r="G94" s="15"/>
      <c r="K94" s="15"/>
      <c r="O94" s="15"/>
      <c r="P94" s="15"/>
    </row>
    <row r="95" spans="3:16" x14ac:dyDescent="0.25">
      <c r="C95" s="15"/>
      <c r="G95" s="15"/>
      <c r="K95" s="15"/>
      <c r="O95" s="15"/>
      <c r="P95" s="15"/>
    </row>
    <row r="96" spans="3:16" x14ac:dyDescent="0.25">
      <c r="C96" s="15"/>
      <c r="G96" s="15"/>
      <c r="K96" s="15"/>
      <c r="O96" s="15"/>
      <c r="P96" s="15"/>
    </row>
    <row r="97" spans="3:16" x14ac:dyDescent="0.25">
      <c r="C97" s="15"/>
      <c r="G97" s="15"/>
      <c r="K97" s="15"/>
      <c r="O97" s="15"/>
      <c r="P97" s="15"/>
    </row>
    <row r="98" spans="3:16" x14ac:dyDescent="0.25">
      <c r="C98" s="15"/>
      <c r="G98" s="15"/>
      <c r="K98" s="15"/>
      <c r="O98" s="15"/>
      <c r="P98" s="15"/>
    </row>
    <row r="99" spans="3:16" x14ac:dyDescent="0.25">
      <c r="C99" s="15"/>
      <c r="G99" s="15"/>
      <c r="K99" s="15"/>
      <c r="O99" s="15"/>
      <c r="P99" s="15"/>
    </row>
    <row r="100" spans="3:16" x14ac:dyDescent="0.25">
      <c r="C100" s="15"/>
      <c r="G100" s="15"/>
      <c r="K100" s="15"/>
      <c r="O100" s="15"/>
      <c r="P100" s="15"/>
    </row>
    <row r="101" spans="3:16" x14ac:dyDescent="0.25">
      <c r="C101" s="15"/>
      <c r="G101" s="15"/>
      <c r="K101" s="15"/>
      <c r="O101" s="15"/>
      <c r="P101" s="15"/>
    </row>
    <row r="102" spans="3:16" x14ac:dyDescent="0.25">
      <c r="C102" s="15"/>
      <c r="G102" s="15"/>
      <c r="K102" s="15"/>
      <c r="O102" s="15"/>
      <c r="P102" s="15"/>
    </row>
    <row r="103" spans="3:16" x14ac:dyDescent="0.25">
      <c r="C103" s="15"/>
      <c r="G103" s="15"/>
      <c r="K103" s="15"/>
      <c r="O103" s="15"/>
      <c r="P103" s="15"/>
    </row>
    <row r="104" spans="3:16" x14ac:dyDescent="0.25">
      <c r="C104" s="15"/>
      <c r="G104" s="15"/>
      <c r="K104" s="15"/>
      <c r="O104" s="15"/>
      <c r="P104" s="15"/>
    </row>
    <row r="105" spans="3:16" x14ac:dyDescent="0.25">
      <c r="C105" s="15"/>
      <c r="G105" s="15"/>
      <c r="K105" s="15"/>
      <c r="O105" s="15"/>
      <c r="P105" s="15"/>
    </row>
    <row r="106" spans="3:16" x14ac:dyDescent="0.25">
      <c r="C106" s="15"/>
      <c r="G106" s="15"/>
      <c r="K106" s="15"/>
      <c r="O106" s="15"/>
      <c r="P106" s="15"/>
    </row>
    <row r="107" spans="3:16" x14ac:dyDescent="0.25">
      <c r="C107" s="15"/>
      <c r="G107" s="15"/>
      <c r="K107" s="15"/>
      <c r="O107" s="15"/>
      <c r="P107" s="15"/>
    </row>
    <row r="108" spans="3:16" x14ac:dyDescent="0.25">
      <c r="C108" s="15"/>
      <c r="G108" s="15"/>
      <c r="K108" s="15"/>
      <c r="O108" s="15"/>
      <c r="P108" s="15"/>
    </row>
    <row r="109" spans="3:16" x14ac:dyDescent="0.25">
      <c r="C109" s="15"/>
      <c r="G109" s="15"/>
      <c r="K109" s="15"/>
      <c r="O109" s="15"/>
      <c r="P109" s="15"/>
    </row>
    <row r="110" spans="3:16" x14ac:dyDescent="0.25">
      <c r="C110" s="15"/>
      <c r="G110" s="15"/>
      <c r="K110" s="15"/>
      <c r="O110" s="15"/>
      <c r="P110" s="15"/>
    </row>
    <row r="111" spans="3:16" x14ac:dyDescent="0.25">
      <c r="C111" s="15"/>
      <c r="G111" s="15"/>
      <c r="K111" s="15"/>
      <c r="O111" s="15"/>
      <c r="P111" s="15"/>
    </row>
    <row r="112" spans="3:16" x14ac:dyDescent="0.25">
      <c r="C112" s="15"/>
      <c r="G112" s="15"/>
      <c r="K112" s="15"/>
      <c r="O112" s="15"/>
      <c r="P112" s="15"/>
    </row>
    <row r="113" spans="3:16" x14ac:dyDescent="0.25">
      <c r="C113" s="15"/>
      <c r="G113" s="15"/>
      <c r="K113" s="15"/>
      <c r="O113" s="15"/>
      <c r="P113" s="15"/>
    </row>
    <row r="114" spans="3:16" x14ac:dyDescent="0.25">
      <c r="C114" s="15"/>
      <c r="G114" s="15"/>
      <c r="K114" s="15"/>
      <c r="O114" s="15"/>
      <c r="P114" s="15"/>
    </row>
    <row r="115" spans="3:16" x14ac:dyDescent="0.25">
      <c r="C115" s="15"/>
      <c r="G115" s="15"/>
      <c r="K115" s="15"/>
      <c r="O115" s="15"/>
      <c r="P115" s="15"/>
    </row>
    <row r="116" spans="3:16" x14ac:dyDescent="0.25">
      <c r="C116" s="15"/>
      <c r="G116" s="15"/>
      <c r="K116" s="15"/>
      <c r="O116" s="15"/>
      <c r="P116" s="15"/>
    </row>
    <row r="117" spans="3:16" x14ac:dyDescent="0.25">
      <c r="C117" s="15"/>
      <c r="G117" s="15"/>
      <c r="K117" s="15"/>
      <c r="O117" s="15"/>
      <c r="P117" s="15"/>
    </row>
    <row r="118" spans="3:16" x14ac:dyDescent="0.25">
      <c r="C118" s="15"/>
      <c r="G118" s="15"/>
      <c r="K118" s="15"/>
      <c r="O118" s="15"/>
      <c r="P118" s="15"/>
    </row>
    <row r="119" spans="3:16" x14ac:dyDescent="0.25">
      <c r="C119" s="15"/>
      <c r="G119" s="15"/>
      <c r="K119" s="15"/>
      <c r="O119" s="15"/>
      <c r="P119" s="15"/>
    </row>
    <row r="120" spans="3:16" x14ac:dyDescent="0.25">
      <c r="C120" s="15"/>
      <c r="G120" s="15"/>
      <c r="K120" s="15"/>
      <c r="O120" s="15"/>
      <c r="P120" s="15"/>
    </row>
    <row r="121" spans="3:16" x14ac:dyDescent="0.25">
      <c r="C121" s="15"/>
      <c r="G121" s="15"/>
      <c r="K121" s="15"/>
      <c r="O121" s="15"/>
      <c r="P121" s="15"/>
    </row>
    <row r="122" spans="3:16" x14ac:dyDescent="0.25">
      <c r="C122" s="15"/>
      <c r="G122" s="15"/>
      <c r="K122" s="15"/>
      <c r="O122" s="15"/>
      <c r="P122" s="15"/>
    </row>
    <row r="123" spans="3:16" x14ac:dyDescent="0.25">
      <c r="C123" s="15"/>
      <c r="G123" s="15"/>
      <c r="K123" s="15"/>
      <c r="O123" s="15"/>
      <c r="P123" s="15"/>
    </row>
    <row r="124" spans="3:16" x14ac:dyDescent="0.25">
      <c r="C124" s="15"/>
      <c r="G124" s="15"/>
      <c r="K124" s="15"/>
      <c r="O124" s="15"/>
      <c r="P124" s="15"/>
    </row>
    <row r="125" spans="3:16" x14ac:dyDescent="0.25">
      <c r="C125" s="15"/>
      <c r="G125" s="15"/>
      <c r="K125" s="15"/>
      <c r="O125" s="15"/>
      <c r="P125" s="15"/>
    </row>
    <row r="126" spans="3:16" x14ac:dyDescent="0.25">
      <c r="C126" s="15"/>
      <c r="G126" s="15"/>
      <c r="K126" s="15"/>
      <c r="O126" s="15"/>
      <c r="P126" s="15"/>
    </row>
    <row r="127" spans="3:16" x14ac:dyDescent="0.25">
      <c r="C127" s="15"/>
      <c r="G127" s="15"/>
      <c r="K127" s="15"/>
      <c r="O127" s="15"/>
      <c r="P127" s="15"/>
    </row>
    <row r="128" spans="3:16" x14ac:dyDescent="0.25">
      <c r="C128" s="15"/>
      <c r="G128" s="15"/>
      <c r="K128" s="15"/>
      <c r="O128" s="15"/>
      <c r="P128" s="15"/>
    </row>
    <row r="129" spans="3:16" x14ac:dyDescent="0.25">
      <c r="C129" s="15"/>
      <c r="G129" s="15"/>
      <c r="K129" s="15"/>
      <c r="O129" s="15"/>
      <c r="P129" s="15"/>
    </row>
    <row r="130" spans="3:16" x14ac:dyDescent="0.25">
      <c r="C130" s="15"/>
      <c r="G130" s="15"/>
      <c r="K130" s="15"/>
      <c r="O130" s="15"/>
      <c r="P130" s="15"/>
    </row>
    <row r="131" spans="3:16" x14ac:dyDescent="0.25">
      <c r="C131" s="15"/>
      <c r="G131" s="15"/>
      <c r="K131" s="15"/>
      <c r="O131" s="15"/>
      <c r="P131" s="15"/>
    </row>
    <row r="132" spans="3:16" x14ac:dyDescent="0.25">
      <c r="C132" s="15"/>
      <c r="G132" s="15"/>
      <c r="K132" s="15"/>
      <c r="O132" s="15"/>
      <c r="P132" s="15"/>
    </row>
    <row r="133" spans="3:16" x14ac:dyDescent="0.25">
      <c r="C133" s="15"/>
      <c r="G133" s="15"/>
      <c r="K133" s="15"/>
      <c r="O133" s="15"/>
      <c r="P133" s="15"/>
    </row>
    <row r="134" spans="3:16" x14ac:dyDescent="0.25">
      <c r="C134" s="15"/>
      <c r="G134" s="15"/>
      <c r="K134" s="15"/>
      <c r="O134" s="15"/>
      <c r="P134" s="15"/>
    </row>
    <row r="135" spans="3:16" x14ac:dyDescent="0.25">
      <c r="C135" s="15"/>
      <c r="G135" s="15"/>
      <c r="K135" s="15"/>
      <c r="O135" s="15"/>
      <c r="P135" s="15"/>
    </row>
    <row r="136" spans="3:16" x14ac:dyDescent="0.25">
      <c r="C136" s="15"/>
      <c r="G136" s="15"/>
      <c r="K136" s="15"/>
      <c r="O136" s="15"/>
      <c r="P136" s="15"/>
    </row>
    <row r="137" spans="3:16" x14ac:dyDescent="0.25">
      <c r="C137" s="15"/>
      <c r="G137" s="15"/>
      <c r="K137" s="15"/>
      <c r="O137" s="15"/>
      <c r="P137" s="15"/>
    </row>
    <row r="138" spans="3:16" x14ac:dyDescent="0.25">
      <c r="C138" s="15"/>
      <c r="G138" s="15"/>
      <c r="K138" s="15"/>
      <c r="O138" s="15"/>
      <c r="P138" s="15"/>
    </row>
    <row r="139" spans="3:16" x14ac:dyDescent="0.25">
      <c r="C139" s="15"/>
      <c r="G139" s="15"/>
      <c r="K139" s="15"/>
      <c r="O139" s="15"/>
      <c r="P139" s="15"/>
    </row>
    <row r="140" spans="3:16" x14ac:dyDescent="0.25">
      <c r="C140" s="15"/>
      <c r="G140" s="15"/>
      <c r="K140" s="15"/>
      <c r="O140" s="15"/>
      <c r="P140" s="15"/>
    </row>
    <row r="141" spans="3:16" x14ac:dyDescent="0.25">
      <c r="C141" s="15"/>
      <c r="G141" s="15"/>
      <c r="K141" s="15"/>
      <c r="O141" s="15"/>
      <c r="P141" s="15"/>
    </row>
    <row r="142" spans="3:16" x14ac:dyDescent="0.25">
      <c r="C142" s="15"/>
      <c r="G142" s="15"/>
      <c r="K142" s="15"/>
      <c r="O142" s="15"/>
      <c r="P142" s="15"/>
    </row>
    <row r="143" spans="3:16" x14ac:dyDescent="0.25">
      <c r="C143" s="15"/>
      <c r="G143" s="15"/>
      <c r="K143" s="15"/>
      <c r="O143" s="15"/>
      <c r="P143" s="15"/>
    </row>
    <row r="144" spans="3:16" x14ac:dyDescent="0.25">
      <c r="C144" s="15"/>
      <c r="G144" s="15"/>
      <c r="K144" s="15"/>
      <c r="O144" s="15"/>
      <c r="P144" s="15"/>
    </row>
    <row r="145" spans="3:16" x14ac:dyDescent="0.25">
      <c r="C145" s="15"/>
      <c r="G145" s="15"/>
      <c r="K145" s="15"/>
      <c r="O145" s="15"/>
      <c r="P145" s="15"/>
    </row>
    <row r="146" spans="3:16" x14ac:dyDescent="0.25">
      <c r="C146" s="15"/>
      <c r="G146" s="15"/>
      <c r="K146" s="15"/>
      <c r="O146" s="15"/>
      <c r="P146" s="15"/>
    </row>
    <row r="147" spans="3:16" x14ac:dyDescent="0.25">
      <c r="C147" s="15"/>
      <c r="G147" s="15"/>
      <c r="K147" s="15"/>
      <c r="O147" s="15"/>
      <c r="P147" s="15"/>
    </row>
    <row r="148" spans="3:16" x14ac:dyDescent="0.25">
      <c r="C148" s="15"/>
      <c r="G148" s="15"/>
      <c r="K148" s="15"/>
      <c r="O148" s="15"/>
      <c r="P148" s="15"/>
    </row>
    <row r="149" spans="3:16" x14ac:dyDescent="0.25">
      <c r="C149" s="15"/>
      <c r="G149" s="15"/>
      <c r="K149" s="15"/>
      <c r="O149" s="15"/>
      <c r="P149" s="15"/>
    </row>
    <row r="150" spans="3:16" x14ac:dyDescent="0.25">
      <c r="C150" s="15"/>
      <c r="G150" s="15"/>
      <c r="K150" s="15"/>
      <c r="O150" s="15"/>
      <c r="P150" s="15"/>
    </row>
    <row r="151" spans="3:16" x14ac:dyDescent="0.25">
      <c r="C151" s="15"/>
      <c r="G151" s="15"/>
      <c r="K151" s="15"/>
      <c r="O151" s="15"/>
      <c r="P151" s="15"/>
    </row>
    <row r="152" spans="3:16" x14ac:dyDescent="0.25">
      <c r="C152" s="15"/>
      <c r="G152" s="15"/>
      <c r="K152" s="15"/>
      <c r="O152" s="15"/>
      <c r="P152" s="15"/>
    </row>
    <row r="153" spans="3:16" x14ac:dyDescent="0.25">
      <c r="C153" s="15"/>
      <c r="G153" s="15"/>
      <c r="K153" s="15"/>
      <c r="O153" s="15"/>
      <c r="P153" s="15"/>
    </row>
    <row r="154" spans="3:16" x14ac:dyDescent="0.25">
      <c r="C154" s="15"/>
      <c r="G154" s="15"/>
      <c r="K154" s="15"/>
      <c r="O154" s="15"/>
      <c r="P154" s="15"/>
    </row>
    <row r="155" spans="3:16" x14ac:dyDescent="0.25">
      <c r="C155" s="15"/>
      <c r="G155" s="15"/>
      <c r="K155" s="15"/>
      <c r="O155" s="15"/>
      <c r="P155" s="15"/>
    </row>
    <row r="156" spans="3:16" x14ac:dyDescent="0.25">
      <c r="C156" s="15"/>
      <c r="G156" s="15"/>
      <c r="K156" s="15"/>
      <c r="O156" s="15"/>
      <c r="P156" s="15"/>
    </row>
    <row r="157" spans="3:16" x14ac:dyDescent="0.25">
      <c r="C157" s="15"/>
      <c r="G157" s="15"/>
      <c r="K157" s="15"/>
      <c r="O157" s="15"/>
      <c r="P157" s="15"/>
    </row>
    <row r="158" spans="3:16" x14ac:dyDescent="0.25">
      <c r="C158" s="15"/>
      <c r="G158" s="15"/>
      <c r="K158" s="15"/>
      <c r="O158" s="15"/>
      <c r="P158" s="15"/>
    </row>
    <row r="159" spans="3:16" x14ac:dyDescent="0.25">
      <c r="C159" s="15"/>
      <c r="G159" s="15"/>
      <c r="K159" s="15"/>
      <c r="O159" s="15"/>
      <c r="P159" s="15"/>
    </row>
    <row r="160" spans="3:16" x14ac:dyDescent="0.25">
      <c r="C160" s="15"/>
      <c r="G160" s="15"/>
      <c r="K160" s="15"/>
      <c r="O160" s="15"/>
      <c r="P160" s="15"/>
    </row>
    <row r="161" spans="3:16" x14ac:dyDescent="0.25">
      <c r="C161" s="15"/>
      <c r="G161" s="15"/>
      <c r="K161" s="15"/>
      <c r="O161" s="15"/>
      <c r="P161" s="15"/>
    </row>
    <row r="162" spans="3:16" x14ac:dyDescent="0.25">
      <c r="C162" s="15"/>
      <c r="G162" s="15"/>
      <c r="K162" s="15"/>
      <c r="O162" s="15"/>
      <c r="P162" s="15"/>
    </row>
    <row r="163" spans="3:16" x14ac:dyDescent="0.25">
      <c r="C163" s="15"/>
      <c r="G163" s="15"/>
      <c r="K163" s="15"/>
      <c r="O163" s="15"/>
      <c r="P163" s="15"/>
    </row>
    <row r="164" spans="3:16" x14ac:dyDescent="0.25">
      <c r="C164" s="15"/>
      <c r="G164" s="15"/>
      <c r="K164" s="15"/>
      <c r="O164" s="15"/>
      <c r="P164" s="15"/>
    </row>
    <row r="165" spans="3:16" x14ac:dyDescent="0.25">
      <c r="C165" s="15"/>
      <c r="G165" s="15"/>
      <c r="K165" s="15"/>
      <c r="O165" s="15"/>
      <c r="P165" s="15"/>
    </row>
    <row r="166" spans="3:16" x14ac:dyDescent="0.25">
      <c r="C166" s="15"/>
      <c r="G166" s="15"/>
      <c r="K166" s="15"/>
      <c r="O166" s="15"/>
      <c r="P166" s="15"/>
    </row>
    <row r="167" spans="3:16" x14ac:dyDescent="0.25">
      <c r="C167" s="15"/>
      <c r="G167" s="15"/>
      <c r="K167" s="15"/>
      <c r="O167" s="15"/>
      <c r="P167" s="15"/>
    </row>
    <row r="168" spans="3:16" x14ac:dyDescent="0.25">
      <c r="C168" s="15"/>
      <c r="G168" s="15"/>
      <c r="K168" s="15"/>
      <c r="O168" s="15"/>
      <c r="P168" s="15"/>
    </row>
    <row r="169" spans="3:16" x14ac:dyDescent="0.25">
      <c r="C169" s="15"/>
      <c r="G169" s="15"/>
      <c r="K169" s="15"/>
      <c r="O169" s="15"/>
      <c r="P169" s="15"/>
    </row>
    <row r="170" spans="3:16" x14ac:dyDescent="0.25">
      <c r="C170" s="15"/>
      <c r="G170" s="15"/>
      <c r="K170" s="15"/>
      <c r="O170" s="15"/>
      <c r="P170" s="15"/>
    </row>
    <row r="171" spans="3:16" x14ac:dyDescent="0.25">
      <c r="C171" s="15"/>
      <c r="G171" s="15"/>
      <c r="K171" s="15"/>
      <c r="O171" s="15"/>
      <c r="P171" s="15"/>
    </row>
    <row r="172" spans="3:16" x14ac:dyDescent="0.25">
      <c r="C172" s="15"/>
      <c r="G172" s="15"/>
      <c r="K172" s="15"/>
      <c r="O172" s="15"/>
      <c r="P172" s="15"/>
    </row>
    <row r="173" spans="3:16" x14ac:dyDescent="0.25">
      <c r="C173" s="15"/>
      <c r="G173" s="15"/>
      <c r="K173" s="15"/>
      <c r="O173" s="15"/>
      <c r="P173" s="15"/>
    </row>
    <row r="174" spans="3:16" x14ac:dyDescent="0.25">
      <c r="C174" s="15"/>
      <c r="G174" s="15"/>
      <c r="K174" s="15"/>
      <c r="O174" s="15"/>
      <c r="P174" s="15"/>
    </row>
    <row r="175" spans="3:16" x14ac:dyDescent="0.25">
      <c r="C175" s="15"/>
      <c r="G175" s="15"/>
      <c r="K175" s="15"/>
      <c r="O175" s="15"/>
      <c r="P175" s="15"/>
    </row>
    <row r="176" spans="3:16" x14ac:dyDescent="0.25">
      <c r="C176" s="15"/>
      <c r="G176" s="15"/>
      <c r="K176" s="15"/>
      <c r="O176" s="15"/>
      <c r="P176" s="15"/>
    </row>
    <row r="177" spans="3:16" x14ac:dyDescent="0.25">
      <c r="C177" s="15"/>
      <c r="G177" s="15"/>
      <c r="K177" s="15"/>
      <c r="O177" s="15"/>
      <c r="P177" s="15"/>
    </row>
    <row r="178" spans="3:16" x14ac:dyDescent="0.25">
      <c r="C178" s="15"/>
      <c r="G178" s="15"/>
      <c r="K178" s="15"/>
      <c r="O178" s="15"/>
      <c r="P178" s="15"/>
    </row>
    <row r="179" spans="3:16" x14ac:dyDescent="0.25">
      <c r="C179" s="15"/>
      <c r="G179" s="15"/>
      <c r="K179" s="15"/>
      <c r="O179" s="15"/>
      <c r="P179" s="15"/>
    </row>
    <row r="180" spans="3:16" x14ac:dyDescent="0.25">
      <c r="C180" s="15"/>
      <c r="G180" s="15"/>
      <c r="K180" s="15"/>
      <c r="O180" s="15"/>
      <c r="P180" s="15"/>
    </row>
    <row r="181" spans="3:16" x14ac:dyDescent="0.25">
      <c r="C181" s="15"/>
      <c r="G181" s="15"/>
      <c r="K181" s="15"/>
      <c r="O181" s="15"/>
      <c r="P181" s="15"/>
    </row>
    <row r="182" spans="3:16" x14ac:dyDescent="0.25">
      <c r="C182" s="15"/>
      <c r="G182" s="15"/>
      <c r="K182" s="15"/>
      <c r="O182" s="15"/>
      <c r="P182" s="15"/>
    </row>
    <row r="183" spans="3:16" x14ac:dyDescent="0.25">
      <c r="C183" s="15"/>
      <c r="G183" s="15"/>
      <c r="K183" s="15"/>
      <c r="O183" s="15"/>
      <c r="P183" s="15"/>
    </row>
    <row r="184" spans="3:16" x14ac:dyDescent="0.25">
      <c r="C184" s="15"/>
      <c r="G184" s="15"/>
      <c r="K184" s="15"/>
      <c r="O184" s="15"/>
      <c r="P184" s="15"/>
    </row>
    <row r="185" spans="3:16" x14ac:dyDescent="0.25">
      <c r="C185" s="15"/>
      <c r="G185" s="15"/>
      <c r="K185" s="15"/>
      <c r="O185" s="15"/>
      <c r="P185" s="15"/>
    </row>
    <row r="186" spans="3:16" x14ac:dyDescent="0.25">
      <c r="C186" s="15"/>
      <c r="G186" s="15"/>
      <c r="K186" s="15"/>
      <c r="O186" s="15"/>
      <c r="P186" s="15"/>
    </row>
    <row r="187" spans="3:16" x14ac:dyDescent="0.25">
      <c r="C187" s="15"/>
      <c r="G187" s="15"/>
      <c r="K187" s="15"/>
      <c r="O187" s="15"/>
      <c r="P187" s="15"/>
    </row>
    <row r="188" spans="3:16" x14ac:dyDescent="0.25">
      <c r="C188" s="15"/>
      <c r="G188" s="15"/>
      <c r="K188" s="15"/>
      <c r="O188" s="15"/>
      <c r="P188" s="15"/>
    </row>
    <row r="189" spans="3:16" x14ac:dyDescent="0.25">
      <c r="C189" s="15"/>
      <c r="G189" s="15"/>
      <c r="K189" s="15"/>
      <c r="O189" s="15"/>
      <c r="P189" s="15"/>
    </row>
    <row r="190" spans="3:16" x14ac:dyDescent="0.25">
      <c r="C190" s="15"/>
      <c r="G190" s="15"/>
      <c r="K190" s="15"/>
      <c r="O190" s="15"/>
      <c r="P190" s="15"/>
    </row>
    <row r="191" spans="3:16" x14ac:dyDescent="0.25">
      <c r="C191" s="15"/>
      <c r="G191" s="15"/>
      <c r="K191" s="15"/>
      <c r="O191" s="15"/>
      <c r="P191" s="15"/>
    </row>
    <row r="192" spans="3:16" x14ac:dyDescent="0.25">
      <c r="C192" s="15"/>
      <c r="G192" s="15"/>
      <c r="K192" s="15"/>
      <c r="O192" s="15"/>
      <c r="P192" s="15"/>
    </row>
    <row r="193" spans="3:16" x14ac:dyDescent="0.25">
      <c r="C193" s="15"/>
      <c r="G193" s="15"/>
      <c r="K193" s="15"/>
      <c r="O193" s="15"/>
      <c r="P193" s="15"/>
    </row>
    <row r="194" spans="3:16" x14ac:dyDescent="0.25">
      <c r="C194" s="15"/>
      <c r="G194" s="15"/>
      <c r="K194" s="15"/>
      <c r="O194" s="15"/>
      <c r="P194" s="15"/>
    </row>
    <row r="195" spans="3:16" x14ac:dyDescent="0.25">
      <c r="C195" s="15"/>
      <c r="G195" s="15"/>
      <c r="K195" s="15"/>
      <c r="O195" s="15"/>
      <c r="P195" s="15"/>
    </row>
    <row r="196" spans="3:16" x14ac:dyDescent="0.25">
      <c r="C196" s="15"/>
      <c r="G196" s="15"/>
      <c r="K196" s="15"/>
      <c r="O196" s="15"/>
      <c r="P196" s="15"/>
    </row>
    <row r="197" spans="3:16" x14ac:dyDescent="0.25">
      <c r="C197" s="15"/>
      <c r="G197" s="15"/>
      <c r="K197" s="15"/>
      <c r="O197" s="15"/>
      <c r="P197" s="15"/>
    </row>
    <row r="198" spans="3:16" x14ac:dyDescent="0.25">
      <c r="C198" s="15"/>
      <c r="G198" s="15"/>
      <c r="K198" s="15"/>
      <c r="O198" s="15"/>
      <c r="P198" s="15"/>
    </row>
    <row r="199" spans="3:16" x14ac:dyDescent="0.25">
      <c r="C199" s="15"/>
      <c r="G199" s="15"/>
      <c r="K199" s="15"/>
      <c r="O199" s="15"/>
      <c r="P199" s="15"/>
    </row>
    <row r="200" spans="3:16" x14ac:dyDescent="0.25">
      <c r="C200" s="15"/>
      <c r="G200" s="15"/>
      <c r="K200" s="15"/>
      <c r="O200" s="15"/>
      <c r="P200" s="15"/>
    </row>
    <row r="201" spans="3:16" x14ac:dyDescent="0.25">
      <c r="C201" s="15"/>
      <c r="G201" s="15"/>
      <c r="K201" s="15"/>
      <c r="O201" s="15"/>
      <c r="P201" s="15"/>
    </row>
    <row r="202" spans="3:16" x14ac:dyDescent="0.25">
      <c r="C202" s="15"/>
      <c r="G202" s="15"/>
      <c r="K202" s="15"/>
      <c r="O202" s="15"/>
      <c r="P202" s="15"/>
    </row>
    <row r="203" spans="3:16" x14ac:dyDescent="0.25">
      <c r="C203" s="15"/>
      <c r="G203" s="15"/>
      <c r="K203" s="15"/>
      <c r="O203" s="15"/>
      <c r="P203" s="15"/>
    </row>
    <row r="204" spans="3:16" x14ac:dyDescent="0.25">
      <c r="C204" s="15"/>
      <c r="G204" s="15"/>
      <c r="K204" s="15"/>
      <c r="O204" s="15"/>
      <c r="P204" s="15"/>
    </row>
    <row r="205" spans="3:16" x14ac:dyDescent="0.25">
      <c r="C205" s="15"/>
      <c r="G205" s="15"/>
      <c r="K205" s="15"/>
      <c r="O205" s="15"/>
      <c r="P205" s="15"/>
    </row>
    <row r="206" spans="3:16" x14ac:dyDescent="0.25">
      <c r="C206" s="15"/>
      <c r="G206" s="15"/>
      <c r="K206" s="15"/>
      <c r="O206" s="15"/>
      <c r="P206" s="15"/>
    </row>
    <row r="207" spans="3:16" x14ac:dyDescent="0.25">
      <c r="C207" s="15"/>
      <c r="G207" s="15"/>
      <c r="K207" s="15"/>
      <c r="O207" s="15"/>
      <c r="P207" s="15"/>
    </row>
    <row r="208" spans="3:16" x14ac:dyDescent="0.25">
      <c r="C208" s="15"/>
      <c r="G208" s="15"/>
      <c r="K208" s="15"/>
      <c r="O208" s="15"/>
      <c r="P208" s="15"/>
    </row>
    <row r="209" spans="3:16" x14ac:dyDescent="0.25">
      <c r="C209" s="15"/>
      <c r="G209" s="15"/>
      <c r="K209" s="15"/>
      <c r="O209" s="15"/>
      <c r="P209" s="15"/>
    </row>
    <row r="210" spans="3:16" x14ac:dyDescent="0.25">
      <c r="C210" s="15"/>
      <c r="G210" s="15"/>
      <c r="K210" s="15"/>
      <c r="O210" s="15"/>
      <c r="P210" s="15"/>
    </row>
    <row r="211" spans="3:16" x14ac:dyDescent="0.25">
      <c r="C211" s="15"/>
      <c r="G211" s="15"/>
      <c r="K211" s="15"/>
      <c r="O211" s="15"/>
      <c r="P211" s="15"/>
    </row>
    <row r="212" spans="3:16" x14ac:dyDescent="0.25">
      <c r="C212" s="15"/>
      <c r="G212" s="15"/>
      <c r="K212" s="15"/>
      <c r="O212" s="15"/>
      <c r="P212" s="15"/>
    </row>
    <row r="213" spans="3:16" x14ac:dyDescent="0.25">
      <c r="C213" s="15"/>
      <c r="G213" s="15"/>
      <c r="K213" s="15"/>
      <c r="O213" s="15"/>
      <c r="P213" s="15"/>
    </row>
    <row r="214" spans="3:16" x14ac:dyDescent="0.25">
      <c r="C214" s="15"/>
      <c r="G214" s="15"/>
      <c r="K214" s="15"/>
      <c r="O214" s="15"/>
      <c r="P214" s="15"/>
    </row>
    <row r="215" spans="3:16" x14ac:dyDescent="0.25">
      <c r="C215" s="15"/>
      <c r="G215" s="15"/>
      <c r="K215" s="15"/>
      <c r="O215" s="15"/>
      <c r="P215" s="15"/>
    </row>
    <row r="216" spans="3:16" x14ac:dyDescent="0.25">
      <c r="C216" s="15"/>
      <c r="G216" s="15"/>
      <c r="K216" s="15"/>
      <c r="O216" s="15"/>
      <c r="P216" s="15"/>
    </row>
    <row r="217" spans="3:16" x14ac:dyDescent="0.25">
      <c r="C217" s="15"/>
      <c r="G217" s="15"/>
      <c r="K217" s="15"/>
      <c r="O217" s="15"/>
      <c r="P217" s="15"/>
    </row>
    <row r="218" spans="3:16" x14ac:dyDescent="0.25">
      <c r="C218" s="15"/>
      <c r="G218" s="15"/>
      <c r="K218" s="15"/>
      <c r="O218" s="15"/>
      <c r="P218" s="15"/>
    </row>
    <row r="219" spans="3:16" x14ac:dyDescent="0.25">
      <c r="C219" s="15"/>
      <c r="G219" s="15"/>
      <c r="K219" s="15"/>
      <c r="O219" s="15"/>
      <c r="P219" s="15"/>
    </row>
    <row r="220" spans="3:16" x14ac:dyDescent="0.25">
      <c r="C220" s="15"/>
      <c r="G220" s="15"/>
      <c r="K220" s="15"/>
      <c r="O220" s="15"/>
      <c r="P220" s="15"/>
    </row>
    <row r="221" spans="3:16" x14ac:dyDescent="0.25">
      <c r="C221" s="15"/>
      <c r="G221" s="15"/>
      <c r="K221" s="15"/>
      <c r="O221" s="15"/>
      <c r="P221" s="15"/>
    </row>
    <row r="222" spans="3:16" x14ac:dyDescent="0.25">
      <c r="C222" s="15"/>
      <c r="G222" s="15"/>
      <c r="K222" s="15"/>
      <c r="O222" s="15"/>
      <c r="P222" s="15"/>
    </row>
    <row r="223" spans="3:16" x14ac:dyDescent="0.25">
      <c r="C223" s="15"/>
      <c r="G223" s="15"/>
      <c r="K223" s="15"/>
      <c r="O223" s="15"/>
      <c r="P223" s="15"/>
    </row>
    <row r="224" spans="3:16" x14ac:dyDescent="0.25">
      <c r="C224" s="15"/>
      <c r="G224" s="15"/>
      <c r="K224" s="15"/>
      <c r="O224" s="15"/>
      <c r="P224" s="15"/>
    </row>
    <row r="225" spans="3:16" x14ac:dyDescent="0.25">
      <c r="C225" s="15"/>
      <c r="G225" s="15"/>
      <c r="K225" s="15"/>
      <c r="O225" s="15"/>
      <c r="P225" s="15"/>
    </row>
    <row r="226" spans="3:16" x14ac:dyDescent="0.25">
      <c r="C226" s="15"/>
      <c r="G226" s="15"/>
      <c r="K226" s="15"/>
      <c r="O226" s="15"/>
      <c r="P226" s="15"/>
    </row>
    <row r="227" spans="3:16" x14ac:dyDescent="0.25">
      <c r="C227" s="15"/>
      <c r="G227" s="15"/>
      <c r="K227" s="15"/>
      <c r="O227" s="15"/>
      <c r="P227" s="15"/>
    </row>
    <row r="228" spans="3:16" x14ac:dyDescent="0.25">
      <c r="C228" s="15"/>
      <c r="G228" s="15"/>
      <c r="K228" s="15"/>
      <c r="O228" s="15"/>
      <c r="P228" s="15"/>
    </row>
    <row r="229" spans="3:16" x14ac:dyDescent="0.25">
      <c r="C229" s="15"/>
      <c r="G229" s="15"/>
      <c r="K229" s="15"/>
      <c r="O229" s="15"/>
      <c r="P229" s="15"/>
    </row>
    <row r="230" spans="3:16" x14ac:dyDescent="0.25">
      <c r="C230" s="15"/>
      <c r="G230" s="15"/>
      <c r="K230" s="15"/>
      <c r="O230" s="15"/>
      <c r="P230" s="15"/>
    </row>
    <row r="231" spans="3:16" x14ac:dyDescent="0.25">
      <c r="C231" s="15"/>
      <c r="G231" s="15"/>
      <c r="K231" s="15"/>
      <c r="O231" s="15"/>
      <c r="P231" s="15"/>
    </row>
    <row r="232" spans="3:16" x14ac:dyDescent="0.25">
      <c r="C232" s="15"/>
      <c r="G232" s="15"/>
      <c r="K232" s="15"/>
      <c r="O232" s="15"/>
      <c r="P232" s="15"/>
    </row>
    <row r="233" spans="3:16" x14ac:dyDescent="0.25">
      <c r="C233" s="15"/>
      <c r="G233" s="15"/>
      <c r="K233" s="15"/>
      <c r="O233" s="15"/>
      <c r="P233" s="15"/>
    </row>
    <row r="234" spans="3:16" x14ac:dyDescent="0.25">
      <c r="C234" s="15"/>
      <c r="G234" s="15"/>
      <c r="K234" s="15"/>
      <c r="O234" s="15"/>
      <c r="P234" s="15"/>
    </row>
    <row r="235" spans="3:16" x14ac:dyDescent="0.25">
      <c r="C235" s="15"/>
      <c r="G235" s="15"/>
      <c r="K235" s="15"/>
      <c r="O235" s="15"/>
      <c r="P235" s="15"/>
    </row>
    <row r="236" spans="3:16" x14ac:dyDescent="0.25">
      <c r="C236" s="15"/>
      <c r="G236" s="15"/>
      <c r="K236" s="15"/>
      <c r="O236" s="15"/>
      <c r="P236" s="15"/>
    </row>
    <row r="237" spans="3:16" x14ac:dyDescent="0.25">
      <c r="C237" s="15"/>
      <c r="G237" s="15"/>
      <c r="K237" s="15"/>
      <c r="O237" s="15"/>
      <c r="P237" s="15"/>
    </row>
    <row r="238" spans="3:16" x14ac:dyDescent="0.25">
      <c r="C238" s="15"/>
      <c r="G238" s="15"/>
      <c r="K238" s="15"/>
      <c r="O238" s="15"/>
      <c r="P238" s="15"/>
    </row>
    <row r="239" spans="3:16" x14ac:dyDescent="0.25">
      <c r="C239" s="15"/>
      <c r="G239" s="15"/>
      <c r="K239" s="15"/>
      <c r="O239" s="15"/>
      <c r="P239" s="15"/>
    </row>
    <row r="240" spans="3:16" x14ac:dyDescent="0.25">
      <c r="C240" s="15"/>
      <c r="G240" s="15"/>
      <c r="K240" s="15"/>
      <c r="O240" s="15"/>
      <c r="P240" s="15"/>
    </row>
    <row r="241" spans="3:16" x14ac:dyDescent="0.25">
      <c r="C241" s="15"/>
      <c r="G241" s="15"/>
      <c r="K241" s="15"/>
      <c r="O241" s="15"/>
      <c r="P241" s="15"/>
    </row>
    <row r="242" spans="3:16" x14ac:dyDescent="0.25">
      <c r="C242" s="15"/>
      <c r="G242" s="15"/>
      <c r="K242" s="15"/>
      <c r="O242" s="15"/>
      <c r="P242" s="15"/>
    </row>
    <row r="243" spans="3:16" x14ac:dyDescent="0.25">
      <c r="C243" s="15"/>
      <c r="G243" s="15"/>
      <c r="K243" s="15"/>
      <c r="O243" s="15"/>
      <c r="P243" s="15"/>
    </row>
    <row r="244" spans="3:16" x14ac:dyDescent="0.25">
      <c r="C244" s="15"/>
      <c r="G244" s="15"/>
      <c r="K244" s="15"/>
      <c r="O244" s="15"/>
      <c r="P244" s="15"/>
    </row>
    <row r="245" spans="3:16" x14ac:dyDescent="0.25">
      <c r="C245" s="15"/>
      <c r="G245" s="15"/>
      <c r="K245" s="15"/>
      <c r="O245" s="15"/>
      <c r="P245" s="15"/>
    </row>
    <row r="246" spans="3:16" x14ac:dyDescent="0.25">
      <c r="C246" s="15"/>
      <c r="G246" s="15"/>
      <c r="K246" s="15"/>
      <c r="O246" s="15"/>
      <c r="P246" s="15"/>
    </row>
    <row r="247" spans="3:16" x14ac:dyDescent="0.25">
      <c r="C247" s="15"/>
      <c r="G247" s="15"/>
      <c r="K247" s="15"/>
      <c r="O247" s="15"/>
      <c r="P247" s="15"/>
    </row>
    <row r="248" spans="3:16" x14ac:dyDescent="0.25">
      <c r="C248" s="15"/>
      <c r="G248" s="15"/>
      <c r="K248" s="15"/>
      <c r="O248" s="15"/>
      <c r="P248" s="15"/>
    </row>
    <row r="249" spans="3:16" x14ac:dyDescent="0.25">
      <c r="C249" s="15"/>
      <c r="G249" s="15"/>
      <c r="K249" s="15"/>
      <c r="O249" s="15"/>
      <c r="P249" s="15"/>
    </row>
    <row r="250" spans="3:16" x14ac:dyDescent="0.25">
      <c r="C250" s="15"/>
      <c r="G250" s="15"/>
      <c r="K250" s="15"/>
      <c r="O250" s="15"/>
      <c r="P250" s="15"/>
    </row>
    <row r="251" spans="3:16" x14ac:dyDescent="0.25">
      <c r="C251" s="15"/>
      <c r="G251" s="15"/>
      <c r="K251" s="15"/>
      <c r="O251" s="15"/>
      <c r="P251" s="15"/>
    </row>
    <row r="252" spans="3:16" x14ac:dyDescent="0.25">
      <c r="C252" s="15"/>
      <c r="G252" s="15"/>
      <c r="K252" s="15"/>
      <c r="O252" s="15"/>
      <c r="P252" s="15"/>
    </row>
    <row r="253" spans="3:16" x14ac:dyDescent="0.25">
      <c r="C253" s="15"/>
      <c r="G253" s="15"/>
      <c r="K253" s="15"/>
      <c r="O253" s="15"/>
      <c r="P253" s="15"/>
    </row>
    <row r="254" spans="3:16" x14ac:dyDescent="0.25">
      <c r="C254" s="15"/>
      <c r="G254" s="15"/>
      <c r="K254" s="15"/>
      <c r="O254" s="15"/>
      <c r="P254" s="15"/>
    </row>
    <row r="255" spans="3:16" x14ac:dyDescent="0.25">
      <c r="C255" s="15"/>
      <c r="G255" s="15"/>
      <c r="K255" s="15"/>
      <c r="O255" s="15"/>
      <c r="P255" s="15"/>
    </row>
    <row r="256" spans="3:16" x14ac:dyDescent="0.25">
      <c r="C256" s="15"/>
      <c r="G256" s="15"/>
      <c r="K256" s="15"/>
      <c r="O256" s="15"/>
      <c r="P256" s="15"/>
    </row>
    <row r="257" spans="3:16" x14ac:dyDescent="0.25">
      <c r="C257" s="15"/>
      <c r="G257" s="15"/>
      <c r="K257" s="15"/>
      <c r="O257" s="15"/>
      <c r="P257" s="15"/>
    </row>
    <row r="258" spans="3:16" x14ac:dyDescent="0.25">
      <c r="C258" s="15"/>
      <c r="G258" s="15"/>
      <c r="K258" s="15"/>
      <c r="O258" s="15"/>
      <c r="P258" s="15"/>
    </row>
    <row r="259" spans="3:16" x14ac:dyDescent="0.25">
      <c r="C259" s="15"/>
      <c r="G259" s="15"/>
      <c r="K259" s="15"/>
      <c r="O259" s="15"/>
      <c r="P259" s="15"/>
    </row>
    <row r="260" spans="3:16" x14ac:dyDescent="0.25">
      <c r="C260" s="15"/>
      <c r="G260" s="15"/>
      <c r="K260" s="15"/>
      <c r="O260" s="15"/>
      <c r="P260" s="15"/>
    </row>
    <row r="261" spans="3:16" x14ac:dyDescent="0.25">
      <c r="C261" s="15"/>
      <c r="G261" s="15"/>
      <c r="K261" s="15"/>
      <c r="O261" s="15"/>
      <c r="P261" s="15"/>
    </row>
    <row r="262" spans="3:16" x14ac:dyDescent="0.25">
      <c r="C262" s="15"/>
      <c r="G262" s="15"/>
      <c r="K262" s="15"/>
      <c r="O262" s="15"/>
      <c r="P262" s="15"/>
    </row>
    <row r="263" spans="3:16" x14ac:dyDescent="0.25">
      <c r="C263" s="15"/>
      <c r="G263" s="15"/>
      <c r="K263" s="15"/>
      <c r="O263" s="15"/>
      <c r="P263" s="15"/>
    </row>
    <row r="264" spans="3:16" x14ac:dyDescent="0.25">
      <c r="C264" s="15"/>
      <c r="G264" s="15"/>
      <c r="K264" s="15"/>
      <c r="O264" s="15"/>
      <c r="P264" s="15"/>
    </row>
    <row r="265" spans="3:16" x14ac:dyDescent="0.25">
      <c r="C265" s="15"/>
      <c r="G265" s="15"/>
      <c r="K265" s="15"/>
      <c r="O265" s="15"/>
      <c r="P265" s="15"/>
    </row>
    <row r="266" spans="3:16" x14ac:dyDescent="0.25">
      <c r="C266" s="15"/>
      <c r="G266" s="15"/>
      <c r="K266" s="15"/>
      <c r="O266" s="15"/>
      <c r="P266" s="15"/>
    </row>
    <row r="267" spans="3:16" x14ac:dyDescent="0.25">
      <c r="C267" s="15"/>
      <c r="G267" s="15"/>
      <c r="K267" s="15"/>
      <c r="O267" s="15"/>
      <c r="P267" s="15"/>
    </row>
    <row r="268" spans="3:16" x14ac:dyDescent="0.25">
      <c r="C268" s="15"/>
      <c r="G268" s="15"/>
      <c r="K268" s="15"/>
      <c r="O268" s="15"/>
      <c r="P268" s="15"/>
    </row>
    <row r="269" spans="3:16" x14ac:dyDescent="0.25">
      <c r="C269" s="15"/>
      <c r="G269" s="15"/>
      <c r="K269" s="15"/>
      <c r="O269" s="15"/>
      <c r="P269" s="15"/>
    </row>
    <row r="270" spans="3:16" x14ac:dyDescent="0.25">
      <c r="C270" s="15"/>
      <c r="G270" s="15"/>
      <c r="K270" s="15"/>
      <c r="O270" s="15"/>
      <c r="P270" s="15"/>
    </row>
    <row r="271" spans="3:16" x14ac:dyDescent="0.25">
      <c r="C271" s="15"/>
      <c r="G271" s="15"/>
      <c r="K271" s="15"/>
      <c r="O271" s="15"/>
      <c r="P271" s="15"/>
    </row>
    <row r="272" spans="3:16" x14ac:dyDescent="0.25">
      <c r="C272" s="15"/>
      <c r="G272" s="15"/>
      <c r="K272" s="15"/>
      <c r="O272" s="15"/>
      <c r="P272" s="15"/>
    </row>
    <row r="273" spans="3:16" x14ac:dyDescent="0.25">
      <c r="C273" s="15"/>
      <c r="G273" s="15"/>
      <c r="K273" s="15"/>
      <c r="O273" s="15"/>
      <c r="P273" s="15"/>
    </row>
    <row r="274" spans="3:16" x14ac:dyDescent="0.25">
      <c r="C274" s="15"/>
      <c r="G274" s="15"/>
      <c r="K274" s="15"/>
      <c r="O274" s="15"/>
      <c r="P274" s="15"/>
    </row>
    <row r="275" spans="3:16" x14ac:dyDescent="0.25">
      <c r="C275" s="15"/>
      <c r="G275" s="15"/>
      <c r="K275" s="15"/>
      <c r="O275" s="15"/>
      <c r="P275" s="15"/>
    </row>
    <row r="276" spans="3:16" x14ac:dyDescent="0.25">
      <c r="C276" s="15"/>
      <c r="G276" s="15"/>
      <c r="K276" s="15"/>
      <c r="O276" s="15"/>
      <c r="P276" s="15"/>
    </row>
    <row r="277" spans="3:16" x14ac:dyDescent="0.25">
      <c r="C277" s="15"/>
      <c r="G277" s="15"/>
      <c r="K277" s="15"/>
      <c r="O277" s="15"/>
      <c r="P277" s="15"/>
    </row>
    <row r="278" spans="3:16" x14ac:dyDescent="0.25">
      <c r="C278" s="15"/>
      <c r="G278" s="15"/>
      <c r="K278" s="15"/>
      <c r="O278" s="15"/>
      <c r="P278" s="15"/>
    </row>
    <row r="279" spans="3:16" x14ac:dyDescent="0.25">
      <c r="C279" s="15"/>
      <c r="G279" s="15"/>
      <c r="K279" s="15"/>
      <c r="O279" s="15"/>
      <c r="P279" s="15"/>
    </row>
    <row r="280" spans="3:16" x14ac:dyDescent="0.25">
      <c r="C280" s="15"/>
      <c r="G280" s="15"/>
      <c r="K280" s="15"/>
      <c r="O280" s="15"/>
      <c r="P280" s="15"/>
    </row>
    <row r="281" spans="3:16" x14ac:dyDescent="0.25">
      <c r="C281" s="15"/>
      <c r="G281" s="15"/>
      <c r="K281" s="15"/>
      <c r="O281" s="15"/>
      <c r="P281" s="15"/>
    </row>
    <row r="282" spans="3:16" x14ac:dyDescent="0.25">
      <c r="C282" s="15"/>
      <c r="G282" s="15"/>
      <c r="K282" s="15"/>
      <c r="O282" s="15"/>
      <c r="P282" s="15"/>
    </row>
    <row r="283" spans="3:16" x14ac:dyDescent="0.25">
      <c r="C283" s="15"/>
      <c r="G283" s="15"/>
      <c r="K283" s="15"/>
      <c r="O283" s="15"/>
      <c r="P283" s="15"/>
    </row>
    <row r="284" spans="3:16" x14ac:dyDescent="0.25">
      <c r="C284" s="15"/>
      <c r="G284" s="15"/>
      <c r="K284" s="15"/>
      <c r="O284" s="15"/>
      <c r="P284" s="15"/>
    </row>
    <row r="285" spans="3:16" x14ac:dyDescent="0.25">
      <c r="C285" s="15"/>
      <c r="G285" s="15"/>
      <c r="K285" s="15"/>
      <c r="O285" s="15"/>
      <c r="P285" s="15"/>
    </row>
    <row r="286" spans="3:16" x14ac:dyDescent="0.25">
      <c r="C286" s="15"/>
      <c r="G286" s="15"/>
      <c r="K286" s="15"/>
      <c r="O286" s="15"/>
      <c r="P286" s="15"/>
    </row>
    <row r="287" spans="3:16" x14ac:dyDescent="0.25">
      <c r="C287" s="15"/>
      <c r="G287" s="15"/>
      <c r="K287" s="15"/>
      <c r="O287" s="15"/>
      <c r="P287" s="15"/>
    </row>
    <row r="288" spans="3:16" x14ac:dyDescent="0.25">
      <c r="C288" s="15"/>
      <c r="G288" s="15"/>
      <c r="K288" s="15"/>
      <c r="O288" s="15"/>
      <c r="P288" s="15"/>
    </row>
    <row r="289" spans="3:16" x14ac:dyDescent="0.25">
      <c r="C289" s="15"/>
      <c r="G289" s="15"/>
      <c r="K289" s="15"/>
      <c r="O289" s="15"/>
      <c r="P289" s="15"/>
    </row>
    <row r="290" spans="3:16" x14ac:dyDescent="0.25">
      <c r="C290" s="15"/>
      <c r="G290" s="15"/>
      <c r="K290" s="15"/>
      <c r="O290" s="15"/>
      <c r="P290" s="15"/>
    </row>
    <row r="291" spans="3:16" x14ac:dyDescent="0.25">
      <c r="C291" s="15"/>
      <c r="G291" s="15"/>
      <c r="K291" s="15"/>
      <c r="O291" s="15"/>
      <c r="P291" s="15"/>
    </row>
    <row r="292" spans="3:16" x14ac:dyDescent="0.25">
      <c r="C292" s="15"/>
      <c r="G292" s="15"/>
      <c r="K292" s="15"/>
      <c r="O292" s="15"/>
      <c r="P292" s="15"/>
    </row>
    <row r="293" spans="3:16" x14ac:dyDescent="0.25">
      <c r="C293" s="15"/>
      <c r="G293" s="15"/>
      <c r="K293" s="15"/>
      <c r="O293" s="15"/>
      <c r="P293" s="15"/>
    </row>
    <row r="294" spans="3:16" x14ac:dyDescent="0.25">
      <c r="C294" s="15"/>
      <c r="G294" s="15"/>
      <c r="K294" s="15"/>
      <c r="O294" s="15"/>
      <c r="P294" s="15"/>
    </row>
    <row r="295" spans="3:16" x14ac:dyDescent="0.25">
      <c r="C295" s="15"/>
      <c r="G295" s="15"/>
      <c r="K295" s="15"/>
      <c r="O295" s="15"/>
      <c r="P295" s="15"/>
    </row>
    <row r="296" spans="3:16" x14ac:dyDescent="0.25">
      <c r="C296" s="15"/>
      <c r="G296" s="15"/>
      <c r="K296" s="15"/>
      <c r="O296" s="15"/>
      <c r="P296" s="15"/>
    </row>
    <row r="297" spans="3:16" x14ac:dyDescent="0.25">
      <c r="C297" s="15"/>
      <c r="G297" s="15"/>
      <c r="K297" s="15"/>
      <c r="O297" s="15"/>
      <c r="P297" s="15"/>
    </row>
    <row r="298" spans="3:16" x14ac:dyDescent="0.25">
      <c r="C298" s="15"/>
      <c r="G298" s="15"/>
      <c r="K298" s="15"/>
      <c r="O298" s="15"/>
      <c r="P298" s="15"/>
    </row>
    <row r="299" spans="3:16" x14ac:dyDescent="0.25">
      <c r="C299" s="15"/>
      <c r="G299" s="15"/>
      <c r="K299" s="15"/>
      <c r="O299" s="15"/>
      <c r="P299" s="15"/>
    </row>
    <row r="300" spans="3:16" x14ac:dyDescent="0.25">
      <c r="C300" s="15"/>
      <c r="G300" s="15"/>
      <c r="K300" s="15"/>
      <c r="O300" s="15"/>
      <c r="P300" s="15"/>
    </row>
    <row r="301" spans="3:16" x14ac:dyDescent="0.25">
      <c r="C301" s="15"/>
      <c r="G301" s="15"/>
      <c r="K301" s="15"/>
      <c r="O301" s="15"/>
      <c r="P301" s="15"/>
    </row>
    <row r="302" spans="3:16" x14ac:dyDescent="0.25">
      <c r="C302" s="15"/>
      <c r="G302" s="15"/>
      <c r="K302" s="15"/>
      <c r="O302" s="15"/>
      <c r="P302" s="15"/>
    </row>
    <row r="303" spans="3:16" x14ac:dyDescent="0.25">
      <c r="C303" s="15"/>
      <c r="G303" s="15"/>
      <c r="K303" s="15"/>
      <c r="O303" s="15"/>
      <c r="P303" s="15"/>
    </row>
    <row r="304" spans="3:16" x14ac:dyDescent="0.25">
      <c r="C304" s="15"/>
      <c r="G304" s="15"/>
      <c r="K304" s="15"/>
      <c r="O304" s="15"/>
      <c r="P304" s="15"/>
    </row>
    <row r="305" spans="3:16" x14ac:dyDescent="0.25">
      <c r="C305" s="15"/>
      <c r="G305" s="15"/>
      <c r="K305" s="15"/>
      <c r="O305" s="15"/>
      <c r="P305" s="15"/>
    </row>
    <row r="306" spans="3:16" x14ac:dyDescent="0.25">
      <c r="C306" s="15"/>
      <c r="G306" s="15"/>
      <c r="K306" s="15"/>
      <c r="O306" s="15"/>
      <c r="P306" s="15"/>
    </row>
    <row r="307" spans="3:16" x14ac:dyDescent="0.25">
      <c r="C307" s="15"/>
      <c r="G307" s="15"/>
      <c r="K307" s="15"/>
      <c r="O307" s="15"/>
      <c r="P307" s="15"/>
    </row>
    <row r="308" spans="3:16" x14ac:dyDescent="0.25">
      <c r="C308" s="15"/>
      <c r="G308" s="15"/>
      <c r="K308" s="15"/>
      <c r="O308" s="15"/>
      <c r="P308" s="15"/>
    </row>
    <row r="309" spans="3:16" x14ac:dyDescent="0.25">
      <c r="C309" s="15"/>
      <c r="G309" s="15"/>
      <c r="K309" s="15"/>
      <c r="O309" s="15"/>
      <c r="P309" s="15"/>
    </row>
    <row r="310" spans="3:16" x14ac:dyDescent="0.25">
      <c r="C310" s="15"/>
      <c r="G310" s="15"/>
      <c r="K310" s="15"/>
      <c r="O310" s="15"/>
      <c r="P310" s="15"/>
    </row>
    <row r="311" spans="3:16" x14ac:dyDescent="0.25">
      <c r="C311" s="15"/>
      <c r="G311" s="15"/>
      <c r="K311" s="15"/>
      <c r="O311" s="15"/>
      <c r="P311" s="15"/>
    </row>
    <row r="312" spans="3:16" x14ac:dyDescent="0.25">
      <c r="C312" s="15"/>
      <c r="G312" s="15"/>
      <c r="K312" s="15"/>
      <c r="O312" s="15"/>
      <c r="P312" s="15"/>
    </row>
    <row r="313" spans="3:16" x14ac:dyDescent="0.25">
      <c r="C313" s="15"/>
      <c r="G313" s="15"/>
      <c r="K313" s="15"/>
      <c r="O313" s="15"/>
      <c r="P313" s="15"/>
    </row>
    <row r="314" spans="3:16" x14ac:dyDescent="0.25">
      <c r="C314" s="15"/>
      <c r="G314" s="15"/>
      <c r="K314" s="15"/>
      <c r="O314" s="15"/>
      <c r="P314" s="15"/>
    </row>
    <row r="315" spans="3:16" x14ac:dyDescent="0.25">
      <c r="C315" s="15"/>
      <c r="G315" s="15"/>
      <c r="K315" s="15"/>
      <c r="O315" s="15"/>
      <c r="P315" s="15"/>
    </row>
    <row r="316" spans="3:16" x14ac:dyDescent="0.25">
      <c r="C316" s="15"/>
      <c r="G316" s="15"/>
      <c r="K316" s="15"/>
      <c r="O316" s="15"/>
      <c r="P316" s="15"/>
    </row>
    <row r="317" spans="3:16" x14ac:dyDescent="0.25">
      <c r="C317" s="15"/>
      <c r="G317" s="15"/>
      <c r="K317" s="15"/>
      <c r="O317" s="15"/>
      <c r="P317" s="15"/>
    </row>
    <row r="318" spans="3:16" x14ac:dyDescent="0.25">
      <c r="C318" s="15"/>
      <c r="G318" s="15"/>
      <c r="K318" s="15"/>
      <c r="O318" s="15"/>
      <c r="P318" s="15"/>
    </row>
    <row r="319" spans="3:16" x14ac:dyDescent="0.25">
      <c r="C319" s="15"/>
      <c r="G319" s="15"/>
      <c r="K319" s="15"/>
      <c r="O319" s="15"/>
      <c r="P319" s="15"/>
    </row>
    <row r="320" spans="3:16" x14ac:dyDescent="0.25">
      <c r="C320" s="15"/>
      <c r="G320" s="15"/>
      <c r="K320" s="15"/>
      <c r="O320" s="15"/>
      <c r="P320" s="15"/>
    </row>
    <row r="321" spans="3:16" x14ac:dyDescent="0.25">
      <c r="C321" s="15"/>
      <c r="G321" s="15"/>
      <c r="K321" s="15"/>
      <c r="O321" s="15"/>
      <c r="P321" s="15"/>
    </row>
    <row r="322" spans="3:16" x14ac:dyDescent="0.25">
      <c r="C322" s="15"/>
      <c r="G322" s="15"/>
      <c r="K322" s="15"/>
      <c r="O322" s="15"/>
      <c r="P322" s="15"/>
    </row>
    <row r="323" spans="3:16" x14ac:dyDescent="0.25">
      <c r="C323" s="15"/>
      <c r="G323" s="15"/>
      <c r="K323" s="15"/>
      <c r="O323" s="15"/>
      <c r="P323" s="15"/>
    </row>
    <row r="324" spans="3:16" x14ac:dyDescent="0.25">
      <c r="C324" s="15"/>
      <c r="G324" s="15"/>
      <c r="K324" s="15"/>
      <c r="O324" s="15"/>
      <c r="P324" s="15"/>
    </row>
    <row r="325" spans="3:16" x14ac:dyDescent="0.25">
      <c r="C325" s="15"/>
      <c r="G325" s="15"/>
      <c r="K325" s="15"/>
      <c r="O325" s="15"/>
      <c r="P325" s="15"/>
    </row>
    <row r="326" spans="3:16" x14ac:dyDescent="0.25">
      <c r="C326" s="15"/>
      <c r="G326" s="15"/>
      <c r="K326" s="15"/>
      <c r="O326" s="15"/>
      <c r="P326" s="15"/>
    </row>
    <row r="327" spans="3:16" x14ac:dyDescent="0.25">
      <c r="C327" s="15"/>
      <c r="G327" s="15"/>
      <c r="K327" s="15"/>
      <c r="O327" s="15"/>
      <c r="P327" s="15"/>
    </row>
    <row r="328" spans="3:16" x14ac:dyDescent="0.25">
      <c r="C328" s="15"/>
      <c r="G328" s="15"/>
      <c r="K328" s="15"/>
      <c r="O328" s="15"/>
      <c r="P328" s="15"/>
    </row>
    <row r="329" spans="3:16" x14ac:dyDescent="0.25">
      <c r="C329" s="15"/>
      <c r="G329" s="15"/>
      <c r="K329" s="15"/>
      <c r="O329" s="15"/>
      <c r="P329" s="15"/>
    </row>
    <row r="330" spans="3:16" x14ac:dyDescent="0.25">
      <c r="C330" s="15"/>
      <c r="G330" s="15"/>
      <c r="K330" s="15"/>
      <c r="O330" s="15"/>
      <c r="P330" s="15"/>
    </row>
    <row r="331" spans="3:16" x14ac:dyDescent="0.25">
      <c r="C331" s="15"/>
      <c r="G331" s="15"/>
      <c r="K331" s="15"/>
      <c r="O331" s="15"/>
      <c r="P331" s="15"/>
    </row>
    <row r="332" spans="3:16" x14ac:dyDescent="0.25">
      <c r="C332" s="15"/>
      <c r="G332" s="15"/>
      <c r="K332" s="15"/>
      <c r="O332" s="15"/>
      <c r="P332" s="15"/>
    </row>
    <row r="333" spans="3:16" x14ac:dyDescent="0.25">
      <c r="C333" s="15"/>
      <c r="G333" s="15"/>
      <c r="K333" s="15"/>
      <c r="O333" s="15"/>
      <c r="P333" s="15"/>
    </row>
    <row r="334" spans="3:16" x14ac:dyDescent="0.25">
      <c r="C334" s="15"/>
      <c r="G334" s="15"/>
      <c r="K334" s="15"/>
      <c r="O334" s="15"/>
      <c r="P334" s="15"/>
    </row>
    <row r="335" spans="3:16" x14ac:dyDescent="0.25">
      <c r="C335" s="15"/>
      <c r="G335" s="15"/>
      <c r="K335" s="15"/>
      <c r="O335" s="15"/>
      <c r="P335" s="15"/>
    </row>
    <row r="336" spans="3:16" x14ac:dyDescent="0.25">
      <c r="C336" s="15"/>
      <c r="G336" s="15"/>
      <c r="K336" s="15"/>
      <c r="O336" s="15"/>
      <c r="P336" s="15"/>
    </row>
    <row r="337" spans="3:16" x14ac:dyDescent="0.25">
      <c r="C337" s="15"/>
      <c r="G337" s="15"/>
      <c r="K337" s="15"/>
      <c r="O337" s="15"/>
      <c r="P337" s="15"/>
    </row>
    <row r="338" spans="3:16" x14ac:dyDescent="0.25">
      <c r="C338" s="15"/>
      <c r="G338" s="15"/>
      <c r="K338" s="15"/>
      <c r="O338" s="15"/>
      <c r="P338" s="15"/>
    </row>
    <row r="339" spans="3:16" x14ac:dyDescent="0.25">
      <c r="C339" s="15"/>
      <c r="G339" s="15"/>
      <c r="K339" s="15"/>
      <c r="O339" s="15"/>
      <c r="P339" s="15"/>
    </row>
    <row r="340" spans="3:16" x14ac:dyDescent="0.25">
      <c r="C340" s="15"/>
      <c r="G340" s="15"/>
      <c r="K340" s="15"/>
      <c r="O340" s="15"/>
      <c r="P340" s="15"/>
    </row>
    <row r="341" spans="3:16" x14ac:dyDescent="0.25">
      <c r="C341" s="15"/>
      <c r="G341" s="15"/>
      <c r="K341" s="15"/>
      <c r="O341" s="15"/>
      <c r="P341" s="15"/>
    </row>
    <row r="342" spans="3:16" x14ac:dyDescent="0.25">
      <c r="C342" s="15"/>
      <c r="G342" s="15"/>
      <c r="K342" s="15"/>
      <c r="O342" s="15"/>
      <c r="P342" s="15"/>
    </row>
    <row r="343" spans="3:16" x14ac:dyDescent="0.25">
      <c r="C343" s="15"/>
      <c r="G343" s="15"/>
      <c r="K343" s="15"/>
      <c r="O343" s="15"/>
      <c r="P343" s="15"/>
    </row>
    <row r="344" spans="3:16" x14ac:dyDescent="0.25">
      <c r="C344" s="15"/>
      <c r="G344" s="15"/>
      <c r="K344" s="15"/>
      <c r="O344" s="15"/>
      <c r="P344" s="15"/>
    </row>
    <row r="345" spans="3:16" x14ac:dyDescent="0.25">
      <c r="C345" s="15"/>
      <c r="G345" s="15"/>
      <c r="K345" s="15"/>
      <c r="O345" s="15"/>
      <c r="P345" s="15"/>
    </row>
    <row r="346" spans="3:16" x14ac:dyDescent="0.25">
      <c r="C346" s="15"/>
      <c r="G346" s="15"/>
      <c r="K346" s="15"/>
      <c r="O346" s="15"/>
      <c r="P346" s="15"/>
    </row>
    <row r="347" spans="3:16" x14ac:dyDescent="0.25">
      <c r="C347" s="15"/>
      <c r="G347" s="15"/>
      <c r="K347" s="15"/>
      <c r="O347" s="15"/>
      <c r="P347" s="15"/>
    </row>
    <row r="348" spans="3:16" x14ac:dyDescent="0.25">
      <c r="C348" s="15"/>
      <c r="G348" s="15"/>
      <c r="K348" s="15"/>
      <c r="O348" s="15"/>
      <c r="P348" s="15"/>
    </row>
    <row r="349" spans="3:16" x14ac:dyDescent="0.25">
      <c r="C349" s="15"/>
      <c r="G349" s="15"/>
      <c r="K349" s="15"/>
      <c r="O349" s="15"/>
      <c r="P349" s="15"/>
    </row>
    <row r="350" spans="3:16" x14ac:dyDescent="0.25">
      <c r="C350" s="15"/>
      <c r="G350" s="15"/>
      <c r="K350" s="15"/>
      <c r="O350" s="15"/>
      <c r="P350" s="15"/>
    </row>
    <row r="351" spans="3:16" x14ac:dyDescent="0.25">
      <c r="C351" s="15"/>
      <c r="G351" s="15"/>
      <c r="K351" s="15"/>
      <c r="O351" s="15"/>
      <c r="P351" s="15"/>
    </row>
    <row r="352" spans="3:16" x14ac:dyDescent="0.25">
      <c r="C352" s="15"/>
      <c r="G352" s="15"/>
      <c r="K352" s="15"/>
      <c r="O352" s="15"/>
      <c r="P352" s="15"/>
    </row>
    <row r="353" spans="3:16" x14ac:dyDescent="0.25">
      <c r="C353" s="15"/>
      <c r="G353" s="15"/>
      <c r="K353" s="15"/>
      <c r="O353" s="15"/>
      <c r="P353" s="15"/>
    </row>
    <row r="354" spans="3:16" x14ac:dyDescent="0.25">
      <c r="C354" s="15"/>
      <c r="G354" s="15"/>
      <c r="K354" s="15"/>
      <c r="O354" s="15"/>
      <c r="P354" s="15"/>
    </row>
    <row r="355" spans="3:16" x14ac:dyDescent="0.25">
      <c r="C355" s="15"/>
      <c r="G355" s="15"/>
      <c r="K355" s="15"/>
      <c r="O355" s="15"/>
      <c r="P355" s="15"/>
    </row>
    <row r="356" spans="3:16" x14ac:dyDescent="0.25">
      <c r="C356" s="15"/>
      <c r="G356" s="15"/>
      <c r="K356" s="15"/>
      <c r="O356" s="15"/>
      <c r="P356" s="15"/>
    </row>
    <row r="357" spans="3:16" x14ac:dyDescent="0.25">
      <c r="C357" s="15"/>
      <c r="G357" s="15"/>
      <c r="K357" s="15"/>
      <c r="O357" s="15"/>
      <c r="P357" s="15"/>
    </row>
    <row r="358" spans="3:16" x14ac:dyDescent="0.25">
      <c r="C358" s="15"/>
      <c r="G358" s="15"/>
      <c r="K358" s="15"/>
      <c r="O358" s="15"/>
      <c r="P358" s="15"/>
    </row>
    <row r="359" spans="3:16" x14ac:dyDescent="0.25">
      <c r="C359" s="15"/>
      <c r="G359" s="15"/>
      <c r="K359" s="15"/>
      <c r="O359" s="15"/>
      <c r="P359" s="15"/>
    </row>
    <row r="360" spans="3:16" x14ac:dyDescent="0.25">
      <c r="C360" s="15"/>
      <c r="G360" s="15"/>
      <c r="K360" s="15"/>
      <c r="O360" s="15"/>
      <c r="P360" s="15"/>
    </row>
    <row r="361" spans="3:16" x14ac:dyDescent="0.25">
      <c r="C361" s="15"/>
      <c r="G361" s="15"/>
      <c r="K361" s="15"/>
      <c r="O361" s="15"/>
      <c r="P361" s="15"/>
    </row>
    <row r="362" spans="3:16" x14ac:dyDescent="0.25">
      <c r="C362" s="15"/>
      <c r="G362" s="15"/>
      <c r="K362" s="15"/>
      <c r="O362" s="15"/>
      <c r="P362" s="15"/>
    </row>
    <row r="363" spans="3:16" x14ac:dyDescent="0.25">
      <c r="C363" s="15"/>
      <c r="G363" s="15"/>
      <c r="K363" s="15"/>
      <c r="O363" s="15"/>
      <c r="P363" s="15"/>
    </row>
    <row r="364" spans="3:16" x14ac:dyDescent="0.25">
      <c r="C364" s="15"/>
      <c r="G364" s="15"/>
      <c r="K364" s="15"/>
      <c r="O364" s="15"/>
      <c r="P364" s="15"/>
    </row>
    <row r="365" spans="3:16" x14ac:dyDescent="0.25">
      <c r="C365" s="15"/>
      <c r="G365" s="15"/>
      <c r="K365" s="15"/>
      <c r="O365" s="15"/>
      <c r="P365" s="15"/>
    </row>
    <row r="366" spans="3:16" x14ac:dyDescent="0.25">
      <c r="C366" s="15"/>
      <c r="G366" s="15"/>
      <c r="K366" s="15"/>
      <c r="O366" s="15"/>
      <c r="P366" s="15"/>
    </row>
    <row r="367" spans="3:16" x14ac:dyDescent="0.25">
      <c r="C367" s="15"/>
      <c r="G367" s="15"/>
      <c r="K367" s="15"/>
      <c r="O367" s="15"/>
      <c r="P367" s="15"/>
    </row>
    <row r="368" spans="3:16" x14ac:dyDescent="0.25">
      <c r="C368" s="15"/>
      <c r="G368" s="15"/>
      <c r="K368" s="15"/>
      <c r="O368" s="15"/>
      <c r="P368" s="15"/>
    </row>
    <row r="369" spans="3:16" x14ac:dyDescent="0.25">
      <c r="C369" s="15"/>
      <c r="G369" s="15"/>
      <c r="K369" s="15"/>
      <c r="O369" s="15"/>
      <c r="P369" s="15"/>
    </row>
    <row r="370" spans="3:16" x14ac:dyDescent="0.25">
      <c r="C370" s="15"/>
      <c r="G370" s="15"/>
      <c r="K370" s="15"/>
      <c r="O370" s="15"/>
      <c r="P370" s="15"/>
    </row>
    <row r="371" spans="3:16" x14ac:dyDescent="0.25">
      <c r="C371" s="15"/>
      <c r="G371" s="15"/>
      <c r="K371" s="15"/>
      <c r="O371" s="15"/>
      <c r="P371" s="15"/>
    </row>
    <row r="372" spans="3:16" x14ac:dyDescent="0.25">
      <c r="C372" s="15"/>
      <c r="G372" s="15"/>
      <c r="K372" s="15"/>
      <c r="O372" s="15"/>
      <c r="P372" s="15"/>
    </row>
    <row r="373" spans="3:16" x14ac:dyDescent="0.25">
      <c r="C373" s="15"/>
      <c r="G373" s="15"/>
      <c r="K373" s="15"/>
      <c r="O373" s="15"/>
      <c r="P373" s="15"/>
    </row>
    <row r="374" spans="3:16" x14ac:dyDescent="0.25">
      <c r="C374" s="15"/>
      <c r="G374" s="15"/>
      <c r="K374" s="15"/>
      <c r="O374" s="15"/>
      <c r="P374" s="15"/>
    </row>
    <row r="375" spans="3:16" x14ac:dyDescent="0.25">
      <c r="C375" s="15"/>
      <c r="G375" s="15"/>
      <c r="K375" s="15"/>
      <c r="O375" s="15"/>
      <c r="P375" s="15"/>
    </row>
    <row r="376" spans="3:16" x14ac:dyDescent="0.25">
      <c r="C376" s="15"/>
      <c r="G376" s="15"/>
      <c r="K376" s="15"/>
      <c r="O376" s="15"/>
      <c r="P376" s="15"/>
    </row>
    <row r="377" spans="3:16" x14ac:dyDescent="0.25">
      <c r="C377" s="15"/>
      <c r="G377" s="15"/>
      <c r="K377" s="15"/>
      <c r="O377" s="15"/>
      <c r="P377" s="15"/>
    </row>
    <row r="378" spans="3:16" x14ac:dyDescent="0.25">
      <c r="C378" s="15"/>
      <c r="G378" s="15"/>
      <c r="K378" s="15"/>
      <c r="O378" s="15"/>
      <c r="P378" s="15"/>
    </row>
    <row r="379" spans="3:16" x14ac:dyDescent="0.25">
      <c r="C379" s="15"/>
      <c r="G379" s="15"/>
      <c r="K379" s="15"/>
      <c r="O379" s="15"/>
      <c r="P379" s="15"/>
    </row>
    <row r="380" spans="3:16" x14ac:dyDescent="0.25">
      <c r="C380" s="15"/>
      <c r="G380" s="15"/>
      <c r="K380" s="15"/>
      <c r="O380" s="15"/>
      <c r="P380" s="15"/>
    </row>
    <row r="381" spans="3:16" x14ac:dyDescent="0.25">
      <c r="C381" s="15"/>
      <c r="G381" s="15"/>
      <c r="K381" s="15"/>
      <c r="O381" s="15"/>
      <c r="P381" s="15"/>
    </row>
    <row r="382" spans="3:16" x14ac:dyDescent="0.25">
      <c r="C382" s="15"/>
      <c r="G382" s="15"/>
      <c r="K382" s="15"/>
      <c r="O382" s="15"/>
      <c r="P382" s="15"/>
    </row>
    <row r="383" spans="3:16" x14ac:dyDescent="0.25">
      <c r="C383" s="15"/>
      <c r="G383" s="15"/>
      <c r="K383" s="15"/>
      <c r="O383" s="15"/>
      <c r="P383" s="15"/>
    </row>
    <row r="384" spans="3:16" x14ac:dyDescent="0.25">
      <c r="C384" s="15"/>
      <c r="G384" s="15"/>
      <c r="K384" s="15"/>
      <c r="O384" s="15"/>
      <c r="P384" s="15"/>
    </row>
    <row r="385" spans="3:16" x14ac:dyDescent="0.25">
      <c r="C385" s="15"/>
      <c r="G385" s="15"/>
      <c r="K385" s="15"/>
      <c r="O385" s="15"/>
      <c r="P385" s="15"/>
    </row>
    <row r="386" spans="3:16" x14ac:dyDescent="0.25">
      <c r="C386" s="15"/>
      <c r="G386" s="15"/>
      <c r="K386" s="15"/>
      <c r="O386" s="15"/>
      <c r="P386" s="15"/>
    </row>
    <row r="387" spans="3:16" x14ac:dyDescent="0.25">
      <c r="C387" s="15"/>
      <c r="G387" s="15"/>
      <c r="K387" s="15"/>
      <c r="O387" s="15"/>
      <c r="P387" s="15"/>
    </row>
    <row r="388" spans="3:16" x14ac:dyDescent="0.25">
      <c r="C388" s="15"/>
      <c r="G388" s="15"/>
      <c r="K388" s="15"/>
      <c r="O388" s="15"/>
      <c r="P388" s="15"/>
    </row>
    <row r="389" spans="3:16" x14ac:dyDescent="0.25">
      <c r="C389" s="15"/>
      <c r="G389" s="15"/>
      <c r="K389" s="15"/>
      <c r="O389" s="15"/>
      <c r="P389" s="15"/>
    </row>
    <row r="390" spans="3:16" x14ac:dyDescent="0.25">
      <c r="C390" s="15"/>
      <c r="G390" s="15"/>
      <c r="K390" s="15"/>
      <c r="O390" s="15"/>
      <c r="P390" s="15"/>
    </row>
    <row r="391" spans="3:16" x14ac:dyDescent="0.25">
      <c r="C391" s="15"/>
      <c r="G391" s="15"/>
      <c r="K391" s="15"/>
      <c r="O391" s="15"/>
      <c r="P391" s="15"/>
    </row>
    <row r="392" spans="3:16" x14ac:dyDescent="0.25">
      <c r="C392" s="15"/>
      <c r="G392" s="15"/>
      <c r="K392" s="15"/>
      <c r="O392" s="15"/>
      <c r="P392" s="15"/>
    </row>
    <row r="393" spans="3:16" x14ac:dyDescent="0.25">
      <c r="C393" s="15"/>
      <c r="G393" s="15"/>
      <c r="K393" s="15"/>
      <c r="O393" s="15"/>
      <c r="P393" s="15"/>
    </row>
    <row r="394" spans="3:16" x14ac:dyDescent="0.25">
      <c r="C394" s="15"/>
      <c r="G394" s="15"/>
      <c r="K394" s="15"/>
      <c r="O394" s="15"/>
      <c r="P394" s="15"/>
    </row>
    <row r="395" spans="3:16" x14ac:dyDescent="0.25">
      <c r="C395" s="15"/>
      <c r="G395" s="15"/>
      <c r="K395" s="15"/>
      <c r="O395" s="15"/>
      <c r="P395" s="15"/>
    </row>
    <row r="396" spans="3:16" x14ac:dyDescent="0.25">
      <c r="C396" s="15"/>
      <c r="G396" s="15"/>
      <c r="K396" s="15"/>
      <c r="O396" s="15"/>
      <c r="P396" s="15"/>
    </row>
    <row r="397" spans="3:16" x14ac:dyDescent="0.25">
      <c r="C397" s="15"/>
      <c r="G397" s="15"/>
      <c r="K397" s="15"/>
      <c r="O397" s="15"/>
      <c r="P397" s="15"/>
    </row>
    <row r="398" spans="3:16" x14ac:dyDescent="0.25">
      <c r="C398" s="15"/>
      <c r="G398" s="15"/>
      <c r="K398" s="15"/>
      <c r="O398" s="15"/>
      <c r="P398" s="15"/>
    </row>
    <row r="399" spans="3:16" x14ac:dyDescent="0.25">
      <c r="C399" s="15"/>
      <c r="G399" s="15"/>
      <c r="K399" s="15"/>
      <c r="O399" s="15"/>
      <c r="P399" s="15"/>
    </row>
    <row r="400" spans="3:16" x14ac:dyDescent="0.25">
      <c r="C400" s="15"/>
      <c r="G400" s="15"/>
      <c r="K400" s="15"/>
      <c r="O400" s="15"/>
      <c r="P400" s="15"/>
    </row>
    <row r="401" spans="3:16" x14ac:dyDescent="0.25">
      <c r="C401" s="15"/>
      <c r="G401" s="15"/>
      <c r="K401" s="15"/>
      <c r="O401" s="15"/>
      <c r="P401" s="15"/>
    </row>
    <row r="402" spans="3:16" x14ac:dyDescent="0.25">
      <c r="C402" s="15"/>
      <c r="G402" s="15"/>
      <c r="K402" s="15"/>
      <c r="O402" s="15"/>
      <c r="P402" s="15"/>
    </row>
    <row r="403" spans="3:16" x14ac:dyDescent="0.25">
      <c r="C403" s="15"/>
      <c r="G403" s="15"/>
      <c r="K403" s="15"/>
      <c r="O403" s="15"/>
      <c r="P403" s="15"/>
    </row>
    <row r="404" spans="3:16" x14ac:dyDescent="0.25">
      <c r="C404" s="15"/>
      <c r="G404" s="15"/>
      <c r="K404" s="15"/>
      <c r="O404" s="15"/>
      <c r="P404" s="15"/>
    </row>
    <row r="405" spans="3:16" x14ac:dyDescent="0.25">
      <c r="C405" s="15"/>
      <c r="G405" s="15"/>
      <c r="K405" s="15"/>
      <c r="O405" s="15"/>
      <c r="P405" s="15"/>
    </row>
    <row r="406" spans="3:16" x14ac:dyDescent="0.25">
      <c r="C406" s="15"/>
      <c r="G406" s="15"/>
      <c r="K406" s="15"/>
      <c r="O406" s="15"/>
      <c r="P406" s="15"/>
    </row>
    <row r="407" spans="3:16" x14ac:dyDescent="0.25">
      <c r="C407" s="15"/>
      <c r="G407" s="15"/>
      <c r="K407" s="15"/>
      <c r="O407" s="15"/>
      <c r="P407" s="15"/>
    </row>
    <row r="408" spans="3:16" x14ac:dyDescent="0.25">
      <c r="C408" s="15"/>
      <c r="G408" s="15"/>
      <c r="K408" s="15"/>
      <c r="O408" s="15"/>
      <c r="P408" s="15"/>
    </row>
    <row r="409" spans="3:16" x14ac:dyDescent="0.25">
      <c r="C409" s="15"/>
      <c r="G409" s="15"/>
      <c r="K409" s="15"/>
      <c r="O409" s="15"/>
      <c r="P409" s="15"/>
    </row>
    <row r="410" spans="3:16" x14ac:dyDescent="0.25">
      <c r="C410" s="15"/>
      <c r="G410" s="15"/>
      <c r="K410" s="15"/>
      <c r="O410" s="15"/>
      <c r="P410" s="15"/>
    </row>
    <row r="411" spans="3:16" x14ac:dyDescent="0.25">
      <c r="C411" s="15"/>
      <c r="G411" s="15"/>
      <c r="K411" s="15"/>
      <c r="O411" s="15"/>
      <c r="P411" s="15"/>
    </row>
    <row r="412" spans="3:16" x14ac:dyDescent="0.25">
      <c r="C412" s="15"/>
      <c r="G412" s="15"/>
      <c r="K412" s="15"/>
      <c r="O412" s="15"/>
      <c r="P412" s="15"/>
    </row>
    <row r="413" spans="3:16" x14ac:dyDescent="0.25">
      <c r="C413" s="15"/>
      <c r="G413" s="15"/>
      <c r="K413" s="15"/>
      <c r="O413" s="15"/>
      <c r="P413" s="15"/>
    </row>
    <row r="414" spans="3:16" x14ac:dyDescent="0.25">
      <c r="C414" s="15"/>
      <c r="G414" s="15"/>
      <c r="K414" s="15"/>
      <c r="O414" s="15"/>
      <c r="P414" s="15"/>
    </row>
    <row r="415" spans="3:16" x14ac:dyDescent="0.25">
      <c r="C415" s="15"/>
      <c r="G415" s="15"/>
      <c r="K415" s="15"/>
      <c r="O415" s="15"/>
      <c r="P415" s="15"/>
    </row>
    <row r="416" spans="3:16" x14ac:dyDescent="0.25">
      <c r="C416" s="15"/>
      <c r="G416" s="15"/>
      <c r="K416" s="15"/>
      <c r="O416" s="15"/>
      <c r="P416" s="15"/>
    </row>
    <row r="417" spans="3:16" x14ac:dyDescent="0.25">
      <c r="C417" s="15"/>
      <c r="G417" s="15"/>
      <c r="K417" s="15"/>
      <c r="O417" s="15"/>
      <c r="P417" s="15"/>
    </row>
    <row r="418" spans="3:16" x14ac:dyDescent="0.25">
      <c r="C418" s="15"/>
      <c r="G418" s="15"/>
      <c r="K418" s="15"/>
      <c r="O418" s="15"/>
      <c r="P418" s="15"/>
    </row>
    <row r="419" spans="3:16" x14ac:dyDescent="0.25">
      <c r="C419" s="15"/>
      <c r="G419" s="15"/>
      <c r="K419" s="15"/>
      <c r="O419" s="15"/>
      <c r="P419" s="15"/>
    </row>
    <row r="420" spans="3:16" x14ac:dyDescent="0.25">
      <c r="C420" s="15"/>
      <c r="G420" s="15"/>
      <c r="K420" s="15"/>
      <c r="O420" s="15"/>
      <c r="P420" s="15"/>
    </row>
    <row r="421" spans="3:16" x14ac:dyDescent="0.25">
      <c r="C421" s="15"/>
      <c r="G421" s="15"/>
      <c r="K421" s="15"/>
      <c r="O421" s="15"/>
      <c r="P421" s="15"/>
    </row>
    <row r="422" spans="3:16" x14ac:dyDescent="0.25">
      <c r="C422" s="15"/>
      <c r="G422" s="15"/>
      <c r="K422" s="15"/>
      <c r="O422" s="15"/>
      <c r="P422" s="15"/>
    </row>
    <row r="423" spans="3:16" x14ac:dyDescent="0.25">
      <c r="C423" s="15"/>
      <c r="G423" s="15"/>
      <c r="K423" s="15"/>
      <c r="O423" s="15"/>
      <c r="P423" s="15"/>
    </row>
    <row r="424" spans="3:16" x14ac:dyDescent="0.25">
      <c r="C424" s="15"/>
      <c r="G424" s="15"/>
      <c r="K424" s="15"/>
      <c r="O424" s="15"/>
      <c r="P424" s="15"/>
    </row>
    <row r="425" spans="3:16" x14ac:dyDescent="0.25">
      <c r="C425" s="15"/>
      <c r="G425" s="15"/>
      <c r="K425" s="15"/>
      <c r="O425" s="15"/>
      <c r="P425" s="15"/>
    </row>
    <row r="426" spans="3:16" x14ac:dyDescent="0.25">
      <c r="C426" s="15"/>
      <c r="G426" s="15"/>
      <c r="K426" s="15"/>
      <c r="O426" s="15"/>
      <c r="P426" s="15"/>
    </row>
    <row r="427" spans="3:16" x14ac:dyDescent="0.25">
      <c r="C427" s="15"/>
      <c r="G427" s="15"/>
      <c r="K427" s="15"/>
      <c r="O427" s="15"/>
      <c r="P427" s="15"/>
    </row>
    <row r="428" spans="3:16" x14ac:dyDescent="0.25">
      <c r="C428" s="15"/>
      <c r="G428" s="15"/>
      <c r="K428" s="15"/>
      <c r="O428" s="15"/>
      <c r="P428" s="15"/>
    </row>
    <row r="429" spans="3:16" x14ac:dyDescent="0.25">
      <c r="C429" s="15"/>
      <c r="G429" s="15"/>
      <c r="K429" s="15"/>
      <c r="O429" s="15"/>
      <c r="P429" s="15"/>
    </row>
    <row r="430" spans="3:16" x14ac:dyDescent="0.25">
      <c r="C430" s="15"/>
      <c r="G430" s="15"/>
      <c r="K430" s="15"/>
      <c r="O430" s="15"/>
      <c r="P430" s="15"/>
    </row>
    <row r="431" spans="3:16" x14ac:dyDescent="0.25">
      <c r="C431" s="15"/>
      <c r="G431" s="15"/>
      <c r="K431" s="15"/>
      <c r="O431" s="15"/>
      <c r="P431" s="15"/>
    </row>
    <row r="432" spans="3:16" x14ac:dyDescent="0.25">
      <c r="C432" s="15"/>
      <c r="G432" s="15"/>
      <c r="K432" s="15"/>
      <c r="O432" s="15"/>
      <c r="P432" s="15"/>
    </row>
    <row r="433" spans="3:16" x14ac:dyDescent="0.25">
      <c r="C433" s="15"/>
      <c r="G433" s="15"/>
      <c r="K433" s="15"/>
      <c r="O433" s="15"/>
      <c r="P433" s="15"/>
    </row>
    <row r="434" spans="3:16" x14ac:dyDescent="0.25">
      <c r="C434" s="15"/>
      <c r="G434" s="15"/>
      <c r="K434" s="15"/>
      <c r="O434" s="15"/>
      <c r="P434" s="15"/>
    </row>
    <row r="435" spans="3:16" x14ac:dyDescent="0.25">
      <c r="C435" s="15"/>
      <c r="G435" s="15"/>
      <c r="K435" s="15"/>
      <c r="O435" s="15"/>
      <c r="P435" s="15"/>
    </row>
    <row r="436" spans="3:16" x14ac:dyDescent="0.25">
      <c r="C436" s="15"/>
      <c r="G436" s="15"/>
      <c r="K436" s="15"/>
      <c r="O436" s="15"/>
      <c r="P436" s="15"/>
    </row>
    <row r="437" spans="3:16" x14ac:dyDescent="0.25">
      <c r="C437" s="15"/>
      <c r="G437" s="15"/>
      <c r="K437" s="15"/>
      <c r="O437" s="15"/>
      <c r="P437" s="15"/>
    </row>
    <row r="438" spans="3:16" x14ac:dyDescent="0.25">
      <c r="C438" s="15"/>
      <c r="G438" s="15"/>
      <c r="K438" s="15"/>
      <c r="O438" s="15"/>
      <c r="P438" s="15"/>
    </row>
    <row r="439" spans="3:16" x14ac:dyDescent="0.25">
      <c r="C439" s="15"/>
      <c r="G439" s="15"/>
      <c r="K439" s="15"/>
      <c r="O439" s="15"/>
      <c r="P439" s="15"/>
    </row>
    <row r="440" spans="3:16" x14ac:dyDescent="0.25">
      <c r="C440" s="15"/>
      <c r="G440" s="15"/>
      <c r="K440" s="15"/>
      <c r="O440" s="15"/>
      <c r="P440" s="15"/>
    </row>
    <row r="441" spans="3:16" x14ac:dyDescent="0.25">
      <c r="C441" s="15"/>
      <c r="G441" s="15"/>
      <c r="K441" s="15"/>
      <c r="O441" s="15"/>
      <c r="P441" s="15"/>
    </row>
    <row r="442" spans="3:16" x14ac:dyDescent="0.25">
      <c r="C442" s="15"/>
      <c r="G442" s="15"/>
      <c r="K442" s="15"/>
      <c r="O442" s="15"/>
      <c r="P442" s="15"/>
    </row>
    <row r="443" spans="3:16" x14ac:dyDescent="0.25">
      <c r="C443" s="15"/>
      <c r="G443" s="15"/>
      <c r="K443" s="15"/>
      <c r="O443" s="15"/>
      <c r="P443" s="15"/>
    </row>
    <row r="444" spans="3:16" x14ac:dyDescent="0.25">
      <c r="C444" s="15"/>
      <c r="G444" s="15"/>
      <c r="K444" s="15"/>
      <c r="O444" s="15"/>
      <c r="P444" s="15"/>
    </row>
    <row r="445" spans="3:16" x14ac:dyDescent="0.25">
      <c r="C445" s="15"/>
      <c r="G445" s="15"/>
      <c r="K445" s="15"/>
      <c r="O445" s="15"/>
      <c r="P445" s="15"/>
    </row>
    <row r="446" spans="3:16" x14ac:dyDescent="0.25">
      <c r="C446" s="15"/>
      <c r="G446" s="15"/>
      <c r="K446" s="15"/>
      <c r="O446" s="15"/>
      <c r="P446" s="15"/>
    </row>
    <row r="447" spans="3:16" x14ac:dyDescent="0.25">
      <c r="C447" s="15"/>
      <c r="G447" s="15"/>
      <c r="K447" s="15"/>
      <c r="O447" s="15"/>
      <c r="P447" s="15"/>
    </row>
    <row r="448" spans="3:16" x14ac:dyDescent="0.25">
      <c r="C448" s="15"/>
      <c r="G448" s="15"/>
      <c r="K448" s="15"/>
      <c r="O448" s="15"/>
      <c r="P448" s="15"/>
    </row>
    <row r="449" spans="3:16" x14ac:dyDescent="0.25">
      <c r="C449" s="15"/>
      <c r="G449" s="15"/>
      <c r="K449" s="15"/>
      <c r="O449" s="15"/>
      <c r="P449" s="15"/>
    </row>
    <row r="450" spans="3:16" x14ac:dyDescent="0.25">
      <c r="C450" s="15"/>
      <c r="G450" s="15"/>
      <c r="K450" s="15"/>
      <c r="O450" s="15"/>
      <c r="P450" s="15"/>
    </row>
    <row r="451" spans="3:16" x14ac:dyDescent="0.25">
      <c r="C451" s="15"/>
      <c r="G451" s="15"/>
      <c r="K451" s="15"/>
      <c r="O451" s="15"/>
      <c r="P451" s="15"/>
    </row>
    <row r="452" spans="3:16" x14ac:dyDescent="0.25">
      <c r="C452" s="15"/>
      <c r="G452" s="15"/>
      <c r="K452" s="15"/>
      <c r="O452" s="15"/>
      <c r="P452" s="15"/>
    </row>
    <row r="453" spans="3:16" x14ac:dyDescent="0.25">
      <c r="C453" s="15"/>
      <c r="G453" s="15"/>
      <c r="K453" s="15"/>
      <c r="O453" s="15"/>
      <c r="P453" s="15"/>
    </row>
    <row r="454" spans="3:16" x14ac:dyDescent="0.25">
      <c r="C454" s="15"/>
      <c r="G454" s="15"/>
      <c r="K454" s="15"/>
      <c r="O454" s="15"/>
      <c r="P454" s="15"/>
    </row>
    <row r="455" spans="3:16" x14ac:dyDescent="0.25">
      <c r="C455" s="15"/>
      <c r="G455" s="15"/>
      <c r="K455" s="15"/>
      <c r="O455" s="15"/>
      <c r="P455" s="15"/>
    </row>
    <row r="456" spans="3:16" x14ac:dyDescent="0.25">
      <c r="C456" s="15"/>
      <c r="G456" s="15"/>
      <c r="K456" s="15"/>
      <c r="O456" s="15"/>
      <c r="P456" s="15"/>
    </row>
    <row r="457" spans="3:16" x14ac:dyDescent="0.25">
      <c r="C457" s="15"/>
      <c r="G457" s="15"/>
      <c r="K457" s="15"/>
      <c r="O457" s="15"/>
      <c r="P457" s="15"/>
    </row>
    <row r="458" spans="3:16" x14ac:dyDescent="0.25">
      <c r="C458" s="15"/>
      <c r="G458" s="15"/>
      <c r="K458" s="15"/>
      <c r="O458" s="15"/>
      <c r="P458" s="15"/>
    </row>
    <row r="459" spans="3:16" x14ac:dyDescent="0.25">
      <c r="C459" s="15"/>
      <c r="G459" s="15"/>
      <c r="K459" s="15"/>
      <c r="O459" s="15"/>
      <c r="P459" s="15"/>
    </row>
    <row r="460" spans="3:16" x14ac:dyDescent="0.25">
      <c r="C460" s="15"/>
      <c r="G460" s="15"/>
      <c r="K460" s="15"/>
      <c r="O460" s="15"/>
      <c r="P460" s="15"/>
    </row>
    <row r="461" spans="3:16" x14ac:dyDescent="0.25">
      <c r="C461" s="15"/>
      <c r="G461" s="15"/>
      <c r="K461" s="15"/>
      <c r="O461" s="15"/>
      <c r="P461" s="15"/>
    </row>
    <row r="462" spans="3:16" x14ac:dyDescent="0.25">
      <c r="C462" s="15"/>
      <c r="G462" s="15"/>
      <c r="K462" s="15"/>
      <c r="O462" s="15"/>
      <c r="P462" s="15"/>
    </row>
    <row r="463" spans="3:16" x14ac:dyDescent="0.25">
      <c r="C463" s="15"/>
      <c r="G463" s="15"/>
      <c r="K463" s="15"/>
      <c r="O463" s="15"/>
      <c r="P463" s="15"/>
    </row>
    <row r="464" spans="3:16" x14ac:dyDescent="0.25">
      <c r="C464" s="15"/>
      <c r="G464" s="15"/>
      <c r="K464" s="15"/>
      <c r="O464" s="15"/>
      <c r="P464" s="15"/>
    </row>
    <row r="465" spans="3:16" x14ac:dyDescent="0.25">
      <c r="C465" s="15"/>
      <c r="G465" s="15"/>
      <c r="K465" s="15"/>
      <c r="O465" s="15"/>
      <c r="P465" s="15"/>
    </row>
    <row r="466" spans="3:16" x14ac:dyDescent="0.25">
      <c r="C466" s="15"/>
      <c r="G466" s="15"/>
      <c r="K466" s="15"/>
      <c r="O466" s="15"/>
      <c r="P466" s="15"/>
    </row>
    <row r="467" spans="3:16" x14ac:dyDescent="0.25">
      <c r="C467" s="15"/>
      <c r="G467" s="15"/>
      <c r="K467" s="15"/>
      <c r="O467" s="15"/>
      <c r="P467" s="15"/>
    </row>
    <row r="468" spans="3:16" x14ac:dyDescent="0.25">
      <c r="C468" s="15"/>
      <c r="G468" s="15"/>
      <c r="K468" s="15"/>
      <c r="O468" s="15"/>
      <c r="P468" s="15"/>
    </row>
    <row r="469" spans="3:16" x14ac:dyDescent="0.25">
      <c r="C469" s="15"/>
      <c r="G469" s="15"/>
      <c r="K469" s="15"/>
      <c r="O469" s="15"/>
      <c r="P469" s="15"/>
    </row>
    <row r="470" spans="3:16" x14ac:dyDescent="0.25">
      <c r="C470" s="15"/>
      <c r="G470" s="15"/>
      <c r="K470" s="15"/>
      <c r="O470" s="15"/>
      <c r="P470" s="15"/>
    </row>
    <row r="471" spans="3:16" x14ac:dyDescent="0.25">
      <c r="C471" s="15"/>
      <c r="G471" s="15"/>
      <c r="K471" s="15"/>
      <c r="O471" s="15"/>
      <c r="P471" s="15"/>
    </row>
    <row r="472" spans="3:16" x14ac:dyDescent="0.25">
      <c r="C472" s="15"/>
      <c r="G472" s="15"/>
      <c r="K472" s="15"/>
      <c r="O472" s="15"/>
      <c r="P472" s="15"/>
    </row>
    <row r="473" spans="3:16" x14ac:dyDescent="0.25">
      <c r="C473" s="15"/>
      <c r="G473" s="15"/>
      <c r="K473" s="15"/>
      <c r="O473" s="15"/>
      <c r="P473" s="15"/>
    </row>
    <row r="474" spans="3:16" x14ac:dyDescent="0.25">
      <c r="C474" s="15"/>
      <c r="G474" s="15"/>
      <c r="K474" s="15"/>
      <c r="O474" s="15"/>
      <c r="P474" s="15"/>
    </row>
    <row r="475" spans="3:16" x14ac:dyDescent="0.25">
      <c r="C475" s="15"/>
      <c r="G475" s="15"/>
      <c r="K475" s="15"/>
      <c r="O475" s="15"/>
      <c r="P475" s="15"/>
    </row>
    <row r="476" spans="3:16" x14ac:dyDescent="0.25">
      <c r="C476" s="15"/>
      <c r="G476" s="15"/>
      <c r="K476" s="15"/>
      <c r="O476" s="15"/>
      <c r="P476" s="15"/>
    </row>
    <row r="477" spans="3:16" x14ac:dyDescent="0.25">
      <c r="C477" s="15"/>
      <c r="G477" s="15"/>
      <c r="K477" s="15"/>
      <c r="O477" s="15"/>
      <c r="P477" s="15"/>
    </row>
    <row r="478" spans="3:16" x14ac:dyDescent="0.25">
      <c r="C478" s="15"/>
      <c r="G478" s="15"/>
      <c r="K478" s="15"/>
      <c r="O478" s="15"/>
      <c r="P478" s="15"/>
    </row>
    <row r="479" spans="3:16" x14ac:dyDescent="0.25">
      <c r="C479" s="15"/>
      <c r="G479" s="15"/>
      <c r="K479" s="15"/>
      <c r="O479" s="15"/>
      <c r="P479" s="15"/>
    </row>
    <row r="480" spans="3:16" x14ac:dyDescent="0.25">
      <c r="C480" s="15"/>
      <c r="G480" s="15"/>
      <c r="K480" s="15"/>
      <c r="O480" s="15"/>
      <c r="P480" s="15"/>
    </row>
    <row r="481" spans="3:16" x14ac:dyDescent="0.25">
      <c r="C481" s="15"/>
      <c r="G481" s="15"/>
      <c r="K481" s="15"/>
      <c r="O481" s="15"/>
      <c r="P481" s="15"/>
    </row>
    <row r="482" spans="3:16" x14ac:dyDescent="0.25">
      <c r="C482" s="15"/>
      <c r="G482" s="15"/>
      <c r="K482" s="15"/>
      <c r="O482" s="15"/>
      <c r="P482" s="15"/>
    </row>
    <row r="483" spans="3:16" x14ac:dyDescent="0.25">
      <c r="C483" s="15"/>
      <c r="G483" s="15"/>
      <c r="K483" s="15"/>
      <c r="O483" s="15"/>
      <c r="P483" s="15"/>
    </row>
    <row r="484" spans="3:16" x14ac:dyDescent="0.25">
      <c r="C484" s="15"/>
      <c r="G484" s="15"/>
      <c r="K484" s="15"/>
      <c r="O484" s="15"/>
      <c r="P484" s="15"/>
    </row>
    <row r="485" spans="3:16" x14ac:dyDescent="0.25">
      <c r="C485" s="15"/>
      <c r="G485" s="15"/>
      <c r="K485" s="15"/>
      <c r="O485" s="15"/>
      <c r="P485" s="15"/>
    </row>
    <row r="486" spans="3:16" x14ac:dyDescent="0.25">
      <c r="C486" s="15"/>
      <c r="G486" s="15"/>
      <c r="K486" s="15"/>
      <c r="O486" s="15"/>
      <c r="P486" s="15"/>
    </row>
    <row r="487" spans="3:16" x14ac:dyDescent="0.25">
      <c r="C487" s="15"/>
      <c r="G487" s="15"/>
      <c r="K487" s="15"/>
      <c r="O487" s="15"/>
      <c r="P487" s="15"/>
    </row>
    <row r="488" spans="3:16" x14ac:dyDescent="0.25">
      <c r="C488" s="15"/>
      <c r="G488" s="15"/>
      <c r="K488" s="15"/>
      <c r="O488" s="15"/>
      <c r="P488" s="15"/>
    </row>
    <row r="489" spans="3:16" x14ac:dyDescent="0.25">
      <c r="C489" s="15"/>
      <c r="G489" s="15"/>
      <c r="K489" s="15"/>
      <c r="O489" s="15"/>
      <c r="P489" s="15"/>
    </row>
    <row r="490" spans="3:16" x14ac:dyDescent="0.25">
      <c r="C490" s="15"/>
      <c r="G490" s="15"/>
      <c r="K490" s="15"/>
      <c r="O490" s="15"/>
      <c r="P490" s="15"/>
    </row>
    <row r="491" spans="3:16" x14ac:dyDescent="0.25">
      <c r="C491" s="15"/>
      <c r="G491" s="15"/>
      <c r="K491" s="15"/>
      <c r="O491" s="15"/>
      <c r="P491" s="15"/>
    </row>
    <row r="492" spans="3:16" x14ac:dyDescent="0.25">
      <c r="C492" s="15"/>
      <c r="G492" s="15"/>
      <c r="K492" s="15"/>
      <c r="O492" s="15"/>
      <c r="P492" s="15"/>
    </row>
    <row r="493" spans="3:16" x14ac:dyDescent="0.25">
      <c r="C493" s="15"/>
      <c r="G493" s="15"/>
      <c r="K493" s="15"/>
      <c r="O493" s="15"/>
      <c r="P493" s="15"/>
    </row>
    <row r="494" spans="3:16" x14ac:dyDescent="0.25">
      <c r="C494" s="15"/>
      <c r="G494" s="15"/>
      <c r="K494" s="15"/>
      <c r="O494" s="15"/>
      <c r="P494" s="15"/>
    </row>
    <row r="495" spans="3:16" x14ac:dyDescent="0.25">
      <c r="C495" s="15"/>
      <c r="G495" s="15"/>
      <c r="K495" s="15"/>
      <c r="O495" s="15"/>
      <c r="P495" s="15"/>
    </row>
    <row r="496" spans="3:16" x14ac:dyDescent="0.25">
      <c r="C496" s="15"/>
      <c r="G496" s="15"/>
      <c r="K496" s="15"/>
      <c r="O496" s="15"/>
      <c r="P496" s="15"/>
    </row>
    <row r="497" spans="3:16" x14ac:dyDescent="0.25">
      <c r="C497" s="15"/>
      <c r="G497" s="15"/>
      <c r="K497" s="15"/>
      <c r="O497" s="15"/>
      <c r="P497" s="15"/>
    </row>
    <row r="498" spans="3:16" x14ac:dyDescent="0.25">
      <c r="C498" s="15"/>
      <c r="G498" s="15"/>
      <c r="K498" s="15"/>
      <c r="O498" s="15"/>
      <c r="P498" s="15"/>
    </row>
    <row r="499" spans="3:16" x14ac:dyDescent="0.25">
      <c r="C499" s="15"/>
      <c r="G499" s="15"/>
      <c r="K499" s="15"/>
      <c r="O499" s="15"/>
      <c r="P499" s="15"/>
    </row>
    <row r="500" spans="3:16" x14ac:dyDescent="0.25">
      <c r="C500" s="15"/>
      <c r="G500" s="15"/>
      <c r="K500" s="15"/>
      <c r="O500" s="15"/>
      <c r="P500" s="15"/>
    </row>
    <row r="501" spans="3:16" x14ac:dyDescent="0.25">
      <c r="C501" s="15"/>
      <c r="G501" s="15"/>
      <c r="K501" s="15"/>
      <c r="O501" s="15"/>
      <c r="P501" s="15"/>
    </row>
    <row r="502" spans="3:16" x14ac:dyDescent="0.25">
      <c r="C502" s="15"/>
      <c r="G502" s="15"/>
      <c r="K502" s="15"/>
      <c r="O502" s="15"/>
      <c r="P502" s="15"/>
    </row>
    <row r="503" spans="3:16" x14ac:dyDescent="0.25">
      <c r="C503" s="15"/>
      <c r="G503" s="15"/>
      <c r="K503" s="15"/>
      <c r="O503" s="15"/>
      <c r="P503" s="15"/>
    </row>
    <row r="504" spans="3:16" x14ac:dyDescent="0.25">
      <c r="C504" s="15"/>
      <c r="G504" s="15"/>
      <c r="K504" s="15"/>
      <c r="O504" s="15"/>
      <c r="P504" s="15"/>
    </row>
    <row r="505" spans="3:16" x14ac:dyDescent="0.25">
      <c r="C505" s="15"/>
      <c r="G505" s="15"/>
      <c r="K505" s="15"/>
      <c r="O505" s="15"/>
      <c r="P505" s="15"/>
    </row>
    <row r="506" spans="3:16" x14ac:dyDescent="0.25">
      <c r="C506" s="15"/>
      <c r="G506" s="15"/>
      <c r="K506" s="15"/>
      <c r="O506" s="15"/>
      <c r="P506" s="15"/>
    </row>
    <row r="507" spans="3:16" x14ac:dyDescent="0.25">
      <c r="C507" s="15"/>
      <c r="G507" s="15"/>
      <c r="K507" s="15"/>
      <c r="O507" s="15"/>
      <c r="P507" s="15"/>
    </row>
    <row r="508" spans="3:16" x14ac:dyDescent="0.25">
      <c r="C508" s="15"/>
      <c r="G508" s="15"/>
      <c r="K508" s="15"/>
      <c r="O508" s="15"/>
      <c r="P508" s="15"/>
    </row>
    <row r="509" spans="3:16" x14ac:dyDescent="0.25">
      <c r="C509" s="15"/>
      <c r="G509" s="15"/>
      <c r="K509" s="15"/>
      <c r="O509" s="15"/>
      <c r="P509" s="15"/>
    </row>
    <row r="510" spans="3:16" x14ac:dyDescent="0.25">
      <c r="C510" s="15"/>
      <c r="G510" s="15"/>
      <c r="K510" s="15"/>
      <c r="O510" s="15"/>
      <c r="P510" s="15"/>
    </row>
    <row r="511" spans="3:16" x14ac:dyDescent="0.25">
      <c r="C511" s="15"/>
      <c r="G511" s="15"/>
      <c r="K511" s="15"/>
      <c r="O511" s="15"/>
      <c r="P511" s="15"/>
    </row>
    <row r="512" spans="3:16" x14ac:dyDescent="0.25">
      <c r="C512" s="15"/>
      <c r="G512" s="15"/>
      <c r="K512" s="15"/>
      <c r="O512" s="15"/>
      <c r="P512" s="15"/>
    </row>
    <row r="513" spans="3:16" x14ac:dyDescent="0.25">
      <c r="C513" s="15"/>
      <c r="G513" s="15"/>
      <c r="K513" s="15"/>
      <c r="O513" s="15"/>
      <c r="P513" s="15"/>
    </row>
    <row r="514" spans="3:16" x14ac:dyDescent="0.25">
      <c r="C514" s="15"/>
      <c r="G514" s="15"/>
      <c r="K514" s="15"/>
      <c r="O514" s="15"/>
      <c r="P514" s="15"/>
    </row>
    <row r="515" spans="3:16" x14ac:dyDescent="0.25">
      <c r="C515" s="15"/>
      <c r="G515" s="15"/>
      <c r="K515" s="15"/>
      <c r="O515" s="15"/>
      <c r="P515" s="15"/>
    </row>
    <row r="516" spans="3:16" x14ac:dyDescent="0.25">
      <c r="C516" s="15"/>
      <c r="G516" s="15"/>
      <c r="K516" s="15"/>
      <c r="O516" s="15"/>
      <c r="P516" s="15"/>
    </row>
    <row r="517" spans="3:16" x14ac:dyDescent="0.25">
      <c r="C517" s="15"/>
      <c r="G517" s="15"/>
      <c r="K517" s="15"/>
      <c r="O517" s="15"/>
      <c r="P517" s="15"/>
    </row>
    <row r="518" spans="3:16" x14ac:dyDescent="0.25">
      <c r="C518" s="15"/>
      <c r="G518" s="15"/>
      <c r="K518" s="15"/>
      <c r="O518" s="15"/>
      <c r="P518" s="15"/>
    </row>
    <row r="519" spans="3:16" x14ac:dyDescent="0.25">
      <c r="C519" s="15"/>
      <c r="G519" s="15"/>
      <c r="K519" s="15"/>
      <c r="O519" s="15"/>
      <c r="P519" s="15"/>
    </row>
    <row r="520" spans="3:16" x14ac:dyDescent="0.25">
      <c r="C520" s="15"/>
      <c r="G520" s="15"/>
      <c r="K520" s="15"/>
      <c r="O520" s="15"/>
      <c r="P520" s="15"/>
    </row>
    <row r="521" spans="3:16" x14ac:dyDescent="0.25">
      <c r="C521" s="15"/>
      <c r="G521" s="15"/>
      <c r="K521" s="15"/>
      <c r="O521" s="15"/>
      <c r="P521" s="15"/>
    </row>
    <row r="522" spans="3:16" x14ac:dyDescent="0.25">
      <c r="C522" s="15"/>
      <c r="G522" s="15"/>
      <c r="K522" s="15"/>
      <c r="O522" s="15"/>
      <c r="P522" s="15"/>
    </row>
    <row r="523" spans="3:16" x14ac:dyDescent="0.25">
      <c r="C523" s="15"/>
      <c r="G523" s="15"/>
      <c r="K523" s="15"/>
      <c r="O523" s="15"/>
      <c r="P523" s="15"/>
    </row>
    <row r="524" spans="3:16" x14ac:dyDescent="0.25">
      <c r="C524" s="15"/>
      <c r="G524" s="15"/>
      <c r="K524" s="15"/>
      <c r="O524" s="15"/>
      <c r="P524" s="15"/>
    </row>
    <row r="525" spans="3:16" x14ac:dyDescent="0.25">
      <c r="C525" s="15"/>
      <c r="G525" s="15"/>
      <c r="K525" s="15"/>
      <c r="O525" s="15"/>
      <c r="P525" s="15"/>
    </row>
    <row r="526" spans="3:16" x14ac:dyDescent="0.25">
      <c r="C526" s="15"/>
      <c r="G526" s="15"/>
      <c r="K526" s="15"/>
      <c r="O526" s="15"/>
      <c r="P526" s="15"/>
    </row>
    <row r="527" spans="3:16" x14ac:dyDescent="0.25">
      <c r="C527" s="15"/>
      <c r="G527" s="15"/>
      <c r="K527" s="15"/>
      <c r="O527" s="15"/>
      <c r="P527" s="15"/>
    </row>
    <row r="528" spans="3:16" x14ac:dyDescent="0.25">
      <c r="C528" s="15"/>
      <c r="G528" s="15"/>
      <c r="K528" s="15"/>
      <c r="O528" s="15"/>
      <c r="P528" s="15"/>
    </row>
    <row r="529" spans="3:16" x14ac:dyDescent="0.25">
      <c r="C529" s="15"/>
      <c r="G529" s="15"/>
      <c r="K529" s="15"/>
      <c r="O529" s="15"/>
      <c r="P529" s="15"/>
    </row>
    <row r="530" spans="3:16" x14ac:dyDescent="0.25">
      <c r="C530" s="15"/>
      <c r="G530" s="15"/>
      <c r="K530" s="15"/>
      <c r="O530" s="15"/>
      <c r="P530" s="15"/>
    </row>
    <row r="531" spans="3:16" x14ac:dyDescent="0.25">
      <c r="C531" s="15"/>
      <c r="G531" s="15"/>
      <c r="K531" s="15"/>
      <c r="O531" s="15"/>
      <c r="P531" s="15"/>
    </row>
    <row r="532" spans="3:16" x14ac:dyDescent="0.25">
      <c r="C532" s="15"/>
      <c r="G532" s="15"/>
      <c r="K532" s="15"/>
      <c r="O532" s="15"/>
      <c r="P532" s="15"/>
    </row>
    <row r="533" spans="3:16" x14ac:dyDescent="0.25">
      <c r="C533" s="15"/>
      <c r="G533" s="15"/>
      <c r="K533" s="15"/>
      <c r="O533" s="15"/>
      <c r="P533" s="15"/>
    </row>
    <row r="534" spans="3:16" x14ac:dyDescent="0.25">
      <c r="C534" s="15"/>
      <c r="G534" s="15"/>
      <c r="K534" s="15"/>
      <c r="O534" s="15"/>
      <c r="P534" s="15"/>
    </row>
    <row r="535" spans="3:16" x14ac:dyDescent="0.25">
      <c r="C535" s="15"/>
      <c r="G535" s="15"/>
      <c r="K535" s="15"/>
      <c r="O535" s="15"/>
      <c r="P535" s="15"/>
    </row>
    <row r="536" spans="3:16" x14ac:dyDescent="0.25">
      <c r="C536" s="15"/>
      <c r="G536" s="15"/>
      <c r="K536" s="15"/>
      <c r="O536" s="15"/>
      <c r="P536" s="15"/>
    </row>
    <row r="537" spans="3:16" x14ac:dyDescent="0.25">
      <c r="C537" s="15"/>
      <c r="G537" s="15"/>
      <c r="K537" s="15"/>
      <c r="O537" s="15"/>
      <c r="P537" s="15"/>
    </row>
    <row r="538" spans="3:16" x14ac:dyDescent="0.25">
      <c r="C538" s="15"/>
      <c r="G538" s="15"/>
      <c r="K538" s="15"/>
      <c r="O538" s="15"/>
      <c r="P538" s="15"/>
    </row>
    <row r="539" spans="3:16" x14ac:dyDescent="0.25">
      <c r="C539" s="15"/>
      <c r="G539" s="15"/>
      <c r="K539" s="15"/>
      <c r="O539" s="15"/>
      <c r="P539" s="15"/>
    </row>
    <row r="540" spans="3:16" x14ac:dyDescent="0.25">
      <c r="C540" s="15"/>
      <c r="G540" s="15"/>
      <c r="K540" s="15"/>
      <c r="O540" s="15"/>
      <c r="P540" s="15"/>
    </row>
    <row r="541" spans="3:16" x14ac:dyDescent="0.25">
      <c r="C541" s="15"/>
      <c r="G541" s="15"/>
      <c r="K541" s="15"/>
      <c r="O541" s="15"/>
      <c r="P541" s="15"/>
    </row>
    <row r="542" spans="3:16" x14ac:dyDescent="0.25">
      <c r="C542" s="15"/>
      <c r="G542" s="15"/>
      <c r="K542" s="15"/>
      <c r="O542" s="15"/>
      <c r="P542" s="15"/>
    </row>
    <row r="543" spans="3:16" x14ac:dyDescent="0.25">
      <c r="C543" s="15"/>
      <c r="G543" s="15"/>
      <c r="K543" s="15"/>
      <c r="O543" s="15"/>
      <c r="P543" s="15"/>
    </row>
    <row r="544" spans="3:16" x14ac:dyDescent="0.25">
      <c r="C544" s="15"/>
      <c r="G544" s="15"/>
      <c r="K544" s="15"/>
      <c r="O544" s="15"/>
      <c r="P544" s="15"/>
    </row>
    <row r="545" spans="3:16" x14ac:dyDescent="0.25">
      <c r="C545" s="15"/>
      <c r="G545" s="15"/>
      <c r="K545" s="15"/>
      <c r="O545" s="15"/>
      <c r="P545" s="15"/>
    </row>
    <row r="546" spans="3:16" x14ac:dyDescent="0.25">
      <c r="C546" s="15"/>
      <c r="G546" s="15"/>
      <c r="K546" s="15"/>
      <c r="O546" s="15"/>
      <c r="P546" s="15"/>
    </row>
    <row r="547" spans="3:16" x14ac:dyDescent="0.25">
      <c r="C547" s="15"/>
      <c r="G547" s="15"/>
      <c r="K547" s="15"/>
      <c r="O547" s="15"/>
      <c r="P547" s="15"/>
    </row>
    <row r="548" spans="3:16" x14ac:dyDescent="0.25">
      <c r="C548" s="15"/>
      <c r="G548" s="15"/>
      <c r="K548" s="15"/>
      <c r="O548" s="15"/>
      <c r="P548" s="15"/>
    </row>
    <row r="549" spans="3:16" x14ac:dyDescent="0.25">
      <c r="C549" s="15"/>
      <c r="G549" s="15"/>
      <c r="K549" s="15"/>
      <c r="O549" s="15"/>
      <c r="P549" s="15"/>
    </row>
    <row r="550" spans="3:16" x14ac:dyDescent="0.25">
      <c r="C550" s="15"/>
      <c r="G550" s="15"/>
      <c r="K550" s="15"/>
      <c r="O550" s="15"/>
      <c r="P550" s="15"/>
    </row>
    <row r="551" spans="3:16" x14ac:dyDescent="0.25">
      <c r="C551" s="15"/>
      <c r="G551" s="15"/>
      <c r="K551" s="15"/>
      <c r="O551" s="15"/>
      <c r="P551" s="15"/>
    </row>
    <row r="552" spans="3:16" x14ac:dyDescent="0.25">
      <c r="C552" s="15"/>
      <c r="G552" s="15"/>
      <c r="K552" s="15"/>
      <c r="O552" s="15"/>
      <c r="P552" s="15"/>
    </row>
    <row r="553" spans="3:16" x14ac:dyDescent="0.25">
      <c r="C553" s="15"/>
      <c r="G553" s="15"/>
      <c r="K553" s="15"/>
      <c r="O553" s="15"/>
      <c r="P553" s="15"/>
    </row>
    <row r="554" spans="3:16" x14ac:dyDescent="0.25">
      <c r="C554" s="15"/>
      <c r="G554" s="15"/>
      <c r="K554" s="15"/>
      <c r="O554" s="15"/>
      <c r="P554" s="15"/>
    </row>
    <row r="555" spans="3:16" x14ac:dyDescent="0.25">
      <c r="C555" s="15"/>
      <c r="G555" s="15"/>
      <c r="K555" s="15"/>
      <c r="O555" s="15"/>
      <c r="P555" s="15"/>
    </row>
    <row r="556" spans="3:16" x14ac:dyDescent="0.25">
      <c r="C556" s="15"/>
      <c r="G556" s="15"/>
      <c r="K556" s="15"/>
      <c r="O556" s="15"/>
      <c r="P556" s="15"/>
    </row>
    <row r="557" spans="3:16" x14ac:dyDescent="0.25">
      <c r="C557" s="15"/>
      <c r="G557" s="15"/>
      <c r="K557" s="15"/>
      <c r="O557" s="15"/>
      <c r="P557" s="15"/>
    </row>
    <row r="558" spans="3:16" x14ac:dyDescent="0.25">
      <c r="C558" s="15"/>
      <c r="G558" s="15"/>
      <c r="K558" s="15"/>
      <c r="O558" s="15"/>
      <c r="P558" s="15"/>
    </row>
    <row r="559" spans="3:16" x14ac:dyDescent="0.25">
      <c r="C559" s="15"/>
      <c r="G559" s="15"/>
      <c r="K559" s="15"/>
      <c r="O559" s="15"/>
      <c r="P559" s="15"/>
    </row>
    <row r="560" spans="3:16" x14ac:dyDescent="0.25">
      <c r="C560" s="15"/>
      <c r="G560" s="15"/>
      <c r="K560" s="15"/>
      <c r="O560" s="15"/>
      <c r="P560" s="15"/>
    </row>
    <row r="561" spans="3:16" x14ac:dyDescent="0.25">
      <c r="C561" s="15"/>
      <c r="G561" s="15"/>
      <c r="K561" s="15"/>
      <c r="O561" s="15"/>
      <c r="P561" s="15"/>
    </row>
    <row r="562" spans="3:16" x14ac:dyDescent="0.25">
      <c r="C562" s="15"/>
      <c r="G562" s="15"/>
      <c r="K562" s="15"/>
      <c r="O562" s="15"/>
      <c r="P562" s="15"/>
    </row>
    <row r="563" spans="3:16" x14ac:dyDescent="0.25">
      <c r="C563" s="15"/>
      <c r="G563" s="15"/>
      <c r="K563" s="15"/>
      <c r="O563" s="15"/>
      <c r="P563" s="15"/>
    </row>
    <row r="564" spans="3:16" x14ac:dyDescent="0.25">
      <c r="C564" s="15"/>
      <c r="G564" s="15"/>
      <c r="K564" s="15"/>
      <c r="O564" s="15"/>
      <c r="P564" s="15"/>
    </row>
    <row r="565" spans="3:16" x14ac:dyDescent="0.25">
      <c r="C565" s="15"/>
      <c r="G565" s="15"/>
      <c r="K565" s="15"/>
      <c r="O565" s="15"/>
      <c r="P565" s="15"/>
    </row>
    <row r="566" spans="3:16" x14ac:dyDescent="0.25">
      <c r="C566" s="15"/>
      <c r="G566" s="15"/>
      <c r="K566" s="15"/>
      <c r="O566" s="15"/>
      <c r="P566" s="15"/>
    </row>
    <row r="567" spans="3:16" x14ac:dyDescent="0.25">
      <c r="C567" s="15"/>
      <c r="G567" s="15"/>
      <c r="K567" s="15"/>
      <c r="O567" s="15"/>
      <c r="P567" s="15"/>
    </row>
    <row r="568" spans="3:16" x14ac:dyDescent="0.25">
      <c r="C568" s="15"/>
      <c r="G568" s="15"/>
      <c r="K568" s="15"/>
      <c r="O568" s="15"/>
      <c r="P568" s="15"/>
    </row>
    <row r="569" spans="3:16" x14ac:dyDescent="0.25">
      <c r="C569" s="15"/>
      <c r="G569" s="15"/>
      <c r="K569" s="15"/>
      <c r="O569" s="15"/>
      <c r="P569" s="15"/>
    </row>
    <row r="570" spans="3:16" x14ac:dyDescent="0.25">
      <c r="C570" s="15"/>
      <c r="G570" s="15"/>
      <c r="K570" s="15"/>
      <c r="O570" s="15"/>
      <c r="P570" s="15"/>
    </row>
    <row r="571" spans="3:16" x14ac:dyDescent="0.25">
      <c r="C571" s="15"/>
      <c r="G571" s="15"/>
      <c r="K571" s="15"/>
      <c r="O571" s="15"/>
      <c r="P571" s="15"/>
    </row>
    <row r="572" spans="3:16" x14ac:dyDescent="0.25">
      <c r="C572" s="15"/>
      <c r="G572" s="15"/>
      <c r="K572" s="15"/>
      <c r="O572" s="15"/>
      <c r="P572" s="15"/>
    </row>
    <row r="573" spans="3:16" x14ac:dyDescent="0.25">
      <c r="C573" s="15"/>
      <c r="G573" s="15"/>
      <c r="K573" s="15"/>
      <c r="O573" s="15"/>
      <c r="P573" s="15"/>
    </row>
    <row r="574" spans="3:16" x14ac:dyDescent="0.25">
      <c r="C574" s="15"/>
      <c r="G574" s="15"/>
      <c r="K574" s="15"/>
      <c r="O574" s="15"/>
      <c r="P574" s="15"/>
    </row>
    <row r="575" spans="3:16" x14ac:dyDescent="0.25">
      <c r="C575" s="15"/>
      <c r="G575" s="15"/>
      <c r="K575" s="15"/>
      <c r="O575" s="15"/>
      <c r="P575" s="15"/>
    </row>
    <row r="576" spans="3:16" x14ac:dyDescent="0.25">
      <c r="C576" s="15"/>
      <c r="G576" s="15"/>
      <c r="K576" s="15"/>
      <c r="O576" s="15"/>
      <c r="P576" s="15"/>
    </row>
    <row r="577" spans="3:16" x14ac:dyDescent="0.25">
      <c r="C577" s="15"/>
      <c r="G577" s="15"/>
      <c r="K577" s="15"/>
      <c r="O577" s="15"/>
      <c r="P577" s="15"/>
    </row>
    <row r="578" spans="3:16" x14ac:dyDescent="0.25">
      <c r="C578" s="15"/>
      <c r="G578" s="15"/>
      <c r="K578" s="15"/>
      <c r="O578" s="15"/>
      <c r="P578" s="15"/>
    </row>
    <row r="579" spans="3:16" x14ac:dyDescent="0.25">
      <c r="C579" s="15"/>
      <c r="G579" s="15"/>
      <c r="K579" s="15"/>
      <c r="O579" s="15"/>
      <c r="P579" s="15"/>
    </row>
    <row r="580" spans="3:16" x14ac:dyDescent="0.25">
      <c r="C580" s="15"/>
      <c r="G580" s="15"/>
      <c r="K580" s="15"/>
      <c r="O580" s="15"/>
      <c r="P580" s="15"/>
    </row>
    <row r="581" spans="3:16" x14ac:dyDescent="0.25">
      <c r="C581" s="15"/>
      <c r="G581" s="15"/>
      <c r="K581" s="15"/>
      <c r="O581" s="15"/>
      <c r="P581" s="15"/>
    </row>
    <row r="582" spans="3:16" x14ac:dyDescent="0.25">
      <c r="C582" s="15"/>
      <c r="G582" s="15"/>
      <c r="K582" s="15"/>
      <c r="O582" s="15"/>
      <c r="P582" s="15"/>
    </row>
    <row r="583" spans="3:16" x14ac:dyDescent="0.25">
      <c r="C583" s="15"/>
      <c r="G583" s="15"/>
      <c r="K583" s="15"/>
      <c r="O583" s="15"/>
      <c r="P583" s="15"/>
    </row>
    <row r="584" spans="3:16" x14ac:dyDescent="0.25">
      <c r="C584" s="15"/>
      <c r="G584" s="15"/>
      <c r="K584" s="15"/>
      <c r="O584" s="15"/>
      <c r="P584" s="15"/>
    </row>
    <row r="585" spans="3:16" x14ac:dyDescent="0.25">
      <c r="C585" s="15"/>
      <c r="G585" s="15"/>
      <c r="K585" s="15"/>
      <c r="O585" s="15"/>
      <c r="P585" s="15"/>
    </row>
    <row r="586" spans="3:16" x14ac:dyDescent="0.25">
      <c r="C586" s="15"/>
      <c r="G586" s="15"/>
      <c r="K586" s="15"/>
      <c r="O586" s="15"/>
      <c r="P586" s="15"/>
    </row>
    <row r="587" spans="3:16" x14ac:dyDescent="0.25">
      <c r="C587" s="15"/>
      <c r="G587" s="15"/>
      <c r="K587" s="15"/>
      <c r="O587" s="15"/>
      <c r="P587" s="15"/>
    </row>
    <row r="588" spans="3:16" x14ac:dyDescent="0.25">
      <c r="C588" s="15"/>
      <c r="G588" s="15"/>
      <c r="K588" s="15"/>
      <c r="O588" s="15"/>
      <c r="P588" s="15"/>
    </row>
    <row r="589" spans="3:16" x14ac:dyDescent="0.25">
      <c r="C589" s="15"/>
      <c r="G589" s="15"/>
      <c r="K589" s="15"/>
      <c r="O589" s="15"/>
      <c r="P589" s="15"/>
    </row>
    <row r="590" spans="3:16" x14ac:dyDescent="0.25">
      <c r="C590" s="15"/>
      <c r="G590" s="15"/>
      <c r="K590" s="15"/>
      <c r="O590" s="15"/>
      <c r="P590" s="15"/>
    </row>
    <row r="591" spans="3:16" x14ac:dyDescent="0.25">
      <c r="C591" s="15"/>
      <c r="G591" s="15"/>
      <c r="K591" s="15"/>
      <c r="O591" s="15"/>
      <c r="P591" s="15"/>
    </row>
    <row r="592" spans="3:16" x14ac:dyDescent="0.25">
      <c r="C592" s="15"/>
      <c r="G592" s="15"/>
      <c r="K592" s="15"/>
      <c r="O592" s="15"/>
      <c r="P592" s="15"/>
    </row>
    <row r="593" spans="3:16" x14ac:dyDescent="0.25">
      <c r="C593" s="15"/>
      <c r="G593" s="15"/>
      <c r="K593" s="15"/>
      <c r="O593" s="15"/>
      <c r="P593" s="15"/>
    </row>
    <row r="594" spans="3:16" x14ac:dyDescent="0.25">
      <c r="C594" s="15"/>
      <c r="G594" s="15"/>
      <c r="K594" s="15"/>
      <c r="O594" s="15"/>
      <c r="P594" s="15"/>
    </row>
    <row r="595" spans="3:16" x14ac:dyDescent="0.25">
      <c r="C595" s="15"/>
      <c r="G595" s="15"/>
      <c r="K595" s="15"/>
      <c r="O595" s="15"/>
      <c r="P595" s="15"/>
    </row>
    <row r="596" spans="3:16" x14ac:dyDescent="0.25">
      <c r="C596" s="15"/>
      <c r="G596" s="15"/>
      <c r="K596" s="15"/>
      <c r="O596" s="15"/>
      <c r="P596" s="15"/>
    </row>
    <row r="597" spans="3:16" x14ac:dyDescent="0.25">
      <c r="C597" s="15"/>
      <c r="G597" s="15"/>
      <c r="K597" s="15"/>
      <c r="O597" s="15"/>
      <c r="P597" s="15"/>
    </row>
    <row r="598" spans="3:16" x14ac:dyDescent="0.25">
      <c r="C598" s="15"/>
      <c r="G598" s="15"/>
      <c r="K598" s="15"/>
      <c r="O598" s="15"/>
      <c r="P598" s="15"/>
    </row>
    <row r="599" spans="3:16" x14ac:dyDescent="0.25">
      <c r="C599" s="15"/>
      <c r="G599" s="15"/>
      <c r="K599" s="15"/>
      <c r="O599" s="15"/>
      <c r="P599" s="15"/>
    </row>
    <row r="600" spans="3:16" x14ac:dyDescent="0.25">
      <c r="C600" s="15"/>
      <c r="G600" s="15"/>
      <c r="K600" s="15"/>
      <c r="O600" s="15"/>
      <c r="P600" s="15"/>
    </row>
    <row r="601" spans="3:16" x14ac:dyDescent="0.25">
      <c r="C601" s="15"/>
      <c r="G601" s="15"/>
      <c r="K601" s="15"/>
      <c r="O601" s="15"/>
      <c r="P601" s="15"/>
    </row>
    <row r="602" spans="3:16" x14ac:dyDescent="0.25">
      <c r="C602" s="15"/>
      <c r="G602" s="15"/>
      <c r="K602" s="15"/>
      <c r="O602" s="15"/>
      <c r="P602" s="15"/>
    </row>
    <row r="603" spans="3:16" x14ac:dyDescent="0.25">
      <c r="C603" s="15"/>
      <c r="G603" s="15"/>
      <c r="K603" s="15"/>
      <c r="O603" s="15"/>
      <c r="P603" s="15"/>
    </row>
    <row r="604" spans="3:16" x14ac:dyDescent="0.25">
      <c r="C604" s="15"/>
      <c r="G604" s="15"/>
      <c r="K604" s="15"/>
      <c r="O604" s="15"/>
      <c r="P604" s="15"/>
    </row>
    <row r="605" spans="3:16" x14ac:dyDescent="0.25">
      <c r="C605" s="15"/>
      <c r="G605" s="15"/>
      <c r="K605" s="15"/>
      <c r="O605" s="15"/>
      <c r="P605" s="15"/>
    </row>
    <row r="606" spans="3:16" x14ac:dyDescent="0.25">
      <c r="C606" s="15"/>
      <c r="G606" s="15"/>
      <c r="K606" s="15"/>
      <c r="O606" s="15"/>
      <c r="P606" s="15"/>
    </row>
    <row r="607" spans="3:16" x14ac:dyDescent="0.25">
      <c r="C607" s="15"/>
      <c r="G607" s="15"/>
      <c r="K607" s="15"/>
      <c r="O607" s="15"/>
      <c r="P607" s="15"/>
    </row>
    <row r="608" spans="3:16" x14ac:dyDescent="0.25">
      <c r="C608" s="15"/>
      <c r="G608" s="15"/>
      <c r="K608" s="15"/>
      <c r="O608" s="15"/>
      <c r="P608" s="15"/>
    </row>
    <row r="609" spans="3:16" x14ac:dyDescent="0.25">
      <c r="C609" s="15"/>
      <c r="G609" s="15"/>
      <c r="K609" s="15"/>
      <c r="O609" s="15"/>
      <c r="P609" s="15"/>
    </row>
    <row r="610" spans="3:16" x14ac:dyDescent="0.25">
      <c r="C610" s="15"/>
      <c r="G610" s="15"/>
      <c r="K610" s="15"/>
      <c r="O610" s="15"/>
      <c r="P610" s="15"/>
    </row>
    <row r="611" spans="3:16" x14ac:dyDescent="0.25">
      <c r="C611" s="15"/>
      <c r="G611" s="15"/>
      <c r="K611" s="15"/>
      <c r="O611" s="15"/>
      <c r="P611" s="15"/>
    </row>
    <row r="612" spans="3:16" x14ac:dyDescent="0.25">
      <c r="C612" s="15"/>
      <c r="G612" s="15"/>
      <c r="K612" s="15"/>
      <c r="O612" s="15"/>
      <c r="P612" s="15"/>
    </row>
    <row r="613" spans="3:16" x14ac:dyDescent="0.25">
      <c r="C613" s="15"/>
      <c r="G613" s="15"/>
      <c r="K613" s="15"/>
      <c r="O613" s="15"/>
      <c r="P613" s="15"/>
    </row>
    <row r="614" spans="3:16" x14ac:dyDescent="0.25">
      <c r="C614" s="15"/>
      <c r="G614" s="15"/>
      <c r="K614" s="15"/>
      <c r="O614" s="15"/>
      <c r="P614" s="15"/>
    </row>
    <row r="615" spans="3:16" x14ac:dyDescent="0.25">
      <c r="C615" s="15"/>
      <c r="G615" s="15"/>
      <c r="K615" s="15"/>
      <c r="O615" s="15"/>
      <c r="P615" s="15"/>
    </row>
    <row r="616" spans="3:16" x14ac:dyDescent="0.25">
      <c r="C616" s="15"/>
      <c r="G616" s="15"/>
      <c r="K616" s="15"/>
      <c r="O616" s="15"/>
      <c r="P616" s="15"/>
    </row>
    <row r="617" spans="3:16" x14ac:dyDescent="0.25">
      <c r="C617" s="15"/>
      <c r="G617" s="15"/>
      <c r="K617" s="15"/>
      <c r="O617" s="15"/>
      <c r="P617" s="15"/>
    </row>
    <row r="618" spans="3:16" x14ac:dyDescent="0.25">
      <c r="C618" s="15"/>
      <c r="G618" s="15"/>
      <c r="K618" s="15"/>
      <c r="O618" s="15"/>
      <c r="P618" s="15"/>
    </row>
    <row r="619" spans="3:16" x14ac:dyDescent="0.25">
      <c r="C619" s="15"/>
      <c r="G619" s="15"/>
      <c r="K619" s="15"/>
      <c r="O619" s="15"/>
      <c r="P619" s="15"/>
    </row>
    <row r="620" spans="3:16" x14ac:dyDescent="0.25">
      <c r="C620" s="15"/>
      <c r="G620" s="15"/>
      <c r="K620" s="15"/>
      <c r="O620" s="15"/>
      <c r="P620" s="15"/>
    </row>
    <row r="621" spans="3:16" x14ac:dyDescent="0.25">
      <c r="C621" s="15"/>
      <c r="G621" s="15"/>
      <c r="K621" s="15"/>
      <c r="O621" s="15"/>
      <c r="P621" s="15"/>
    </row>
    <row r="622" spans="3:16" x14ac:dyDescent="0.25">
      <c r="C622" s="15"/>
      <c r="G622" s="15"/>
      <c r="K622" s="15"/>
      <c r="O622" s="15"/>
      <c r="P622" s="15"/>
    </row>
    <row r="623" spans="3:16" x14ac:dyDescent="0.25">
      <c r="C623" s="15"/>
      <c r="G623" s="15"/>
      <c r="K623" s="15"/>
      <c r="O623" s="15"/>
      <c r="P623" s="15"/>
    </row>
    <row r="624" spans="3:16" x14ac:dyDescent="0.25">
      <c r="C624" s="15"/>
      <c r="G624" s="15"/>
      <c r="K624" s="15"/>
      <c r="O624" s="15"/>
      <c r="P624" s="15"/>
    </row>
    <row r="625" spans="3:16" x14ac:dyDescent="0.25">
      <c r="C625" s="15"/>
      <c r="G625" s="15"/>
      <c r="K625" s="15"/>
      <c r="O625" s="15"/>
      <c r="P625" s="15"/>
    </row>
    <row r="626" spans="3:16" x14ac:dyDescent="0.25">
      <c r="C626" s="15"/>
      <c r="G626" s="15"/>
      <c r="K626" s="15"/>
      <c r="O626" s="15"/>
      <c r="P626" s="15"/>
    </row>
    <row r="627" spans="3:16" x14ac:dyDescent="0.25">
      <c r="C627" s="15"/>
      <c r="G627" s="15"/>
      <c r="K627" s="15"/>
      <c r="O627" s="15"/>
      <c r="P627" s="15"/>
    </row>
    <row r="628" spans="3:16" x14ac:dyDescent="0.25">
      <c r="C628" s="15"/>
      <c r="G628" s="15"/>
      <c r="K628" s="15"/>
      <c r="O628" s="15"/>
      <c r="P628" s="15"/>
    </row>
    <row r="629" spans="3:16" x14ac:dyDescent="0.25">
      <c r="C629" s="15"/>
      <c r="G629" s="15"/>
      <c r="K629" s="15"/>
      <c r="O629" s="15"/>
      <c r="P629" s="15"/>
    </row>
    <row r="630" spans="3:16" x14ac:dyDescent="0.25">
      <c r="C630" s="15"/>
      <c r="G630" s="15"/>
      <c r="K630" s="15"/>
      <c r="O630" s="15"/>
      <c r="P630" s="15"/>
    </row>
    <row r="631" spans="3:16" x14ac:dyDescent="0.25">
      <c r="C631" s="15"/>
      <c r="G631" s="15"/>
      <c r="K631" s="15"/>
      <c r="O631" s="15"/>
      <c r="P631" s="15"/>
    </row>
    <row r="632" spans="3:16" x14ac:dyDescent="0.25">
      <c r="C632" s="15"/>
      <c r="G632" s="15"/>
      <c r="K632" s="15"/>
      <c r="O632" s="15"/>
      <c r="P632" s="15"/>
    </row>
    <row r="633" spans="3:16" x14ac:dyDescent="0.25">
      <c r="C633" s="15"/>
      <c r="G633" s="15"/>
      <c r="K633" s="15"/>
      <c r="O633" s="15"/>
      <c r="P633" s="15"/>
    </row>
    <row r="634" spans="3:16" x14ac:dyDescent="0.25">
      <c r="C634" s="15"/>
      <c r="G634" s="15"/>
      <c r="K634" s="15"/>
      <c r="O634" s="15"/>
      <c r="P634" s="15"/>
    </row>
    <row r="635" spans="3:16" x14ac:dyDescent="0.25">
      <c r="C635" s="15"/>
      <c r="G635" s="15"/>
      <c r="K635" s="15"/>
      <c r="O635" s="15"/>
      <c r="P635" s="15"/>
    </row>
    <row r="636" spans="3:16" x14ac:dyDescent="0.25">
      <c r="C636" s="15"/>
      <c r="G636" s="15"/>
      <c r="K636" s="15"/>
      <c r="O636" s="15"/>
      <c r="P636" s="15"/>
    </row>
    <row r="637" spans="3:16" x14ac:dyDescent="0.25">
      <c r="C637" s="15"/>
      <c r="G637" s="15"/>
      <c r="K637" s="15"/>
      <c r="O637" s="15"/>
      <c r="P637" s="15"/>
    </row>
    <row r="638" spans="3:16" x14ac:dyDescent="0.25">
      <c r="C638" s="15"/>
      <c r="G638" s="15"/>
      <c r="K638" s="15"/>
      <c r="O638" s="15"/>
      <c r="P638" s="15"/>
    </row>
    <row r="639" spans="3:16" x14ac:dyDescent="0.25">
      <c r="C639" s="15"/>
      <c r="G639" s="15"/>
      <c r="K639" s="15"/>
      <c r="O639" s="15"/>
      <c r="P639" s="15"/>
    </row>
    <row r="640" spans="3:16" x14ac:dyDescent="0.25">
      <c r="C640" s="15"/>
      <c r="G640" s="15"/>
      <c r="K640" s="15"/>
      <c r="O640" s="15"/>
      <c r="P640" s="15"/>
    </row>
    <row r="641" spans="3:16" x14ac:dyDescent="0.25">
      <c r="C641" s="15"/>
      <c r="G641" s="15"/>
      <c r="K641" s="15"/>
      <c r="O641" s="15"/>
      <c r="P641" s="15"/>
    </row>
    <row r="642" spans="3:16" x14ac:dyDescent="0.25">
      <c r="C642" s="15"/>
      <c r="G642" s="15"/>
      <c r="K642" s="15"/>
      <c r="O642" s="15"/>
      <c r="P642" s="15"/>
    </row>
    <row r="643" spans="3:16" x14ac:dyDescent="0.25">
      <c r="C643" s="15"/>
      <c r="G643" s="15"/>
      <c r="K643" s="15"/>
      <c r="O643" s="15"/>
      <c r="P643" s="15"/>
    </row>
    <row r="644" spans="3:16" x14ac:dyDescent="0.25">
      <c r="C644" s="15"/>
      <c r="G644" s="15"/>
      <c r="K644" s="15"/>
      <c r="O644" s="15"/>
      <c r="P644" s="15"/>
    </row>
    <row r="645" spans="3:16" x14ac:dyDescent="0.25">
      <c r="C645" s="15"/>
      <c r="G645" s="15"/>
      <c r="K645" s="15"/>
      <c r="O645" s="15"/>
      <c r="P645" s="15"/>
    </row>
    <row r="646" spans="3:16" x14ac:dyDescent="0.25">
      <c r="C646" s="15"/>
      <c r="G646" s="15"/>
      <c r="K646" s="15"/>
      <c r="O646" s="15"/>
      <c r="P646" s="15"/>
    </row>
    <row r="647" spans="3:16" x14ac:dyDescent="0.25">
      <c r="C647" s="15"/>
      <c r="G647" s="15"/>
      <c r="K647" s="15"/>
      <c r="O647" s="15"/>
      <c r="P647" s="15"/>
    </row>
    <row r="648" spans="3:16" x14ac:dyDescent="0.25">
      <c r="C648" s="15"/>
      <c r="G648" s="15"/>
      <c r="K648" s="15"/>
      <c r="O648" s="15"/>
      <c r="P648" s="15"/>
    </row>
    <row r="649" spans="3:16" x14ac:dyDescent="0.25">
      <c r="C649" s="15"/>
      <c r="G649" s="15"/>
      <c r="K649" s="15"/>
      <c r="O649" s="15"/>
      <c r="P649" s="15"/>
    </row>
    <row r="650" spans="3:16" x14ac:dyDescent="0.25">
      <c r="C650" s="15"/>
      <c r="G650" s="15"/>
      <c r="K650" s="15"/>
      <c r="O650" s="15"/>
      <c r="P650" s="15"/>
    </row>
    <row r="651" spans="3:16" x14ac:dyDescent="0.25">
      <c r="C651" s="15"/>
      <c r="G651" s="15"/>
      <c r="K651" s="15"/>
      <c r="O651" s="15"/>
      <c r="P651" s="15"/>
    </row>
    <row r="652" spans="3:16" x14ac:dyDescent="0.25">
      <c r="C652" s="15"/>
      <c r="G652" s="15"/>
      <c r="K652" s="15"/>
      <c r="O652" s="15"/>
      <c r="P652" s="15"/>
    </row>
    <row r="653" spans="3:16" x14ac:dyDescent="0.25">
      <c r="C653" s="15"/>
      <c r="G653" s="15"/>
      <c r="K653" s="15"/>
      <c r="O653" s="15"/>
      <c r="P653" s="15"/>
    </row>
    <row r="654" spans="3:16" x14ac:dyDescent="0.25">
      <c r="C654" s="15"/>
      <c r="G654" s="15"/>
      <c r="K654" s="15"/>
      <c r="O654" s="15"/>
      <c r="P654" s="15"/>
    </row>
    <row r="655" spans="3:16" x14ac:dyDescent="0.25">
      <c r="C655" s="15"/>
      <c r="G655" s="15"/>
      <c r="K655" s="15"/>
      <c r="O655" s="15"/>
      <c r="P655" s="15"/>
    </row>
    <row r="656" spans="3:16" x14ac:dyDescent="0.25">
      <c r="C656" s="15"/>
      <c r="G656" s="15"/>
      <c r="K656" s="15"/>
      <c r="O656" s="15"/>
      <c r="P656" s="15"/>
    </row>
    <row r="657" spans="3:16" x14ac:dyDescent="0.25">
      <c r="C657" s="15"/>
      <c r="G657" s="15"/>
      <c r="K657" s="15"/>
      <c r="O657" s="15"/>
      <c r="P657" s="15"/>
    </row>
    <row r="658" spans="3:16" x14ac:dyDescent="0.25">
      <c r="C658" s="15"/>
      <c r="G658" s="15"/>
      <c r="K658" s="15"/>
      <c r="O658" s="15"/>
      <c r="P658" s="15"/>
    </row>
    <row r="659" spans="3:16" x14ac:dyDescent="0.25">
      <c r="C659" s="15"/>
      <c r="G659" s="15"/>
      <c r="K659" s="15"/>
      <c r="O659" s="15"/>
      <c r="P659" s="15"/>
    </row>
    <row r="660" spans="3:16" x14ac:dyDescent="0.25">
      <c r="C660" s="15"/>
      <c r="G660" s="15"/>
      <c r="K660" s="15"/>
      <c r="O660" s="15"/>
      <c r="P660" s="15"/>
    </row>
    <row r="661" spans="3:16" x14ac:dyDescent="0.25">
      <c r="C661" s="15"/>
      <c r="G661" s="15"/>
      <c r="K661" s="15"/>
      <c r="O661" s="15"/>
      <c r="P661" s="15"/>
    </row>
    <row r="662" spans="3:16" x14ac:dyDescent="0.25">
      <c r="C662" s="15"/>
      <c r="G662" s="15"/>
      <c r="K662" s="15"/>
      <c r="O662" s="15"/>
      <c r="P662" s="15"/>
    </row>
    <row r="663" spans="3:16" x14ac:dyDescent="0.25">
      <c r="C663" s="15"/>
      <c r="G663" s="15"/>
      <c r="K663" s="15"/>
      <c r="O663" s="15"/>
      <c r="P663" s="15"/>
    </row>
    <row r="664" spans="3:16" x14ac:dyDescent="0.25">
      <c r="C664" s="15"/>
      <c r="G664" s="15"/>
      <c r="K664" s="15"/>
      <c r="O664" s="15"/>
      <c r="P664" s="15"/>
    </row>
    <row r="665" spans="3:16" x14ac:dyDescent="0.25">
      <c r="C665" s="15"/>
      <c r="G665" s="15"/>
      <c r="K665" s="15"/>
      <c r="O665" s="15"/>
      <c r="P665" s="15"/>
    </row>
    <row r="666" spans="3:16" x14ac:dyDescent="0.25">
      <c r="C666" s="15"/>
      <c r="G666" s="15"/>
      <c r="K666" s="15"/>
      <c r="O666" s="15"/>
      <c r="P666" s="15"/>
    </row>
    <row r="667" spans="3:16" x14ac:dyDescent="0.25">
      <c r="C667" s="15"/>
      <c r="G667" s="15"/>
      <c r="K667" s="15"/>
      <c r="O667" s="15"/>
      <c r="P667" s="15"/>
    </row>
    <row r="668" spans="3:16" x14ac:dyDescent="0.25">
      <c r="C668" s="15"/>
      <c r="G668" s="15"/>
      <c r="K668" s="15"/>
      <c r="O668" s="15"/>
      <c r="P668" s="15"/>
    </row>
    <row r="669" spans="3:16" x14ac:dyDescent="0.25">
      <c r="C669" s="15"/>
      <c r="G669" s="15"/>
      <c r="K669" s="15"/>
      <c r="O669" s="15"/>
      <c r="P669" s="15"/>
    </row>
    <row r="670" spans="3:16" x14ac:dyDescent="0.25">
      <c r="C670" s="15"/>
      <c r="G670" s="15"/>
      <c r="K670" s="15"/>
      <c r="O670" s="15"/>
      <c r="P670" s="15"/>
    </row>
    <row r="671" spans="3:16" x14ac:dyDescent="0.25">
      <c r="C671" s="15"/>
      <c r="G671" s="15"/>
      <c r="K671" s="15"/>
      <c r="O671" s="15"/>
      <c r="P671" s="15"/>
    </row>
    <row r="672" spans="3:16" x14ac:dyDescent="0.25">
      <c r="C672" s="15"/>
      <c r="G672" s="15"/>
      <c r="K672" s="15"/>
      <c r="O672" s="15"/>
      <c r="P672" s="15"/>
    </row>
    <row r="673" spans="3:16" x14ac:dyDescent="0.25">
      <c r="C673" s="15"/>
      <c r="G673" s="15"/>
      <c r="K673" s="15"/>
      <c r="O673" s="15"/>
      <c r="P673" s="15"/>
    </row>
    <row r="674" spans="3:16" x14ac:dyDescent="0.25">
      <c r="C674" s="15"/>
      <c r="G674" s="15"/>
      <c r="K674" s="15"/>
      <c r="O674" s="15"/>
      <c r="P674" s="15"/>
    </row>
    <row r="675" spans="3:16" x14ac:dyDescent="0.25">
      <c r="C675" s="15"/>
      <c r="G675" s="15"/>
      <c r="K675" s="15"/>
      <c r="O675" s="15"/>
      <c r="P675" s="15"/>
    </row>
    <row r="676" spans="3:16" x14ac:dyDescent="0.25">
      <c r="C676" s="15"/>
      <c r="G676" s="15"/>
      <c r="K676" s="15"/>
      <c r="O676" s="15"/>
      <c r="P676" s="15"/>
    </row>
    <row r="677" spans="3:16" x14ac:dyDescent="0.25">
      <c r="C677" s="15"/>
      <c r="G677" s="15"/>
      <c r="K677" s="15"/>
      <c r="O677" s="15"/>
      <c r="P677" s="15"/>
    </row>
    <row r="678" spans="3:16" x14ac:dyDescent="0.25">
      <c r="C678" s="15"/>
      <c r="G678" s="15"/>
      <c r="K678" s="15"/>
      <c r="O678" s="15"/>
      <c r="P678" s="15"/>
    </row>
    <row r="679" spans="3:16" x14ac:dyDescent="0.25">
      <c r="C679" s="15"/>
      <c r="G679" s="15"/>
      <c r="K679" s="15"/>
      <c r="O679" s="15"/>
      <c r="P679" s="15"/>
    </row>
    <row r="680" spans="3:16" x14ac:dyDescent="0.25">
      <c r="C680" s="15"/>
      <c r="G680" s="15"/>
      <c r="K680" s="15"/>
      <c r="O680" s="15"/>
      <c r="P680" s="15"/>
    </row>
    <row r="681" spans="3:16" x14ac:dyDescent="0.25">
      <c r="C681" s="15"/>
      <c r="G681" s="15"/>
      <c r="K681" s="15"/>
      <c r="O681" s="15"/>
      <c r="P681" s="15"/>
    </row>
    <row r="682" spans="3:16" x14ac:dyDescent="0.25">
      <c r="C682" s="15"/>
      <c r="G682" s="15"/>
      <c r="K682" s="15"/>
      <c r="O682" s="15"/>
      <c r="P682" s="15"/>
    </row>
    <row r="683" spans="3:16" x14ac:dyDescent="0.25">
      <c r="C683" s="15"/>
      <c r="G683" s="15"/>
      <c r="K683" s="15"/>
      <c r="O683" s="15"/>
      <c r="P683" s="15"/>
    </row>
    <row r="684" spans="3:16" x14ac:dyDescent="0.25">
      <c r="C684" s="15"/>
      <c r="G684" s="15"/>
      <c r="K684" s="15"/>
      <c r="O684" s="15"/>
      <c r="P684" s="15"/>
    </row>
    <row r="685" spans="3:16" x14ac:dyDescent="0.25">
      <c r="C685" s="15"/>
      <c r="G685" s="15"/>
      <c r="K685" s="15"/>
      <c r="O685" s="15"/>
      <c r="P685" s="15"/>
    </row>
    <row r="686" spans="3:16" x14ac:dyDescent="0.25">
      <c r="C686" s="15"/>
      <c r="G686" s="15"/>
      <c r="K686" s="15"/>
      <c r="O686" s="15"/>
      <c r="P686" s="15"/>
    </row>
    <row r="687" spans="3:16" x14ac:dyDescent="0.25">
      <c r="C687" s="15"/>
      <c r="G687" s="15"/>
      <c r="K687" s="15"/>
      <c r="O687" s="15"/>
      <c r="P687" s="15"/>
    </row>
    <row r="688" spans="3:16" x14ac:dyDescent="0.25">
      <c r="C688" s="15"/>
      <c r="G688" s="15"/>
      <c r="K688" s="15"/>
      <c r="O688" s="15"/>
      <c r="P688" s="15"/>
    </row>
    <row r="689" spans="3:16" x14ac:dyDescent="0.25">
      <c r="C689" s="15"/>
      <c r="G689" s="15"/>
      <c r="K689" s="15"/>
      <c r="O689" s="15"/>
      <c r="P689" s="15"/>
    </row>
    <row r="690" spans="3:16" x14ac:dyDescent="0.25">
      <c r="C690" s="15"/>
      <c r="G690" s="15"/>
      <c r="K690" s="15"/>
      <c r="O690" s="15"/>
      <c r="P690" s="15"/>
    </row>
    <row r="691" spans="3:16" x14ac:dyDescent="0.25">
      <c r="C691" s="15"/>
      <c r="G691" s="15"/>
      <c r="K691" s="15"/>
      <c r="O691" s="15"/>
      <c r="P691" s="15"/>
    </row>
    <row r="692" spans="3:16" x14ac:dyDescent="0.25">
      <c r="C692" s="15"/>
      <c r="G692" s="15"/>
      <c r="K692" s="15"/>
      <c r="O692" s="15"/>
      <c r="P692" s="15"/>
    </row>
    <row r="693" spans="3:16" x14ac:dyDescent="0.25">
      <c r="C693" s="15"/>
      <c r="G693" s="15"/>
      <c r="K693" s="15"/>
      <c r="O693" s="15"/>
      <c r="P693" s="15"/>
    </row>
    <row r="694" spans="3:16" x14ac:dyDescent="0.25">
      <c r="C694" s="15"/>
      <c r="G694" s="15"/>
      <c r="K694" s="15"/>
      <c r="O694" s="15"/>
      <c r="P694" s="15"/>
    </row>
    <row r="695" spans="3:16" x14ac:dyDescent="0.25">
      <c r="C695" s="15"/>
      <c r="G695" s="15"/>
      <c r="K695" s="15"/>
      <c r="O695" s="15"/>
      <c r="P695" s="15"/>
    </row>
    <row r="696" spans="3:16" x14ac:dyDescent="0.25">
      <c r="C696" s="15"/>
      <c r="G696" s="15"/>
      <c r="K696" s="15"/>
      <c r="O696" s="15"/>
      <c r="P696" s="15"/>
    </row>
    <row r="697" spans="3:16" x14ac:dyDescent="0.25">
      <c r="C697" s="15"/>
      <c r="G697" s="15"/>
      <c r="K697" s="15"/>
      <c r="O697" s="15"/>
      <c r="P697" s="15"/>
    </row>
    <row r="698" spans="3:16" x14ac:dyDescent="0.25">
      <c r="C698" s="15"/>
      <c r="G698" s="15"/>
      <c r="K698" s="15"/>
      <c r="O698" s="15"/>
      <c r="P698" s="15"/>
    </row>
    <row r="699" spans="3:16" x14ac:dyDescent="0.25">
      <c r="C699" s="15"/>
      <c r="G699" s="15"/>
      <c r="K699" s="15"/>
      <c r="O699" s="15"/>
      <c r="P699" s="15"/>
    </row>
    <row r="700" spans="3:16" x14ac:dyDescent="0.25">
      <c r="C700" s="15"/>
      <c r="G700" s="15"/>
      <c r="K700" s="15"/>
      <c r="O700" s="15"/>
      <c r="P700" s="15"/>
    </row>
    <row r="701" spans="3:16" x14ac:dyDescent="0.25">
      <c r="C701" s="15"/>
      <c r="G701" s="15"/>
      <c r="K701" s="15"/>
      <c r="O701" s="15"/>
      <c r="P701" s="15"/>
    </row>
    <row r="702" spans="3:16" x14ac:dyDescent="0.25">
      <c r="C702" s="15"/>
      <c r="G702" s="15"/>
      <c r="K702" s="15"/>
      <c r="O702" s="15"/>
      <c r="P702" s="15"/>
    </row>
    <row r="703" spans="3:16" x14ac:dyDescent="0.25">
      <c r="C703" s="15"/>
      <c r="G703" s="15"/>
      <c r="K703" s="15"/>
      <c r="O703" s="15"/>
      <c r="P703" s="15"/>
    </row>
    <row r="704" spans="3:16" x14ac:dyDescent="0.25">
      <c r="C704" s="15"/>
      <c r="G704" s="15"/>
      <c r="K704" s="15"/>
      <c r="O704" s="15"/>
      <c r="P704" s="15"/>
    </row>
    <row r="705" spans="3:16" x14ac:dyDescent="0.25">
      <c r="C705" s="15"/>
      <c r="G705" s="15"/>
      <c r="K705" s="15"/>
      <c r="O705" s="15"/>
      <c r="P705" s="15"/>
    </row>
    <row r="706" spans="3:16" x14ac:dyDescent="0.25">
      <c r="C706" s="15"/>
      <c r="G706" s="15"/>
      <c r="K706" s="15"/>
      <c r="O706" s="15"/>
      <c r="P706" s="15"/>
    </row>
    <row r="707" spans="3:16" x14ac:dyDescent="0.25">
      <c r="C707" s="15"/>
      <c r="G707" s="15"/>
      <c r="K707" s="15"/>
      <c r="O707" s="15"/>
      <c r="P707" s="15"/>
    </row>
    <row r="708" spans="3:16" x14ac:dyDescent="0.25">
      <c r="C708" s="15"/>
      <c r="G708" s="15"/>
      <c r="K708" s="15"/>
      <c r="O708" s="15"/>
      <c r="P708" s="15"/>
    </row>
    <row r="709" spans="3:16" x14ac:dyDescent="0.25">
      <c r="C709" s="15"/>
      <c r="G709" s="15"/>
      <c r="K709" s="15"/>
      <c r="O709" s="15"/>
      <c r="P709" s="15"/>
    </row>
    <row r="710" spans="3:16" x14ac:dyDescent="0.25">
      <c r="C710" s="15"/>
      <c r="G710" s="15"/>
      <c r="K710" s="15"/>
      <c r="O710" s="15"/>
      <c r="P710" s="15"/>
    </row>
    <row r="711" spans="3:16" x14ac:dyDescent="0.25">
      <c r="C711" s="15"/>
      <c r="G711" s="15"/>
      <c r="K711" s="15"/>
      <c r="O711" s="15"/>
      <c r="P711" s="15"/>
    </row>
    <row r="712" spans="3:16" x14ac:dyDescent="0.25">
      <c r="C712" s="15"/>
      <c r="G712" s="15"/>
      <c r="K712" s="15"/>
      <c r="O712" s="15"/>
      <c r="P712" s="15"/>
    </row>
    <row r="713" spans="3:16" x14ac:dyDescent="0.25">
      <c r="C713" s="15"/>
      <c r="G713" s="15"/>
      <c r="K713" s="15"/>
      <c r="O713" s="15"/>
      <c r="P713" s="15"/>
    </row>
    <row r="714" spans="3:16" x14ac:dyDescent="0.25">
      <c r="C714" s="15"/>
      <c r="G714" s="15"/>
      <c r="K714" s="15"/>
      <c r="O714" s="15"/>
      <c r="P714" s="15"/>
    </row>
    <row r="715" spans="3:16" x14ac:dyDescent="0.25">
      <c r="C715" s="15"/>
      <c r="G715" s="15"/>
      <c r="K715" s="15"/>
      <c r="O715" s="15"/>
      <c r="P715" s="15"/>
    </row>
    <row r="716" spans="3:16" x14ac:dyDescent="0.25">
      <c r="C716" s="15"/>
      <c r="G716" s="15"/>
      <c r="K716" s="15"/>
      <c r="O716" s="15"/>
      <c r="P716" s="15"/>
    </row>
    <row r="717" spans="3:16" x14ac:dyDescent="0.25">
      <c r="C717" s="15"/>
      <c r="G717" s="15"/>
      <c r="K717" s="15"/>
      <c r="O717" s="15"/>
      <c r="P717" s="15"/>
    </row>
    <row r="718" spans="3:16" x14ac:dyDescent="0.25">
      <c r="C718" s="15"/>
      <c r="G718" s="15"/>
      <c r="K718" s="15"/>
      <c r="O718" s="15"/>
      <c r="P718" s="15"/>
    </row>
    <row r="719" spans="3:16" x14ac:dyDescent="0.25">
      <c r="C719" s="15"/>
      <c r="G719" s="15"/>
      <c r="K719" s="15"/>
      <c r="O719" s="15"/>
      <c r="P719" s="15"/>
    </row>
    <row r="720" spans="3:16" x14ac:dyDescent="0.25">
      <c r="C720" s="15"/>
      <c r="G720" s="15"/>
      <c r="K720" s="15"/>
      <c r="O720" s="15"/>
      <c r="P720" s="15"/>
    </row>
    <row r="721" spans="3:16" x14ac:dyDescent="0.25">
      <c r="C721" s="15"/>
      <c r="G721" s="15"/>
      <c r="K721" s="15"/>
      <c r="O721" s="15"/>
      <c r="P721" s="15"/>
    </row>
    <row r="722" spans="3:16" x14ac:dyDescent="0.25">
      <c r="C722" s="15"/>
      <c r="G722" s="15"/>
      <c r="K722" s="15"/>
      <c r="O722" s="15"/>
      <c r="P722" s="15"/>
    </row>
    <row r="723" spans="3:16" x14ac:dyDescent="0.25">
      <c r="C723" s="15"/>
      <c r="G723" s="15"/>
      <c r="K723" s="15"/>
      <c r="O723" s="15"/>
      <c r="P723" s="15"/>
    </row>
    <row r="724" spans="3:16" x14ac:dyDescent="0.25">
      <c r="C724" s="15"/>
      <c r="G724" s="15"/>
      <c r="K724" s="15"/>
      <c r="O724" s="15"/>
      <c r="P724" s="15"/>
    </row>
    <row r="725" spans="3:16" x14ac:dyDescent="0.25">
      <c r="C725" s="15"/>
      <c r="G725" s="15"/>
      <c r="K725" s="15"/>
      <c r="O725" s="15"/>
      <c r="P725" s="15"/>
    </row>
    <row r="726" spans="3:16" x14ac:dyDescent="0.25">
      <c r="C726" s="15"/>
      <c r="G726" s="15"/>
      <c r="K726" s="15"/>
      <c r="O726" s="15"/>
      <c r="P726" s="15"/>
    </row>
    <row r="727" spans="3:16" x14ac:dyDescent="0.25">
      <c r="C727" s="15"/>
      <c r="G727" s="15"/>
      <c r="K727" s="15"/>
      <c r="O727" s="15"/>
      <c r="P727" s="15"/>
    </row>
    <row r="728" spans="3:16" x14ac:dyDescent="0.25">
      <c r="C728" s="15"/>
      <c r="G728" s="15"/>
      <c r="K728" s="15"/>
      <c r="O728" s="15"/>
      <c r="P728" s="15"/>
    </row>
    <row r="729" spans="3:16" x14ac:dyDescent="0.25">
      <c r="C729" s="15"/>
      <c r="G729" s="15"/>
      <c r="K729" s="15"/>
      <c r="O729" s="15"/>
      <c r="P729" s="15"/>
    </row>
    <row r="730" spans="3:16" x14ac:dyDescent="0.25">
      <c r="C730" s="15"/>
      <c r="G730" s="15"/>
      <c r="K730" s="15"/>
      <c r="O730" s="15"/>
      <c r="P730" s="15"/>
    </row>
    <row r="731" spans="3:16" x14ac:dyDescent="0.25">
      <c r="C731" s="15"/>
      <c r="G731" s="15"/>
      <c r="K731" s="15"/>
      <c r="O731" s="15"/>
      <c r="P731" s="15"/>
    </row>
    <row r="732" spans="3:16" x14ac:dyDescent="0.25">
      <c r="C732" s="15"/>
      <c r="G732" s="15"/>
      <c r="K732" s="15"/>
      <c r="O732" s="15"/>
      <c r="P732" s="15"/>
    </row>
    <row r="733" spans="3:16" x14ac:dyDescent="0.25">
      <c r="C733" s="15"/>
      <c r="G733" s="15"/>
      <c r="K733" s="15"/>
      <c r="O733" s="15"/>
      <c r="P733" s="15"/>
    </row>
    <row r="734" spans="3:16" x14ac:dyDescent="0.25">
      <c r="C734" s="15"/>
      <c r="G734" s="15"/>
      <c r="K734" s="15"/>
      <c r="O734" s="15"/>
      <c r="P734" s="15"/>
    </row>
    <row r="735" spans="3:16" x14ac:dyDescent="0.25">
      <c r="C735" s="15"/>
      <c r="G735" s="15"/>
      <c r="K735" s="15"/>
      <c r="O735" s="15"/>
      <c r="P735" s="15"/>
    </row>
    <row r="736" spans="3:16" x14ac:dyDescent="0.25">
      <c r="C736" s="15"/>
      <c r="G736" s="15"/>
      <c r="K736" s="15"/>
      <c r="O736" s="15"/>
      <c r="P736" s="15"/>
    </row>
    <row r="737" spans="3:16" x14ac:dyDescent="0.25">
      <c r="C737" s="15"/>
      <c r="G737" s="15"/>
      <c r="K737" s="15"/>
      <c r="O737" s="15"/>
      <c r="P737" s="15"/>
    </row>
    <row r="738" spans="3:16" x14ac:dyDescent="0.25">
      <c r="C738" s="15"/>
      <c r="G738" s="15"/>
      <c r="K738" s="15"/>
      <c r="O738" s="15"/>
      <c r="P738" s="15"/>
    </row>
    <row r="739" spans="3:16" x14ac:dyDescent="0.25">
      <c r="C739" s="15"/>
      <c r="G739" s="15"/>
      <c r="K739" s="15"/>
      <c r="O739" s="15"/>
      <c r="P739" s="15"/>
    </row>
    <row r="740" spans="3:16" x14ac:dyDescent="0.25">
      <c r="C740" s="15"/>
      <c r="G740" s="15"/>
      <c r="K740" s="15"/>
      <c r="O740" s="15"/>
      <c r="P740" s="15"/>
    </row>
    <row r="741" spans="3:16" x14ac:dyDescent="0.25">
      <c r="C741" s="15"/>
      <c r="G741" s="15"/>
      <c r="K741" s="15"/>
      <c r="O741" s="15"/>
      <c r="P741" s="15"/>
    </row>
    <row r="742" spans="3:16" x14ac:dyDescent="0.25">
      <c r="C742" s="15"/>
      <c r="G742" s="15"/>
      <c r="K742" s="15"/>
      <c r="O742" s="15"/>
      <c r="P742" s="15"/>
    </row>
    <row r="743" spans="3:16" x14ac:dyDescent="0.25">
      <c r="C743" s="15"/>
      <c r="G743" s="15"/>
      <c r="K743" s="15"/>
      <c r="O743" s="15"/>
      <c r="P743" s="15"/>
    </row>
    <row r="744" spans="3:16" x14ac:dyDescent="0.25">
      <c r="C744" s="15"/>
      <c r="G744" s="15"/>
      <c r="K744" s="15"/>
      <c r="O744" s="15"/>
      <c r="P744" s="15"/>
    </row>
    <row r="745" spans="3:16" x14ac:dyDescent="0.25">
      <c r="C745" s="15"/>
      <c r="G745" s="15"/>
      <c r="K745" s="15"/>
      <c r="O745" s="15"/>
      <c r="P745" s="15"/>
    </row>
    <row r="746" spans="3:16" x14ac:dyDescent="0.25">
      <c r="C746" s="15"/>
      <c r="G746" s="15"/>
      <c r="K746" s="15"/>
      <c r="O746" s="15"/>
      <c r="P746" s="15"/>
    </row>
    <row r="747" spans="3:16" x14ac:dyDescent="0.25">
      <c r="C747" s="15"/>
      <c r="G747" s="15"/>
      <c r="K747" s="15"/>
      <c r="O747" s="15"/>
      <c r="P747" s="15"/>
    </row>
    <row r="748" spans="3:16" x14ac:dyDescent="0.25">
      <c r="C748" s="15"/>
      <c r="G748" s="15"/>
      <c r="K748" s="15"/>
      <c r="O748" s="15"/>
      <c r="P748" s="15"/>
    </row>
    <row r="749" spans="3:16" x14ac:dyDescent="0.25">
      <c r="C749" s="15"/>
      <c r="G749" s="15"/>
      <c r="K749" s="15"/>
      <c r="O749" s="15"/>
      <c r="P749" s="15"/>
    </row>
    <row r="750" spans="3:16" x14ac:dyDescent="0.25">
      <c r="C750" s="15"/>
      <c r="G750" s="15"/>
      <c r="K750" s="15"/>
      <c r="O750" s="15"/>
      <c r="P750" s="15"/>
    </row>
    <row r="751" spans="3:16" x14ac:dyDescent="0.25">
      <c r="C751" s="15"/>
      <c r="G751" s="15"/>
      <c r="K751" s="15"/>
      <c r="O751" s="15"/>
      <c r="P751" s="15"/>
    </row>
    <row r="752" spans="3:16" x14ac:dyDescent="0.25">
      <c r="C752" s="15"/>
      <c r="G752" s="15"/>
      <c r="K752" s="15"/>
      <c r="O752" s="15"/>
      <c r="P752" s="15"/>
    </row>
    <row r="753" spans="3:16" x14ac:dyDescent="0.25">
      <c r="C753" s="15"/>
      <c r="G753" s="15"/>
      <c r="K753" s="15"/>
      <c r="O753" s="15"/>
      <c r="P753" s="15"/>
    </row>
    <row r="754" spans="3:16" x14ac:dyDescent="0.25">
      <c r="C754" s="15"/>
      <c r="G754" s="15"/>
      <c r="K754" s="15"/>
      <c r="O754" s="15"/>
      <c r="P754" s="15"/>
    </row>
    <row r="755" spans="3:16" x14ac:dyDescent="0.25">
      <c r="C755" s="15"/>
      <c r="G755" s="15"/>
      <c r="K755" s="15"/>
      <c r="O755" s="15"/>
      <c r="P755" s="15"/>
    </row>
    <row r="756" spans="3:16" x14ac:dyDescent="0.25">
      <c r="C756" s="15"/>
      <c r="G756" s="15"/>
      <c r="K756" s="15"/>
      <c r="O756" s="15"/>
      <c r="P756" s="15"/>
    </row>
    <row r="757" spans="3:16" x14ac:dyDescent="0.25">
      <c r="C757" s="15"/>
      <c r="G757" s="15"/>
      <c r="K757" s="15"/>
      <c r="O757" s="15"/>
      <c r="P757" s="15"/>
    </row>
    <row r="758" spans="3:16" x14ac:dyDescent="0.25">
      <c r="C758" s="15"/>
      <c r="G758" s="15"/>
      <c r="K758" s="15"/>
      <c r="O758" s="15"/>
      <c r="P758" s="15"/>
    </row>
    <row r="759" spans="3:16" x14ac:dyDescent="0.25">
      <c r="C759" s="15"/>
      <c r="G759" s="15"/>
      <c r="K759" s="15"/>
      <c r="O759" s="15"/>
      <c r="P759" s="15"/>
    </row>
    <row r="760" spans="3:16" x14ac:dyDescent="0.25">
      <c r="C760" s="15"/>
      <c r="G760" s="15"/>
      <c r="K760" s="15"/>
      <c r="O760" s="15"/>
      <c r="P760" s="15"/>
    </row>
    <row r="761" spans="3:16" x14ac:dyDescent="0.25">
      <c r="C761" s="15"/>
      <c r="G761" s="15"/>
      <c r="K761" s="15"/>
      <c r="O761" s="15"/>
      <c r="P761" s="15"/>
    </row>
    <row r="762" spans="3:16" x14ac:dyDescent="0.25">
      <c r="C762" s="15"/>
      <c r="G762" s="15"/>
      <c r="K762" s="15"/>
      <c r="O762" s="15"/>
      <c r="P762" s="15"/>
    </row>
    <row r="763" spans="3:16" x14ac:dyDescent="0.25">
      <c r="C763" s="15"/>
      <c r="G763" s="15"/>
      <c r="K763" s="15"/>
      <c r="O763" s="15"/>
      <c r="P763" s="15"/>
    </row>
    <row r="764" spans="3:16" x14ac:dyDescent="0.25">
      <c r="C764" s="15"/>
      <c r="G764" s="15"/>
      <c r="K764" s="15"/>
      <c r="O764" s="15"/>
      <c r="P764" s="15"/>
    </row>
    <row r="765" spans="3:16" x14ac:dyDescent="0.25">
      <c r="C765" s="15"/>
      <c r="G765" s="15"/>
      <c r="K765" s="15"/>
      <c r="O765" s="15"/>
      <c r="P765" s="15"/>
    </row>
    <row r="766" spans="3:16" x14ac:dyDescent="0.25">
      <c r="C766" s="15"/>
      <c r="G766" s="15"/>
      <c r="K766" s="15"/>
      <c r="O766" s="15"/>
      <c r="P766" s="15"/>
    </row>
    <row r="767" spans="3:16" x14ac:dyDescent="0.25">
      <c r="C767" s="15"/>
      <c r="G767" s="15"/>
      <c r="K767" s="15"/>
      <c r="O767" s="15"/>
      <c r="P767" s="15"/>
    </row>
    <row r="768" spans="3:16" x14ac:dyDescent="0.25">
      <c r="C768" s="15"/>
      <c r="G768" s="15"/>
      <c r="K768" s="15"/>
      <c r="O768" s="15"/>
      <c r="P768" s="15"/>
    </row>
    <row r="769" spans="3:16" x14ac:dyDescent="0.25">
      <c r="C769" s="15"/>
      <c r="G769" s="15"/>
      <c r="K769" s="15"/>
      <c r="O769" s="15"/>
      <c r="P769" s="15"/>
    </row>
    <row r="770" spans="3:16" x14ac:dyDescent="0.25">
      <c r="C770" s="15"/>
      <c r="G770" s="15"/>
      <c r="K770" s="15"/>
      <c r="O770" s="15"/>
      <c r="P770" s="15"/>
    </row>
    <row r="771" spans="3:16" x14ac:dyDescent="0.25">
      <c r="C771" s="15"/>
      <c r="G771" s="15"/>
      <c r="K771" s="15"/>
      <c r="O771" s="15"/>
      <c r="P771" s="15"/>
    </row>
    <row r="772" spans="3:16" x14ac:dyDescent="0.25">
      <c r="C772" s="15"/>
      <c r="G772" s="15"/>
      <c r="K772" s="15"/>
      <c r="O772" s="15"/>
      <c r="P772" s="15"/>
    </row>
    <row r="773" spans="3:16" x14ac:dyDescent="0.25">
      <c r="C773" s="15"/>
      <c r="G773" s="15"/>
      <c r="K773" s="15"/>
      <c r="O773" s="15"/>
      <c r="P773" s="15"/>
    </row>
    <row r="774" spans="3:16" x14ac:dyDescent="0.25">
      <c r="C774" s="15"/>
      <c r="G774" s="15"/>
      <c r="K774" s="15"/>
      <c r="O774" s="15"/>
      <c r="P774" s="15"/>
    </row>
    <row r="775" spans="3:16" x14ac:dyDescent="0.25">
      <c r="C775" s="15"/>
      <c r="G775" s="15"/>
      <c r="K775" s="15"/>
      <c r="O775" s="15"/>
      <c r="P775" s="15"/>
    </row>
    <row r="776" spans="3:16" x14ac:dyDescent="0.25">
      <c r="C776" s="15"/>
      <c r="G776" s="15"/>
      <c r="K776" s="15"/>
      <c r="O776" s="15"/>
      <c r="P776" s="15"/>
    </row>
    <row r="777" spans="3:16" x14ac:dyDescent="0.25">
      <c r="C777" s="15"/>
      <c r="G777" s="15"/>
      <c r="K777" s="15"/>
      <c r="O777" s="15"/>
      <c r="P777" s="15"/>
    </row>
    <row r="778" spans="3:16" x14ac:dyDescent="0.25">
      <c r="C778" s="15"/>
      <c r="G778" s="15"/>
      <c r="K778" s="15"/>
      <c r="O778" s="15"/>
      <c r="P778" s="15"/>
    </row>
    <row r="779" spans="3:16" x14ac:dyDescent="0.25">
      <c r="C779" s="15"/>
      <c r="G779" s="15"/>
      <c r="K779" s="15"/>
      <c r="O779" s="15"/>
      <c r="P779" s="15"/>
    </row>
    <row r="780" spans="3:16" x14ac:dyDescent="0.25">
      <c r="C780" s="15"/>
      <c r="G780" s="15"/>
      <c r="K780" s="15"/>
      <c r="O780" s="15"/>
      <c r="P780" s="15"/>
    </row>
    <row r="781" spans="3:16" x14ac:dyDescent="0.25">
      <c r="C781" s="15"/>
      <c r="G781" s="15"/>
      <c r="K781" s="15"/>
      <c r="O781" s="15"/>
      <c r="P781" s="15"/>
    </row>
    <row r="782" spans="3:16" x14ac:dyDescent="0.25">
      <c r="C782" s="15"/>
      <c r="G782" s="15"/>
      <c r="K782" s="15"/>
      <c r="O782" s="15"/>
      <c r="P782" s="15"/>
    </row>
    <row r="783" spans="3:16" x14ac:dyDescent="0.25">
      <c r="C783" s="15"/>
      <c r="G783" s="15"/>
      <c r="K783" s="15"/>
      <c r="O783" s="15"/>
      <c r="P783" s="15"/>
    </row>
    <row r="784" spans="3:16" x14ac:dyDescent="0.25">
      <c r="C784" s="15"/>
      <c r="G784" s="15"/>
      <c r="K784" s="15"/>
      <c r="O784" s="15"/>
      <c r="P784" s="15"/>
    </row>
    <row r="785" spans="3:16" x14ac:dyDescent="0.25">
      <c r="C785" s="15"/>
      <c r="G785" s="15"/>
      <c r="K785" s="15"/>
      <c r="O785" s="15"/>
      <c r="P785" s="15"/>
    </row>
    <row r="786" spans="3:16" x14ac:dyDescent="0.25">
      <c r="C786" s="15"/>
      <c r="G786" s="15"/>
      <c r="K786" s="15"/>
      <c r="O786" s="15"/>
      <c r="P786" s="15"/>
    </row>
    <row r="787" spans="3:16" x14ac:dyDescent="0.25">
      <c r="C787" s="15"/>
      <c r="G787" s="15"/>
      <c r="K787" s="15"/>
      <c r="O787" s="15"/>
      <c r="P787" s="15"/>
    </row>
    <row r="788" spans="3:16" x14ac:dyDescent="0.25">
      <c r="C788" s="15"/>
      <c r="G788" s="15"/>
      <c r="K788" s="15"/>
      <c r="O788" s="15"/>
      <c r="P788" s="15"/>
    </row>
    <row r="789" spans="3:16" x14ac:dyDescent="0.25">
      <c r="C789" s="15"/>
      <c r="G789" s="15"/>
      <c r="K789" s="15"/>
      <c r="O789" s="15"/>
      <c r="P789" s="15"/>
    </row>
    <row r="790" spans="3:16" x14ac:dyDescent="0.25">
      <c r="C790" s="15"/>
      <c r="G790" s="15"/>
      <c r="K790" s="15"/>
      <c r="O790" s="15"/>
      <c r="P790" s="15"/>
    </row>
    <row r="791" spans="3:16" x14ac:dyDescent="0.25">
      <c r="C791" s="15"/>
      <c r="G791" s="15"/>
      <c r="K791" s="15"/>
      <c r="O791" s="15"/>
      <c r="P791" s="15"/>
    </row>
    <row r="792" spans="3:16" x14ac:dyDescent="0.25">
      <c r="C792" s="15"/>
      <c r="G792" s="15"/>
      <c r="K792" s="15"/>
      <c r="O792" s="15"/>
      <c r="P792" s="15"/>
    </row>
    <row r="793" spans="3:16" x14ac:dyDescent="0.25">
      <c r="C793" s="15"/>
      <c r="G793" s="15"/>
      <c r="K793" s="15"/>
      <c r="O793" s="15"/>
      <c r="P793" s="15"/>
    </row>
    <row r="794" spans="3:16" x14ac:dyDescent="0.25">
      <c r="C794" s="15"/>
      <c r="G794" s="15"/>
      <c r="K794" s="15"/>
      <c r="O794" s="15"/>
      <c r="P794" s="15"/>
    </row>
    <row r="795" spans="3:16" x14ac:dyDescent="0.25">
      <c r="C795" s="15"/>
      <c r="G795" s="15"/>
      <c r="K795" s="15"/>
      <c r="O795" s="15"/>
      <c r="P795" s="15"/>
    </row>
    <row r="796" spans="3:16" x14ac:dyDescent="0.25">
      <c r="C796" s="15"/>
      <c r="G796" s="15"/>
      <c r="K796" s="15"/>
      <c r="O796" s="15"/>
      <c r="P796" s="15"/>
    </row>
    <row r="797" spans="3:16" x14ac:dyDescent="0.25">
      <c r="C797" s="15"/>
      <c r="G797" s="15"/>
      <c r="K797" s="15"/>
      <c r="O797" s="15"/>
      <c r="P797" s="15"/>
    </row>
    <row r="798" spans="3:16" x14ac:dyDescent="0.25">
      <c r="C798" s="15"/>
      <c r="G798" s="15"/>
      <c r="K798" s="15"/>
      <c r="O798" s="15"/>
      <c r="P798" s="15"/>
    </row>
    <row r="799" spans="3:16" x14ac:dyDescent="0.25">
      <c r="C799" s="15"/>
      <c r="G799" s="15"/>
      <c r="K799" s="15"/>
      <c r="O799" s="15"/>
      <c r="P799" s="15"/>
    </row>
    <row r="800" spans="3:16" x14ac:dyDescent="0.25">
      <c r="C800" s="15"/>
      <c r="G800" s="15"/>
      <c r="K800" s="15"/>
      <c r="O800" s="15"/>
      <c r="P800" s="15"/>
    </row>
    <row r="801" spans="3:16" x14ac:dyDescent="0.25">
      <c r="C801" s="15"/>
      <c r="G801" s="15"/>
      <c r="K801" s="15"/>
      <c r="O801" s="15"/>
      <c r="P801" s="15"/>
    </row>
    <row r="802" spans="3:16" x14ac:dyDescent="0.25">
      <c r="C802" s="15"/>
      <c r="G802" s="15"/>
      <c r="K802" s="15"/>
      <c r="O802" s="15"/>
      <c r="P802" s="15"/>
    </row>
    <row r="803" spans="3:16" x14ac:dyDescent="0.25">
      <c r="C803" s="15"/>
      <c r="G803" s="15"/>
      <c r="K803" s="15"/>
      <c r="O803" s="15"/>
      <c r="P803" s="15"/>
    </row>
    <row r="804" spans="3:16" x14ac:dyDescent="0.25">
      <c r="C804" s="15"/>
      <c r="G804" s="15"/>
      <c r="K804" s="15"/>
      <c r="O804" s="15"/>
      <c r="P804" s="15"/>
    </row>
    <row r="805" spans="3:16" x14ac:dyDescent="0.25">
      <c r="C805" s="15"/>
      <c r="G805" s="15"/>
      <c r="K805" s="15"/>
      <c r="O805" s="15"/>
      <c r="P805" s="15"/>
    </row>
    <row r="806" spans="3:16" x14ac:dyDescent="0.25">
      <c r="C806" s="15"/>
      <c r="G806" s="15"/>
      <c r="K806" s="15"/>
      <c r="O806" s="15"/>
      <c r="P806" s="15"/>
    </row>
    <row r="807" spans="3:16" x14ac:dyDescent="0.25">
      <c r="C807" s="15"/>
      <c r="G807" s="15"/>
      <c r="K807" s="15"/>
      <c r="O807" s="15"/>
      <c r="P807" s="15"/>
    </row>
    <row r="808" spans="3:16" x14ac:dyDescent="0.25">
      <c r="C808" s="15"/>
      <c r="G808" s="15"/>
      <c r="K808" s="15"/>
      <c r="O808" s="15"/>
      <c r="P808" s="15"/>
    </row>
    <row r="809" spans="3:16" x14ac:dyDescent="0.25">
      <c r="C809" s="15"/>
      <c r="G809" s="15"/>
      <c r="K809" s="15"/>
      <c r="O809" s="15"/>
      <c r="P809" s="15"/>
    </row>
    <row r="810" spans="3:16" x14ac:dyDescent="0.25">
      <c r="C810" s="15"/>
      <c r="G810" s="15"/>
      <c r="K810" s="15"/>
      <c r="O810" s="15"/>
      <c r="P810" s="15"/>
    </row>
    <row r="811" spans="3:16" x14ac:dyDescent="0.25">
      <c r="C811" s="15"/>
      <c r="G811" s="15"/>
      <c r="K811" s="15"/>
      <c r="O811" s="15"/>
      <c r="P811" s="15"/>
    </row>
    <row r="812" spans="3:16" x14ac:dyDescent="0.25">
      <c r="C812" s="15"/>
      <c r="G812" s="15"/>
      <c r="K812" s="15"/>
      <c r="O812" s="15"/>
      <c r="P812" s="15"/>
    </row>
    <row r="813" spans="3:16" x14ac:dyDescent="0.25">
      <c r="C813" s="15"/>
      <c r="G813" s="15"/>
      <c r="K813" s="15"/>
      <c r="O813" s="15"/>
      <c r="P813" s="15"/>
    </row>
    <row r="814" spans="3:16" x14ac:dyDescent="0.25">
      <c r="C814" s="15"/>
      <c r="G814" s="15"/>
      <c r="K814" s="15"/>
      <c r="O814" s="15"/>
      <c r="P814" s="15"/>
    </row>
    <row r="815" spans="3:16" x14ac:dyDescent="0.25">
      <c r="C815" s="15"/>
      <c r="G815" s="15"/>
      <c r="K815" s="15"/>
      <c r="O815" s="15"/>
      <c r="P815" s="15"/>
    </row>
    <row r="816" spans="3:16" x14ac:dyDescent="0.25">
      <c r="C816" s="15"/>
      <c r="G816" s="15"/>
      <c r="K816" s="15"/>
      <c r="O816" s="15"/>
      <c r="P816" s="15"/>
    </row>
    <row r="817" spans="3:16" x14ac:dyDescent="0.25">
      <c r="C817" s="15"/>
      <c r="G817" s="15"/>
      <c r="K817" s="15"/>
      <c r="O817" s="15"/>
      <c r="P817" s="15"/>
    </row>
    <row r="818" spans="3:16" x14ac:dyDescent="0.25">
      <c r="C818" s="15"/>
      <c r="G818" s="15"/>
      <c r="K818" s="15"/>
      <c r="O818" s="15"/>
      <c r="P818" s="15"/>
    </row>
    <row r="819" spans="3:16" x14ac:dyDescent="0.25">
      <c r="C819" s="15"/>
      <c r="G819" s="15"/>
      <c r="K819" s="15"/>
      <c r="O819" s="15"/>
      <c r="P819" s="15"/>
    </row>
    <row r="820" spans="3:16" x14ac:dyDescent="0.25">
      <c r="C820" s="15"/>
      <c r="G820" s="15"/>
      <c r="K820" s="15"/>
      <c r="O820" s="15"/>
      <c r="P820" s="15"/>
    </row>
    <row r="821" spans="3:16" x14ac:dyDescent="0.25">
      <c r="C821" s="15"/>
      <c r="G821" s="15"/>
      <c r="K821" s="15"/>
      <c r="O821" s="15"/>
      <c r="P821" s="15"/>
    </row>
    <row r="822" spans="3:16" x14ac:dyDescent="0.25">
      <c r="C822" s="15"/>
      <c r="G822" s="15"/>
      <c r="K822" s="15"/>
      <c r="O822" s="15"/>
      <c r="P822" s="15"/>
    </row>
    <row r="823" spans="3:16" x14ac:dyDescent="0.25">
      <c r="C823" s="15"/>
      <c r="G823" s="15"/>
      <c r="K823" s="15"/>
      <c r="O823" s="15"/>
      <c r="P823" s="15"/>
    </row>
    <row r="824" spans="3:16" x14ac:dyDescent="0.25">
      <c r="C824" s="15"/>
      <c r="G824" s="15"/>
      <c r="K824" s="15"/>
      <c r="O824" s="15"/>
      <c r="P824" s="15"/>
    </row>
    <row r="825" spans="3:16" x14ac:dyDescent="0.25">
      <c r="C825" s="15"/>
      <c r="G825" s="15"/>
      <c r="K825" s="15"/>
      <c r="O825" s="15"/>
      <c r="P825" s="15"/>
    </row>
    <row r="826" spans="3:16" x14ac:dyDescent="0.25">
      <c r="C826" s="15"/>
      <c r="G826" s="15"/>
      <c r="K826" s="15"/>
      <c r="O826" s="15"/>
      <c r="P826" s="15"/>
    </row>
    <row r="827" spans="3:16" x14ac:dyDescent="0.25">
      <c r="C827" s="15"/>
      <c r="G827" s="15"/>
      <c r="K827" s="15"/>
      <c r="O827" s="15"/>
      <c r="P827" s="15"/>
    </row>
    <row r="828" spans="3:16" x14ac:dyDescent="0.25">
      <c r="C828" s="15"/>
      <c r="G828" s="15"/>
      <c r="K828" s="15"/>
      <c r="O828" s="15"/>
      <c r="P828" s="15"/>
    </row>
    <row r="829" spans="3:16" x14ac:dyDescent="0.25">
      <c r="C829" s="15"/>
      <c r="G829" s="15"/>
      <c r="K829" s="15"/>
      <c r="O829" s="15"/>
      <c r="P829" s="15"/>
    </row>
    <row r="830" spans="3:16" x14ac:dyDescent="0.25">
      <c r="C830" s="15"/>
      <c r="G830" s="15"/>
      <c r="K830" s="15"/>
      <c r="O830" s="15"/>
      <c r="P830" s="15"/>
    </row>
    <row r="831" spans="3:16" x14ac:dyDescent="0.25">
      <c r="C831" s="15"/>
      <c r="G831" s="15"/>
      <c r="K831" s="15"/>
      <c r="O831" s="15"/>
      <c r="P831" s="15"/>
    </row>
    <row r="832" spans="3:16" x14ac:dyDescent="0.25">
      <c r="C832" s="15"/>
      <c r="G832" s="15"/>
      <c r="K832" s="15"/>
      <c r="O832" s="15"/>
      <c r="P832" s="15"/>
    </row>
    <row r="833" spans="3:16" x14ac:dyDescent="0.25">
      <c r="C833" s="15"/>
      <c r="G833" s="15"/>
      <c r="K833" s="15"/>
      <c r="O833" s="15"/>
      <c r="P833" s="15"/>
    </row>
    <row r="834" spans="3:16" x14ac:dyDescent="0.25">
      <c r="C834" s="15"/>
      <c r="G834" s="15"/>
      <c r="K834" s="15"/>
      <c r="O834" s="15"/>
      <c r="P834" s="15"/>
    </row>
    <row r="835" spans="3:16" x14ac:dyDescent="0.25">
      <c r="C835" s="15"/>
      <c r="G835" s="15"/>
      <c r="K835" s="15"/>
      <c r="O835" s="15"/>
      <c r="P835" s="15"/>
    </row>
    <row r="836" spans="3:16" x14ac:dyDescent="0.25">
      <c r="C836" s="15"/>
      <c r="G836" s="15"/>
      <c r="K836" s="15"/>
      <c r="O836" s="15"/>
      <c r="P836" s="15"/>
    </row>
    <row r="837" spans="3:16" x14ac:dyDescent="0.25">
      <c r="C837" s="15"/>
      <c r="G837" s="15"/>
      <c r="K837" s="15"/>
      <c r="O837" s="15"/>
      <c r="P837" s="15"/>
    </row>
    <row r="838" spans="3:16" x14ac:dyDescent="0.25">
      <c r="C838" s="15"/>
      <c r="G838" s="15"/>
      <c r="K838" s="15"/>
      <c r="O838" s="15"/>
      <c r="P838" s="15"/>
    </row>
    <row r="839" spans="3:16" x14ac:dyDescent="0.25">
      <c r="C839" s="15"/>
      <c r="G839" s="15"/>
      <c r="K839" s="15"/>
      <c r="O839" s="15"/>
      <c r="P839" s="15"/>
    </row>
    <row r="840" spans="3:16" x14ac:dyDescent="0.25">
      <c r="C840" s="15"/>
      <c r="G840" s="15"/>
      <c r="K840" s="15"/>
      <c r="O840" s="15"/>
      <c r="P840" s="15"/>
    </row>
    <row r="841" spans="3:16" x14ac:dyDescent="0.25">
      <c r="C841" s="15"/>
      <c r="G841" s="15"/>
      <c r="K841" s="15"/>
      <c r="O841" s="15"/>
      <c r="P841" s="15"/>
    </row>
    <row r="842" spans="3:16" x14ac:dyDescent="0.25">
      <c r="C842" s="15"/>
      <c r="G842" s="15"/>
      <c r="K842" s="15"/>
      <c r="O842" s="15"/>
      <c r="P842" s="15"/>
    </row>
    <row r="843" spans="3:16" x14ac:dyDescent="0.25">
      <c r="C843" s="15"/>
      <c r="G843" s="15"/>
      <c r="K843" s="15"/>
      <c r="O843" s="15"/>
      <c r="P843" s="15"/>
    </row>
    <row r="844" spans="3:16" x14ac:dyDescent="0.25">
      <c r="C844" s="15"/>
      <c r="G844" s="15"/>
      <c r="K844" s="15"/>
      <c r="O844" s="15"/>
      <c r="P844" s="15"/>
    </row>
    <row r="845" spans="3:16" x14ac:dyDescent="0.25">
      <c r="C845" s="15"/>
      <c r="G845" s="15"/>
      <c r="K845" s="15"/>
      <c r="O845" s="15"/>
      <c r="P845" s="15"/>
    </row>
    <row r="846" spans="3:16" x14ac:dyDescent="0.25">
      <c r="C846" s="15"/>
      <c r="G846" s="15"/>
      <c r="K846" s="15"/>
      <c r="O846" s="15"/>
      <c r="P846" s="15"/>
    </row>
    <row r="847" spans="3:16" x14ac:dyDescent="0.25">
      <c r="C847" s="15"/>
      <c r="G847" s="15"/>
      <c r="K847" s="15"/>
      <c r="O847" s="15"/>
      <c r="P847" s="15"/>
    </row>
    <row r="848" spans="3:16" x14ac:dyDescent="0.25">
      <c r="C848" s="15"/>
      <c r="G848" s="15"/>
      <c r="K848" s="15"/>
      <c r="O848" s="15"/>
      <c r="P848" s="15"/>
    </row>
    <row r="849" spans="3:16" x14ac:dyDescent="0.25">
      <c r="C849" s="15"/>
      <c r="G849" s="15"/>
      <c r="K849" s="15"/>
      <c r="O849" s="15"/>
      <c r="P849" s="15"/>
    </row>
    <row r="850" spans="3:16" x14ac:dyDescent="0.25">
      <c r="C850" s="15"/>
      <c r="G850" s="15"/>
      <c r="K850" s="15"/>
      <c r="O850" s="15"/>
      <c r="P850" s="15"/>
    </row>
    <row r="851" spans="3:16" x14ac:dyDescent="0.25">
      <c r="C851" s="15"/>
      <c r="G851" s="15"/>
      <c r="K851" s="15"/>
      <c r="O851" s="15"/>
      <c r="P851" s="15"/>
    </row>
    <row r="852" spans="3:16" x14ac:dyDescent="0.25">
      <c r="C852" s="15"/>
      <c r="G852" s="15"/>
      <c r="K852" s="15"/>
      <c r="O852" s="15"/>
      <c r="P852" s="15"/>
    </row>
    <row r="853" spans="3:16" x14ac:dyDescent="0.25">
      <c r="C853" s="15"/>
      <c r="G853" s="15"/>
      <c r="K853" s="15"/>
      <c r="O853" s="15"/>
      <c r="P853" s="15"/>
    </row>
    <row r="854" spans="3:16" x14ac:dyDescent="0.25">
      <c r="C854" s="15"/>
      <c r="G854" s="15"/>
      <c r="K854" s="15"/>
      <c r="O854" s="15"/>
      <c r="P854" s="15"/>
    </row>
    <row r="855" spans="3:16" x14ac:dyDescent="0.25">
      <c r="C855" s="15"/>
      <c r="G855" s="15"/>
      <c r="K855" s="15"/>
      <c r="O855" s="15"/>
      <c r="P855" s="15"/>
    </row>
    <row r="856" spans="3:16" x14ac:dyDescent="0.25">
      <c r="C856" s="15"/>
      <c r="G856" s="15"/>
      <c r="K856" s="15"/>
      <c r="O856" s="15"/>
      <c r="P856" s="15"/>
    </row>
    <row r="857" spans="3:16" x14ac:dyDescent="0.25">
      <c r="C857" s="15"/>
      <c r="G857" s="15"/>
      <c r="K857" s="15"/>
      <c r="O857" s="15"/>
      <c r="P857" s="15"/>
    </row>
    <row r="858" spans="3:16" x14ac:dyDescent="0.25">
      <c r="C858" s="15"/>
      <c r="G858" s="15"/>
      <c r="K858" s="15"/>
      <c r="O858" s="15"/>
      <c r="P858" s="15"/>
    </row>
    <row r="859" spans="3:16" x14ac:dyDescent="0.25">
      <c r="C859" s="15"/>
      <c r="G859" s="15"/>
      <c r="K859" s="15"/>
      <c r="O859" s="15"/>
      <c r="P859" s="15"/>
    </row>
    <row r="860" spans="3:16" x14ac:dyDescent="0.25">
      <c r="C860" s="15"/>
      <c r="G860" s="15"/>
      <c r="K860" s="15"/>
      <c r="O860" s="15"/>
      <c r="P860" s="15"/>
    </row>
    <row r="861" spans="3:16" x14ac:dyDescent="0.25">
      <c r="C861" s="15"/>
      <c r="G861" s="15"/>
      <c r="K861" s="15"/>
      <c r="O861" s="15"/>
      <c r="P861" s="15"/>
    </row>
    <row r="862" spans="3:16" x14ac:dyDescent="0.25">
      <c r="C862" s="15"/>
      <c r="G862" s="15"/>
      <c r="K862" s="15"/>
      <c r="O862" s="15"/>
      <c r="P862" s="15"/>
    </row>
    <row r="863" spans="3:16" x14ac:dyDescent="0.25">
      <c r="C863" s="15"/>
      <c r="G863" s="15"/>
      <c r="K863" s="15"/>
      <c r="O863" s="15"/>
      <c r="P863" s="15"/>
    </row>
    <row r="864" spans="3:16" x14ac:dyDescent="0.25">
      <c r="C864" s="15"/>
      <c r="G864" s="15"/>
      <c r="K864" s="15"/>
      <c r="O864" s="15"/>
      <c r="P864" s="15"/>
    </row>
    <row r="865" spans="3:16" x14ac:dyDescent="0.25">
      <c r="C865" s="15"/>
      <c r="G865" s="15"/>
      <c r="K865" s="15"/>
      <c r="O865" s="15"/>
      <c r="P865" s="15"/>
    </row>
    <row r="866" spans="3:16" x14ac:dyDescent="0.25">
      <c r="C866" s="15"/>
      <c r="G866" s="15"/>
      <c r="K866" s="15"/>
      <c r="O866" s="15"/>
      <c r="P866" s="15"/>
    </row>
    <row r="867" spans="3:16" x14ac:dyDescent="0.25">
      <c r="C867" s="15"/>
      <c r="G867" s="15"/>
      <c r="K867" s="15"/>
      <c r="O867" s="15"/>
      <c r="P867" s="15"/>
    </row>
    <row r="868" spans="3:16" x14ac:dyDescent="0.25">
      <c r="C868" s="15"/>
      <c r="G868" s="15"/>
      <c r="K868" s="15"/>
      <c r="O868" s="15"/>
      <c r="P868" s="15"/>
    </row>
    <row r="869" spans="3:16" x14ac:dyDescent="0.25">
      <c r="C869" s="15"/>
      <c r="G869" s="15"/>
      <c r="K869" s="15"/>
      <c r="O869" s="15"/>
      <c r="P869" s="15"/>
    </row>
    <row r="870" spans="3:16" x14ac:dyDescent="0.25">
      <c r="C870" s="15"/>
      <c r="G870" s="15"/>
      <c r="K870" s="15"/>
      <c r="O870" s="15"/>
      <c r="P870" s="15"/>
    </row>
    <row r="871" spans="3:16" x14ac:dyDescent="0.25">
      <c r="C871" s="15"/>
      <c r="G871" s="15"/>
      <c r="K871" s="15"/>
      <c r="O871" s="15"/>
      <c r="P871" s="15"/>
    </row>
    <row r="872" spans="3:16" x14ac:dyDescent="0.25">
      <c r="C872" s="15"/>
      <c r="G872" s="15"/>
      <c r="K872" s="15"/>
      <c r="O872" s="15"/>
      <c r="P872" s="15"/>
    </row>
    <row r="873" spans="3:16" x14ac:dyDescent="0.25">
      <c r="C873" s="15"/>
      <c r="G873" s="15"/>
      <c r="K873" s="15"/>
      <c r="O873" s="15"/>
      <c r="P873" s="15"/>
    </row>
    <row r="874" spans="3:16" x14ac:dyDescent="0.25">
      <c r="C874" s="15"/>
      <c r="G874" s="15"/>
      <c r="K874" s="15"/>
      <c r="O874" s="15"/>
      <c r="P874" s="15"/>
    </row>
    <row r="875" spans="3:16" x14ac:dyDescent="0.25">
      <c r="C875" s="15"/>
      <c r="G875" s="15"/>
      <c r="K875" s="15"/>
      <c r="O875" s="15"/>
      <c r="P875" s="15"/>
    </row>
    <row r="876" spans="3:16" x14ac:dyDescent="0.25">
      <c r="C876" s="15"/>
      <c r="G876" s="15"/>
      <c r="K876" s="15"/>
      <c r="O876" s="15"/>
      <c r="P876" s="15"/>
    </row>
    <row r="877" spans="3:16" x14ac:dyDescent="0.25">
      <c r="C877" s="15"/>
      <c r="G877" s="15"/>
      <c r="K877" s="15"/>
      <c r="O877" s="15"/>
      <c r="P877" s="15"/>
    </row>
    <row r="878" spans="3:16" x14ac:dyDescent="0.25">
      <c r="C878" s="15"/>
      <c r="G878" s="15"/>
      <c r="K878" s="15"/>
      <c r="O878" s="15"/>
      <c r="P878" s="15"/>
    </row>
    <row r="879" spans="3:16" x14ac:dyDescent="0.25">
      <c r="C879" s="15"/>
      <c r="G879" s="15"/>
      <c r="K879" s="15"/>
      <c r="O879" s="15"/>
      <c r="P879" s="15"/>
    </row>
    <row r="880" spans="3:16" x14ac:dyDescent="0.25">
      <c r="C880" s="15"/>
      <c r="G880" s="15"/>
      <c r="K880" s="15"/>
      <c r="O880" s="15"/>
      <c r="P880" s="15"/>
    </row>
    <row r="881" spans="3:16" x14ac:dyDescent="0.25">
      <c r="C881" s="15"/>
      <c r="G881" s="15"/>
      <c r="K881" s="15"/>
      <c r="O881" s="15"/>
      <c r="P881" s="15"/>
    </row>
    <row r="882" spans="3:16" x14ac:dyDescent="0.25">
      <c r="C882" s="15"/>
      <c r="G882" s="15"/>
      <c r="K882" s="15"/>
      <c r="O882" s="15"/>
      <c r="P882" s="15"/>
    </row>
    <row r="883" spans="3:16" x14ac:dyDescent="0.25">
      <c r="C883" s="15"/>
      <c r="G883" s="15"/>
      <c r="K883" s="15"/>
      <c r="O883" s="15"/>
      <c r="P883" s="15"/>
    </row>
    <row r="884" spans="3:16" x14ac:dyDescent="0.25">
      <c r="C884" s="15"/>
      <c r="G884" s="15"/>
      <c r="K884" s="15"/>
      <c r="O884" s="15"/>
      <c r="P884" s="15"/>
    </row>
    <row r="885" spans="3:16" x14ac:dyDescent="0.25">
      <c r="C885" s="15"/>
      <c r="G885" s="15"/>
      <c r="K885" s="15"/>
      <c r="O885" s="15"/>
      <c r="P885" s="15"/>
    </row>
    <row r="886" spans="3:16" x14ac:dyDescent="0.25">
      <c r="C886" s="15"/>
      <c r="G886" s="15"/>
      <c r="K886" s="15"/>
      <c r="O886" s="15"/>
      <c r="P886" s="15"/>
    </row>
    <row r="887" spans="3:16" x14ac:dyDescent="0.25">
      <c r="C887" s="15"/>
      <c r="G887" s="15"/>
      <c r="K887" s="15"/>
      <c r="O887" s="15"/>
      <c r="P887" s="15"/>
    </row>
    <row r="888" spans="3:16" x14ac:dyDescent="0.25">
      <c r="C888" s="15"/>
      <c r="G888" s="15"/>
      <c r="K888" s="15"/>
      <c r="O888" s="15"/>
      <c r="P888" s="15"/>
    </row>
    <row r="889" spans="3:16" x14ac:dyDescent="0.25">
      <c r="C889" s="15"/>
      <c r="G889" s="15"/>
      <c r="K889" s="15"/>
      <c r="O889" s="15"/>
      <c r="P889" s="15"/>
    </row>
    <row r="890" spans="3:16" x14ac:dyDescent="0.25">
      <c r="C890" s="15"/>
      <c r="G890" s="15"/>
      <c r="K890" s="15"/>
      <c r="O890" s="15"/>
      <c r="P890" s="15"/>
    </row>
    <row r="891" spans="3:16" x14ac:dyDescent="0.25">
      <c r="C891" s="15"/>
      <c r="G891" s="15"/>
      <c r="K891" s="15"/>
      <c r="O891" s="15"/>
      <c r="P891" s="15"/>
    </row>
    <row r="892" spans="3:16" x14ac:dyDescent="0.25">
      <c r="C892" s="15"/>
      <c r="G892" s="15"/>
      <c r="K892" s="15"/>
      <c r="O892" s="15"/>
      <c r="P892" s="15"/>
    </row>
    <row r="893" spans="3:16" x14ac:dyDescent="0.25">
      <c r="C893" s="15"/>
      <c r="G893" s="15"/>
      <c r="K893" s="15"/>
      <c r="O893" s="15"/>
      <c r="P893" s="15"/>
    </row>
    <row r="894" spans="3:16" x14ac:dyDescent="0.25">
      <c r="C894" s="15"/>
      <c r="G894" s="15"/>
      <c r="K894" s="15"/>
      <c r="O894" s="15"/>
      <c r="P894" s="15"/>
    </row>
    <row r="895" spans="3:16" x14ac:dyDescent="0.25">
      <c r="C895" s="15"/>
      <c r="G895" s="15"/>
      <c r="K895" s="15"/>
      <c r="O895" s="15"/>
      <c r="P895" s="15"/>
    </row>
    <row r="896" spans="3:16" x14ac:dyDescent="0.25">
      <c r="C896" s="15"/>
      <c r="G896" s="15"/>
      <c r="K896" s="15"/>
      <c r="O896" s="15"/>
      <c r="P896" s="15"/>
    </row>
    <row r="897" spans="3:16" x14ac:dyDescent="0.25">
      <c r="C897" s="15"/>
      <c r="G897" s="15"/>
      <c r="K897" s="15"/>
      <c r="O897" s="15"/>
      <c r="P897" s="15"/>
    </row>
    <row r="898" spans="3:16" x14ac:dyDescent="0.25">
      <c r="C898" s="15"/>
      <c r="G898" s="15"/>
      <c r="K898" s="15"/>
      <c r="O898" s="15"/>
      <c r="P898" s="15"/>
    </row>
    <row r="899" spans="3:16" x14ac:dyDescent="0.25">
      <c r="C899" s="15"/>
      <c r="G899" s="15"/>
      <c r="K899" s="15"/>
      <c r="O899" s="15"/>
      <c r="P899" s="15"/>
    </row>
    <row r="900" spans="3:16" x14ac:dyDescent="0.25">
      <c r="C900" s="15"/>
      <c r="G900" s="15"/>
      <c r="K900" s="15"/>
      <c r="O900" s="15"/>
      <c r="P900" s="15"/>
    </row>
    <row r="901" spans="3:16" x14ac:dyDescent="0.25">
      <c r="C901" s="15"/>
      <c r="G901" s="15"/>
      <c r="K901" s="15"/>
      <c r="O901" s="15"/>
      <c r="P901" s="15"/>
    </row>
    <row r="902" spans="3:16" x14ac:dyDescent="0.25">
      <c r="C902" s="15"/>
      <c r="G902" s="15"/>
      <c r="K902" s="15"/>
      <c r="O902" s="15"/>
      <c r="P902" s="15"/>
    </row>
    <row r="903" spans="3:16" x14ac:dyDescent="0.25">
      <c r="C903" s="15"/>
      <c r="G903" s="15"/>
      <c r="K903" s="15"/>
      <c r="O903" s="15"/>
      <c r="P903" s="15"/>
    </row>
    <row r="904" spans="3:16" x14ac:dyDescent="0.25">
      <c r="C904" s="15"/>
      <c r="G904" s="15"/>
      <c r="K904" s="15"/>
      <c r="O904" s="15"/>
      <c r="P904" s="15"/>
    </row>
    <row r="905" spans="3:16" x14ac:dyDescent="0.25">
      <c r="C905" s="15"/>
      <c r="G905" s="15"/>
      <c r="K905" s="15"/>
      <c r="O905" s="15"/>
      <c r="P905" s="15"/>
    </row>
    <row r="906" spans="3:16" x14ac:dyDescent="0.25">
      <c r="C906" s="15"/>
      <c r="G906" s="15"/>
      <c r="K906" s="15"/>
      <c r="O906" s="15"/>
      <c r="P906" s="15"/>
    </row>
    <row r="907" spans="3:16" x14ac:dyDescent="0.25">
      <c r="C907" s="15"/>
      <c r="G907" s="15"/>
      <c r="K907" s="15"/>
      <c r="O907" s="15"/>
      <c r="P907" s="15"/>
    </row>
    <row r="908" spans="3:16" x14ac:dyDescent="0.25">
      <c r="C908" s="15"/>
      <c r="G908" s="15"/>
      <c r="K908" s="15"/>
      <c r="O908" s="15"/>
      <c r="P908" s="15"/>
    </row>
    <row r="909" spans="3:16" x14ac:dyDescent="0.25">
      <c r="C909" s="15"/>
      <c r="G909" s="15"/>
      <c r="K909" s="15"/>
      <c r="O909" s="15"/>
      <c r="P909" s="15"/>
    </row>
    <row r="910" spans="3:16" x14ac:dyDescent="0.25">
      <c r="C910" s="15"/>
      <c r="G910" s="15"/>
      <c r="K910" s="15"/>
      <c r="O910" s="15"/>
      <c r="P910" s="15"/>
    </row>
    <row r="911" spans="3:16" x14ac:dyDescent="0.25">
      <c r="C911" s="15"/>
      <c r="G911" s="15"/>
      <c r="K911" s="15"/>
      <c r="O911" s="15"/>
      <c r="P911" s="15"/>
    </row>
    <row r="912" spans="3:16" x14ac:dyDescent="0.25">
      <c r="C912" s="15"/>
      <c r="G912" s="15"/>
      <c r="K912" s="15"/>
      <c r="O912" s="15"/>
      <c r="P912" s="15"/>
    </row>
    <row r="913" spans="3:16" x14ac:dyDescent="0.25">
      <c r="C913" s="15"/>
      <c r="G913" s="15"/>
      <c r="K913" s="15"/>
      <c r="O913" s="15"/>
      <c r="P913" s="15"/>
    </row>
    <row r="914" spans="3:16" x14ac:dyDescent="0.25">
      <c r="C914" s="15"/>
      <c r="G914" s="15"/>
      <c r="K914" s="15"/>
      <c r="O914" s="15"/>
      <c r="P914" s="15"/>
    </row>
    <row r="915" spans="3:16" x14ac:dyDescent="0.25">
      <c r="C915" s="15"/>
      <c r="G915" s="15"/>
      <c r="K915" s="15"/>
      <c r="O915" s="15"/>
      <c r="P915" s="15"/>
    </row>
    <row r="916" spans="3:16" x14ac:dyDescent="0.25">
      <c r="C916" s="15"/>
      <c r="G916" s="15"/>
      <c r="K916" s="15"/>
      <c r="O916" s="15"/>
      <c r="P916" s="15"/>
    </row>
    <row r="917" spans="3:16" x14ac:dyDescent="0.25">
      <c r="C917" s="15"/>
      <c r="G917" s="15"/>
      <c r="K917" s="15"/>
      <c r="O917" s="15"/>
      <c r="P917" s="15"/>
    </row>
    <row r="918" spans="3:16" x14ac:dyDescent="0.25">
      <c r="C918" s="15"/>
      <c r="G918" s="15"/>
      <c r="K918" s="15"/>
      <c r="O918" s="15"/>
      <c r="P918" s="15"/>
    </row>
    <row r="919" spans="3:16" x14ac:dyDescent="0.25">
      <c r="C919" s="15"/>
      <c r="G919" s="15"/>
      <c r="K919" s="15"/>
      <c r="O919" s="15"/>
      <c r="P919" s="15"/>
    </row>
    <row r="920" spans="3:16" x14ac:dyDescent="0.25">
      <c r="C920" s="15"/>
      <c r="G920" s="15"/>
      <c r="K920" s="15"/>
      <c r="O920" s="15"/>
      <c r="P920" s="15"/>
    </row>
    <row r="921" spans="3:16" x14ac:dyDescent="0.25">
      <c r="C921" s="15"/>
      <c r="G921" s="15"/>
      <c r="K921" s="15"/>
      <c r="O921" s="15"/>
      <c r="P921" s="15"/>
    </row>
    <row r="922" spans="3:16" x14ac:dyDescent="0.25">
      <c r="C922" s="15"/>
      <c r="G922" s="15"/>
      <c r="K922" s="15"/>
      <c r="O922" s="15"/>
      <c r="P922" s="15"/>
    </row>
    <row r="923" spans="3:16" x14ac:dyDescent="0.25">
      <c r="C923" s="15"/>
      <c r="G923" s="15"/>
      <c r="K923" s="15"/>
      <c r="O923" s="15"/>
      <c r="P923" s="15"/>
    </row>
    <row r="924" spans="3:16" x14ac:dyDescent="0.25">
      <c r="C924" s="15"/>
      <c r="G924" s="15"/>
      <c r="K924" s="15"/>
      <c r="O924" s="15"/>
      <c r="P924" s="15"/>
    </row>
    <row r="925" spans="3:16" x14ac:dyDescent="0.25">
      <c r="C925" s="15"/>
      <c r="G925" s="15"/>
      <c r="K925" s="15"/>
      <c r="O925" s="15"/>
      <c r="P925" s="15"/>
    </row>
    <row r="926" spans="3:16" x14ac:dyDescent="0.25">
      <c r="C926" s="15"/>
      <c r="G926" s="15"/>
      <c r="K926" s="15"/>
      <c r="O926" s="15"/>
      <c r="P926" s="15"/>
    </row>
    <row r="927" spans="3:16" x14ac:dyDescent="0.25">
      <c r="C927" s="15"/>
      <c r="G927" s="15"/>
      <c r="K927" s="15"/>
      <c r="O927" s="15"/>
      <c r="P927" s="15"/>
    </row>
    <row r="928" spans="3:16" x14ac:dyDescent="0.25">
      <c r="C928" s="15"/>
      <c r="G928" s="15"/>
      <c r="K928" s="15"/>
      <c r="O928" s="15"/>
      <c r="P928" s="15"/>
    </row>
    <row r="929" spans="3:16" x14ac:dyDescent="0.25">
      <c r="C929" s="15"/>
      <c r="G929" s="15"/>
      <c r="K929" s="15"/>
      <c r="O929" s="15"/>
      <c r="P929" s="15"/>
    </row>
    <row r="930" spans="3:16" x14ac:dyDescent="0.25">
      <c r="C930" s="15"/>
      <c r="G930" s="15"/>
      <c r="K930" s="15"/>
      <c r="O930" s="15"/>
      <c r="P930" s="15"/>
    </row>
    <row r="931" spans="3:16" x14ac:dyDescent="0.25">
      <c r="C931" s="15"/>
      <c r="G931" s="15"/>
      <c r="K931" s="15"/>
      <c r="O931" s="15"/>
      <c r="P931" s="15"/>
    </row>
    <row r="932" spans="3:16" x14ac:dyDescent="0.25">
      <c r="C932" s="15"/>
      <c r="G932" s="15"/>
      <c r="K932" s="15"/>
      <c r="O932" s="15"/>
      <c r="P932" s="15"/>
    </row>
    <row r="933" spans="3:16" x14ac:dyDescent="0.25">
      <c r="C933" s="15"/>
      <c r="G933" s="15"/>
      <c r="K933" s="15"/>
      <c r="O933" s="15"/>
      <c r="P933" s="15"/>
    </row>
    <row r="934" spans="3:16" x14ac:dyDescent="0.25">
      <c r="C934" s="15"/>
      <c r="G934" s="15"/>
      <c r="K934" s="15"/>
      <c r="O934" s="15"/>
      <c r="P934" s="15"/>
    </row>
    <row r="935" spans="3:16" x14ac:dyDescent="0.25">
      <c r="C935" s="15"/>
      <c r="G935" s="15"/>
      <c r="K935" s="15"/>
      <c r="O935" s="15"/>
      <c r="P935" s="15"/>
    </row>
    <row r="936" spans="3:16" x14ac:dyDescent="0.25">
      <c r="C936" s="15"/>
      <c r="G936" s="15"/>
      <c r="K936" s="15"/>
      <c r="O936" s="15"/>
      <c r="P936" s="15"/>
    </row>
    <row r="937" spans="3:16" x14ac:dyDescent="0.25">
      <c r="C937" s="15"/>
      <c r="G937" s="15"/>
      <c r="K937" s="15"/>
      <c r="O937" s="15"/>
      <c r="P937" s="15"/>
    </row>
    <row r="938" spans="3:16" x14ac:dyDescent="0.25">
      <c r="C938" s="15"/>
      <c r="G938" s="15"/>
      <c r="K938" s="15"/>
      <c r="O938" s="15"/>
      <c r="P938" s="15"/>
    </row>
    <row r="939" spans="3:16" x14ac:dyDescent="0.25">
      <c r="C939" s="15"/>
      <c r="G939" s="15"/>
      <c r="K939" s="15"/>
      <c r="O939" s="15"/>
      <c r="P939" s="15"/>
    </row>
    <row r="940" spans="3:16" x14ac:dyDescent="0.25">
      <c r="C940" s="15"/>
      <c r="G940" s="15"/>
      <c r="K940" s="15"/>
      <c r="O940" s="15"/>
      <c r="P940" s="15"/>
    </row>
    <row r="941" spans="3:16" x14ac:dyDescent="0.25">
      <c r="C941" s="15"/>
      <c r="G941" s="15"/>
      <c r="K941" s="15"/>
      <c r="O941" s="15"/>
      <c r="P941" s="15"/>
    </row>
    <row r="942" spans="3:16" x14ac:dyDescent="0.25">
      <c r="C942" s="15"/>
      <c r="G942" s="15"/>
      <c r="K942" s="15"/>
      <c r="O942" s="15"/>
      <c r="P942" s="15"/>
    </row>
    <row r="943" spans="3:16" x14ac:dyDescent="0.25">
      <c r="C943" s="15"/>
      <c r="G943" s="15"/>
      <c r="K943" s="15"/>
      <c r="O943" s="15"/>
      <c r="P943" s="15"/>
    </row>
    <row r="944" spans="3:16" x14ac:dyDescent="0.25">
      <c r="C944" s="15"/>
      <c r="G944" s="15"/>
      <c r="K944" s="15"/>
      <c r="O944" s="15"/>
      <c r="P944" s="15"/>
    </row>
    <row r="945" spans="3:16" x14ac:dyDescent="0.25">
      <c r="C945" s="15"/>
      <c r="G945" s="15"/>
      <c r="K945" s="15"/>
      <c r="O945" s="15"/>
      <c r="P945" s="15"/>
    </row>
    <row r="946" spans="3:16" x14ac:dyDescent="0.25">
      <c r="C946" s="15"/>
      <c r="G946" s="15"/>
      <c r="K946" s="15"/>
      <c r="O946" s="15"/>
      <c r="P946" s="15"/>
    </row>
    <row r="947" spans="3:16" x14ac:dyDescent="0.25">
      <c r="C947" s="15"/>
      <c r="G947" s="15"/>
      <c r="K947" s="15"/>
      <c r="O947" s="15"/>
      <c r="P947" s="15"/>
    </row>
    <row r="948" spans="3:16" x14ac:dyDescent="0.25">
      <c r="C948" s="15"/>
      <c r="G948" s="15"/>
      <c r="K948" s="15"/>
      <c r="O948" s="15"/>
      <c r="P948" s="15"/>
    </row>
    <row r="949" spans="3:16" x14ac:dyDescent="0.25">
      <c r="C949" s="15"/>
      <c r="G949" s="15"/>
      <c r="K949" s="15"/>
      <c r="O949" s="15"/>
      <c r="P949" s="15"/>
    </row>
    <row r="950" spans="3:16" x14ac:dyDescent="0.25">
      <c r="C950" s="15"/>
      <c r="G950" s="15"/>
      <c r="K950" s="15"/>
      <c r="O950" s="15"/>
      <c r="P950" s="15"/>
    </row>
    <row r="951" spans="3:16" x14ac:dyDescent="0.25">
      <c r="C951" s="15"/>
      <c r="G951" s="15"/>
      <c r="K951" s="15"/>
      <c r="O951" s="15"/>
      <c r="P951" s="15"/>
    </row>
    <row r="952" spans="3:16" x14ac:dyDescent="0.25">
      <c r="C952" s="15"/>
      <c r="G952" s="15"/>
      <c r="K952" s="15"/>
      <c r="O952" s="15"/>
      <c r="P952" s="15"/>
    </row>
    <row r="953" spans="3:16" x14ac:dyDescent="0.25">
      <c r="C953" s="15"/>
      <c r="G953" s="15"/>
      <c r="K953" s="15"/>
      <c r="O953" s="15"/>
      <c r="P953" s="15"/>
    </row>
    <row r="954" spans="3:16" x14ac:dyDescent="0.25">
      <c r="C954" s="15"/>
      <c r="G954" s="15"/>
      <c r="K954" s="15"/>
      <c r="O954" s="15"/>
      <c r="P954" s="15"/>
    </row>
    <row r="955" spans="3:16" x14ac:dyDescent="0.25">
      <c r="C955" s="15"/>
      <c r="G955" s="15"/>
      <c r="K955" s="15"/>
      <c r="O955" s="15"/>
      <c r="P955" s="15"/>
    </row>
    <row r="956" spans="3:16" x14ac:dyDescent="0.25">
      <c r="C956" s="15"/>
      <c r="G956" s="15"/>
      <c r="K956" s="15"/>
      <c r="O956" s="15"/>
      <c r="P956" s="15"/>
    </row>
    <row r="957" spans="3:16" x14ac:dyDescent="0.25">
      <c r="C957" s="15"/>
      <c r="G957" s="15"/>
      <c r="K957" s="15"/>
      <c r="O957" s="15"/>
      <c r="P957" s="15"/>
    </row>
    <row r="958" spans="3:16" x14ac:dyDescent="0.25">
      <c r="C958" s="15"/>
      <c r="G958" s="15"/>
      <c r="K958" s="15"/>
      <c r="O958" s="15"/>
      <c r="P958" s="15"/>
    </row>
    <row r="959" spans="3:16" x14ac:dyDescent="0.25">
      <c r="C959" s="15"/>
      <c r="G959" s="15"/>
      <c r="K959" s="15"/>
      <c r="O959" s="15"/>
      <c r="P959" s="15"/>
    </row>
    <row r="960" spans="3:16" x14ac:dyDescent="0.25">
      <c r="C960" s="15"/>
      <c r="G960" s="15"/>
      <c r="K960" s="15"/>
      <c r="O960" s="15"/>
      <c r="P960" s="15"/>
    </row>
    <row r="961" spans="3:16" x14ac:dyDescent="0.25">
      <c r="C961" s="15"/>
      <c r="G961" s="15"/>
      <c r="K961" s="15"/>
      <c r="O961" s="15"/>
      <c r="P961" s="15"/>
    </row>
    <row r="962" spans="3:16" x14ac:dyDescent="0.25">
      <c r="C962" s="15"/>
      <c r="G962" s="15"/>
      <c r="K962" s="15"/>
      <c r="O962" s="15"/>
      <c r="P962" s="15"/>
    </row>
    <row r="963" spans="3:16" x14ac:dyDescent="0.25">
      <c r="C963" s="15"/>
      <c r="G963" s="15"/>
      <c r="K963" s="15"/>
      <c r="O963" s="15"/>
      <c r="P963" s="15"/>
    </row>
    <row r="964" spans="3:16" x14ac:dyDescent="0.25">
      <c r="C964" s="15"/>
      <c r="G964" s="15"/>
      <c r="K964" s="15"/>
      <c r="O964" s="15"/>
      <c r="P964" s="15"/>
    </row>
    <row r="965" spans="3:16" x14ac:dyDescent="0.25">
      <c r="C965" s="15"/>
      <c r="G965" s="15"/>
      <c r="K965" s="15"/>
      <c r="O965" s="15"/>
      <c r="P965" s="15"/>
    </row>
    <row r="966" spans="3:16" x14ac:dyDescent="0.25">
      <c r="C966" s="15"/>
      <c r="G966" s="15"/>
      <c r="K966" s="15"/>
      <c r="O966" s="15"/>
      <c r="P966" s="15"/>
    </row>
    <row r="967" spans="3:16" x14ac:dyDescent="0.25">
      <c r="C967" s="15"/>
      <c r="G967" s="15"/>
      <c r="K967" s="15"/>
      <c r="O967" s="15"/>
      <c r="P967" s="15"/>
    </row>
    <row r="968" spans="3:16" x14ac:dyDescent="0.25">
      <c r="C968" s="15"/>
      <c r="G968" s="15"/>
      <c r="K968" s="15"/>
      <c r="O968" s="15"/>
      <c r="P968" s="15"/>
    </row>
    <row r="969" spans="3:16" x14ac:dyDescent="0.25">
      <c r="C969" s="15"/>
      <c r="G969" s="15"/>
      <c r="K969" s="15"/>
      <c r="O969" s="15"/>
      <c r="P969" s="15"/>
    </row>
    <row r="970" spans="3:16" x14ac:dyDescent="0.25">
      <c r="C970" s="15"/>
      <c r="G970" s="15"/>
      <c r="K970" s="15"/>
      <c r="O970" s="15"/>
      <c r="P970" s="15"/>
    </row>
    <row r="971" spans="3:16" x14ac:dyDescent="0.25">
      <c r="C971" s="15"/>
      <c r="G971" s="15"/>
      <c r="K971" s="15"/>
      <c r="O971" s="15"/>
      <c r="P971" s="15"/>
    </row>
    <row r="972" spans="3:16" x14ac:dyDescent="0.25">
      <c r="C972" s="15"/>
      <c r="G972" s="15"/>
      <c r="K972" s="15"/>
      <c r="O972" s="15"/>
      <c r="P972" s="15"/>
    </row>
    <row r="973" spans="3:16" x14ac:dyDescent="0.25">
      <c r="C973" s="15"/>
      <c r="G973" s="15"/>
      <c r="K973" s="15"/>
      <c r="O973" s="15"/>
      <c r="P973" s="15"/>
    </row>
    <row r="974" spans="3:16" x14ac:dyDescent="0.25">
      <c r="C974" s="15"/>
      <c r="G974" s="15"/>
      <c r="K974" s="15"/>
      <c r="O974" s="15"/>
      <c r="P974" s="15"/>
    </row>
    <row r="975" spans="3:16" x14ac:dyDescent="0.25">
      <c r="C975" s="15"/>
      <c r="G975" s="15"/>
      <c r="K975" s="15"/>
      <c r="O975" s="15"/>
      <c r="P975" s="15"/>
    </row>
    <row r="976" spans="3:16" x14ac:dyDescent="0.25">
      <c r="C976" s="15"/>
      <c r="G976" s="15"/>
      <c r="K976" s="15"/>
      <c r="O976" s="15"/>
      <c r="P976" s="15"/>
    </row>
    <row r="977" spans="3:16" x14ac:dyDescent="0.25">
      <c r="C977" s="15"/>
      <c r="G977" s="15"/>
      <c r="K977" s="15"/>
      <c r="O977" s="15"/>
      <c r="P977" s="15"/>
    </row>
    <row r="978" spans="3:16" x14ac:dyDescent="0.25">
      <c r="C978" s="15"/>
      <c r="G978" s="15"/>
      <c r="K978" s="15"/>
      <c r="O978" s="15"/>
      <c r="P978" s="15"/>
    </row>
    <row r="979" spans="3:16" x14ac:dyDescent="0.25">
      <c r="C979" s="15"/>
      <c r="G979" s="15"/>
      <c r="K979" s="15"/>
      <c r="O979" s="15"/>
      <c r="P979" s="15"/>
    </row>
    <row r="980" spans="3:16" x14ac:dyDescent="0.25">
      <c r="C980" s="15"/>
      <c r="G980" s="15"/>
      <c r="K980" s="15"/>
      <c r="O980" s="15"/>
      <c r="P980" s="15"/>
    </row>
    <row r="981" spans="3:16" x14ac:dyDescent="0.25">
      <c r="C981" s="15"/>
      <c r="G981" s="15"/>
      <c r="K981" s="15"/>
      <c r="O981" s="15"/>
      <c r="P981" s="15"/>
    </row>
    <row r="982" spans="3:16" x14ac:dyDescent="0.25">
      <c r="C982" s="15"/>
      <c r="G982" s="15"/>
      <c r="K982" s="15"/>
      <c r="O982" s="15"/>
      <c r="P982" s="15"/>
    </row>
    <row r="983" spans="3:16" x14ac:dyDescent="0.25">
      <c r="C983" s="15"/>
      <c r="G983" s="15"/>
      <c r="K983" s="15"/>
      <c r="O983" s="15"/>
      <c r="P983" s="15"/>
    </row>
    <row r="984" spans="3:16" x14ac:dyDescent="0.25">
      <c r="C984" s="15"/>
      <c r="G984" s="15"/>
      <c r="K984" s="15"/>
      <c r="O984" s="15"/>
      <c r="P984" s="15"/>
    </row>
    <row r="985" spans="3:16" x14ac:dyDescent="0.25">
      <c r="C985" s="15"/>
      <c r="G985" s="15"/>
      <c r="K985" s="15"/>
      <c r="O985" s="15"/>
      <c r="P985" s="15"/>
    </row>
    <row r="986" spans="3:16" x14ac:dyDescent="0.25">
      <c r="C986" s="15"/>
      <c r="G986" s="15"/>
      <c r="K986" s="15"/>
      <c r="O986" s="15"/>
      <c r="P986" s="15"/>
    </row>
    <row r="987" spans="3:16" x14ac:dyDescent="0.25">
      <c r="C987" s="15"/>
      <c r="G987" s="15"/>
      <c r="K987" s="15"/>
      <c r="O987" s="15"/>
      <c r="P987" s="15"/>
    </row>
    <row r="988" spans="3:16" x14ac:dyDescent="0.25">
      <c r="C988" s="15"/>
      <c r="G988" s="15"/>
      <c r="K988" s="15"/>
      <c r="O988" s="15"/>
      <c r="P988" s="15"/>
    </row>
    <row r="989" spans="3:16" x14ac:dyDescent="0.25">
      <c r="C989" s="15"/>
      <c r="G989" s="15"/>
      <c r="K989" s="15"/>
      <c r="O989" s="15"/>
      <c r="P989" s="15"/>
    </row>
    <row r="990" spans="3:16" x14ac:dyDescent="0.25">
      <c r="C990" s="15"/>
      <c r="G990" s="15"/>
      <c r="K990" s="15"/>
      <c r="O990" s="15"/>
      <c r="P990" s="15"/>
    </row>
    <row r="991" spans="3:16" x14ac:dyDescent="0.25">
      <c r="C991" s="15"/>
      <c r="G991" s="15"/>
      <c r="K991" s="15"/>
      <c r="O991" s="15"/>
      <c r="P991" s="15"/>
    </row>
    <row r="992" spans="3:16" x14ac:dyDescent="0.25">
      <c r="C992" s="15"/>
      <c r="G992" s="15"/>
      <c r="K992" s="15"/>
      <c r="O992" s="15"/>
      <c r="P992" s="15"/>
    </row>
    <row r="993" spans="3:16" x14ac:dyDescent="0.25">
      <c r="C993" s="15"/>
      <c r="G993" s="15"/>
      <c r="K993" s="15"/>
      <c r="O993" s="15"/>
      <c r="P993" s="15"/>
    </row>
    <row r="994" spans="3:16" x14ac:dyDescent="0.25">
      <c r="C994" s="15"/>
      <c r="G994" s="15"/>
      <c r="K994" s="15"/>
      <c r="O994" s="15"/>
      <c r="P994" s="15"/>
    </row>
    <row r="995" spans="3:16" x14ac:dyDescent="0.25">
      <c r="C995" s="15"/>
      <c r="G995" s="15"/>
      <c r="K995" s="15"/>
      <c r="O995" s="15"/>
      <c r="P995" s="15"/>
    </row>
    <row r="996" spans="3:16" x14ac:dyDescent="0.25">
      <c r="C996" s="15"/>
      <c r="G996" s="15"/>
      <c r="K996" s="15"/>
      <c r="O996" s="15"/>
      <c r="P996" s="15"/>
    </row>
    <row r="997" spans="3:16" x14ac:dyDescent="0.25">
      <c r="C997" s="15"/>
      <c r="G997" s="15"/>
      <c r="K997" s="15"/>
      <c r="O997" s="15"/>
      <c r="P997" s="15"/>
    </row>
    <row r="998" spans="3:16" x14ac:dyDescent="0.25">
      <c r="C998" s="15"/>
      <c r="G998" s="15"/>
      <c r="K998" s="15"/>
      <c r="O998" s="15"/>
      <c r="P998" s="15"/>
    </row>
    <row r="999" spans="3:16" x14ac:dyDescent="0.25">
      <c r="C999" s="15"/>
      <c r="G999" s="15"/>
      <c r="K999" s="15"/>
      <c r="O999" s="15"/>
      <c r="P999" s="15"/>
    </row>
    <row r="1000" spans="3:16" x14ac:dyDescent="0.25">
      <c r="C1000" s="15"/>
      <c r="G1000" s="15"/>
      <c r="K1000" s="15"/>
      <c r="O1000" s="15"/>
      <c r="P1000" s="15"/>
    </row>
    <row r="1001" spans="3:16" x14ac:dyDescent="0.25">
      <c r="C1001" s="15"/>
      <c r="G1001" s="15"/>
      <c r="K1001" s="15"/>
      <c r="O1001" s="15"/>
      <c r="P1001" s="15"/>
    </row>
    <row r="1002" spans="3:16" x14ac:dyDescent="0.25">
      <c r="C1002" s="15"/>
      <c r="G1002" s="15"/>
      <c r="K1002" s="15"/>
      <c r="O1002" s="15"/>
      <c r="P1002" s="15"/>
    </row>
    <row r="1003" spans="3:16" x14ac:dyDescent="0.25">
      <c r="C1003" s="15"/>
      <c r="G1003" s="15"/>
      <c r="K1003" s="15"/>
      <c r="O1003" s="15"/>
      <c r="P1003" s="15"/>
    </row>
    <row r="1004" spans="3:16" x14ac:dyDescent="0.25">
      <c r="C1004" s="15"/>
      <c r="G1004" s="15"/>
      <c r="K1004" s="15"/>
      <c r="O1004" s="15"/>
      <c r="P1004" s="15"/>
    </row>
    <row r="1005" spans="3:16" x14ac:dyDescent="0.25">
      <c r="C1005" s="15"/>
      <c r="G1005" s="15"/>
      <c r="K1005" s="15"/>
      <c r="O1005" s="15"/>
      <c r="P1005" s="15"/>
    </row>
    <row r="1006" spans="3:16" x14ac:dyDescent="0.25">
      <c r="C1006" s="15"/>
      <c r="G1006" s="15"/>
      <c r="K1006" s="15"/>
      <c r="O1006" s="15"/>
      <c r="P1006" s="15"/>
    </row>
    <row r="1007" spans="3:16" x14ac:dyDescent="0.25">
      <c r="C1007" s="15"/>
      <c r="G1007" s="15"/>
      <c r="K1007" s="15"/>
      <c r="O1007" s="15"/>
      <c r="P1007" s="15"/>
    </row>
    <row r="1008" spans="3:16" x14ac:dyDescent="0.25">
      <c r="C1008" s="15"/>
      <c r="G1008" s="15"/>
      <c r="K1008" s="15"/>
      <c r="O1008" s="15"/>
      <c r="P1008" s="15"/>
    </row>
    <row r="1009" spans="3:16" x14ac:dyDescent="0.25">
      <c r="C1009" s="15"/>
      <c r="G1009" s="15"/>
      <c r="K1009" s="15"/>
      <c r="O1009" s="15"/>
      <c r="P1009" s="15"/>
    </row>
    <row r="1010" spans="3:16" x14ac:dyDescent="0.25">
      <c r="C1010" s="15"/>
      <c r="G1010" s="15"/>
      <c r="K1010" s="15"/>
      <c r="O1010" s="15"/>
      <c r="P1010" s="15"/>
    </row>
    <row r="1011" spans="3:16" x14ac:dyDescent="0.25">
      <c r="C1011" s="15"/>
      <c r="G1011" s="15"/>
      <c r="K1011" s="15"/>
      <c r="O1011" s="15"/>
      <c r="P1011" s="15"/>
    </row>
    <row r="1012" spans="3:16" x14ac:dyDescent="0.25">
      <c r="C1012" s="15"/>
      <c r="G1012" s="15"/>
      <c r="K1012" s="15"/>
      <c r="O1012" s="15"/>
      <c r="P1012" s="15"/>
    </row>
    <row r="1013" spans="3:16" x14ac:dyDescent="0.25">
      <c r="C1013" s="15"/>
      <c r="G1013" s="15"/>
      <c r="K1013" s="15"/>
      <c r="O1013" s="15"/>
      <c r="P1013" s="15"/>
    </row>
    <row r="1014" spans="3:16" x14ac:dyDescent="0.25">
      <c r="C1014" s="15"/>
      <c r="G1014" s="15"/>
      <c r="K1014" s="15"/>
      <c r="O1014" s="15"/>
      <c r="P1014" s="15"/>
    </row>
    <row r="1015" spans="3:16" x14ac:dyDescent="0.25">
      <c r="C1015" s="15"/>
      <c r="G1015" s="15"/>
      <c r="K1015" s="15"/>
      <c r="O1015" s="15"/>
      <c r="P1015" s="15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79652-B570-41A8-9D50-EAA29E7345C4}">
  <sheetPr>
    <outlinePr summaryBelow="0" summaryRight="0"/>
  </sheetPr>
  <dimension ref="A1:F1004"/>
  <sheetViews>
    <sheetView workbookViewId="0">
      <selection activeCell="B3" sqref="B3"/>
    </sheetView>
  </sheetViews>
  <sheetFormatPr defaultColWidth="14.42578125" defaultRowHeight="15" customHeight="1" x14ac:dyDescent="0.25"/>
  <cols>
    <col min="3" max="3" width="47.42578125" customWidth="1"/>
  </cols>
  <sheetData>
    <row r="1" spans="1:6" ht="15" customHeight="1" x14ac:dyDescent="0.3">
      <c r="A1" s="90" t="s">
        <v>184</v>
      </c>
      <c r="B1" s="91"/>
      <c r="C1" s="91"/>
    </row>
    <row r="2" spans="1:6" x14ac:dyDescent="0.25">
      <c r="A2" s="15"/>
    </row>
    <row r="3" spans="1:6" x14ac:dyDescent="0.25">
      <c r="A3" s="60" t="s">
        <v>1</v>
      </c>
      <c r="B3" s="61" t="s">
        <v>7</v>
      </c>
      <c r="C3" s="60" t="s">
        <v>2</v>
      </c>
      <c r="E3" s="102" t="s">
        <v>185</v>
      </c>
      <c r="F3" s="95"/>
    </row>
    <row r="4" spans="1:6" x14ac:dyDescent="0.25">
      <c r="A4" s="62">
        <v>46024</v>
      </c>
      <c r="B4" s="63">
        <v>33.229999999999997</v>
      </c>
      <c r="C4" s="4" t="s">
        <v>186</v>
      </c>
      <c r="E4" s="101">
        <f>SUM(B4:B61)</f>
        <v>6889.9399999999987</v>
      </c>
      <c r="F4" s="100"/>
    </row>
    <row r="5" spans="1:6" x14ac:dyDescent="0.25">
      <c r="A5" s="62">
        <v>46025</v>
      </c>
      <c r="B5" s="63">
        <v>73.69</v>
      </c>
      <c r="C5" s="4" t="s">
        <v>187</v>
      </c>
      <c r="E5" s="99"/>
      <c r="F5" s="98"/>
    </row>
    <row r="6" spans="1:6" x14ac:dyDescent="0.25">
      <c r="A6" s="62">
        <v>46024</v>
      </c>
      <c r="B6" s="63">
        <v>114.12</v>
      </c>
      <c r="C6" s="4" t="s">
        <v>188</v>
      </c>
    </row>
    <row r="7" spans="1:6" x14ac:dyDescent="0.25">
      <c r="A7" s="62">
        <v>46028</v>
      </c>
      <c r="B7" s="63">
        <v>16</v>
      </c>
      <c r="C7" s="9" t="s">
        <v>189</v>
      </c>
    </row>
    <row r="8" spans="1:6" x14ac:dyDescent="0.25">
      <c r="A8" s="62">
        <v>46028</v>
      </c>
      <c r="B8" s="63">
        <v>2.9</v>
      </c>
      <c r="C8" s="9" t="s">
        <v>190</v>
      </c>
    </row>
    <row r="9" spans="1:6" x14ac:dyDescent="0.25">
      <c r="A9" s="62">
        <v>46028</v>
      </c>
      <c r="B9" s="63">
        <v>39.54</v>
      </c>
      <c r="C9" s="9" t="s">
        <v>191</v>
      </c>
    </row>
    <row r="10" spans="1:6" x14ac:dyDescent="0.25">
      <c r="A10" s="62">
        <v>46028</v>
      </c>
      <c r="B10" s="63">
        <v>131.13</v>
      </c>
      <c r="C10" s="4" t="s">
        <v>192</v>
      </c>
    </row>
    <row r="11" spans="1:6" x14ac:dyDescent="0.25">
      <c r="A11" s="62">
        <v>46028</v>
      </c>
      <c r="B11" s="63">
        <v>319.54000000000002</v>
      </c>
      <c r="C11" s="4" t="s">
        <v>193</v>
      </c>
    </row>
    <row r="12" spans="1:6" x14ac:dyDescent="0.25">
      <c r="A12" s="62">
        <v>45664</v>
      </c>
      <c r="B12" s="63">
        <v>103.15</v>
      </c>
      <c r="C12" s="4" t="s">
        <v>192</v>
      </c>
    </row>
    <row r="13" spans="1:6" x14ac:dyDescent="0.25">
      <c r="A13" s="62">
        <v>46030</v>
      </c>
      <c r="B13" s="63">
        <v>243.48</v>
      </c>
      <c r="C13" s="4" t="s">
        <v>192</v>
      </c>
    </row>
    <row r="14" spans="1:6" x14ac:dyDescent="0.25">
      <c r="A14" s="62">
        <v>46357</v>
      </c>
      <c r="B14" s="63">
        <v>99.27</v>
      </c>
      <c r="C14" s="4" t="s">
        <v>192</v>
      </c>
    </row>
    <row r="15" spans="1:6" x14ac:dyDescent="0.25">
      <c r="A15" s="64">
        <v>46034</v>
      </c>
      <c r="B15" s="63">
        <v>99.34</v>
      </c>
      <c r="C15" s="4" t="s">
        <v>194</v>
      </c>
    </row>
    <row r="16" spans="1:6" x14ac:dyDescent="0.25">
      <c r="A16" s="64">
        <v>46035</v>
      </c>
      <c r="B16" s="63">
        <v>330.64</v>
      </c>
      <c r="C16" s="4" t="s">
        <v>194</v>
      </c>
    </row>
    <row r="17" spans="1:4" x14ac:dyDescent="0.25">
      <c r="A17" s="64">
        <v>46036</v>
      </c>
      <c r="B17" s="63">
        <v>164.15</v>
      </c>
      <c r="C17" s="4" t="s">
        <v>195</v>
      </c>
    </row>
    <row r="18" spans="1:4" x14ac:dyDescent="0.25">
      <c r="A18" s="64">
        <v>44940</v>
      </c>
      <c r="B18" s="63">
        <v>60</v>
      </c>
      <c r="C18" s="4" t="s">
        <v>196</v>
      </c>
    </row>
    <row r="19" spans="1:4" x14ac:dyDescent="0.25">
      <c r="A19" s="62">
        <v>46036</v>
      </c>
      <c r="B19" s="63">
        <v>178.9</v>
      </c>
      <c r="C19" s="4" t="s">
        <v>197</v>
      </c>
    </row>
    <row r="20" spans="1:4" x14ac:dyDescent="0.25">
      <c r="A20" s="62">
        <v>46036</v>
      </c>
      <c r="B20" s="63">
        <v>111.1</v>
      </c>
      <c r="C20" s="4" t="s">
        <v>198</v>
      </c>
    </row>
    <row r="21" spans="1:4" x14ac:dyDescent="0.25">
      <c r="A21" s="62">
        <v>46036</v>
      </c>
      <c r="B21" s="63">
        <v>337.73</v>
      </c>
      <c r="C21" s="4" t="s">
        <v>198</v>
      </c>
    </row>
    <row r="22" spans="1:4" x14ac:dyDescent="0.25">
      <c r="A22" s="62">
        <v>46037</v>
      </c>
      <c r="B22" s="63">
        <v>38</v>
      </c>
      <c r="C22" s="4" t="s">
        <v>199</v>
      </c>
    </row>
    <row r="23" spans="1:4" x14ac:dyDescent="0.25">
      <c r="A23" s="65">
        <v>46038</v>
      </c>
      <c r="B23" s="63">
        <v>192.5</v>
      </c>
      <c r="C23" s="4" t="s">
        <v>200</v>
      </c>
    </row>
    <row r="24" spans="1:4" x14ac:dyDescent="0.25">
      <c r="A24" s="62">
        <v>46038</v>
      </c>
      <c r="B24" s="63">
        <v>181</v>
      </c>
      <c r="C24" s="4" t="s">
        <v>201</v>
      </c>
    </row>
    <row r="25" spans="1:4" x14ac:dyDescent="0.25">
      <c r="A25" s="62">
        <v>46039</v>
      </c>
      <c r="B25" s="63">
        <v>30</v>
      </c>
      <c r="C25" s="4" t="s">
        <v>196</v>
      </c>
    </row>
    <row r="26" spans="1:4" x14ac:dyDescent="0.25">
      <c r="A26" s="62">
        <v>46041</v>
      </c>
      <c r="B26" s="63">
        <v>8</v>
      </c>
      <c r="C26" s="4" t="s">
        <v>202</v>
      </c>
    </row>
    <row r="27" spans="1:4" x14ac:dyDescent="0.25">
      <c r="A27" s="62">
        <v>46045</v>
      </c>
      <c r="B27" s="63">
        <v>202.96</v>
      </c>
      <c r="C27" s="4" t="s">
        <v>203</v>
      </c>
    </row>
    <row r="28" spans="1:4" x14ac:dyDescent="0.25">
      <c r="A28" s="62">
        <v>46048</v>
      </c>
      <c r="B28" s="63">
        <v>51.46</v>
      </c>
      <c r="C28" s="4" t="s">
        <v>204</v>
      </c>
    </row>
    <row r="29" spans="1:4" x14ac:dyDescent="0.25">
      <c r="A29" s="62">
        <v>46048</v>
      </c>
      <c r="B29" s="63">
        <v>205.73</v>
      </c>
      <c r="C29" s="4" t="s">
        <v>205</v>
      </c>
    </row>
    <row r="30" spans="1:4" x14ac:dyDescent="0.25">
      <c r="A30" s="62">
        <v>46050</v>
      </c>
      <c r="B30" s="63">
        <v>120.41</v>
      </c>
      <c r="C30" s="4" t="s">
        <v>192</v>
      </c>
    </row>
    <row r="31" spans="1:4" x14ac:dyDescent="0.25">
      <c r="A31" s="62"/>
      <c r="B31" s="63"/>
      <c r="C31" s="4"/>
    </row>
    <row r="32" spans="1:4" x14ac:dyDescent="0.25">
      <c r="A32" s="62">
        <v>46052</v>
      </c>
      <c r="B32" s="63">
        <v>48.76</v>
      </c>
      <c r="C32" s="4" t="s">
        <v>206</v>
      </c>
      <c r="D32" s="21" t="s">
        <v>207</v>
      </c>
    </row>
    <row r="33" spans="1:3" x14ac:dyDescent="0.25">
      <c r="A33" s="62">
        <v>46052</v>
      </c>
      <c r="B33" s="63">
        <v>91.53</v>
      </c>
      <c r="C33" s="4" t="s">
        <v>192</v>
      </c>
    </row>
    <row r="34" spans="1:3" x14ac:dyDescent="0.25">
      <c r="A34" s="62">
        <v>46055</v>
      </c>
      <c r="B34" s="63">
        <v>328.49</v>
      </c>
      <c r="C34" s="4" t="s">
        <v>194</v>
      </c>
    </row>
    <row r="35" spans="1:3" x14ac:dyDescent="0.25">
      <c r="A35" s="62">
        <v>46058</v>
      </c>
      <c r="B35" s="63"/>
      <c r="C35" s="66" t="s">
        <v>208</v>
      </c>
    </row>
    <row r="36" spans="1:3" x14ac:dyDescent="0.25">
      <c r="A36" s="62">
        <v>46058</v>
      </c>
      <c r="B36" s="63">
        <v>90.65</v>
      </c>
      <c r="C36" s="4" t="s">
        <v>209</v>
      </c>
    </row>
    <row r="37" spans="1:3" x14ac:dyDescent="0.25">
      <c r="A37" s="62">
        <v>46058</v>
      </c>
      <c r="B37" s="63">
        <v>12.98</v>
      </c>
      <c r="C37" s="4" t="s">
        <v>210</v>
      </c>
    </row>
    <row r="38" spans="1:3" x14ac:dyDescent="0.25">
      <c r="A38" s="62">
        <v>46059</v>
      </c>
      <c r="B38" s="63">
        <v>184.42</v>
      </c>
      <c r="C38" s="4" t="s">
        <v>211</v>
      </c>
    </row>
    <row r="39" spans="1:3" x14ac:dyDescent="0.25">
      <c r="A39" s="62">
        <v>46062</v>
      </c>
      <c r="B39" s="63">
        <v>76.5</v>
      </c>
      <c r="C39" s="4" t="s">
        <v>212</v>
      </c>
    </row>
    <row r="40" spans="1:3" x14ac:dyDescent="0.25">
      <c r="A40" s="62">
        <v>46063</v>
      </c>
      <c r="B40" s="63">
        <v>229.81</v>
      </c>
      <c r="C40" s="4" t="s">
        <v>194</v>
      </c>
    </row>
    <row r="41" spans="1:3" x14ac:dyDescent="0.25">
      <c r="A41" s="62">
        <v>46064</v>
      </c>
      <c r="B41" s="63">
        <v>54.9</v>
      </c>
      <c r="C41" s="4" t="s">
        <v>213</v>
      </c>
    </row>
    <row r="42" spans="1:3" x14ac:dyDescent="0.25">
      <c r="A42" s="62">
        <v>46064</v>
      </c>
      <c r="B42" s="63">
        <v>47</v>
      </c>
      <c r="C42" s="4" t="s">
        <v>214</v>
      </c>
    </row>
    <row r="43" spans="1:3" x14ac:dyDescent="0.25">
      <c r="A43" s="62">
        <v>46065</v>
      </c>
      <c r="B43" s="63">
        <v>30</v>
      </c>
      <c r="C43" s="4" t="s">
        <v>215</v>
      </c>
    </row>
    <row r="44" spans="1:3" x14ac:dyDescent="0.25">
      <c r="A44" s="62">
        <v>46065</v>
      </c>
      <c r="B44" s="63">
        <v>58.6</v>
      </c>
      <c r="C44" s="4" t="s">
        <v>216</v>
      </c>
    </row>
    <row r="45" spans="1:3" x14ac:dyDescent="0.25">
      <c r="A45" s="62">
        <v>46065</v>
      </c>
      <c r="B45" s="63">
        <v>44</v>
      </c>
      <c r="C45" s="4" t="s">
        <v>217</v>
      </c>
    </row>
    <row r="46" spans="1:3" x14ac:dyDescent="0.25">
      <c r="A46" s="62">
        <v>46069</v>
      </c>
      <c r="B46" s="63">
        <v>285.75</v>
      </c>
      <c r="C46" s="4" t="s">
        <v>218</v>
      </c>
    </row>
    <row r="47" spans="1:3" x14ac:dyDescent="0.25">
      <c r="A47" s="64">
        <v>46069</v>
      </c>
      <c r="B47" s="63"/>
      <c r="C47" s="4" t="s">
        <v>214</v>
      </c>
    </row>
    <row r="48" spans="1:3" x14ac:dyDescent="0.25">
      <c r="A48" s="64">
        <v>46069</v>
      </c>
      <c r="B48" s="63">
        <v>171.16</v>
      </c>
      <c r="C48" s="4" t="s">
        <v>11</v>
      </c>
    </row>
    <row r="49" spans="1:6" x14ac:dyDescent="0.25">
      <c r="A49" s="67">
        <v>46073</v>
      </c>
      <c r="B49" s="63">
        <v>45.9</v>
      </c>
      <c r="C49" s="4" t="s">
        <v>219</v>
      </c>
    </row>
    <row r="50" spans="1:6" x14ac:dyDescent="0.25">
      <c r="A50" s="64">
        <v>46073</v>
      </c>
      <c r="B50" s="63">
        <v>60.23</v>
      </c>
      <c r="C50" s="4" t="s">
        <v>220</v>
      </c>
    </row>
    <row r="51" spans="1:6" x14ac:dyDescent="0.25">
      <c r="A51" s="64">
        <v>46074</v>
      </c>
      <c r="B51" s="63">
        <v>29.9</v>
      </c>
      <c r="C51" s="4" t="s">
        <v>221</v>
      </c>
      <c r="F51" s="21"/>
    </row>
    <row r="52" spans="1:6" x14ac:dyDescent="0.25">
      <c r="A52" s="64">
        <v>46075</v>
      </c>
      <c r="B52" s="63">
        <v>219.45</v>
      </c>
      <c r="C52" s="4" t="s">
        <v>222</v>
      </c>
    </row>
    <row r="53" spans="1:6" x14ac:dyDescent="0.25">
      <c r="A53" s="64">
        <v>46076</v>
      </c>
      <c r="B53" s="63">
        <v>329.42</v>
      </c>
      <c r="C53" s="4" t="s">
        <v>223</v>
      </c>
    </row>
    <row r="54" spans="1:6" x14ac:dyDescent="0.25">
      <c r="A54" s="64">
        <v>46076</v>
      </c>
      <c r="B54" s="63">
        <v>166.5</v>
      </c>
      <c r="C54" s="4" t="s">
        <v>224</v>
      </c>
    </row>
    <row r="55" spans="1:6" x14ac:dyDescent="0.25">
      <c r="A55" s="64">
        <v>46079</v>
      </c>
      <c r="B55" s="63">
        <v>201.84</v>
      </c>
      <c r="C55" s="4" t="s">
        <v>194</v>
      </c>
    </row>
    <row r="56" spans="1:6" x14ac:dyDescent="0.25">
      <c r="A56" s="64">
        <v>46079</v>
      </c>
      <c r="B56" s="63">
        <v>81.86</v>
      </c>
      <c r="C56" s="4" t="s">
        <v>225</v>
      </c>
    </row>
    <row r="57" spans="1:6" x14ac:dyDescent="0.25">
      <c r="A57" s="64">
        <v>46086</v>
      </c>
      <c r="B57" s="63">
        <v>115.03</v>
      </c>
      <c r="C57" s="4" t="s">
        <v>194</v>
      </c>
    </row>
    <row r="58" spans="1:6" x14ac:dyDescent="0.25">
      <c r="A58" s="64">
        <v>46086</v>
      </c>
      <c r="B58" s="63">
        <v>41.76</v>
      </c>
      <c r="C58" s="4" t="s">
        <v>226</v>
      </c>
    </row>
    <row r="59" spans="1:6" x14ac:dyDescent="0.25">
      <c r="A59" s="64">
        <v>46090</v>
      </c>
      <c r="B59" s="63">
        <v>138.25</v>
      </c>
      <c r="C59" s="4" t="s">
        <v>192</v>
      </c>
    </row>
    <row r="60" spans="1:6" x14ac:dyDescent="0.25">
      <c r="A60" s="64">
        <v>46090</v>
      </c>
      <c r="B60" s="63">
        <v>116.33</v>
      </c>
      <c r="C60" s="4" t="s">
        <v>227</v>
      </c>
    </row>
    <row r="61" spans="1:6" x14ac:dyDescent="0.25">
      <c r="A61" s="64">
        <v>46097</v>
      </c>
      <c r="B61" s="63">
        <v>100.95</v>
      </c>
      <c r="C61" s="4" t="s">
        <v>192</v>
      </c>
    </row>
    <row r="62" spans="1:6" x14ac:dyDescent="0.25">
      <c r="A62" s="64">
        <v>46098</v>
      </c>
      <c r="B62" s="63">
        <v>16.899999999999999</v>
      </c>
      <c r="C62" s="4" t="s">
        <v>228</v>
      </c>
    </row>
    <row r="63" spans="1:6" x14ac:dyDescent="0.25">
      <c r="A63" s="64">
        <v>46098</v>
      </c>
      <c r="B63" s="63">
        <v>85.65</v>
      </c>
      <c r="C63" s="4" t="s">
        <v>229</v>
      </c>
    </row>
    <row r="64" spans="1:6" x14ac:dyDescent="0.25">
      <c r="A64" s="64">
        <v>46098</v>
      </c>
      <c r="B64" s="63">
        <v>39.979999999999997</v>
      </c>
      <c r="C64" s="4" t="s">
        <v>230</v>
      </c>
    </row>
    <row r="65" spans="1:4" x14ac:dyDescent="0.25">
      <c r="A65" s="64">
        <v>46098</v>
      </c>
      <c r="B65" s="63">
        <v>98.15</v>
      </c>
      <c r="C65" s="4" t="s">
        <v>231</v>
      </c>
    </row>
    <row r="66" spans="1:4" x14ac:dyDescent="0.25">
      <c r="A66" s="64">
        <v>46098</v>
      </c>
      <c r="B66" s="63">
        <v>16.5</v>
      </c>
      <c r="C66" s="4" t="s">
        <v>232</v>
      </c>
    </row>
    <row r="67" spans="1:4" x14ac:dyDescent="0.25">
      <c r="A67" s="64">
        <v>46100</v>
      </c>
      <c r="B67" s="63">
        <v>252.01</v>
      </c>
      <c r="C67" s="4" t="s">
        <v>192</v>
      </c>
    </row>
    <row r="68" spans="1:4" x14ac:dyDescent="0.25">
      <c r="A68" s="64">
        <v>46101</v>
      </c>
      <c r="B68" s="63">
        <v>75.86</v>
      </c>
      <c r="C68" s="4" t="s">
        <v>233</v>
      </c>
    </row>
    <row r="69" spans="1:4" x14ac:dyDescent="0.25">
      <c r="A69" s="64">
        <v>46105</v>
      </c>
      <c r="B69" s="63"/>
      <c r="C69" s="4" t="s">
        <v>234</v>
      </c>
      <c r="D69" s="21" t="s">
        <v>235</v>
      </c>
    </row>
    <row r="70" spans="1:4" x14ac:dyDescent="0.25">
      <c r="A70" s="64">
        <v>46107</v>
      </c>
      <c r="B70" s="63">
        <v>68.37</v>
      </c>
      <c r="C70" s="4" t="s">
        <v>236</v>
      </c>
    </row>
    <row r="71" spans="1:4" x14ac:dyDescent="0.25">
      <c r="A71" s="64">
        <v>46108</v>
      </c>
      <c r="B71" s="63"/>
      <c r="C71" s="4" t="s">
        <v>237</v>
      </c>
    </row>
    <row r="72" spans="1:4" x14ac:dyDescent="0.25">
      <c r="A72" s="64">
        <v>46109</v>
      </c>
      <c r="B72" s="63"/>
      <c r="C72" s="4" t="s">
        <v>238</v>
      </c>
    </row>
    <row r="73" spans="1:4" x14ac:dyDescent="0.25">
      <c r="A73" s="64">
        <v>46111</v>
      </c>
      <c r="B73" s="63">
        <v>145.56</v>
      </c>
      <c r="C73" s="4" t="s">
        <v>198</v>
      </c>
    </row>
    <row r="74" spans="1:4" x14ac:dyDescent="0.25">
      <c r="A74" s="64">
        <v>46111</v>
      </c>
      <c r="B74" s="63">
        <v>134.30000000000001</v>
      </c>
      <c r="C74" s="4" t="s">
        <v>192</v>
      </c>
    </row>
    <row r="75" spans="1:4" x14ac:dyDescent="0.25">
      <c r="A75" s="64">
        <v>46111</v>
      </c>
      <c r="B75" s="63">
        <v>125.15</v>
      </c>
      <c r="C75" s="4" t="s">
        <v>192</v>
      </c>
    </row>
    <row r="76" spans="1:4" x14ac:dyDescent="0.25">
      <c r="A76" s="64">
        <v>46118</v>
      </c>
      <c r="B76" s="63">
        <v>126.72</v>
      </c>
      <c r="C76" s="4" t="s">
        <v>239</v>
      </c>
    </row>
    <row r="77" spans="1:4" x14ac:dyDescent="0.25">
      <c r="A77" s="64">
        <v>46119</v>
      </c>
      <c r="B77" s="63">
        <v>172.75</v>
      </c>
      <c r="C77" s="4" t="s">
        <v>240</v>
      </c>
    </row>
    <row r="78" spans="1:4" x14ac:dyDescent="0.25">
      <c r="A78" s="64">
        <v>46121</v>
      </c>
      <c r="B78" s="63">
        <v>50</v>
      </c>
      <c r="C78" s="4" t="s">
        <v>241</v>
      </c>
    </row>
    <row r="79" spans="1:4" x14ac:dyDescent="0.25">
      <c r="A79" s="64">
        <v>46121</v>
      </c>
      <c r="B79" s="63">
        <v>31.96</v>
      </c>
      <c r="C79" s="4" t="s">
        <v>242</v>
      </c>
    </row>
    <row r="80" spans="1:4" x14ac:dyDescent="0.25">
      <c r="A80" s="64">
        <v>46121</v>
      </c>
      <c r="B80" s="63">
        <v>7.02</v>
      </c>
      <c r="C80" s="4" t="s">
        <v>242</v>
      </c>
    </row>
    <row r="81" spans="1:3" x14ac:dyDescent="0.25">
      <c r="A81" s="64">
        <v>46125</v>
      </c>
      <c r="B81" s="63">
        <v>126.99</v>
      </c>
      <c r="C81" s="4" t="s">
        <v>243</v>
      </c>
    </row>
    <row r="82" spans="1:3" x14ac:dyDescent="0.25">
      <c r="A82" s="64">
        <v>46125</v>
      </c>
      <c r="B82" s="63">
        <v>419.74</v>
      </c>
      <c r="C82" s="4" t="s">
        <v>192</v>
      </c>
    </row>
    <row r="83" spans="1:3" x14ac:dyDescent="0.25">
      <c r="A83" s="64">
        <v>46127</v>
      </c>
      <c r="B83" s="63"/>
      <c r="C83" s="4" t="s">
        <v>244</v>
      </c>
    </row>
    <row r="84" spans="1:3" x14ac:dyDescent="0.25">
      <c r="A84" s="64">
        <v>46128</v>
      </c>
      <c r="B84" s="63">
        <v>49.96</v>
      </c>
      <c r="C84" s="4" t="s">
        <v>245</v>
      </c>
    </row>
    <row r="85" spans="1:3" x14ac:dyDescent="0.25">
      <c r="A85" s="64">
        <v>46133</v>
      </c>
      <c r="B85" s="63">
        <v>293.39999999999998</v>
      </c>
      <c r="C85" s="4" t="s">
        <v>11</v>
      </c>
    </row>
    <row r="86" spans="1:3" x14ac:dyDescent="0.25">
      <c r="A86" s="64">
        <v>46134</v>
      </c>
      <c r="B86" s="63">
        <v>345.19</v>
      </c>
      <c r="C86" s="4" t="s">
        <v>194</v>
      </c>
    </row>
    <row r="87" spans="1:3" x14ac:dyDescent="0.25">
      <c r="A87" s="64">
        <v>46135</v>
      </c>
      <c r="B87" s="63">
        <v>55.8</v>
      </c>
      <c r="C87" s="4" t="s">
        <v>246</v>
      </c>
    </row>
    <row r="88" spans="1:3" x14ac:dyDescent="0.25">
      <c r="A88" s="64">
        <v>46135</v>
      </c>
      <c r="B88" s="63">
        <v>17</v>
      </c>
      <c r="C88" s="4" t="s">
        <v>247</v>
      </c>
    </row>
    <row r="89" spans="1:3" x14ac:dyDescent="0.25">
      <c r="A89" s="64">
        <v>46140</v>
      </c>
      <c r="B89" s="63">
        <v>20</v>
      </c>
      <c r="C89" s="4" t="s">
        <v>248</v>
      </c>
    </row>
    <row r="90" spans="1:3" x14ac:dyDescent="0.25">
      <c r="A90" s="64">
        <v>46140</v>
      </c>
      <c r="B90" s="63">
        <v>17.5</v>
      </c>
      <c r="C90" s="4" t="s">
        <v>249</v>
      </c>
    </row>
    <row r="91" spans="1:3" x14ac:dyDescent="0.25">
      <c r="A91" s="64">
        <v>46142</v>
      </c>
      <c r="B91" s="63">
        <v>55</v>
      </c>
      <c r="C91" s="4" t="s">
        <v>250</v>
      </c>
    </row>
    <row r="92" spans="1:3" x14ac:dyDescent="0.25">
      <c r="A92" s="64"/>
      <c r="B92" s="63" t="s">
        <v>77</v>
      </c>
      <c r="C92" s="4">
        <v>2026</v>
      </c>
    </row>
    <row r="93" spans="1:3" x14ac:dyDescent="0.25">
      <c r="A93" s="64">
        <v>46146</v>
      </c>
      <c r="B93" s="63">
        <v>96.9</v>
      </c>
      <c r="C93" s="4" t="s">
        <v>251</v>
      </c>
    </row>
    <row r="94" spans="1:3" x14ac:dyDescent="0.25">
      <c r="A94" s="64">
        <v>46146</v>
      </c>
      <c r="B94" s="63">
        <v>253.4</v>
      </c>
      <c r="C94" s="4" t="s">
        <v>252</v>
      </c>
    </row>
    <row r="95" spans="1:3" x14ac:dyDescent="0.25">
      <c r="A95" s="64">
        <v>46147</v>
      </c>
      <c r="B95" s="63">
        <v>338.75</v>
      </c>
      <c r="C95" s="4" t="s">
        <v>253</v>
      </c>
    </row>
    <row r="96" spans="1:3" x14ac:dyDescent="0.25">
      <c r="A96" s="64">
        <v>46147</v>
      </c>
      <c r="B96" s="63">
        <v>49.86</v>
      </c>
      <c r="C96" s="4" t="s">
        <v>254</v>
      </c>
    </row>
    <row r="97" spans="1:3" x14ac:dyDescent="0.25">
      <c r="A97" s="64">
        <v>46148</v>
      </c>
      <c r="B97" s="63">
        <v>24</v>
      </c>
      <c r="C97" s="4" t="s">
        <v>255</v>
      </c>
    </row>
    <row r="98" spans="1:3" x14ac:dyDescent="0.25">
      <c r="A98" s="64">
        <v>46150</v>
      </c>
      <c r="B98" s="63"/>
      <c r="C98" s="4" t="s">
        <v>256</v>
      </c>
    </row>
    <row r="99" spans="1:3" x14ac:dyDescent="0.25">
      <c r="A99" s="64">
        <v>46154</v>
      </c>
      <c r="B99" s="63">
        <v>260.77999999999997</v>
      </c>
      <c r="C99" s="4" t="s">
        <v>257</v>
      </c>
    </row>
    <row r="100" spans="1:3" x14ac:dyDescent="0.25">
      <c r="A100" s="64">
        <v>46155</v>
      </c>
      <c r="B100" s="63">
        <v>51.96</v>
      </c>
      <c r="C100" s="4" t="s">
        <v>258</v>
      </c>
    </row>
    <row r="101" spans="1:3" x14ac:dyDescent="0.25">
      <c r="A101" s="64">
        <v>46161</v>
      </c>
      <c r="B101" s="63">
        <v>83</v>
      </c>
      <c r="C101" s="4" t="s">
        <v>259</v>
      </c>
    </row>
    <row r="102" spans="1:3" x14ac:dyDescent="0.25">
      <c r="A102" s="64">
        <v>46162</v>
      </c>
      <c r="B102" s="63">
        <v>249.95</v>
      </c>
      <c r="C102" s="4" t="s">
        <v>257</v>
      </c>
    </row>
    <row r="103" spans="1:3" x14ac:dyDescent="0.25">
      <c r="A103" s="64">
        <v>46168</v>
      </c>
      <c r="B103" s="63">
        <v>17.5</v>
      </c>
      <c r="C103" s="4" t="s">
        <v>260</v>
      </c>
    </row>
    <row r="104" spans="1:3" x14ac:dyDescent="0.25">
      <c r="A104" s="64">
        <v>46172</v>
      </c>
      <c r="B104" s="63">
        <v>50</v>
      </c>
      <c r="C104" s="4" t="s">
        <v>261</v>
      </c>
    </row>
    <row r="105" spans="1:3" x14ac:dyDescent="0.25">
      <c r="A105" s="64"/>
      <c r="B105" s="63"/>
      <c r="C105" s="4" t="s">
        <v>202</v>
      </c>
    </row>
    <row r="106" spans="1:3" x14ac:dyDescent="0.25">
      <c r="A106" s="64">
        <v>46175</v>
      </c>
      <c r="B106" s="63">
        <v>10.35</v>
      </c>
      <c r="C106" s="4" t="s">
        <v>253</v>
      </c>
    </row>
    <row r="107" spans="1:3" x14ac:dyDescent="0.25">
      <c r="A107" s="64">
        <v>46176</v>
      </c>
      <c r="B107" s="63">
        <v>187.34</v>
      </c>
      <c r="C107" s="4" t="s">
        <v>192</v>
      </c>
    </row>
    <row r="108" spans="1:3" x14ac:dyDescent="0.25">
      <c r="A108" s="64">
        <v>46176</v>
      </c>
      <c r="B108" s="63">
        <v>2</v>
      </c>
      <c r="C108" s="4" t="s">
        <v>262</v>
      </c>
    </row>
    <row r="109" spans="1:3" x14ac:dyDescent="0.25">
      <c r="A109" s="64">
        <v>46178</v>
      </c>
      <c r="B109" s="63">
        <v>25</v>
      </c>
      <c r="C109" s="4" t="s">
        <v>263</v>
      </c>
    </row>
    <row r="110" spans="1:3" x14ac:dyDescent="0.25">
      <c r="A110" s="64">
        <v>46181</v>
      </c>
      <c r="B110" s="63">
        <v>88</v>
      </c>
      <c r="C110" s="4" t="s">
        <v>264</v>
      </c>
    </row>
    <row r="111" spans="1:3" x14ac:dyDescent="0.25">
      <c r="A111" s="64">
        <v>46181</v>
      </c>
      <c r="B111" s="63">
        <v>10.36</v>
      </c>
      <c r="C111" s="4" t="s">
        <v>265</v>
      </c>
    </row>
    <row r="112" spans="1:3" x14ac:dyDescent="0.25">
      <c r="A112" s="64">
        <v>46181</v>
      </c>
      <c r="B112" s="63">
        <v>13.8</v>
      </c>
      <c r="C112" s="4" t="s">
        <v>266</v>
      </c>
    </row>
    <row r="113" spans="1:4" x14ac:dyDescent="0.25">
      <c r="A113" s="64">
        <v>46182</v>
      </c>
      <c r="B113" s="63">
        <v>179.73</v>
      </c>
      <c r="C113" s="4" t="s">
        <v>192</v>
      </c>
    </row>
    <row r="114" spans="1:4" x14ac:dyDescent="0.25">
      <c r="A114" s="64">
        <v>46183</v>
      </c>
      <c r="B114" s="63">
        <v>25.9</v>
      </c>
      <c r="C114" s="4" t="s">
        <v>267</v>
      </c>
    </row>
    <row r="115" spans="1:4" x14ac:dyDescent="0.25">
      <c r="A115" s="64">
        <v>46184</v>
      </c>
      <c r="B115" s="63">
        <v>13</v>
      </c>
      <c r="C115" s="4" t="s">
        <v>268</v>
      </c>
      <c r="D115" s="21" t="s">
        <v>994</v>
      </c>
    </row>
    <row r="116" spans="1:4" x14ac:dyDescent="0.25">
      <c r="A116" s="64">
        <v>46188</v>
      </c>
      <c r="B116" s="63">
        <v>122.78</v>
      </c>
      <c r="C116" s="4" t="s">
        <v>233</v>
      </c>
    </row>
    <row r="117" spans="1:4" x14ac:dyDescent="0.25">
      <c r="A117" s="64">
        <v>46198</v>
      </c>
      <c r="B117" s="63"/>
      <c r="C117" s="4" t="s">
        <v>269</v>
      </c>
    </row>
    <row r="118" spans="1:4" x14ac:dyDescent="0.25">
      <c r="A118" s="64">
        <v>46198</v>
      </c>
      <c r="B118" s="63">
        <v>30.66</v>
      </c>
      <c r="C118" s="4" t="s">
        <v>270</v>
      </c>
    </row>
    <row r="119" spans="1:4" x14ac:dyDescent="0.25">
      <c r="A119" s="64">
        <v>46198</v>
      </c>
      <c r="B119" s="63">
        <v>274.66000000000003</v>
      </c>
      <c r="C119" s="4" t="s">
        <v>271</v>
      </c>
    </row>
    <row r="120" spans="1:4" x14ac:dyDescent="0.25">
      <c r="A120" s="64">
        <v>46199</v>
      </c>
      <c r="B120" s="63">
        <v>103.3</v>
      </c>
      <c r="C120" s="4" t="s">
        <v>192</v>
      </c>
    </row>
    <row r="121" spans="1:4" x14ac:dyDescent="0.25">
      <c r="A121" s="64">
        <v>46202</v>
      </c>
      <c r="B121" s="63">
        <v>62.9</v>
      </c>
      <c r="C121" s="4" t="s">
        <v>272</v>
      </c>
    </row>
    <row r="122" spans="1:4" x14ac:dyDescent="0.25">
      <c r="A122" s="64">
        <v>46203</v>
      </c>
      <c r="B122" s="63">
        <v>99.26</v>
      </c>
      <c r="C122" s="4" t="s">
        <v>253</v>
      </c>
    </row>
    <row r="123" spans="1:4" x14ac:dyDescent="0.25">
      <c r="A123" s="64">
        <v>46204</v>
      </c>
      <c r="B123" s="63">
        <v>215.11</v>
      </c>
      <c r="C123" s="4" t="s">
        <v>194</v>
      </c>
      <c r="D123" s="21" t="s">
        <v>79</v>
      </c>
    </row>
    <row r="124" spans="1:4" x14ac:dyDescent="0.25">
      <c r="A124" s="64">
        <v>46204</v>
      </c>
      <c r="B124" s="63">
        <v>3.29</v>
      </c>
      <c r="C124" s="4" t="s">
        <v>192</v>
      </c>
    </row>
    <row r="125" spans="1:4" x14ac:dyDescent="0.25">
      <c r="A125" s="64">
        <v>46204</v>
      </c>
      <c r="B125" s="63">
        <v>51.7</v>
      </c>
      <c r="C125" s="4" t="s">
        <v>191</v>
      </c>
    </row>
    <row r="126" spans="1:4" x14ac:dyDescent="0.25">
      <c r="A126" s="64">
        <v>46206</v>
      </c>
      <c r="B126" s="63">
        <v>49.03</v>
      </c>
      <c r="C126" s="4" t="s">
        <v>273</v>
      </c>
      <c r="D126" s="21" t="s">
        <v>993</v>
      </c>
    </row>
    <row r="127" spans="1:4" x14ac:dyDescent="0.25">
      <c r="A127" s="64">
        <v>46207</v>
      </c>
      <c r="B127" s="63">
        <v>100.23</v>
      </c>
      <c r="C127" s="4" t="s">
        <v>274</v>
      </c>
    </row>
    <row r="128" spans="1:4" x14ac:dyDescent="0.25">
      <c r="A128" s="64">
        <v>46210</v>
      </c>
      <c r="B128" s="63">
        <v>73.75</v>
      </c>
      <c r="C128" s="4" t="s">
        <v>192</v>
      </c>
    </row>
    <row r="129" spans="1:3" x14ac:dyDescent="0.25">
      <c r="A129" s="64">
        <v>46211</v>
      </c>
      <c r="B129" s="63">
        <v>376.3</v>
      </c>
      <c r="C129" s="4" t="s">
        <v>198</v>
      </c>
    </row>
    <row r="130" spans="1:3" x14ac:dyDescent="0.25">
      <c r="A130" s="64"/>
      <c r="B130" s="63"/>
      <c r="C130" s="4"/>
    </row>
    <row r="131" spans="1:3" x14ac:dyDescent="0.25">
      <c r="A131" s="64"/>
      <c r="B131" s="63"/>
      <c r="C131" s="4"/>
    </row>
    <row r="132" spans="1:3" x14ac:dyDescent="0.25">
      <c r="A132" s="64"/>
      <c r="B132" s="63"/>
      <c r="C132" s="4"/>
    </row>
    <row r="133" spans="1:3" x14ac:dyDescent="0.25">
      <c r="A133" s="64"/>
      <c r="B133" s="63"/>
      <c r="C133" s="4"/>
    </row>
    <row r="134" spans="1:3" x14ac:dyDescent="0.25">
      <c r="A134" s="64"/>
      <c r="B134" s="63"/>
      <c r="C134" s="4"/>
    </row>
    <row r="135" spans="1:3" x14ac:dyDescent="0.25">
      <c r="A135" s="64"/>
      <c r="B135" s="63"/>
      <c r="C135" s="4"/>
    </row>
    <row r="136" spans="1:3" x14ac:dyDescent="0.25">
      <c r="A136" s="64"/>
      <c r="B136" s="63"/>
      <c r="C136" s="4"/>
    </row>
    <row r="137" spans="1:3" x14ac:dyDescent="0.25">
      <c r="A137" s="64"/>
      <c r="B137" s="63"/>
      <c r="C137" s="4"/>
    </row>
    <row r="138" spans="1:3" x14ac:dyDescent="0.25">
      <c r="A138" s="64"/>
      <c r="B138" s="63"/>
      <c r="C138" s="4"/>
    </row>
    <row r="139" spans="1:3" x14ac:dyDescent="0.25">
      <c r="A139" s="64"/>
      <c r="B139" s="63"/>
      <c r="C139" s="4"/>
    </row>
    <row r="140" spans="1:3" x14ac:dyDescent="0.25">
      <c r="A140" s="64"/>
      <c r="B140" s="63"/>
      <c r="C140" s="4"/>
    </row>
    <row r="141" spans="1:3" x14ac:dyDescent="0.25">
      <c r="A141" s="64"/>
      <c r="B141" s="63"/>
      <c r="C141" s="4"/>
    </row>
    <row r="142" spans="1:3" x14ac:dyDescent="0.25">
      <c r="A142" s="64"/>
      <c r="B142" s="63"/>
      <c r="C142" s="4"/>
    </row>
    <row r="143" spans="1:3" x14ac:dyDescent="0.25">
      <c r="A143" s="64"/>
      <c r="B143" s="63"/>
      <c r="C143" s="4"/>
    </row>
    <row r="144" spans="1:3" x14ac:dyDescent="0.25">
      <c r="A144" s="64"/>
      <c r="B144" s="63"/>
      <c r="C144" s="4"/>
    </row>
    <row r="145" spans="1:3" x14ac:dyDescent="0.25">
      <c r="A145" s="64"/>
      <c r="B145" s="63"/>
      <c r="C145" s="4"/>
    </row>
    <row r="146" spans="1:3" x14ac:dyDescent="0.25">
      <c r="A146" s="64"/>
      <c r="B146" s="63"/>
      <c r="C146" s="4"/>
    </row>
    <row r="147" spans="1:3" x14ac:dyDescent="0.25">
      <c r="A147" s="64"/>
      <c r="B147" s="63"/>
      <c r="C147" s="4"/>
    </row>
    <row r="148" spans="1:3" x14ac:dyDescent="0.25">
      <c r="A148" s="64"/>
      <c r="B148" s="63"/>
      <c r="C148" s="4"/>
    </row>
    <row r="149" spans="1:3" x14ac:dyDescent="0.25">
      <c r="A149" s="64"/>
      <c r="B149" s="63"/>
      <c r="C149" s="4"/>
    </row>
    <row r="150" spans="1:3" x14ac:dyDescent="0.25">
      <c r="A150" s="64"/>
      <c r="B150" s="63"/>
      <c r="C150" s="4"/>
    </row>
    <row r="151" spans="1:3" x14ac:dyDescent="0.25">
      <c r="A151" s="64"/>
      <c r="B151" s="63"/>
      <c r="C151" s="4"/>
    </row>
    <row r="152" spans="1:3" x14ac:dyDescent="0.25">
      <c r="A152" s="64"/>
      <c r="B152" s="63"/>
      <c r="C152" s="4"/>
    </row>
    <row r="153" spans="1:3" x14ac:dyDescent="0.25">
      <c r="A153" s="64"/>
      <c r="B153" s="63"/>
      <c r="C153" s="4"/>
    </row>
    <row r="154" spans="1:3" x14ac:dyDescent="0.25">
      <c r="A154" s="64"/>
      <c r="B154" s="63"/>
      <c r="C154" s="4"/>
    </row>
    <row r="155" spans="1:3" x14ac:dyDescent="0.25">
      <c r="A155" s="15"/>
    </row>
    <row r="156" spans="1:3" x14ac:dyDescent="0.25">
      <c r="A156" s="15"/>
    </row>
    <row r="157" spans="1:3" x14ac:dyDescent="0.25">
      <c r="A157" s="15"/>
    </row>
    <row r="158" spans="1:3" x14ac:dyDescent="0.25">
      <c r="A158" s="15"/>
    </row>
    <row r="159" spans="1:3" x14ac:dyDescent="0.25">
      <c r="A159" s="15"/>
    </row>
    <row r="160" spans="1:3" x14ac:dyDescent="0.25">
      <c r="A160" s="15"/>
    </row>
    <row r="161" spans="1:1" x14ac:dyDescent="0.25">
      <c r="A161" s="15"/>
    </row>
    <row r="162" spans="1:1" x14ac:dyDescent="0.25">
      <c r="A162" s="15"/>
    </row>
    <row r="163" spans="1:1" x14ac:dyDescent="0.25">
      <c r="A163" s="15"/>
    </row>
    <row r="164" spans="1:1" x14ac:dyDescent="0.25">
      <c r="A164" s="15"/>
    </row>
    <row r="165" spans="1:1" x14ac:dyDescent="0.25">
      <c r="A165" s="15"/>
    </row>
    <row r="166" spans="1:1" x14ac:dyDescent="0.25">
      <c r="A166" s="15"/>
    </row>
    <row r="167" spans="1:1" x14ac:dyDescent="0.25">
      <c r="A167" s="15"/>
    </row>
    <row r="168" spans="1:1" x14ac:dyDescent="0.25">
      <c r="A168" s="15"/>
    </row>
    <row r="169" spans="1:1" x14ac:dyDescent="0.25">
      <c r="A169" s="15"/>
    </row>
    <row r="170" spans="1:1" x14ac:dyDescent="0.25">
      <c r="A170" s="15"/>
    </row>
    <row r="171" spans="1:1" x14ac:dyDescent="0.25">
      <c r="A171" s="15"/>
    </row>
    <row r="172" spans="1:1" x14ac:dyDescent="0.25">
      <c r="A172" s="15"/>
    </row>
    <row r="173" spans="1:1" x14ac:dyDescent="0.25">
      <c r="A173" s="15"/>
    </row>
    <row r="174" spans="1:1" x14ac:dyDescent="0.25">
      <c r="A174" s="15"/>
    </row>
    <row r="175" spans="1:1" x14ac:dyDescent="0.25">
      <c r="A175" s="15"/>
    </row>
    <row r="176" spans="1:1" x14ac:dyDescent="0.25">
      <c r="A176" s="15"/>
    </row>
    <row r="177" spans="1:1" x14ac:dyDescent="0.25">
      <c r="A177" s="15"/>
    </row>
    <row r="178" spans="1:1" x14ac:dyDescent="0.25">
      <c r="A178" s="15"/>
    </row>
    <row r="179" spans="1:1" x14ac:dyDescent="0.25">
      <c r="A179" s="15"/>
    </row>
    <row r="180" spans="1:1" x14ac:dyDescent="0.25">
      <c r="A180" s="15"/>
    </row>
    <row r="181" spans="1:1" x14ac:dyDescent="0.25">
      <c r="A181" s="15"/>
    </row>
    <row r="182" spans="1:1" x14ac:dyDescent="0.25">
      <c r="A182" s="15"/>
    </row>
    <row r="183" spans="1:1" x14ac:dyDescent="0.25">
      <c r="A183" s="15"/>
    </row>
    <row r="184" spans="1:1" x14ac:dyDescent="0.25">
      <c r="A184" s="15"/>
    </row>
    <row r="185" spans="1:1" x14ac:dyDescent="0.25">
      <c r="A185" s="15"/>
    </row>
    <row r="186" spans="1:1" x14ac:dyDescent="0.25">
      <c r="A186" s="15"/>
    </row>
    <row r="187" spans="1:1" x14ac:dyDescent="0.25">
      <c r="A187" s="15"/>
    </row>
    <row r="188" spans="1:1" x14ac:dyDescent="0.25">
      <c r="A188" s="15"/>
    </row>
    <row r="189" spans="1:1" x14ac:dyDescent="0.25">
      <c r="A189" s="15"/>
    </row>
    <row r="190" spans="1:1" x14ac:dyDescent="0.25">
      <c r="A190" s="15"/>
    </row>
    <row r="191" spans="1:1" x14ac:dyDescent="0.25">
      <c r="A191" s="15"/>
    </row>
    <row r="192" spans="1:1" x14ac:dyDescent="0.25">
      <c r="A192" s="15"/>
    </row>
    <row r="193" spans="1:1" x14ac:dyDescent="0.25">
      <c r="A193" s="15"/>
    </row>
    <row r="194" spans="1:1" x14ac:dyDescent="0.25">
      <c r="A194" s="15"/>
    </row>
    <row r="195" spans="1:1" x14ac:dyDescent="0.25">
      <c r="A195" s="15"/>
    </row>
    <row r="196" spans="1:1" x14ac:dyDescent="0.25">
      <c r="A196" s="15"/>
    </row>
    <row r="197" spans="1:1" x14ac:dyDescent="0.25">
      <c r="A197" s="15"/>
    </row>
    <row r="198" spans="1:1" x14ac:dyDescent="0.25">
      <c r="A198" s="15"/>
    </row>
    <row r="199" spans="1:1" x14ac:dyDescent="0.25">
      <c r="A199" s="15"/>
    </row>
    <row r="200" spans="1:1" x14ac:dyDescent="0.25">
      <c r="A200" s="15"/>
    </row>
    <row r="201" spans="1:1" x14ac:dyDescent="0.25">
      <c r="A201" s="15"/>
    </row>
    <row r="202" spans="1:1" x14ac:dyDescent="0.25">
      <c r="A202" s="15"/>
    </row>
    <row r="203" spans="1:1" x14ac:dyDescent="0.25">
      <c r="A203" s="15"/>
    </row>
    <row r="204" spans="1:1" x14ac:dyDescent="0.25">
      <c r="A204" s="15"/>
    </row>
    <row r="205" spans="1:1" x14ac:dyDescent="0.25">
      <c r="A205" s="15"/>
    </row>
    <row r="206" spans="1:1" x14ac:dyDescent="0.25">
      <c r="A206" s="15"/>
    </row>
    <row r="207" spans="1:1" x14ac:dyDescent="0.25">
      <c r="A207" s="15"/>
    </row>
    <row r="208" spans="1:1" x14ac:dyDescent="0.25">
      <c r="A208" s="15"/>
    </row>
    <row r="209" spans="1:1" x14ac:dyDescent="0.25">
      <c r="A209" s="15"/>
    </row>
    <row r="210" spans="1:1" x14ac:dyDescent="0.25">
      <c r="A210" s="15"/>
    </row>
    <row r="211" spans="1:1" x14ac:dyDescent="0.25">
      <c r="A211" s="15"/>
    </row>
    <row r="212" spans="1:1" x14ac:dyDescent="0.25">
      <c r="A212" s="15"/>
    </row>
    <row r="213" spans="1:1" x14ac:dyDescent="0.25">
      <c r="A213" s="15"/>
    </row>
    <row r="214" spans="1:1" x14ac:dyDescent="0.25">
      <c r="A214" s="15"/>
    </row>
    <row r="215" spans="1:1" x14ac:dyDescent="0.25">
      <c r="A215" s="15"/>
    </row>
    <row r="216" spans="1:1" x14ac:dyDescent="0.25">
      <c r="A216" s="15"/>
    </row>
    <row r="217" spans="1:1" x14ac:dyDescent="0.25">
      <c r="A217" s="15"/>
    </row>
    <row r="218" spans="1:1" x14ac:dyDescent="0.25">
      <c r="A218" s="15"/>
    </row>
    <row r="219" spans="1:1" x14ac:dyDescent="0.25">
      <c r="A219" s="15"/>
    </row>
    <row r="220" spans="1:1" x14ac:dyDescent="0.25">
      <c r="A220" s="15"/>
    </row>
    <row r="221" spans="1:1" x14ac:dyDescent="0.25">
      <c r="A221" s="15"/>
    </row>
    <row r="222" spans="1:1" x14ac:dyDescent="0.25">
      <c r="A222" s="15"/>
    </row>
    <row r="223" spans="1:1" x14ac:dyDescent="0.25">
      <c r="A223" s="15"/>
    </row>
    <row r="224" spans="1:1" x14ac:dyDescent="0.25">
      <c r="A224" s="15"/>
    </row>
    <row r="225" spans="1:1" x14ac:dyDescent="0.25">
      <c r="A225" s="15"/>
    </row>
    <row r="226" spans="1:1" x14ac:dyDescent="0.25">
      <c r="A226" s="15"/>
    </row>
    <row r="227" spans="1:1" x14ac:dyDescent="0.25">
      <c r="A227" s="15"/>
    </row>
    <row r="228" spans="1:1" x14ac:dyDescent="0.25">
      <c r="A228" s="15"/>
    </row>
    <row r="229" spans="1:1" x14ac:dyDescent="0.25">
      <c r="A229" s="15"/>
    </row>
    <row r="230" spans="1:1" x14ac:dyDescent="0.25">
      <c r="A230" s="15"/>
    </row>
    <row r="231" spans="1:1" x14ac:dyDescent="0.25">
      <c r="A231" s="15"/>
    </row>
    <row r="232" spans="1:1" x14ac:dyDescent="0.25">
      <c r="A232" s="15"/>
    </row>
    <row r="233" spans="1:1" x14ac:dyDescent="0.25">
      <c r="A233" s="15"/>
    </row>
    <row r="234" spans="1:1" x14ac:dyDescent="0.25">
      <c r="A234" s="15"/>
    </row>
    <row r="235" spans="1:1" x14ac:dyDescent="0.25">
      <c r="A235" s="15"/>
    </row>
    <row r="236" spans="1:1" x14ac:dyDescent="0.25">
      <c r="A236" s="15"/>
    </row>
    <row r="237" spans="1:1" x14ac:dyDescent="0.25">
      <c r="A237" s="15"/>
    </row>
    <row r="238" spans="1:1" x14ac:dyDescent="0.25">
      <c r="A238" s="15"/>
    </row>
    <row r="239" spans="1:1" x14ac:dyDescent="0.25">
      <c r="A239" s="15"/>
    </row>
    <row r="240" spans="1:1" x14ac:dyDescent="0.25">
      <c r="A240" s="15"/>
    </row>
    <row r="241" spans="1:1" x14ac:dyDescent="0.25">
      <c r="A241" s="15"/>
    </row>
    <row r="242" spans="1:1" x14ac:dyDescent="0.25">
      <c r="A242" s="15"/>
    </row>
    <row r="243" spans="1:1" x14ac:dyDescent="0.25">
      <c r="A243" s="15"/>
    </row>
    <row r="244" spans="1:1" x14ac:dyDescent="0.25">
      <c r="A244" s="15"/>
    </row>
    <row r="245" spans="1:1" x14ac:dyDescent="0.25">
      <c r="A245" s="15"/>
    </row>
    <row r="246" spans="1:1" x14ac:dyDescent="0.25">
      <c r="A246" s="15"/>
    </row>
    <row r="247" spans="1:1" x14ac:dyDescent="0.25">
      <c r="A247" s="15"/>
    </row>
    <row r="248" spans="1:1" x14ac:dyDescent="0.25">
      <c r="A248" s="15"/>
    </row>
    <row r="249" spans="1:1" x14ac:dyDescent="0.25">
      <c r="A249" s="15"/>
    </row>
    <row r="250" spans="1:1" x14ac:dyDescent="0.25">
      <c r="A250" s="15"/>
    </row>
    <row r="251" spans="1:1" x14ac:dyDescent="0.25">
      <c r="A251" s="15"/>
    </row>
    <row r="252" spans="1:1" x14ac:dyDescent="0.25">
      <c r="A252" s="15"/>
    </row>
    <row r="253" spans="1:1" x14ac:dyDescent="0.25">
      <c r="A253" s="15"/>
    </row>
    <row r="254" spans="1:1" x14ac:dyDescent="0.25">
      <c r="A254" s="15"/>
    </row>
    <row r="255" spans="1:1" x14ac:dyDescent="0.25">
      <c r="A255" s="15"/>
    </row>
    <row r="256" spans="1:1" x14ac:dyDescent="0.25">
      <c r="A256" s="15"/>
    </row>
    <row r="257" spans="1:1" x14ac:dyDescent="0.25">
      <c r="A257" s="15"/>
    </row>
    <row r="258" spans="1:1" x14ac:dyDescent="0.25">
      <c r="A258" s="15"/>
    </row>
    <row r="259" spans="1:1" x14ac:dyDescent="0.25">
      <c r="A259" s="15"/>
    </row>
    <row r="260" spans="1:1" x14ac:dyDescent="0.25">
      <c r="A260" s="15"/>
    </row>
    <row r="261" spans="1:1" x14ac:dyDescent="0.25">
      <c r="A261" s="15"/>
    </row>
    <row r="262" spans="1:1" x14ac:dyDescent="0.25">
      <c r="A262" s="15"/>
    </row>
    <row r="263" spans="1:1" x14ac:dyDescent="0.25">
      <c r="A263" s="15"/>
    </row>
    <row r="264" spans="1:1" x14ac:dyDescent="0.25">
      <c r="A264" s="15"/>
    </row>
    <row r="265" spans="1:1" x14ac:dyDescent="0.25">
      <c r="A265" s="15"/>
    </row>
    <row r="266" spans="1:1" x14ac:dyDescent="0.25">
      <c r="A266" s="15"/>
    </row>
    <row r="267" spans="1:1" x14ac:dyDescent="0.25">
      <c r="A267" s="15"/>
    </row>
    <row r="268" spans="1:1" x14ac:dyDescent="0.25">
      <c r="A268" s="15"/>
    </row>
    <row r="269" spans="1:1" x14ac:dyDescent="0.25">
      <c r="A269" s="15"/>
    </row>
    <row r="270" spans="1:1" x14ac:dyDescent="0.25">
      <c r="A270" s="15"/>
    </row>
    <row r="271" spans="1:1" x14ac:dyDescent="0.25">
      <c r="A271" s="15"/>
    </row>
    <row r="272" spans="1:1" x14ac:dyDescent="0.25">
      <c r="A272" s="15"/>
    </row>
    <row r="273" spans="1:1" x14ac:dyDescent="0.25">
      <c r="A273" s="15"/>
    </row>
    <row r="274" spans="1:1" x14ac:dyDescent="0.25">
      <c r="A274" s="15"/>
    </row>
    <row r="275" spans="1:1" x14ac:dyDescent="0.25">
      <c r="A275" s="15"/>
    </row>
    <row r="276" spans="1:1" x14ac:dyDescent="0.25">
      <c r="A276" s="15"/>
    </row>
    <row r="277" spans="1:1" x14ac:dyDescent="0.25">
      <c r="A277" s="15"/>
    </row>
    <row r="278" spans="1:1" x14ac:dyDescent="0.25">
      <c r="A278" s="15"/>
    </row>
    <row r="279" spans="1:1" x14ac:dyDescent="0.25">
      <c r="A279" s="15"/>
    </row>
    <row r="280" spans="1:1" x14ac:dyDescent="0.25">
      <c r="A280" s="15"/>
    </row>
    <row r="281" spans="1:1" x14ac:dyDescent="0.25">
      <c r="A281" s="15"/>
    </row>
    <row r="282" spans="1:1" x14ac:dyDescent="0.25">
      <c r="A282" s="15"/>
    </row>
    <row r="283" spans="1:1" x14ac:dyDescent="0.25">
      <c r="A283" s="15"/>
    </row>
    <row r="284" spans="1:1" x14ac:dyDescent="0.25">
      <c r="A284" s="15"/>
    </row>
    <row r="285" spans="1:1" x14ac:dyDescent="0.25">
      <c r="A285" s="15"/>
    </row>
    <row r="286" spans="1:1" x14ac:dyDescent="0.25">
      <c r="A286" s="15"/>
    </row>
    <row r="287" spans="1:1" x14ac:dyDescent="0.25">
      <c r="A287" s="15"/>
    </row>
    <row r="288" spans="1:1" x14ac:dyDescent="0.25">
      <c r="A288" s="15"/>
    </row>
    <row r="289" spans="1:1" x14ac:dyDescent="0.25">
      <c r="A289" s="15"/>
    </row>
    <row r="290" spans="1:1" x14ac:dyDescent="0.25">
      <c r="A290" s="15"/>
    </row>
    <row r="291" spans="1:1" x14ac:dyDescent="0.25">
      <c r="A291" s="15"/>
    </row>
    <row r="292" spans="1:1" x14ac:dyDescent="0.25">
      <c r="A292" s="15"/>
    </row>
    <row r="293" spans="1:1" x14ac:dyDescent="0.25">
      <c r="A293" s="15"/>
    </row>
    <row r="294" spans="1:1" x14ac:dyDescent="0.25">
      <c r="A294" s="15"/>
    </row>
    <row r="295" spans="1:1" x14ac:dyDescent="0.25">
      <c r="A295" s="15"/>
    </row>
    <row r="296" spans="1:1" x14ac:dyDescent="0.25">
      <c r="A296" s="15"/>
    </row>
    <row r="297" spans="1:1" x14ac:dyDescent="0.25">
      <c r="A297" s="15"/>
    </row>
    <row r="298" spans="1:1" x14ac:dyDescent="0.25">
      <c r="A298" s="15"/>
    </row>
    <row r="299" spans="1:1" x14ac:dyDescent="0.25">
      <c r="A299" s="15"/>
    </row>
    <row r="300" spans="1:1" x14ac:dyDescent="0.25">
      <c r="A300" s="15"/>
    </row>
    <row r="301" spans="1:1" x14ac:dyDescent="0.25">
      <c r="A301" s="15"/>
    </row>
    <row r="302" spans="1:1" x14ac:dyDescent="0.25">
      <c r="A302" s="15"/>
    </row>
    <row r="303" spans="1:1" x14ac:dyDescent="0.25">
      <c r="A303" s="15"/>
    </row>
    <row r="304" spans="1:1" x14ac:dyDescent="0.25">
      <c r="A304" s="15"/>
    </row>
    <row r="305" spans="1:1" x14ac:dyDescent="0.25">
      <c r="A305" s="15"/>
    </row>
    <row r="306" spans="1:1" x14ac:dyDescent="0.25">
      <c r="A306" s="15"/>
    </row>
    <row r="307" spans="1:1" x14ac:dyDescent="0.25">
      <c r="A307" s="15"/>
    </row>
    <row r="308" spans="1:1" x14ac:dyDescent="0.25">
      <c r="A308" s="15"/>
    </row>
    <row r="309" spans="1:1" x14ac:dyDescent="0.25">
      <c r="A309" s="15"/>
    </row>
    <row r="310" spans="1:1" x14ac:dyDescent="0.25">
      <c r="A310" s="15"/>
    </row>
    <row r="311" spans="1:1" x14ac:dyDescent="0.25">
      <c r="A311" s="15"/>
    </row>
    <row r="312" spans="1:1" x14ac:dyDescent="0.25">
      <c r="A312" s="15"/>
    </row>
    <row r="313" spans="1:1" x14ac:dyDescent="0.25">
      <c r="A313" s="15"/>
    </row>
    <row r="314" spans="1:1" x14ac:dyDescent="0.25">
      <c r="A314" s="15"/>
    </row>
    <row r="315" spans="1:1" x14ac:dyDescent="0.25">
      <c r="A315" s="15"/>
    </row>
    <row r="316" spans="1:1" x14ac:dyDescent="0.25">
      <c r="A316" s="15"/>
    </row>
    <row r="317" spans="1:1" x14ac:dyDescent="0.25">
      <c r="A317" s="15"/>
    </row>
    <row r="318" spans="1:1" x14ac:dyDescent="0.25">
      <c r="A318" s="15"/>
    </row>
    <row r="319" spans="1:1" x14ac:dyDescent="0.25">
      <c r="A319" s="15"/>
    </row>
    <row r="320" spans="1:1" x14ac:dyDescent="0.25">
      <c r="A320" s="15"/>
    </row>
    <row r="321" spans="1:1" x14ac:dyDescent="0.25">
      <c r="A321" s="15"/>
    </row>
    <row r="322" spans="1:1" x14ac:dyDescent="0.25">
      <c r="A322" s="15"/>
    </row>
    <row r="323" spans="1:1" x14ac:dyDescent="0.25">
      <c r="A323" s="15"/>
    </row>
    <row r="324" spans="1:1" x14ac:dyDescent="0.25">
      <c r="A324" s="15"/>
    </row>
    <row r="325" spans="1:1" x14ac:dyDescent="0.25">
      <c r="A325" s="15"/>
    </row>
    <row r="326" spans="1:1" x14ac:dyDescent="0.25">
      <c r="A326" s="15"/>
    </row>
    <row r="327" spans="1:1" x14ac:dyDescent="0.25">
      <c r="A327" s="15"/>
    </row>
    <row r="328" spans="1:1" x14ac:dyDescent="0.25">
      <c r="A328" s="15"/>
    </row>
    <row r="329" spans="1:1" x14ac:dyDescent="0.25">
      <c r="A329" s="15"/>
    </row>
    <row r="330" spans="1:1" x14ac:dyDescent="0.25">
      <c r="A330" s="15"/>
    </row>
    <row r="331" spans="1:1" x14ac:dyDescent="0.25">
      <c r="A331" s="15"/>
    </row>
    <row r="332" spans="1:1" x14ac:dyDescent="0.25">
      <c r="A332" s="15"/>
    </row>
    <row r="333" spans="1:1" x14ac:dyDescent="0.25">
      <c r="A333" s="15"/>
    </row>
    <row r="334" spans="1:1" x14ac:dyDescent="0.25">
      <c r="A334" s="15"/>
    </row>
    <row r="335" spans="1:1" x14ac:dyDescent="0.25">
      <c r="A335" s="15"/>
    </row>
    <row r="336" spans="1:1" x14ac:dyDescent="0.25">
      <c r="A336" s="15"/>
    </row>
    <row r="337" spans="1:1" x14ac:dyDescent="0.25">
      <c r="A337" s="15"/>
    </row>
    <row r="338" spans="1:1" x14ac:dyDescent="0.25">
      <c r="A338" s="15"/>
    </row>
    <row r="339" spans="1:1" x14ac:dyDescent="0.25">
      <c r="A339" s="15"/>
    </row>
    <row r="340" spans="1:1" x14ac:dyDescent="0.25">
      <c r="A340" s="15"/>
    </row>
    <row r="341" spans="1:1" x14ac:dyDescent="0.25">
      <c r="A341" s="15"/>
    </row>
    <row r="342" spans="1:1" x14ac:dyDescent="0.25">
      <c r="A342" s="15"/>
    </row>
    <row r="343" spans="1:1" x14ac:dyDescent="0.25">
      <c r="A343" s="15"/>
    </row>
    <row r="344" spans="1:1" x14ac:dyDescent="0.25">
      <c r="A344" s="15"/>
    </row>
    <row r="345" spans="1:1" x14ac:dyDescent="0.25">
      <c r="A345" s="15"/>
    </row>
    <row r="346" spans="1:1" x14ac:dyDescent="0.25">
      <c r="A346" s="15"/>
    </row>
    <row r="347" spans="1:1" x14ac:dyDescent="0.25">
      <c r="A347" s="15"/>
    </row>
    <row r="348" spans="1:1" x14ac:dyDescent="0.25">
      <c r="A348" s="15"/>
    </row>
    <row r="349" spans="1:1" x14ac:dyDescent="0.25">
      <c r="A349" s="15"/>
    </row>
    <row r="350" spans="1:1" x14ac:dyDescent="0.25">
      <c r="A350" s="15"/>
    </row>
    <row r="351" spans="1:1" x14ac:dyDescent="0.25">
      <c r="A351" s="15"/>
    </row>
    <row r="352" spans="1:1" x14ac:dyDescent="0.25">
      <c r="A352" s="15"/>
    </row>
    <row r="353" spans="1:1" x14ac:dyDescent="0.25">
      <c r="A353" s="15"/>
    </row>
    <row r="354" spans="1:1" x14ac:dyDescent="0.25">
      <c r="A354" s="15"/>
    </row>
    <row r="355" spans="1:1" x14ac:dyDescent="0.25">
      <c r="A355" s="15"/>
    </row>
    <row r="356" spans="1:1" x14ac:dyDescent="0.25">
      <c r="A356" s="15"/>
    </row>
    <row r="357" spans="1:1" x14ac:dyDescent="0.25">
      <c r="A357" s="15"/>
    </row>
    <row r="358" spans="1:1" x14ac:dyDescent="0.25">
      <c r="A358" s="15"/>
    </row>
    <row r="359" spans="1:1" x14ac:dyDescent="0.25">
      <c r="A359" s="15"/>
    </row>
    <row r="360" spans="1:1" x14ac:dyDescent="0.25">
      <c r="A360" s="15"/>
    </row>
    <row r="361" spans="1:1" x14ac:dyDescent="0.25">
      <c r="A361" s="15"/>
    </row>
    <row r="362" spans="1:1" x14ac:dyDescent="0.25">
      <c r="A362" s="15"/>
    </row>
    <row r="363" spans="1:1" x14ac:dyDescent="0.25">
      <c r="A363" s="15"/>
    </row>
    <row r="364" spans="1:1" x14ac:dyDescent="0.25">
      <c r="A364" s="15"/>
    </row>
    <row r="365" spans="1:1" x14ac:dyDescent="0.25">
      <c r="A365" s="15"/>
    </row>
    <row r="366" spans="1:1" x14ac:dyDescent="0.25">
      <c r="A366" s="15"/>
    </row>
    <row r="367" spans="1:1" x14ac:dyDescent="0.25">
      <c r="A367" s="15"/>
    </row>
    <row r="368" spans="1:1" x14ac:dyDescent="0.25">
      <c r="A368" s="15"/>
    </row>
    <row r="369" spans="1:1" x14ac:dyDescent="0.25">
      <c r="A369" s="15"/>
    </row>
    <row r="370" spans="1:1" x14ac:dyDescent="0.25">
      <c r="A370" s="15"/>
    </row>
    <row r="371" spans="1:1" x14ac:dyDescent="0.25">
      <c r="A371" s="15"/>
    </row>
    <row r="372" spans="1:1" x14ac:dyDescent="0.25">
      <c r="A372" s="15"/>
    </row>
    <row r="373" spans="1:1" x14ac:dyDescent="0.25">
      <c r="A373" s="15"/>
    </row>
    <row r="374" spans="1:1" x14ac:dyDescent="0.25">
      <c r="A374" s="15"/>
    </row>
    <row r="375" spans="1:1" x14ac:dyDescent="0.25">
      <c r="A375" s="15"/>
    </row>
    <row r="376" spans="1:1" x14ac:dyDescent="0.25">
      <c r="A376" s="15"/>
    </row>
    <row r="377" spans="1:1" x14ac:dyDescent="0.25">
      <c r="A377" s="15"/>
    </row>
    <row r="378" spans="1:1" x14ac:dyDescent="0.25">
      <c r="A378" s="15"/>
    </row>
    <row r="379" spans="1:1" x14ac:dyDescent="0.25">
      <c r="A379" s="15"/>
    </row>
    <row r="380" spans="1:1" x14ac:dyDescent="0.25">
      <c r="A380" s="15"/>
    </row>
    <row r="381" spans="1:1" x14ac:dyDescent="0.25">
      <c r="A381" s="15"/>
    </row>
    <row r="382" spans="1:1" x14ac:dyDescent="0.25">
      <c r="A382" s="15"/>
    </row>
    <row r="383" spans="1:1" x14ac:dyDescent="0.25">
      <c r="A383" s="15"/>
    </row>
    <row r="384" spans="1:1" x14ac:dyDescent="0.25">
      <c r="A384" s="15"/>
    </row>
    <row r="385" spans="1:1" x14ac:dyDescent="0.25">
      <c r="A385" s="15"/>
    </row>
    <row r="386" spans="1:1" x14ac:dyDescent="0.25">
      <c r="A386" s="15"/>
    </row>
    <row r="387" spans="1:1" x14ac:dyDescent="0.25">
      <c r="A387" s="15"/>
    </row>
    <row r="388" spans="1:1" x14ac:dyDescent="0.25">
      <c r="A388" s="15"/>
    </row>
    <row r="389" spans="1:1" x14ac:dyDescent="0.25">
      <c r="A389" s="15"/>
    </row>
    <row r="390" spans="1:1" x14ac:dyDescent="0.25">
      <c r="A390" s="15"/>
    </row>
    <row r="391" spans="1:1" x14ac:dyDescent="0.25">
      <c r="A391" s="15"/>
    </row>
    <row r="392" spans="1:1" x14ac:dyDescent="0.25">
      <c r="A392" s="15"/>
    </row>
    <row r="393" spans="1:1" x14ac:dyDescent="0.25">
      <c r="A393" s="15"/>
    </row>
    <row r="394" spans="1:1" x14ac:dyDescent="0.25">
      <c r="A394" s="15"/>
    </row>
    <row r="395" spans="1:1" x14ac:dyDescent="0.25">
      <c r="A395" s="15"/>
    </row>
    <row r="396" spans="1:1" x14ac:dyDescent="0.25">
      <c r="A396" s="15"/>
    </row>
    <row r="397" spans="1:1" x14ac:dyDescent="0.25">
      <c r="A397" s="15"/>
    </row>
    <row r="398" spans="1:1" x14ac:dyDescent="0.25">
      <c r="A398" s="15"/>
    </row>
    <row r="399" spans="1:1" x14ac:dyDescent="0.25">
      <c r="A399" s="15"/>
    </row>
    <row r="400" spans="1:1" x14ac:dyDescent="0.25">
      <c r="A400" s="15"/>
    </row>
    <row r="401" spans="1:1" x14ac:dyDescent="0.25">
      <c r="A401" s="15"/>
    </row>
    <row r="402" spans="1:1" x14ac:dyDescent="0.25">
      <c r="A402" s="15"/>
    </row>
    <row r="403" spans="1:1" x14ac:dyDescent="0.25">
      <c r="A403" s="15"/>
    </row>
    <row r="404" spans="1:1" x14ac:dyDescent="0.25">
      <c r="A404" s="15"/>
    </row>
    <row r="405" spans="1:1" x14ac:dyDescent="0.25">
      <c r="A405" s="15"/>
    </row>
    <row r="406" spans="1:1" x14ac:dyDescent="0.25">
      <c r="A406" s="15"/>
    </row>
    <row r="407" spans="1:1" x14ac:dyDescent="0.25">
      <c r="A407" s="15"/>
    </row>
    <row r="408" spans="1:1" x14ac:dyDescent="0.25">
      <c r="A408" s="15"/>
    </row>
    <row r="409" spans="1:1" x14ac:dyDescent="0.25">
      <c r="A409" s="15"/>
    </row>
    <row r="410" spans="1:1" x14ac:dyDescent="0.25">
      <c r="A410" s="15"/>
    </row>
    <row r="411" spans="1:1" x14ac:dyDescent="0.25">
      <c r="A411" s="15"/>
    </row>
    <row r="412" spans="1:1" x14ac:dyDescent="0.25">
      <c r="A412" s="15"/>
    </row>
    <row r="413" spans="1:1" x14ac:dyDescent="0.25">
      <c r="A413" s="15"/>
    </row>
    <row r="414" spans="1:1" x14ac:dyDescent="0.25">
      <c r="A414" s="15"/>
    </row>
    <row r="415" spans="1:1" x14ac:dyDescent="0.25">
      <c r="A415" s="15"/>
    </row>
    <row r="416" spans="1:1" x14ac:dyDescent="0.25">
      <c r="A416" s="15"/>
    </row>
    <row r="417" spans="1:1" x14ac:dyDescent="0.25">
      <c r="A417" s="15"/>
    </row>
    <row r="418" spans="1:1" x14ac:dyDescent="0.25">
      <c r="A418" s="15"/>
    </row>
    <row r="419" spans="1:1" x14ac:dyDescent="0.25">
      <c r="A419" s="15"/>
    </row>
    <row r="420" spans="1:1" x14ac:dyDescent="0.25">
      <c r="A420" s="15"/>
    </row>
    <row r="421" spans="1:1" x14ac:dyDescent="0.25">
      <c r="A421" s="15"/>
    </row>
    <row r="422" spans="1:1" x14ac:dyDescent="0.25">
      <c r="A422" s="15"/>
    </row>
    <row r="423" spans="1:1" x14ac:dyDescent="0.25">
      <c r="A423" s="15"/>
    </row>
    <row r="424" spans="1:1" x14ac:dyDescent="0.25">
      <c r="A424" s="15"/>
    </row>
    <row r="425" spans="1:1" x14ac:dyDescent="0.25">
      <c r="A425" s="15"/>
    </row>
    <row r="426" spans="1:1" x14ac:dyDescent="0.25">
      <c r="A426" s="15"/>
    </row>
    <row r="427" spans="1:1" x14ac:dyDescent="0.25">
      <c r="A427" s="15"/>
    </row>
    <row r="428" spans="1:1" x14ac:dyDescent="0.25">
      <c r="A428" s="15"/>
    </row>
    <row r="429" spans="1:1" x14ac:dyDescent="0.25">
      <c r="A429" s="15"/>
    </row>
    <row r="430" spans="1:1" x14ac:dyDescent="0.25">
      <c r="A430" s="15"/>
    </row>
    <row r="431" spans="1:1" x14ac:dyDescent="0.25">
      <c r="A431" s="15"/>
    </row>
    <row r="432" spans="1:1" x14ac:dyDescent="0.25">
      <c r="A432" s="15"/>
    </row>
    <row r="433" spans="1:1" x14ac:dyDescent="0.25">
      <c r="A433" s="15"/>
    </row>
    <row r="434" spans="1:1" x14ac:dyDescent="0.25">
      <c r="A434" s="15"/>
    </row>
    <row r="435" spans="1:1" x14ac:dyDescent="0.25">
      <c r="A435" s="15"/>
    </row>
    <row r="436" spans="1:1" x14ac:dyDescent="0.25">
      <c r="A436" s="15"/>
    </row>
    <row r="437" spans="1:1" x14ac:dyDescent="0.25">
      <c r="A437" s="15"/>
    </row>
    <row r="438" spans="1:1" x14ac:dyDescent="0.25">
      <c r="A438" s="15"/>
    </row>
    <row r="439" spans="1:1" x14ac:dyDescent="0.25">
      <c r="A439" s="15"/>
    </row>
    <row r="440" spans="1:1" x14ac:dyDescent="0.25">
      <c r="A440" s="15"/>
    </row>
    <row r="441" spans="1:1" x14ac:dyDescent="0.25">
      <c r="A441" s="15"/>
    </row>
    <row r="442" spans="1:1" x14ac:dyDescent="0.25">
      <c r="A442" s="15"/>
    </row>
    <row r="443" spans="1:1" x14ac:dyDescent="0.25">
      <c r="A443" s="15"/>
    </row>
    <row r="444" spans="1:1" x14ac:dyDescent="0.25">
      <c r="A444" s="15"/>
    </row>
    <row r="445" spans="1:1" x14ac:dyDescent="0.25">
      <c r="A445" s="15"/>
    </row>
    <row r="446" spans="1:1" x14ac:dyDescent="0.25">
      <c r="A446" s="15"/>
    </row>
    <row r="447" spans="1:1" x14ac:dyDescent="0.25">
      <c r="A447" s="15"/>
    </row>
    <row r="448" spans="1:1" x14ac:dyDescent="0.25">
      <c r="A448" s="15"/>
    </row>
    <row r="449" spans="1:1" x14ac:dyDescent="0.25">
      <c r="A449" s="15"/>
    </row>
    <row r="450" spans="1:1" x14ac:dyDescent="0.25">
      <c r="A450" s="15"/>
    </row>
    <row r="451" spans="1:1" x14ac:dyDescent="0.25">
      <c r="A451" s="15"/>
    </row>
    <row r="452" spans="1:1" x14ac:dyDescent="0.25">
      <c r="A452" s="15"/>
    </row>
    <row r="453" spans="1:1" x14ac:dyDescent="0.25">
      <c r="A453" s="15"/>
    </row>
    <row r="454" spans="1:1" x14ac:dyDescent="0.25">
      <c r="A454" s="15"/>
    </row>
    <row r="455" spans="1:1" x14ac:dyDescent="0.25">
      <c r="A455" s="15"/>
    </row>
    <row r="456" spans="1:1" x14ac:dyDescent="0.25">
      <c r="A456" s="15"/>
    </row>
    <row r="457" spans="1:1" x14ac:dyDescent="0.25">
      <c r="A457" s="15"/>
    </row>
    <row r="458" spans="1:1" x14ac:dyDescent="0.25">
      <c r="A458" s="15"/>
    </row>
    <row r="459" spans="1:1" x14ac:dyDescent="0.25">
      <c r="A459" s="15"/>
    </row>
    <row r="460" spans="1:1" x14ac:dyDescent="0.25">
      <c r="A460" s="15"/>
    </row>
    <row r="461" spans="1:1" x14ac:dyDescent="0.25">
      <c r="A461" s="15"/>
    </row>
    <row r="462" spans="1:1" x14ac:dyDescent="0.25">
      <c r="A462" s="15"/>
    </row>
    <row r="463" spans="1:1" x14ac:dyDescent="0.25">
      <c r="A463" s="15"/>
    </row>
    <row r="464" spans="1:1" x14ac:dyDescent="0.25">
      <c r="A464" s="15"/>
    </row>
    <row r="465" spans="1:1" x14ac:dyDescent="0.25">
      <c r="A465" s="15"/>
    </row>
    <row r="466" spans="1:1" x14ac:dyDescent="0.25">
      <c r="A466" s="15"/>
    </row>
    <row r="467" spans="1:1" x14ac:dyDescent="0.25">
      <c r="A467" s="15"/>
    </row>
    <row r="468" spans="1:1" x14ac:dyDescent="0.25">
      <c r="A468" s="15"/>
    </row>
    <row r="469" spans="1:1" x14ac:dyDescent="0.25">
      <c r="A469" s="15"/>
    </row>
    <row r="470" spans="1:1" x14ac:dyDescent="0.25">
      <c r="A470" s="15"/>
    </row>
    <row r="471" spans="1:1" x14ac:dyDescent="0.25">
      <c r="A471" s="15"/>
    </row>
    <row r="472" spans="1:1" x14ac:dyDescent="0.25">
      <c r="A472" s="15"/>
    </row>
    <row r="473" spans="1:1" x14ac:dyDescent="0.25">
      <c r="A473" s="15"/>
    </row>
    <row r="474" spans="1:1" x14ac:dyDescent="0.25">
      <c r="A474" s="15"/>
    </row>
    <row r="475" spans="1:1" x14ac:dyDescent="0.25">
      <c r="A475" s="15"/>
    </row>
    <row r="476" spans="1:1" x14ac:dyDescent="0.25">
      <c r="A476" s="15"/>
    </row>
    <row r="477" spans="1:1" x14ac:dyDescent="0.25">
      <c r="A477" s="15"/>
    </row>
    <row r="478" spans="1:1" x14ac:dyDescent="0.25">
      <c r="A478" s="15"/>
    </row>
    <row r="479" spans="1:1" x14ac:dyDescent="0.25">
      <c r="A479" s="15"/>
    </row>
    <row r="480" spans="1:1" x14ac:dyDescent="0.25">
      <c r="A480" s="15"/>
    </row>
    <row r="481" spans="1:1" x14ac:dyDescent="0.25">
      <c r="A481" s="15"/>
    </row>
    <row r="482" spans="1:1" x14ac:dyDescent="0.25">
      <c r="A482" s="15"/>
    </row>
    <row r="483" spans="1:1" x14ac:dyDescent="0.25">
      <c r="A483" s="15"/>
    </row>
    <row r="484" spans="1:1" x14ac:dyDescent="0.25">
      <c r="A484" s="15"/>
    </row>
    <row r="485" spans="1:1" x14ac:dyDescent="0.25">
      <c r="A485" s="15"/>
    </row>
    <row r="486" spans="1:1" x14ac:dyDescent="0.25">
      <c r="A486" s="15"/>
    </row>
    <row r="487" spans="1:1" x14ac:dyDescent="0.25">
      <c r="A487" s="15"/>
    </row>
    <row r="488" spans="1:1" x14ac:dyDescent="0.25">
      <c r="A488" s="15"/>
    </row>
    <row r="489" spans="1:1" x14ac:dyDescent="0.25">
      <c r="A489" s="15"/>
    </row>
    <row r="490" spans="1:1" x14ac:dyDescent="0.25">
      <c r="A490" s="15"/>
    </row>
    <row r="491" spans="1:1" x14ac:dyDescent="0.25">
      <c r="A491" s="15"/>
    </row>
    <row r="492" spans="1:1" x14ac:dyDescent="0.25">
      <c r="A492" s="15"/>
    </row>
    <row r="493" spans="1:1" x14ac:dyDescent="0.25">
      <c r="A493" s="15"/>
    </row>
    <row r="494" spans="1:1" x14ac:dyDescent="0.25">
      <c r="A494" s="15"/>
    </row>
    <row r="495" spans="1:1" x14ac:dyDescent="0.25">
      <c r="A495" s="15"/>
    </row>
    <row r="496" spans="1:1" x14ac:dyDescent="0.25">
      <c r="A496" s="15"/>
    </row>
    <row r="497" spans="1:1" x14ac:dyDescent="0.25">
      <c r="A497" s="15"/>
    </row>
    <row r="498" spans="1:1" x14ac:dyDescent="0.25">
      <c r="A498" s="15"/>
    </row>
    <row r="499" spans="1:1" x14ac:dyDescent="0.25">
      <c r="A499" s="15"/>
    </row>
    <row r="500" spans="1:1" x14ac:dyDescent="0.25">
      <c r="A500" s="15"/>
    </row>
    <row r="501" spans="1:1" x14ac:dyDescent="0.25">
      <c r="A501" s="15"/>
    </row>
    <row r="502" spans="1:1" x14ac:dyDescent="0.25">
      <c r="A502" s="15"/>
    </row>
    <row r="503" spans="1:1" x14ac:dyDescent="0.25">
      <c r="A503" s="15"/>
    </row>
    <row r="504" spans="1:1" x14ac:dyDescent="0.25">
      <c r="A504" s="15"/>
    </row>
    <row r="505" spans="1:1" x14ac:dyDescent="0.25">
      <c r="A505" s="15"/>
    </row>
    <row r="506" spans="1:1" x14ac:dyDescent="0.25">
      <c r="A506" s="15"/>
    </row>
    <row r="507" spans="1:1" x14ac:dyDescent="0.25">
      <c r="A507" s="15"/>
    </row>
    <row r="508" spans="1:1" x14ac:dyDescent="0.25">
      <c r="A508" s="15"/>
    </row>
    <row r="509" spans="1:1" x14ac:dyDescent="0.25">
      <c r="A509" s="15"/>
    </row>
    <row r="510" spans="1:1" x14ac:dyDescent="0.25">
      <c r="A510" s="15"/>
    </row>
    <row r="511" spans="1:1" x14ac:dyDescent="0.25">
      <c r="A511" s="15"/>
    </row>
    <row r="512" spans="1:1" x14ac:dyDescent="0.25">
      <c r="A512" s="15"/>
    </row>
    <row r="513" spans="1:1" x14ac:dyDescent="0.25">
      <c r="A513" s="15"/>
    </row>
    <row r="514" spans="1:1" x14ac:dyDescent="0.25">
      <c r="A514" s="15"/>
    </row>
    <row r="515" spans="1:1" x14ac:dyDescent="0.25">
      <c r="A515" s="15"/>
    </row>
    <row r="516" spans="1:1" x14ac:dyDescent="0.25">
      <c r="A516" s="15"/>
    </row>
    <row r="517" spans="1:1" x14ac:dyDescent="0.25">
      <c r="A517" s="15"/>
    </row>
    <row r="518" spans="1:1" x14ac:dyDescent="0.25">
      <c r="A518" s="15"/>
    </row>
    <row r="519" spans="1:1" x14ac:dyDescent="0.25">
      <c r="A519" s="15"/>
    </row>
    <row r="520" spans="1:1" x14ac:dyDescent="0.25">
      <c r="A520" s="15"/>
    </row>
    <row r="521" spans="1:1" x14ac:dyDescent="0.25">
      <c r="A521" s="15"/>
    </row>
    <row r="522" spans="1:1" x14ac:dyDescent="0.25">
      <c r="A522" s="15"/>
    </row>
    <row r="523" spans="1:1" x14ac:dyDescent="0.25">
      <c r="A523" s="15"/>
    </row>
    <row r="524" spans="1:1" x14ac:dyDescent="0.25">
      <c r="A524" s="15"/>
    </row>
    <row r="525" spans="1:1" x14ac:dyDescent="0.25">
      <c r="A525" s="15"/>
    </row>
    <row r="526" spans="1:1" x14ac:dyDescent="0.25">
      <c r="A526" s="15"/>
    </row>
    <row r="527" spans="1:1" x14ac:dyDescent="0.25">
      <c r="A527" s="15"/>
    </row>
    <row r="528" spans="1:1" x14ac:dyDescent="0.25">
      <c r="A528" s="15"/>
    </row>
    <row r="529" spans="1:1" x14ac:dyDescent="0.25">
      <c r="A529" s="15"/>
    </row>
    <row r="530" spans="1:1" x14ac:dyDescent="0.25">
      <c r="A530" s="15"/>
    </row>
    <row r="531" spans="1:1" x14ac:dyDescent="0.25">
      <c r="A531" s="15"/>
    </row>
    <row r="532" spans="1:1" x14ac:dyDescent="0.25">
      <c r="A532" s="15"/>
    </row>
    <row r="533" spans="1:1" x14ac:dyDescent="0.25">
      <c r="A533" s="15"/>
    </row>
    <row r="534" spans="1:1" x14ac:dyDescent="0.25">
      <c r="A534" s="15"/>
    </row>
    <row r="535" spans="1:1" x14ac:dyDescent="0.25">
      <c r="A535" s="15"/>
    </row>
    <row r="536" spans="1:1" x14ac:dyDescent="0.25">
      <c r="A536" s="15"/>
    </row>
    <row r="537" spans="1:1" x14ac:dyDescent="0.25">
      <c r="A537" s="15"/>
    </row>
    <row r="538" spans="1:1" x14ac:dyDescent="0.25">
      <c r="A538" s="15"/>
    </row>
    <row r="539" spans="1:1" x14ac:dyDescent="0.25">
      <c r="A539" s="15"/>
    </row>
    <row r="540" spans="1:1" x14ac:dyDescent="0.25">
      <c r="A540" s="15"/>
    </row>
    <row r="541" spans="1:1" x14ac:dyDescent="0.25">
      <c r="A541" s="15"/>
    </row>
    <row r="542" spans="1:1" x14ac:dyDescent="0.25">
      <c r="A542" s="15"/>
    </row>
    <row r="543" spans="1:1" x14ac:dyDescent="0.25">
      <c r="A543" s="15"/>
    </row>
    <row r="544" spans="1:1" x14ac:dyDescent="0.25">
      <c r="A544" s="15"/>
    </row>
    <row r="545" spans="1:1" x14ac:dyDescent="0.25">
      <c r="A545" s="15"/>
    </row>
    <row r="546" spans="1:1" x14ac:dyDescent="0.25">
      <c r="A546" s="15"/>
    </row>
    <row r="547" spans="1:1" x14ac:dyDescent="0.25">
      <c r="A547" s="15"/>
    </row>
    <row r="548" spans="1:1" x14ac:dyDescent="0.25">
      <c r="A548" s="15"/>
    </row>
    <row r="549" spans="1:1" x14ac:dyDescent="0.25">
      <c r="A549" s="15"/>
    </row>
    <row r="550" spans="1:1" x14ac:dyDescent="0.25">
      <c r="A550" s="15"/>
    </row>
    <row r="551" spans="1:1" x14ac:dyDescent="0.25">
      <c r="A551" s="15"/>
    </row>
    <row r="552" spans="1:1" x14ac:dyDescent="0.25">
      <c r="A552" s="15"/>
    </row>
    <row r="553" spans="1:1" x14ac:dyDescent="0.25">
      <c r="A553" s="15"/>
    </row>
    <row r="554" spans="1:1" x14ac:dyDescent="0.25">
      <c r="A554" s="15"/>
    </row>
    <row r="555" spans="1:1" x14ac:dyDescent="0.25">
      <c r="A555" s="15"/>
    </row>
    <row r="556" spans="1:1" x14ac:dyDescent="0.25">
      <c r="A556" s="15"/>
    </row>
    <row r="557" spans="1:1" x14ac:dyDescent="0.25">
      <c r="A557" s="15"/>
    </row>
    <row r="558" spans="1:1" x14ac:dyDescent="0.25">
      <c r="A558" s="15"/>
    </row>
    <row r="559" spans="1:1" x14ac:dyDescent="0.25">
      <c r="A559" s="15"/>
    </row>
    <row r="560" spans="1:1" x14ac:dyDescent="0.25">
      <c r="A560" s="15"/>
    </row>
    <row r="561" spans="1:1" x14ac:dyDescent="0.25">
      <c r="A561" s="15"/>
    </row>
    <row r="562" spans="1:1" x14ac:dyDescent="0.25">
      <c r="A562" s="15"/>
    </row>
    <row r="563" spans="1:1" x14ac:dyDescent="0.25">
      <c r="A563" s="15"/>
    </row>
    <row r="564" spans="1:1" x14ac:dyDescent="0.25">
      <c r="A564" s="15"/>
    </row>
    <row r="565" spans="1:1" x14ac:dyDescent="0.25">
      <c r="A565" s="15"/>
    </row>
    <row r="566" spans="1:1" x14ac:dyDescent="0.25">
      <c r="A566" s="15"/>
    </row>
    <row r="567" spans="1:1" x14ac:dyDescent="0.25">
      <c r="A567" s="15"/>
    </row>
    <row r="568" spans="1:1" x14ac:dyDescent="0.25">
      <c r="A568" s="15"/>
    </row>
    <row r="569" spans="1:1" x14ac:dyDescent="0.25">
      <c r="A569" s="15"/>
    </row>
    <row r="570" spans="1:1" x14ac:dyDescent="0.25">
      <c r="A570" s="15"/>
    </row>
    <row r="571" spans="1:1" x14ac:dyDescent="0.25">
      <c r="A571" s="15"/>
    </row>
    <row r="572" spans="1:1" x14ac:dyDescent="0.25">
      <c r="A572" s="15"/>
    </row>
    <row r="573" spans="1:1" x14ac:dyDescent="0.25">
      <c r="A573" s="15"/>
    </row>
    <row r="574" spans="1:1" x14ac:dyDescent="0.25">
      <c r="A574" s="15"/>
    </row>
    <row r="575" spans="1:1" x14ac:dyDescent="0.25">
      <c r="A575" s="15"/>
    </row>
    <row r="576" spans="1:1" x14ac:dyDescent="0.25">
      <c r="A576" s="15"/>
    </row>
    <row r="577" spans="1:1" x14ac:dyDescent="0.25">
      <c r="A577" s="15"/>
    </row>
    <row r="578" spans="1:1" x14ac:dyDescent="0.25">
      <c r="A578" s="15"/>
    </row>
    <row r="579" spans="1:1" x14ac:dyDescent="0.25">
      <c r="A579" s="15"/>
    </row>
    <row r="580" spans="1:1" x14ac:dyDescent="0.25">
      <c r="A580" s="15"/>
    </row>
    <row r="581" spans="1:1" x14ac:dyDescent="0.25">
      <c r="A581" s="15"/>
    </row>
    <row r="582" spans="1:1" x14ac:dyDescent="0.25">
      <c r="A582" s="15"/>
    </row>
    <row r="583" spans="1:1" x14ac:dyDescent="0.25">
      <c r="A583" s="15"/>
    </row>
    <row r="584" spans="1:1" x14ac:dyDescent="0.25">
      <c r="A584" s="15"/>
    </row>
    <row r="585" spans="1:1" x14ac:dyDescent="0.25">
      <c r="A585" s="15"/>
    </row>
    <row r="586" spans="1:1" x14ac:dyDescent="0.25">
      <c r="A586" s="15"/>
    </row>
    <row r="587" spans="1:1" x14ac:dyDescent="0.25">
      <c r="A587" s="15"/>
    </row>
    <row r="588" spans="1:1" x14ac:dyDescent="0.25">
      <c r="A588" s="15"/>
    </row>
    <row r="589" spans="1:1" x14ac:dyDescent="0.25">
      <c r="A589" s="15"/>
    </row>
    <row r="590" spans="1:1" x14ac:dyDescent="0.25">
      <c r="A590" s="15"/>
    </row>
    <row r="591" spans="1:1" x14ac:dyDescent="0.25">
      <c r="A591" s="15"/>
    </row>
    <row r="592" spans="1:1" x14ac:dyDescent="0.25">
      <c r="A592" s="15"/>
    </row>
    <row r="593" spans="1:1" x14ac:dyDescent="0.25">
      <c r="A593" s="15"/>
    </row>
    <row r="594" spans="1:1" x14ac:dyDescent="0.25">
      <c r="A594" s="15"/>
    </row>
    <row r="595" spans="1:1" x14ac:dyDescent="0.25">
      <c r="A595" s="15"/>
    </row>
    <row r="596" spans="1:1" x14ac:dyDescent="0.25">
      <c r="A596" s="15"/>
    </row>
    <row r="597" spans="1:1" x14ac:dyDescent="0.25">
      <c r="A597" s="15"/>
    </row>
    <row r="598" spans="1:1" x14ac:dyDescent="0.25">
      <c r="A598" s="15"/>
    </row>
    <row r="599" spans="1:1" x14ac:dyDescent="0.25">
      <c r="A599" s="15"/>
    </row>
    <row r="600" spans="1:1" x14ac:dyDescent="0.25">
      <c r="A600" s="15"/>
    </row>
    <row r="601" spans="1:1" x14ac:dyDescent="0.25">
      <c r="A601" s="15"/>
    </row>
    <row r="602" spans="1:1" x14ac:dyDescent="0.25">
      <c r="A602" s="15"/>
    </row>
    <row r="603" spans="1:1" x14ac:dyDescent="0.25">
      <c r="A603" s="15"/>
    </row>
    <row r="604" spans="1:1" x14ac:dyDescent="0.25">
      <c r="A604" s="15"/>
    </row>
    <row r="605" spans="1:1" x14ac:dyDescent="0.25">
      <c r="A605" s="15"/>
    </row>
    <row r="606" spans="1:1" x14ac:dyDescent="0.25">
      <c r="A606" s="15"/>
    </row>
    <row r="607" spans="1:1" x14ac:dyDescent="0.25">
      <c r="A607" s="15"/>
    </row>
    <row r="608" spans="1:1" x14ac:dyDescent="0.25">
      <c r="A608" s="15"/>
    </row>
    <row r="609" spans="1:1" x14ac:dyDescent="0.25">
      <c r="A609" s="15"/>
    </row>
    <row r="610" spans="1:1" x14ac:dyDescent="0.25">
      <c r="A610" s="15"/>
    </row>
    <row r="611" spans="1:1" x14ac:dyDescent="0.25">
      <c r="A611" s="15"/>
    </row>
    <row r="612" spans="1:1" x14ac:dyDescent="0.25">
      <c r="A612" s="15"/>
    </row>
    <row r="613" spans="1:1" x14ac:dyDescent="0.25">
      <c r="A613" s="15"/>
    </row>
    <row r="614" spans="1:1" x14ac:dyDescent="0.25">
      <c r="A614" s="15"/>
    </row>
    <row r="615" spans="1:1" x14ac:dyDescent="0.25">
      <c r="A615" s="15"/>
    </row>
    <row r="616" spans="1:1" x14ac:dyDescent="0.25">
      <c r="A616" s="15"/>
    </row>
    <row r="617" spans="1:1" x14ac:dyDescent="0.25">
      <c r="A617" s="15"/>
    </row>
    <row r="618" spans="1:1" x14ac:dyDescent="0.25">
      <c r="A618" s="15"/>
    </row>
    <row r="619" spans="1:1" x14ac:dyDescent="0.25">
      <c r="A619" s="15"/>
    </row>
    <row r="620" spans="1:1" x14ac:dyDescent="0.25">
      <c r="A620" s="15"/>
    </row>
    <row r="621" spans="1:1" x14ac:dyDescent="0.25">
      <c r="A621" s="15"/>
    </row>
    <row r="622" spans="1:1" x14ac:dyDescent="0.25">
      <c r="A622" s="15"/>
    </row>
    <row r="623" spans="1:1" x14ac:dyDescent="0.25">
      <c r="A623" s="15"/>
    </row>
    <row r="624" spans="1:1" x14ac:dyDescent="0.25">
      <c r="A624" s="15"/>
    </row>
    <row r="625" spans="1:1" x14ac:dyDescent="0.25">
      <c r="A625" s="15"/>
    </row>
    <row r="626" spans="1:1" x14ac:dyDescent="0.25">
      <c r="A626" s="15"/>
    </row>
    <row r="627" spans="1:1" x14ac:dyDescent="0.25">
      <c r="A627" s="15"/>
    </row>
    <row r="628" spans="1:1" x14ac:dyDescent="0.25">
      <c r="A628" s="15"/>
    </row>
    <row r="629" spans="1:1" x14ac:dyDescent="0.25">
      <c r="A629" s="15"/>
    </row>
    <row r="630" spans="1:1" x14ac:dyDescent="0.25">
      <c r="A630" s="15"/>
    </row>
    <row r="631" spans="1:1" x14ac:dyDescent="0.25">
      <c r="A631" s="15"/>
    </row>
    <row r="632" spans="1:1" x14ac:dyDescent="0.25">
      <c r="A632" s="15"/>
    </row>
    <row r="633" spans="1:1" x14ac:dyDescent="0.25">
      <c r="A633" s="15"/>
    </row>
    <row r="634" spans="1:1" x14ac:dyDescent="0.25">
      <c r="A634" s="15"/>
    </row>
    <row r="635" spans="1:1" x14ac:dyDescent="0.25">
      <c r="A635" s="15"/>
    </row>
    <row r="636" spans="1:1" x14ac:dyDescent="0.25">
      <c r="A636" s="15"/>
    </row>
    <row r="637" spans="1:1" x14ac:dyDescent="0.25">
      <c r="A637" s="15"/>
    </row>
    <row r="638" spans="1:1" x14ac:dyDescent="0.25">
      <c r="A638" s="15"/>
    </row>
    <row r="639" spans="1:1" x14ac:dyDescent="0.25">
      <c r="A639" s="15"/>
    </row>
    <row r="640" spans="1:1" x14ac:dyDescent="0.25">
      <c r="A640" s="15"/>
    </row>
    <row r="641" spans="1:1" x14ac:dyDescent="0.25">
      <c r="A641" s="15"/>
    </row>
    <row r="642" spans="1:1" x14ac:dyDescent="0.25">
      <c r="A642" s="15"/>
    </row>
    <row r="643" spans="1:1" x14ac:dyDescent="0.25">
      <c r="A643" s="15"/>
    </row>
    <row r="644" spans="1:1" x14ac:dyDescent="0.25">
      <c r="A644" s="15"/>
    </row>
    <row r="645" spans="1:1" x14ac:dyDescent="0.25">
      <c r="A645" s="15"/>
    </row>
    <row r="646" spans="1:1" x14ac:dyDescent="0.25">
      <c r="A646" s="15"/>
    </row>
    <row r="647" spans="1:1" x14ac:dyDescent="0.25">
      <c r="A647" s="15"/>
    </row>
    <row r="648" spans="1:1" x14ac:dyDescent="0.25">
      <c r="A648" s="15"/>
    </row>
    <row r="649" spans="1:1" x14ac:dyDescent="0.25">
      <c r="A649" s="15"/>
    </row>
    <row r="650" spans="1:1" x14ac:dyDescent="0.25">
      <c r="A650" s="15"/>
    </row>
    <row r="651" spans="1:1" x14ac:dyDescent="0.25">
      <c r="A651" s="15"/>
    </row>
    <row r="652" spans="1:1" x14ac:dyDescent="0.25">
      <c r="A652" s="15"/>
    </row>
    <row r="653" spans="1:1" x14ac:dyDescent="0.25">
      <c r="A653" s="15"/>
    </row>
    <row r="654" spans="1:1" x14ac:dyDescent="0.25">
      <c r="A654" s="15"/>
    </row>
    <row r="655" spans="1:1" x14ac:dyDescent="0.25">
      <c r="A655" s="15"/>
    </row>
    <row r="656" spans="1:1" x14ac:dyDescent="0.25">
      <c r="A656" s="15"/>
    </row>
    <row r="657" spans="1:1" x14ac:dyDescent="0.25">
      <c r="A657" s="15"/>
    </row>
    <row r="658" spans="1:1" x14ac:dyDescent="0.25">
      <c r="A658" s="15"/>
    </row>
    <row r="659" spans="1:1" x14ac:dyDescent="0.25">
      <c r="A659" s="15"/>
    </row>
    <row r="660" spans="1:1" x14ac:dyDescent="0.25">
      <c r="A660" s="15"/>
    </row>
    <row r="661" spans="1:1" x14ac:dyDescent="0.25">
      <c r="A661" s="15"/>
    </row>
    <row r="662" spans="1:1" x14ac:dyDescent="0.25">
      <c r="A662" s="15"/>
    </row>
    <row r="663" spans="1:1" x14ac:dyDescent="0.25">
      <c r="A663" s="15"/>
    </row>
    <row r="664" spans="1:1" x14ac:dyDescent="0.25">
      <c r="A664" s="15"/>
    </row>
    <row r="665" spans="1:1" x14ac:dyDescent="0.25">
      <c r="A665" s="15"/>
    </row>
    <row r="666" spans="1:1" x14ac:dyDescent="0.25">
      <c r="A666" s="15"/>
    </row>
    <row r="667" spans="1:1" x14ac:dyDescent="0.25">
      <c r="A667" s="15"/>
    </row>
    <row r="668" spans="1:1" x14ac:dyDescent="0.25">
      <c r="A668" s="15"/>
    </row>
    <row r="669" spans="1:1" x14ac:dyDescent="0.25">
      <c r="A669" s="15"/>
    </row>
    <row r="670" spans="1:1" x14ac:dyDescent="0.25">
      <c r="A670" s="15"/>
    </row>
    <row r="671" spans="1:1" x14ac:dyDescent="0.25">
      <c r="A671" s="15"/>
    </row>
    <row r="672" spans="1:1" x14ac:dyDescent="0.25">
      <c r="A672" s="15"/>
    </row>
    <row r="673" spans="1:1" x14ac:dyDescent="0.25">
      <c r="A673" s="15"/>
    </row>
    <row r="674" spans="1:1" x14ac:dyDescent="0.25">
      <c r="A674" s="15"/>
    </row>
    <row r="675" spans="1:1" x14ac:dyDescent="0.25">
      <c r="A675" s="15"/>
    </row>
    <row r="676" spans="1:1" x14ac:dyDescent="0.25">
      <c r="A676" s="15"/>
    </row>
    <row r="677" spans="1:1" x14ac:dyDescent="0.25">
      <c r="A677" s="15"/>
    </row>
    <row r="678" spans="1:1" x14ac:dyDescent="0.25">
      <c r="A678" s="15"/>
    </row>
    <row r="679" spans="1:1" x14ac:dyDescent="0.25">
      <c r="A679" s="15"/>
    </row>
    <row r="680" spans="1:1" x14ac:dyDescent="0.25">
      <c r="A680" s="15"/>
    </row>
    <row r="681" spans="1:1" x14ac:dyDescent="0.25">
      <c r="A681" s="15"/>
    </row>
    <row r="682" spans="1:1" x14ac:dyDescent="0.25">
      <c r="A682" s="15"/>
    </row>
    <row r="683" spans="1:1" x14ac:dyDescent="0.25">
      <c r="A683" s="15"/>
    </row>
    <row r="684" spans="1:1" x14ac:dyDescent="0.25">
      <c r="A684" s="15"/>
    </row>
    <row r="685" spans="1:1" x14ac:dyDescent="0.25">
      <c r="A685" s="15"/>
    </row>
    <row r="686" spans="1:1" x14ac:dyDescent="0.25">
      <c r="A686" s="15"/>
    </row>
    <row r="687" spans="1:1" x14ac:dyDescent="0.25">
      <c r="A687" s="15"/>
    </row>
    <row r="688" spans="1:1" x14ac:dyDescent="0.25">
      <c r="A688" s="15"/>
    </row>
    <row r="689" spans="1:1" x14ac:dyDescent="0.25">
      <c r="A689" s="15"/>
    </row>
    <row r="690" spans="1:1" x14ac:dyDescent="0.25">
      <c r="A690" s="15"/>
    </row>
    <row r="691" spans="1:1" x14ac:dyDescent="0.25">
      <c r="A691" s="15"/>
    </row>
    <row r="692" spans="1:1" x14ac:dyDescent="0.25">
      <c r="A692" s="15"/>
    </row>
    <row r="693" spans="1:1" x14ac:dyDescent="0.25">
      <c r="A693" s="15"/>
    </row>
    <row r="694" spans="1:1" x14ac:dyDescent="0.25">
      <c r="A694" s="15"/>
    </row>
    <row r="695" spans="1:1" x14ac:dyDescent="0.25">
      <c r="A695" s="15"/>
    </row>
    <row r="696" spans="1:1" x14ac:dyDescent="0.25">
      <c r="A696" s="15"/>
    </row>
    <row r="697" spans="1:1" x14ac:dyDescent="0.25">
      <c r="A697" s="15"/>
    </row>
    <row r="698" spans="1:1" x14ac:dyDescent="0.25">
      <c r="A698" s="15"/>
    </row>
    <row r="699" spans="1:1" x14ac:dyDescent="0.25">
      <c r="A699" s="15"/>
    </row>
    <row r="700" spans="1:1" x14ac:dyDescent="0.25">
      <c r="A700" s="15"/>
    </row>
    <row r="701" spans="1:1" x14ac:dyDescent="0.25">
      <c r="A701" s="15"/>
    </row>
    <row r="702" spans="1:1" x14ac:dyDescent="0.25">
      <c r="A702" s="15"/>
    </row>
    <row r="703" spans="1:1" x14ac:dyDescent="0.25">
      <c r="A703" s="15"/>
    </row>
    <row r="704" spans="1:1" x14ac:dyDescent="0.25">
      <c r="A704" s="15"/>
    </row>
    <row r="705" spans="1:1" x14ac:dyDescent="0.25">
      <c r="A705" s="15"/>
    </row>
    <row r="706" spans="1:1" x14ac:dyDescent="0.25">
      <c r="A706" s="15"/>
    </row>
    <row r="707" spans="1:1" x14ac:dyDescent="0.25">
      <c r="A707" s="15"/>
    </row>
    <row r="708" spans="1:1" x14ac:dyDescent="0.25">
      <c r="A708" s="15"/>
    </row>
    <row r="709" spans="1:1" x14ac:dyDescent="0.25">
      <c r="A709" s="15"/>
    </row>
    <row r="710" spans="1:1" x14ac:dyDescent="0.25">
      <c r="A710" s="15"/>
    </row>
    <row r="711" spans="1:1" x14ac:dyDescent="0.25">
      <c r="A711" s="15"/>
    </row>
    <row r="712" spans="1:1" x14ac:dyDescent="0.25">
      <c r="A712" s="15"/>
    </row>
    <row r="713" spans="1:1" x14ac:dyDescent="0.25">
      <c r="A713" s="15"/>
    </row>
    <row r="714" spans="1:1" x14ac:dyDescent="0.25">
      <c r="A714" s="15"/>
    </row>
    <row r="715" spans="1:1" x14ac:dyDescent="0.25">
      <c r="A715" s="15"/>
    </row>
    <row r="716" spans="1:1" x14ac:dyDescent="0.25">
      <c r="A716" s="15"/>
    </row>
    <row r="717" spans="1:1" x14ac:dyDescent="0.25">
      <c r="A717" s="15"/>
    </row>
    <row r="718" spans="1:1" x14ac:dyDescent="0.25">
      <c r="A718" s="15"/>
    </row>
    <row r="719" spans="1:1" x14ac:dyDescent="0.25">
      <c r="A719" s="15"/>
    </row>
    <row r="720" spans="1:1" x14ac:dyDescent="0.25">
      <c r="A720" s="15"/>
    </row>
    <row r="721" spans="1:1" x14ac:dyDescent="0.25">
      <c r="A721" s="15"/>
    </row>
    <row r="722" spans="1:1" x14ac:dyDescent="0.25">
      <c r="A722" s="15"/>
    </row>
    <row r="723" spans="1:1" x14ac:dyDescent="0.25">
      <c r="A723" s="15"/>
    </row>
    <row r="724" spans="1:1" x14ac:dyDescent="0.25">
      <c r="A724" s="15"/>
    </row>
    <row r="725" spans="1:1" x14ac:dyDescent="0.25">
      <c r="A725" s="15"/>
    </row>
    <row r="726" spans="1:1" x14ac:dyDescent="0.25">
      <c r="A726" s="15"/>
    </row>
    <row r="727" spans="1:1" x14ac:dyDescent="0.25">
      <c r="A727" s="15"/>
    </row>
    <row r="728" spans="1:1" x14ac:dyDescent="0.25">
      <c r="A728" s="15"/>
    </row>
    <row r="729" spans="1:1" x14ac:dyDescent="0.25">
      <c r="A729" s="15"/>
    </row>
    <row r="730" spans="1:1" x14ac:dyDescent="0.25">
      <c r="A730" s="15"/>
    </row>
    <row r="731" spans="1:1" x14ac:dyDescent="0.25">
      <c r="A731" s="15"/>
    </row>
    <row r="732" spans="1:1" x14ac:dyDescent="0.25">
      <c r="A732" s="15"/>
    </row>
    <row r="733" spans="1:1" x14ac:dyDescent="0.25">
      <c r="A733" s="15"/>
    </row>
    <row r="734" spans="1:1" x14ac:dyDescent="0.25">
      <c r="A734" s="15"/>
    </row>
    <row r="735" spans="1:1" x14ac:dyDescent="0.25">
      <c r="A735" s="15"/>
    </row>
    <row r="736" spans="1:1" x14ac:dyDescent="0.25">
      <c r="A736" s="15"/>
    </row>
    <row r="737" spans="1:1" x14ac:dyDescent="0.25">
      <c r="A737" s="15"/>
    </row>
    <row r="738" spans="1:1" x14ac:dyDescent="0.25">
      <c r="A738" s="15"/>
    </row>
    <row r="739" spans="1:1" x14ac:dyDescent="0.25">
      <c r="A739" s="15"/>
    </row>
    <row r="740" spans="1:1" x14ac:dyDescent="0.25">
      <c r="A740" s="15"/>
    </row>
    <row r="741" spans="1:1" x14ac:dyDescent="0.25">
      <c r="A741" s="15"/>
    </row>
    <row r="742" spans="1:1" x14ac:dyDescent="0.25">
      <c r="A742" s="15"/>
    </row>
    <row r="743" spans="1:1" x14ac:dyDescent="0.25">
      <c r="A743" s="15"/>
    </row>
    <row r="744" spans="1:1" x14ac:dyDescent="0.25">
      <c r="A744" s="15"/>
    </row>
    <row r="745" spans="1:1" x14ac:dyDescent="0.25">
      <c r="A745" s="15"/>
    </row>
    <row r="746" spans="1:1" x14ac:dyDescent="0.25">
      <c r="A746" s="15"/>
    </row>
    <row r="747" spans="1:1" x14ac:dyDescent="0.25">
      <c r="A747" s="15"/>
    </row>
    <row r="748" spans="1:1" x14ac:dyDescent="0.25">
      <c r="A748" s="15"/>
    </row>
    <row r="749" spans="1:1" x14ac:dyDescent="0.25">
      <c r="A749" s="15"/>
    </row>
    <row r="750" spans="1:1" x14ac:dyDescent="0.25">
      <c r="A750" s="15"/>
    </row>
    <row r="751" spans="1:1" x14ac:dyDescent="0.25">
      <c r="A751" s="15"/>
    </row>
    <row r="752" spans="1:1" x14ac:dyDescent="0.25">
      <c r="A752" s="15"/>
    </row>
    <row r="753" spans="1:1" x14ac:dyDescent="0.25">
      <c r="A753" s="15"/>
    </row>
    <row r="754" spans="1:1" x14ac:dyDescent="0.25">
      <c r="A754" s="15"/>
    </row>
    <row r="755" spans="1:1" x14ac:dyDescent="0.25">
      <c r="A755" s="15"/>
    </row>
    <row r="756" spans="1:1" x14ac:dyDescent="0.25">
      <c r="A756" s="15"/>
    </row>
    <row r="757" spans="1:1" x14ac:dyDescent="0.25">
      <c r="A757" s="15"/>
    </row>
    <row r="758" spans="1:1" x14ac:dyDescent="0.25">
      <c r="A758" s="15"/>
    </row>
    <row r="759" spans="1:1" x14ac:dyDescent="0.25">
      <c r="A759" s="15"/>
    </row>
    <row r="760" spans="1:1" x14ac:dyDescent="0.25">
      <c r="A760" s="15"/>
    </row>
    <row r="761" spans="1:1" x14ac:dyDescent="0.25">
      <c r="A761" s="15"/>
    </row>
    <row r="762" spans="1:1" x14ac:dyDescent="0.25">
      <c r="A762" s="15"/>
    </row>
    <row r="763" spans="1:1" x14ac:dyDescent="0.25">
      <c r="A763" s="15"/>
    </row>
    <row r="764" spans="1:1" x14ac:dyDescent="0.25">
      <c r="A764" s="15"/>
    </row>
    <row r="765" spans="1:1" x14ac:dyDescent="0.25">
      <c r="A765" s="15"/>
    </row>
    <row r="766" spans="1:1" x14ac:dyDescent="0.25">
      <c r="A766" s="15"/>
    </row>
    <row r="767" spans="1:1" x14ac:dyDescent="0.25">
      <c r="A767" s="15"/>
    </row>
    <row r="768" spans="1:1" x14ac:dyDescent="0.25">
      <c r="A768" s="15"/>
    </row>
    <row r="769" spans="1:1" x14ac:dyDescent="0.25">
      <c r="A769" s="15"/>
    </row>
    <row r="770" spans="1:1" x14ac:dyDescent="0.25">
      <c r="A770" s="15"/>
    </row>
    <row r="771" spans="1:1" x14ac:dyDescent="0.25">
      <c r="A771" s="15"/>
    </row>
    <row r="772" spans="1:1" x14ac:dyDescent="0.25">
      <c r="A772" s="15"/>
    </row>
    <row r="773" spans="1:1" x14ac:dyDescent="0.25">
      <c r="A773" s="15"/>
    </row>
    <row r="774" spans="1:1" x14ac:dyDescent="0.25">
      <c r="A774" s="15"/>
    </row>
    <row r="775" spans="1:1" x14ac:dyDescent="0.25">
      <c r="A775" s="15"/>
    </row>
    <row r="776" spans="1:1" x14ac:dyDescent="0.25">
      <c r="A776" s="15"/>
    </row>
    <row r="777" spans="1:1" x14ac:dyDescent="0.25">
      <c r="A777" s="15"/>
    </row>
    <row r="778" spans="1:1" x14ac:dyDescent="0.25">
      <c r="A778" s="15"/>
    </row>
    <row r="779" spans="1:1" x14ac:dyDescent="0.25">
      <c r="A779" s="15"/>
    </row>
    <row r="780" spans="1:1" x14ac:dyDescent="0.25">
      <c r="A780" s="15"/>
    </row>
    <row r="781" spans="1:1" x14ac:dyDescent="0.25">
      <c r="A781" s="15"/>
    </row>
    <row r="782" spans="1:1" x14ac:dyDescent="0.25">
      <c r="A782" s="15"/>
    </row>
    <row r="783" spans="1:1" x14ac:dyDescent="0.25">
      <c r="A783" s="15"/>
    </row>
    <row r="784" spans="1:1" x14ac:dyDescent="0.25">
      <c r="A784" s="15"/>
    </row>
    <row r="785" spans="1:1" x14ac:dyDescent="0.25">
      <c r="A785" s="15"/>
    </row>
    <row r="786" spans="1:1" x14ac:dyDescent="0.25">
      <c r="A786" s="15"/>
    </row>
    <row r="787" spans="1:1" x14ac:dyDescent="0.25">
      <c r="A787" s="15"/>
    </row>
    <row r="788" spans="1:1" x14ac:dyDescent="0.25">
      <c r="A788" s="15"/>
    </row>
    <row r="789" spans="1:1" x14ac:dyDescent="0.25">
      <c r="A789" s="15"/>
    </row>
    <row r="790" spans="1:1" x14ac:dyDescent="0.25">
      <c r="A790" s="15"/>
    </row>
    <row r="791" spans="1:1" x14ac:dyDescent="0.25">
      <c r="A791" s="15"/>
    </row>
    <row r="792" spans="1:1" x14ac:dyDescent="0.25">
      <c r="A792" s="15"/>
    </row>
    <row r="793" spans="1:1" x14ac:dyDescent="0.25">
      <c r="A793" s="15"/>
    </row>
    <row r="794" spans="1:1" x14ac:dyDescent="0.25">
      <c r="A794" s="15"/>
    </row>
    <row r="795" spans="1:1" x14ac:dyDescent="0.25">
      <c r="A795" s="15"/>
    </row>
    <row r="796" spans="1:1" x14ac:dyDescent="0.25">
      <c r="A796" s="15"/>
    </row>
    <row r="797" spans="1:1" x14ac:dyDescent="0.25">
      <c r="A797" s="15"/>
    </row>
    <row r="798" spans="1:1" x14ac:dyDescent="0.25">
      <c r="A798" s="15"/>
    </row>
    <row r="799" spans="1:1" x14ac:dyDescent="0.25">
      <c r="A799" s="15"/>
    </row>
    <row r="800" spans="1:1" x14ac:dyDescent="0.25">
      <c r="A800" s="15"/>
    </row>
    <row r="801" spans="1:1" x14ac:dyDescent="0.25">
      <c r="A801" s="15"/>
    </row>
    <row r="802" spans="1:1" x14ac:dyDescent="0.25">
      <c r="A802" s="15"/>
    </row>
    <row r="803" spans="1:1" x14ac:dyDescent="0.25">
      <c r="A803" s="15"/>
    </row>
    <row r="804" spans="1:1" x14ac:dyDescent="0.25">
      <c r="A804" s="15"/>
    </row>
    <row r="805" spans="1:1" x14ac:dyDescent="0.25">
      <c r="A805" s="15"/>
    </row>
    <row r="806" spans="1:1" x14ac:dyDescent="0.25">
      <c r="A806" s="15"/>
    </row>
    <row r="807" spans="1:1" x14ac:dyDescent="0.25">
      <c r="A807" s="15"/>
    </row>
    <row r="808" spans="1:1" x14ac:dyDescent="0.25">
      <c r="A808" s="15"/>
    </row>
    <row r="809" spans="1:1" x14ac:dyDescent="0.25">
      <c r="A809" s="15"/>
    </row>
    <row r="810" spans="1:1" x14ac:dyDescent="0.25">
      <c r="A810" s="15"/>
    </row>
    <row r="811" spans="1:1" x14ac:dyDescent="0.25">
      <c r="A811" s="15"/>
    </row>
    <row r="812" spans="1:1" x14ac:dyDescent="0.25">
      <c r="A812" s="15"/>
    </row>
    <row r="813" spans="1:1" x14ac:dyDescent="0.25">
      <c r="A813" s="15"/>
    </row>
    <row r="814" spans="1:1" x14ac:dyDescent="0.25">
      <c r="A814" s="15"/>
    </row>
    <row r="815" spans="1:1" x14ac:dyDescent="0.25">
      <c r="A815" s="15"/>
    </row>
    <row r="816" spans="1:1" x14ac:dyDescent="0.25">
      <c r="A816" s="15"/>
    </row>
    <row r="817" spans="1:1" x14ac:dyDescent="0.25">
      <c r="A817" s="15"/>
    </row>
    <row r="818" spans="1:1" x14ac:dyDescent="0.25">
      <c r="A818" s="15"/>
    </row>
    <row r="819" spans="1:1" x14ac:dyDescent="0.25">
      <c r="A819" s="15"/>
    </row>
    <row r="820" spans="1:1" x14ac:dyDescent="0.25">
      <c r="A820" s="15"/>
    </row>
    <row r="821" spans="1:1" x14ac:dyDescent="0.25">
      <c r="A821" s="15"/>
    </row>
    <row r="822" spans="1:1" x14ac:dyDescent="0.25">
      <c r="A822" s="15"/>
    </row>
    <row r="823" spans="1:1" x14ac:dyDescent="0.25">
      <c r="A823" s="15"/>
    </row>
    <row r="824" spans="1:1" x14ac:dyDescent="0.25">
      <c r="A824" s="15"/>
    </row>
    <row r="825" spans="1:1" x14ac:dyDescent="0.25">
      <c r="A825" s="15"/>
    </row>
    <row r="826" spans="1:1" x14ac:dyDescent="0.25">
      <c r="A826" s="15"/>
    </row>
    <row r="827" spans="1:1" x14ac:dyDescent="0.25">
      <c r="A827" s="15"/>
    </row>
    <row r="828" spans="1:1" x14ac:dyDescent="0.25">
      <c r="A828" s="15"/>
    </row>
    <row r="829" spans="1:1" x14ac:dyDescent="0.25">
      <c r="A829" s="15"/>
    </row>
    <row r="830" spans="1:1" x14ac:dyDescent="0.25">
      <c r="A830" s="15"/>
    </row>
    <row r="831" spans="1:1" x14ac:dyDescent="0.25">
      <c r="A831" s="15"/>
    </row>
    <row r="832" spans="1:1" x14ac:dyDescent="0.25">
      <c r="A832" s="15"/>
    </row>
    <row r="833" spans="1:1" x14ac:dyDescent="0.25">
      <c r="A833" s="15"/>
    </row>
    <row r="834" spans="1:1" x14ac:dyDescent="0.25">
      <c r="A834" s="15"/>
    </row>
    <row r="835" spans="1:1" x14ac:dyDescent="0.25">
      <c r="A835" s="15"/>
    </row>
    <row r="836" spans="1:1" x14ac:dyDescent="0.25">
      <c r="A836" s="15"/>
    </row>
    <row r="837" spans="1:1" x14ac:dyDescent="0.25">
      <c r="A837" s="15"/>
    </row>
    <row r="838" spans="1:1" x14ac:dyDescent="0.25">
      <c r="A838" s="15"/>
    </row>
    <row r="839" spans="1:1" x14ac:dyDescent="0.25">
      <c r="A839" s="15"/>
    </row>
    <row r="840" spans="1:1" x14ac:dyDescent="0.25">
      <c r="A840" s="15"/>
    </row>
    <row r="841" spans="1:1" x14ac:dyDescent="0.25">
      <c r="A841" s="15"/>
    </row>
    <row r="842" spans="1:1" x14ac:dyDescent="0.25">
      <c r="A842" s="15"/>
    </row>
    <row r="843" spans="1:1" x14ac:dyDescent="0.25">
      <c r="A843" s="15"/>
    </row>
    <row r="844" spans="1:1" x14ac:dyDescent="0.25">
      <c r="A844" s="15"/>
    </row>
    <row r="845" spans="1:1" x14ac:dyDescent="0.25">
      <c r="A845" s="15"/>
    </row>
    <row r="846" spans="1:1" x14ac:dyDescent="0.25">
      <c r="A846" s="15"/>
    </row>
    <row r="847" spans="1:1" x14ac:dyDescent="0.25">
      <c r="A847" s="15"/>
    </row>
    <row r="848" spans="1:1" x14ac:dyDescent="0.25">
      <c r="A848" s="15"/>
    </row>
    <row r="849" spans="1:1" x14ac:dyDescent="0.25">
      <c r="A849" s="15"/>
    </row>
    <row r="850" spans="1:1" x14ac:dyDescent="0.25">
      <c r="A850" s="15"/>
    </row>
    <row r="851" spans="1:1" x14ac:dyDescent="0.25">
      <c r="A851" s="15"/>
    </row>
    <row r="852" spans="1:1" x14ac:dyDescent="0.25">
      <c r="A852" s="15"/>
    </row>
    <row r="853" spans="1:1" x14ac:dyDescent="0.25">
      <c r="A853" s="15"/>
    </row>
    <row r="854" spans="1:1" x14ac:dyDescent="0.25">
      <c r="A854" s="15"/>
    </row>
    <row r="855" spans="1:1" x14ac:dyDescent="0.25">
      <c r="A855" s="15"/>
    </row>
    <row r="856" spans="1:1" x14ac:dyDescent="0.25">
      <c r="A856" s="15"/>
    </row>
    <row r="857" spans="1:1" x14ac:dyDescent="0.25">
      <c r="A857" s="15"/>
    </row>
    <row r="858" spans="1:1" x14ac:dyDescent="0.25">
      <c r="A858" s="15"/>
    </row>
    <row r="859" spans="1:1" x14ac:dyDescent="0.25">
      <c r="A859" s="15"/>
    </row>
    <row r="860" spans="1:1" x14ac:dyDescent="0.25">
      <c r="A860" s="15"/>
    </row>
    <row r="861" spans="1:1" x14ac:dyDescent="0.25">
      <c r="A861" s="15"/>
    </row>
    <row r="862" spans="1:1" x14ac:dyDescent="0.25">
      <c r="A862" s="15"/>
    </row>
    <row r="863" spans="1:1" x14ac:dyDescent="0.25">
      <c r="A863" s="15"/>
    </row>
    <row r="864" spans="1:1" x14ac:dyDescent="0.25">
      <c r="A864" s="15"/>
    </row>
    <row r="865" spans="1:1" x14ac:dyDescent="0.25">
      <c r="A865" s="15"/>
    </row>
    <row r="866" spans="1:1" x14ac:dyDescent="0.25">
      <c r="A866" s="15"/>
    </row>
    <row r="867" spans="1:1" x14ac:dyDescent="0.25">
      <c r="A867" s="15"/>
    </row>
    <row r="868" spans="1:1" x14ac:dyDescent="0.25">
      <c r="A868" s="15"/>
    </row>
    <row r="869" spans="1:1" x14ac:dyDescent="0.25">
      <c r="A869" s="15"/>
    </row>
    <row r="870" spans="1:1" x14ac:dyDescent="0.25">
      <c r="A870" s="15"/>
    </row>
    <row r="871" spans="1:1" x14ac:dyDescent="0.25">
      <c r="A871" s="15"/>
    </row>
    <row r="872" spans="1:1" x14ac:dyDescent="0.25">
      <c r="A872" s="15"/>
    </row>
    <row r="873" spans="1:1" x14ac:dyDescent="0.25">
      <c r="A873" s="15"/>
    </row>
    <row r="874" spans="1:1" x14ac:dyDescent="0.25">
      <c r="A874" s="15"/>
    </row>
    <row r="875" spans="1:1" x14ac:dyDescent="0.25">
      <c r="A875" s="15"/>
    </row>
    <row r="876" spans="1:1" x14ac:dyDescent="0.25">
      <c r="A876" s="15"/>
    </row>
    <row r="877" spans="1:1" x14ac:dyDescent="0.25">
      <c r="A877" s="15"/>
    </row>
    <row r="878" spans="1:1" x14ac:dyDescent="0.25">
      <c r="A878" s="15"/>
    </row>
    <row r="879" spans="1:1" x14ac:dyDescent="0.25">
      <c r="A879" s="15"/>
    </row>
    <row r="880" spans="1:1" x14ac:dyDescent="0.25">
      <c r="A880" s="15"/>
    </row>
    <row r="881" spans="1:1" x14ac:dyDescent="0.25">
      <c r="A881" s="15"/>
    </row>
    <row r="882" spans="1:1" x14ac:dyDescent="0.25">
      <c r="A882" s="15"/>
    </row>
    <row r="883" spans="1:1" x14ac:dyDescent="0.25">
      <c r="A883" s="15"/>
    </row>
    <row r="884" spans="1:1" x14ac:dyDescent="0.25">
      <c r="A884" s="15"/>
    </row>
    <row r="885" spans="1:1" x14ac:dyDescent="0.25">
      <c r="A885" s="15"/>
    </row>
    <row r="886" spans="1:1" x14ac:dyDescent="0.25">
      <c r="A886" s="15"/>
    </row>
    <row r="887" spans="1:1" x14ac:dyDescent="0.25">
      <c r="A887" s="15"/>
    </row>
    <row r="888" spans="1:1" x14ac:dyDescent="0.25">
      <c r="A888" s="15"/>
    </row>
    <row r="889" spans="1:1" x14ac:dyDescent="0.25">
      <c r="A889" s="15"/>
    </row>
    <row r="890" spans="1:1" x14ac:dyDescent="0.25">
      <c r="A890" s="15"/>
    </row>
    <row r="891" spans="1:1" x14ac:dyDescent="0.25">
      <c r="A891" s="15"/>
    </row>
    <row r="892" spans="1:1" x14ac:dyDescent="0.25">
      <c r="A892" s="15"/>
    </row>
    <row r="893" spans="1:1" x14ac:dyDescent="0.25">
      <c r="A893" s="15"/>
    </row>
    <row r="894" spans="1:1" x14ac:dyDescent="0.25">
      <c r="A894" s="15"/>
    </row>
    <row r="895" spans="1:1" x14ac:dyDescent="0.25">
      <c r="A895" s="15"/>
    </row>
    <row r="896" spans="1:1" x14ac:dyDescent="0.25">
      <c r="A896" s="15"/>
    </row>
    <row r="897" spans="1:1" x14ac:dyDescent="0.25">
      <c r="A897" s="15"/>
    </row>
    <row r="898" spans="1:1" x14ac:dyDescent="0.25">
      <c r="A898" s="15"/>
    </row>
    <row r="899" spans="1:1" x14ac:dyDescent="0.25">
      <c r="A899" s="15"/>
    </row>
    <row r="900" spans="1:1" x14ac:dyDescent="0.25">
      <c r="A900" s="15"/>
    </row>
    <row r="901" spans="1:1" x14ac:dyDescent="0.25">
      <c r="A901" s="15"/>
    </row>
    <row r="902" spans="1:1" x14ac:dyDescent="0.25">
      <c r="A902" s="15"/>
    </row>
    <row r="903" spans="1:1" x14ac:dyDescent="0.25">
      <c r="A903" s="15"/>
    </row>
    <row r="904" spans="1:1" x14ac:dyDescent="0.25">
      <c r="A904" s="15"/>
    </row>
    <row r="905" spans="1:1" x14ac:dyDescent="0.25">
      <c r="A905" s="15"/>
    </row>
    <row r="906" spans="1:1" x14ac:dyDescent="0.25">
      <c r="A906" s="15"/>
    </row>
    <row r="907" spans="1:1" x14ac:dyDescent="0.25">
      <c r="A907" s="15"/>
    </row>
    <row r="908" spans="1:1" x14ac:dyDescent="0.25">
      <c r="A908" s="15"/>
    </row>
    <row r="909" spans="1:1" x14ac:dyDescent="0.25">
      <c r="A909" s="15"/>
    </row>
    <row r="910" spans="1:1" x14ac:dyDescent="0.25">
      <c r="A910" s="15"/>
    </row>
    <row r="911" spans="1:1" x14ac:dyDescent="0.25">
      <c r="A911" s="15"/>
    </row>
    <row r="912" spans="1:1" x14ac:dyDescent="0.25">
      <c r="A912" s="15"/>
    </row>
    <row r="913" spans="1:1" x14ac:dyDescent="0.25">
      <c r="A913" s="15"/>
    </row>
    <row r="914" spans="1:1" x14ac:dyDescent="0.25">
      <c r="A914" s="15"/>
    </row>
    <row r="915" spans="1:1" x14ac:dyDescent="0.25">
      <c r="A915" s="15"/>
    </row>
    <row r="916" spans="1:1" x14ac:dyDescent="0.25">
      <c r="A916" s="15"/>
    </row>
    <row r="917" spans="1:1" x14ac:dyDescent="0.25">
      <c r="A917" s="15"/>
    </row>
    <row r="918" spans="1:1" x14ac:dyDescent="0.25">
      <c r="A918" s="15"/>
    </row>
    <row r="919" spans="1:1" x14ac:dyDescent="0.25">
      <c r="A919" s="15"/>
    </row>
    <row r="920" spans="1:1" x14ac:dyDescent="0.25">
      <c r="A920" s="15"/>
    </row>
    <row r="921" spans="1:1" x14ac:dyDescent="0.25">
      <c r="A921" s="15"/>
    </row>
    <row r="922" spans="1:1" x14ac:dyDescent="0.25">
      <c r="A922" s="15"/>
    </row>
    <row r="923" spans="1:1" x14ac:dyDescent="0.25">
      <c r="A923" s="15"/>
    </row>
    <row r="924" spans="1:1" x14ac:dyDescent="0.25">
      <c r="A924" s="15"/>
    </row>
    <row r="925" spans="1:1" x14ac:dyDescent="0.25">
      <c r="A925" s="15"/>
    </row>
    <row r="926" spans="1:1" x14ac:dyDescent="0.25">
      <c r="A926" s="15"/>
    </row>
    <row r="927" spans="1:1" x14ac:dyDescent="0.25">
      <c r="A927" s="15"/>
    </row>
    <row r="928" spans="1:1" x14ac:dyDescent="0.25">
      <c r="A928" s="15"/>
    </row>
    <row r="929" spans="1:1" x14ac:dyDescent="0.25">
      <c r="A929" s="15"/>
    </row>
    <row r="930" spans="1:1" x14ac:dyDescent="0.25">
      <c r="A930" s="15"/>
    </row>
    <row r="931" spans="1:1" x14ac:dyDescent="0.25">
      <c r="A931" s="15"/>
    </row>
    <row r="932" spans="1:1" x14ac:dyDescent="0.25">
      <c r="A932" s="15"/>
    </row>
    <row r="933" spans="1:1" x14ac:dyDescent="0.25">
      <c r="A933" s="15"/>
    </row>
    <row r="934" spans="1:1" x14ac:dyDescent="0.25">
      <c r="A934" s="15"/>
    </row>
    <row r="935" spans="1:1" x14ac:dyDescent="0.25">
      <c r="A935" s="15"/>
    </row>
    <row r="936" spans="1:1" x14ac:dyDescent="0.25">
      <c r="A936" s="15"/>
    </row>
    <row r="937" spans="1:1" x14ac:dyDescent="0.25">
      <c r="A937" s="15"/>
    </row>
    <row r="938" spans="1:1" x14ac:dyDescent="0.25">
      <c r="A938" s="15"/>
    </row>
    <row r="939" spans="1:1" x14ac:dyDescent="0.25">
      <c r="A939" s="15"/>
    </row>
    <row r="940" spans="1:1" x14ac:dyDescent="0.25">
      <c r="A940" s="15"/>
    </row>
    <row r="941" spans="1:1" x14ac:dyDescent="0.25">
      <c r="A941" s="15"/>
    </row>
    <row r="942" spans="1:1" x14ac:dyDescent="0.25">
      <c r="A942" s="15"/>
    </row>
    <row r="943" spans="1:1" x14ac:dyDescent="0.25">
      <c r="A943" s="15"/>
    </row>
    <row r="944" spans="1:1" x14ac:dyDescent="0.25">
      <c r="A944" s="15"/>
    </row>
    <row r="945" spans="1:1" x14ac:dyDescent="0.25">
      <c r="A945" s="15"/>
    </row>
    <row r="946" spans="1:1" x14ac:dyDescent="0.25">
      <c r="A946" s="15"/>
    </row>
    <row r="947" spans="1:1" x14ac:dyDescent="0.25">
      <c r="A947" s="15"/>
    </row>
    <row r="948" spans="1:1" x14ac:dyDescent="0.25">
      <c r="A948" s="15"/>
    </row>
    <row r="949" spans="1:1" x14ac:dyDescent="0.25">
      <c r="A949" s="15"/>
    </row>
    <row r="950" spans="1:1" x14ac:dyDescent="0.25">
      <c r="A950" s="15"/>
    </row>
    <row r="951" spans="1:1" x14ac:dyDescent="0.25">
      <c r="A951" s="15"/>
    </row>
    <row r="952" spans="1:1" x14ac:dyDescent="0.25">
      <c r="A952" s="15"/>
    </row>
    <row r="953" spans="1:1" x14ac:dyDescent="0.25">
      <c r="A953" s="15"/>
    </row>
    <row r="954" spans="1:1" x14ac:dyDescent="0.25">
      <c r="A954" s="15"/>
    </row>
    <row r="955" spans="1:1" x14ac:dyDescent="0.25">
      <c r="A955" s="15"/>
    </row>
    <row r="956" spans="1:1" x14ac:dyDescent="0.25">
      <c r="A956" s="15"/>
    </row>
    <row r="957" spans="1:1" x14ac:dyDescent="0.25">
      <c r="A957" s="15"/>
    </row>
    <row r="958" spans="1:1" x14ac:dyDescent="0.25">
      <c r="A958" s="15"/>
    </row>
    <row r="959" spans="1:1" x14ac:dyDescent="0.25">
      <c r="A959" s="15"/>
    </row>
    <row r="960" spans="1:1" x14ac:dyDescent="0.25">
      <c r="A960" s="15"/>
    </row>
    <row r="961" spans="1:1" x14ac:dyDescent="0.25">
      <c r="A961" s="15"/>
    </row>
    <row r="962" spans="1:1" x14ac:dyDescent="0.25">
      <c r="A962" s="15"/>
    </row>
    <row r="963" spans="1:1" x14ac:dyDescent="0.25">
      <c r="A963" s="15"/>
    </row>
    <row r="964" spans="1:1" x14ac:dyDescent="0.25">
      <c r="A964" s="15"/>
    </row>
    <row r="965" spans="1:1" x14ac:dyDescent="0.25">
      <c r="A965" s="15"/>
    </row>
    <row r="966" spans="1:1" x14ac:dyDescent="0.25">
      <c r="A966" s="15"/>
    </row>
    <row r="967" spans="1:1" x14ac:dyDescent="0.25">
      <c r="A967" s="15"/>
    </row>
    <row r="968" spans="1:1" x14ac:dyDescent="0.25">
      <c r="A968" s="15"/>
    </row>
    <row r="969" spans="1:1" x14ac:dyDescent="0.25">
      <c r="A969" s="15"/>
    </row>
    <row r="970" spans="1:1" x14ac:dyDescent="0.25">
      <c r="A970" s="15"/>
    </row>
    <row r="971" spans="1:1" x14ac:dyDescent="0.25">
      <c r="A971" s="15"/>
    </row>
    <row r="972" spans="1:1" x14ac:dyDescent="0.25">
      <c r="A972" s="15"/>
    </row>
    <row r="973" spans="1:1" x14ac:dyDescent="0.25">
      <c r="A973" s="15"/>
    </row>
    <row r="974" spans="1:1" x14ac:dyDescent="0.25">
      <c r="A974" s="15"/>
    </row>
    <row r="975" spans="1:1" x14ac:dyDescent="0.25">
      <c r="A975" s="15"/>
    </row>
    <row r="976" spans="1:1" x14ac:dyDescent="0.25">
      <c r="A976" s="15"/>
    </row>
    <row r="977" spans="1:1" x14ac:dyDescent="0.25">
      <c r="A977" s="15"/>
    </row>
    <row r="978" spans="1:1" x14ac:dyDescent="0.25">
      <c r="A978" s="15"/>
    </row>
    <row r="979" spans="1:1" x14ac:dyDescent="0.25">
      <c r="A979" s="15"/>
    </row>
    <row r="980" spans="1:1" x14ac:dyDescent="0.25">
      <c r="A980" s="15"/>
    </row>
    <row r="981" spans="1:1" x14ac:dyDescent="0.25">
      <c r="A981" s="15"/>
    </row>
    <row r="982" spans="1:1" x14ac:dyDescent="0.25">
      <c r="A982" s="15"/>
    </row>
    <row r="983" spans="1:1" x14ac:dyDescent="0.25">
      <c r="A983" s="15"/>
    </row>
    <row r="984" spans="1:1" x14ac:dyDescent="0.25">
      <c r="A984" s="15"/>
    </row>
    <row r="985" spans="1:1" x14ac:dyDescent="0.25">
      <c r="A985" s="15"/>
    </row>
    <row r="986" spans="1:1" x14ac:dyDescent="0.25">
      <c r="A986" s="15"/>
    </row>
    <row r="987" spans="1:1" x14ac:dyDescent="0.25">
      <c r="A987" s="15"/>
    </row>
    <row r="988" spans="1:1" x14ac:dyDescent="0.25">
      <c r="A988" s="15"/>
    </row>
    <row r="989" spans="1:1" x14ac:dyDescent="0.25">
      <c r="A989" s="15"/>
    </row>
    <row r="990" spans="1:1" x14ac:dyDescent="0.25">
      <c r="A990" s="15"/>
    </row>
    <row r="991" spans="1:1" x14ac:dyDescent="0.25">
      <c r="A991" s="15"/>
    </row>
    <row r="992" spans="1:1" x14ac:dyDescent="0.25">
      <c r="A992" s="15"/>
    </row>
    <row r="993" spans="1:1" x14ac:dyDescent="0.25">
      <c r="A993" s="15"/>
    </row>
    <row r="994" spans="1:1" x14ac:dyDescent="0.25">
      <c r="A994" s="15"/>
    </row>
    <row r="995" spans="1:1" x14ac:dyDescent="0.25">
      <c r="A995" s="15"/>
    </row>
    <row r="996" spans="1:1" x14ac:dyDescent="0.25">
      <c r="A996" s="15"/>
    </row>
    <row r="997" spans="1:1" x14ac:dyDescent="0.25">
      <c r="A997" s="15"/>
    </row>
    <row r="998" spans="1:1" x14ac:dyDescent="0.25">
      <c r="A998" s="15"/>
    </row>
    <row r="999" spans="1:1" x14ac:dyDescent="0.25">
      <c r="A999" s="15"/>
    </row>
    <row r="1000" spans="1:1" x14ac:dyDescent="0.25">
      <c r="A1000" s="15"/>
    </row>
    <row r="1001" spans="1:1" x14ac:dyDescent="0.25">
      <c r="A1001" s="15"/>
    </row>
    <row r="1002" spans="1:1" x14ac:dyDescent="0.25">
      <c r="A1002" s="15"/>
    </row>
    <row r="1003" spans="1:1" x14ac:dyDescent="0.25">
      <c r="A1003" s="15"/>
    </row>
    <row r="1004" spans="1:1" x14ac:dyDescent="0.25">
      <c r="A1004" s="15"/>
    </row>
  </sheetData>
  <mergeCells count="3">
    <mergeCell ref="A1:C1"/>
    <mergeCell ref="E3:F3"/>
    <mergeCell ref="E4:F5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5CE6A-9984-49E9-B89D-621F6FFD8F32}">
  <sheetPr>
    <outlinePr summaryBelow="0" summaryRight="0"/>
  </sheetPr>
  <dimension ref="B1:X50"/>
  <sheetViews>
    <sheetView workbookViewId="0">
      <selection activeCell="B3" sqref="B3"/>
    </sheetView>
  </sheetViews>
  <sheetFormatPr defaultColWidth="14.42578125" defaultRowHeight="15" customHeight="1" x14ac:dyDescent="0.25"/>
  <cols>
    <col min="1" max="1" width="5" customWidth="1"/>
    <col min="3" max="3" width="18.85546875" customWidth="1"/>
    <col min="5" max="5" width="3.7109375" customWidth="1"/>
    <col min="9" max="9" width="3.28515625" customWidth="1"/>
    <col min="13" max="13" width="4.28515625" customWidth="1"/>
    <col min="17" max="17" width="3.42578125" customWidth="1"/>
    <col min="21" max="21" width="3.7109375" customWidth="1"/>
  </cols>
  <sheetData>
    <row r="1" spans="2:24" ht="15" customHeight="1" x14ac:dyDescent="0.3">
      <c r="B1" s="104" t="s">
        <v>275</v>
      </c>
      <c r="C1" s="96"/>
      <c r="D1" s="95"/>
      <c r="F1" s="104" t="s">
        <v>276</v>
      </c>
      <c r="G1" s="96"/>
      <c r="H1" s="95"/>
      <c r="J1" s="104" t="s">
        <v>277</v>
      </c>
      <c r="K1" s="96"/>
      <c r="L1" s="95"/>
      <c r="N1" s="104" t="s">
        <v>278</v>
      </c>
      <c r="O1" s="96"/>
      <c r="P1" s="95"/>
      <c r="R1" s="104" t="s">
        <v>279</v>
      </c>
      <c r="S1" s="96"/>
      <c r="T1" s="95"/>
      <c r="V1" s="104" t="s">
        <v>280</v>
      </c>
      <c r="W1" s="96"/>
      <c r="X1" s="95"/>
    </row>
    <row r="2" spans="2:24" x14ac:dyDescent="0.25">
      <c r="B2" s="68" t="s">
        <v>1</v>
      </c>
      <c r="C2" s="68" t="s">
        <v>2</v>
      </c>
      <c r="D2" s="68" t="s">
        <v>7</v>
      </c>
      <c r="F2" s="68" t="s">
        <v>1</v>
      </c>
      <c r="G2" s="68" t="s">
        <v>2</v>
      </c>
      <c r="H2" s="68" t="s">
        <v>7</v>
      </c>
      <c r="J2" s="68" t="s">
        <v>1</v>
      </c>
      <c r="K2" s="68" t="s">
        <v>2</v>
      </c>
      <c r="L2" s="68" t="s">
        <v>7</v>
      </c>
      <c r="N2" s="68" t="s">
        <v>1</v>
      </c>
      <c r="O2" s="68" t="s">
        <v>2</v>
      </c>
      <c r="P2" s="68" t="s">
        <v>7</v>
      </c>
      <c r="R2" s="68" t="s">
        <v>1</v>
      </c>
      <c r="S2" s="68" t="s">
        <v>2</v>
      </c>
      <c r="T2" s="68" t="s">
        <v>7</v>
      </c>
      <c r="V2" s="68" t="s">
        <v>1</v>
      </c>
      <c r="W2" s="68" t="s">
        <v>2</v>
      </c>
      <c r="X2" s="68" t="s">
        <v>7</v>
      </c>
    </row>
    <row r="3" spans="2:24" x14ac:dyDescent="0.25">
      <c r="B3" s="69">
        <v>5</v>
      </c>
      <c r="C3" s="69" t="s">
        <v>41</v>
      </c>
      <c r="D3" s="70">
        <v>100</v>
      </c>
      <c r="F3" s="69">
        <v>2</v>
      </c>
      <c r="G3" s="69" t="s">
        <v>281</v>
      </c>
      <c r="H3" s="70">
        <v>484.05</v>
      </c>
      <c r="J3" s="5">
        <v>5</v>
      </c>
      <c r="K3" s="5" t="s">
        <v>43</v>
      </c>
      <c r="L3" s="63">
        <v>1029.4000000000001</v>
      </c>
      <c r="N3" s="5">
        <v>2</v>
      </c>
      <c r="O3" s="5" t="s">
        <v>282</v>
      </c>
      <c r="P3" s="63">
        <v>477.68</v>
      </c>
      <c r="R3" s="5">
        <v>6</v>
      </c>
      <c r="S3" s="5" t="s">
        <v>283</v>
      </c>
      <c r="T3" s="63">
        <v>177.86</v>
      </c>
      <c r="V3" s="5">
        <v>4</v>
      </c>
      <c r="W3" s="5" t="s">
        <v>284</v>
      </c>
      <c r="X3" s="63">
        <v>1561.18</v>
      </c>
    </row>
    <row r="4" spans="2:24" x14ac:dyDescent="0.25">
      <c r="B4" s="69">
        <v>9</v>
      </c>
      <c r="C4" s="69" t="s">
        <v>285</v>
      </c>
      <c r="D4" s="70">
        <v>1736.83</v>
      </c>
      <c r="F4" s="69">
        <v>7</v>
      </c>
      <c r="G4" s="69" t="s">
        <v>286</v>
      </c>
      <c r="H4" s="70">
        <v>537</v>
      </c>
      <c r="J4" s="5">
        <v>5</v>
      </c>
      <c r="K4" s="5" t="s">
        <v>43</v>
      </c>
      <c r="L4" s="63">
        <v>156.69999999999999</v>
      </c>
      <c r="N4" s="5">
        <v>2</v>
      </c>
      <c r="O4" s="5" t="s">
        <v>281</v>
      </c>
      <c r="P4" s="63">
        <v>182.54</v>
      </c>
      <c r="R4" s="5">
        <v>6</v>
      </c>
      <c r="S4" s="5" t="s">
        <v>283</v>
      </c>
      <c r="T4" s="63">
        <v>321.07</v>
      </c>
      <c r="V4" s="5">
        <v>18</v>
      </c>
      <c r="W4" s="5" t="s">
        <v>284</v>
      </c>
      <c r="X4" s="63">
        <v>1561.64</v>
      </c>
    </row>
    <row r="5" spans="2:24" x14ac:dyDescent="0.25">
      <c r="B5" s="69">
        <v>10</v>
      </c>
      <c r="C5" s="69" t="s">
        <v>281</v>
      </c>
      <c r="D5" s="70">
        <v>400.39</v>
      </c>
      <c r="F5" s="69">
        <v>7</v>
      </c>
      <c r="G5" s="69" t="s">
        <v>43</v>
      </c>
      <c r="H5" s="70">
        <v>1074</v>
      </c>
      <c r="J5" s="5">
        <v>5</v>
      </c>
      <c r="K5" s="5" t="s">
        <v>43</v>
      </c>
      <c r="L5" s="63">
        <v>564.36</v>
      </c>
      <c r="N5" s="5">
        <v>3</v>
      </c>
      <c r="O5" s="5" t="s">
        <v>287</v>
      </c>
      <c r="P5" s="63">
        <v>115.8</v>
      </c>
      <c r="R5" s="5">
        <v>1</v>
      </c>
      <c r="S5" s="5" t="s">
        <v>287</v>
      </c>
      <c r="T5" s="63">
        <v>115.8</v>
      </c>
      <c r="V5" s="5"/>
      <c r="W5" s="5"/>
      <c r="X5" s="63"/>
    </row>
    <row r="6" spans="2:24" x14ac:dyDescent="0.25">
      <c r="B6" s="69">
        <v>10</v>
      </c>
      <c r="C6" s="69" t="s">
        <v>288</v>
      </c>
      <c r="D6" s="70">
        <v>400.39</v>
      </c>
      <c r="F6" s="69">
        <v>7</v>
      </c>
      <c r="G6" s="69" t="s">
        <v>43</v>
      </c>
      <c r="H6" s="70">
        <v>1708.78</v>
      </c>
      <c r="J6" s="5">
        <v>7</v>
      </c>
      <c r="K6" s="5" t="s">
        <v>281</v>
      </c>
      <c r="L6" s="63">
        <v>600.69000000000005</v>
      </c>
      <c r="N6" s="5">
        <v>6</v>
      </c>
      <c r="O6" s="5" t="s">
        <v>286</v>
      </c>
      <c r="P6" s="63">
        <v>571.9</v>
      </c>
      <c r="R6" s="5">
        <v>14</v>
      </c>
      <c r="S6" s="5" t="s">
        <v>281</v>
      </c>
      <c r="T6" s="63">
        <v>217.35</v>
      </c>
      <c r="V6" s="5"/>
      <c r="W6" s="5"/>
      <c r="X6" s="63"/>
    </row>
    <row r="7" spans="2:24" x14ac:dyDescent="0.25">
      <c r="B7" s="69">
        <v>10</v>
      </c>
      <c r="C7" s="69" t="s">
        <v>289</v>
      </c>
      <c r="D7" s="70">
        <v>432.89</v>
      </c>
      <c r="F7" s="69">
        <v>7</v>
      </c>
      <c r="G7" s="69" t="s">
        <v>281</v>
      </c>
      <c r="H7" s="70">
        <v>399.72</v>
      </c>
      <c r="J7" s="5">
        <v>11</v>
      </c>
      <c r="K7" s="5" t="s">
        <v>290</v>
      </c>
      <c r="L7" s="63">
        <v>1022.53</v>
      </c>
      <c r="N7" s="5">
        <v>8</v>
      </c>
      <c r="O7" s="5" t="s">
        <v>291</v>
      </c>
      <c r="P7" s="63">
        <v>1486.49</v>
      </c>
      <c r="R7" s="5">
        <v>14</v>
      </c>
      <c r="S7" s="5" t="s">
        <v>281</v>
      </c>
      <c r="T7" s="63">
        <v>379.7</v>
      </c>
      <c r="V7" s="5"/>
      <c r="W7" s="5"/>
      <c r="X7" s="63"/>
    </row>
    <row r="8" spans="2:24" x14ac:dyDescent="0.25">
      <c r="B8" s="69">
        <v>15</v>
      </c>
      <c r="C8" s="69" t="s">
        <v>292</v>
      </c>
      <c r="D8" s="70">
        <v>202.8</v>
      </c>
      <c r="F8" s="5">
        <v>8</v>
      </c>
      <c r="G8" s="5" t="s">
        <v>287</v>
      </c>
      <c r="H8" s="63">
        <v>755</v>
      </c>
      <c r="J8" s="5">
        <v>11</v>
      </c>
      <c r="K8" s="5" t="s">
        <v>291</v>
      </c>
      <c r="L8" s="63">
        <v>1734.28</v>
      </c>
      <c r="N8" s="5">
        <v>8</v>
      </c>
      <c r="O8" s="5" t="s">
        <v>283</v>
      </c>
      <c r="P8" s="63">
        <v>772.73</v>
      </c>
      <c r="R8" s="5">
        <v>7</v>
      </c>
      <c r="S8" s="5" t="s">
        <v>282</v>
      </c>
      <c r="T8" s="63">
        <v>529.5</v>
      </c>
      <c r="V8" s="5"/>
      <c r="W8" s="5"/>
      <c r="X8" s="63"/>
    </row>
    <row r="9" spans="2:24" x14ac:dyDescent="0.25">
      <c r="B9" s="69">
        <v>17</v>
      </c>
      <c r="C9" s="69" t="s">
        <v>293</v>
      </c>
      <c r="D9" s="70">
        <v>883.32</v>
      </c>
      <c r="F9" s="5">
        <v>11</v>
      </c>
      <c r="G9" s="5" t="s">
        <v>293</v>
      </c>
      <c r="H9" s="63">
        <v>1022.5</v>
      </c>
      <c r="J9" s="5">
        <v>11</v>
      </c>
      <c r="K9" s="5" t="s">
        <v>283</v>
      </c>
      <c r="L9" s="63">
        <v>211.23</v>
      </c>
      <c r="N9" s="5">
        <v>8</v>
      </c>
      <c r="O9" s="5" t="s">
        <v>283</v>
      </c>
      <c r="P9" s="63">
        <v>444.67</v>
      </c>
      <c r="R9" s="5">
        <v>21</v>
      </c>
      <c r="S9" s="5" t="s">
        <v>284</v>
      </c>
      <c r="T9" s="63">
        <v>1561.18</v>
      </c>
      <c r="V9" s="5"/>
      <c r="W9" s="5"/>
      <c r="X9" s="63"/>
    </row>
    <row r="10" spans="2:24" x14ac:dyDescent="0.25">
      <c r="B10" s="69">
        <v>17</v>
      </c>
      <c r="C10" s="69" t="s">
        <v>43</v>
      </c>
      <c r="D10" s="70">
        <v>2521.7399999999998</v>
      </c>
      <c r="F10" s="5">
        <v>13</v>
      </c>
      <c r="G10" s="5" t="s">
        <v>294</v>
      </c>
      <c r="H10" s="63">
        <v>850.5</v>
      </c>
      <c r="J10" s="5">
        <v>11</v>
      </c>
      <c r="K10" s="5" t="s">
        <v>283</v>
      </c>
      <c r="L10" s="63">
        <v>66.73</v>
      </c>
      <c r="N10" s="5">
        <v>9</v>
      </c>
      <c r="O10" s="5" t="s">
        <v>281</v>
      </c>
      <c r="P10" s="63">
        <v>182.55</v>
      </c>
      <c r="R10" s="5"/>
      <c r="S10" s="5"/>
      <c r="T10" s="63"/>
      <c r="V10" s="5"/>
      <c r="W10" s="5"/>
      <c r="X10" s="63"/>
    </row>
    <row r="11" spans="2:24" x14ac:dyDescent="0.25">
      <c r="B11" s="69">
        <v>18</v>
      </c>
      <c r="C11" s="69" t="s">
        <v>287</v>
      </c>
      <c r="D11" s="70">
        <v>650</v>
      </c>
      <c r="F11" s="5">
        <v>13</v>
      </c>
      <c r="G11" s="5" t="s">
        <v>290</v>
      </c>
      <c r="H11" s="63">
        <v>5052.07</v>
      </c>
      <c r="J11" s="5">
        <v>12</v>
      </c>
      <c r="K11" s="5" t="s">
        <v>43</v>
      </c>
      <c r="L11" s="63">
        <v>156.69999999999999</v>
      </c>
      <c r="N11" s="5">
        <v>9</v>
      </c>
      <c r="O11" s="5" t="s">
        <v>282</v>
      </c>
      <c r="P11" s="63">
        <v>578</v>
      </c>
      <c r="R11" s="5"/>
      <c r="S11" s="5"/>
      <c r="T11" s="63"/>
      <c r="V11" s="5"/>
      <c r="W11" s="5"/>
      <c r="X11" s="63"/>
    </row>
    <row r="12" spans="2:24" x14ac:dyDescent="0.25">
      <c r="B12" s="69">
        <v>18</v>
      </c>
      <c r="C12" s="69" t="s">
        <v>295</v>
      </c>
      <c r="D12" s="70">
        <v>278</v>
      </c>
      <c r="F12" s="5">
        <v>14</v>
      </c>
      <c r="G12" s="5" t="s">
        <v>43</v>
      </c>
      <c r="H12" s="63">
        <v>1708.19</v>
      </c>
      <c r="J12" s="5">
        <v>12</v>
      </c>
      <c r="K12" s="5" t="s">
        <v>43</v>
      </c>
      <c r="L12" s="63">
        <v>564.37</v>
      </c>
      <c r="N12" s="5">
        <v>9</v>
      </c>
      <c r="O12" s="5" t="s">
        <v>282</v>
      </c>
      <c r="P12" s="63">
        <v>1084.28</v>
      </c>
      <c r="R12" s="5"/>
      <c r="S12" s="5"/>
      <c r="T12" s="63"/>
      <c r="V12" s="5"/>
      <c r="W12" s="5"/>
      <c r="X12" s="63"/>
    </row>
    <row r="13" spans="2:24" x14ac:dyDescent="0.25">
      <c r="B13" s="69">
        <v>20</v>
      </c>
      <c r="C13" s="69" t="s">
        <v>296</v>
      </c>
      <c r="D13" s="70">
        <v>1769.9</v>
      </c>
      <c r="F13" s="5">
        <v>15</v>
      </c>
      <c r="G13" s="5" t="s">
        <v>281</v>
      </c>
      <c r="H13" s="63">
        <v>255.67</v>
      </c>
      <c r="J13" s="5">
        <v>12</v>
      </c>
      <c r="K13" s="5" t="s">
        <v>281</v>
      </c>
      <c r="L13" s="63">
        <v>1977.87</v>
      </c>
      <c r="N13" s="5">
        <v>10</v>
      </c>
      <c r="O13" s="71" t="s">
        <v>297</v>
      </c>
      <c r="P13" s="63">
        <v>1085.93</v>
      </c>
      <c r="R13" s="5"/>
      <c r="S13" s="5"/>
      <c r="T13" s="63"/>
      <c r="V13" s="5"/>
      <c r="W13" s="5"/>
      <c r="X13" s="63"/>
    </row>
    <row r="14" spans="2:24" x14ac:dyDescent="0.25">
      <c r="B14" s="69">
        <v>21</v>
      </c>
      <c r="C14" s="69" t="s">
        <v>298</v>
      </c>
      <c r="D14" s="70">
        <v>329.39</v>
      </c>
      <c r="F14" s="5">
        <v>20</v>
      </c>
      <c r="G14" s="5" t="s">
        <v>298</v>
      </c>
      <c r="H14" s="63">
        <v>329.39</v>
      </c>
      <c r="J14" s="5">
        <v>14</v>
      </c>
      <c r="K14" s="5" t="s">
        <v>299</v>
      </c>
      <c r="L14" s="63">
        <v>1132.95</v>
      </c>
      <c r="N14" s="5">
        <v>15</v>
      </c>
      <c r="O14" s="5" t="s">
        <v>281</v>
      </c>
      <c r="P14" s="63">
        <v>231.55</v>
      </c>
      <c r="R14" s="5"/>
      <c r="S14" s="5"/>
      <c r="T14" s="63"/>
      <c r="V14" s="5"/>
      <c r="W14" s="5"/>
      <c r="X14" s="63"/>
    </row>
    <row r="15" spans="2:24" x14ac:dyDescent="0.25">
      <c r="B15" s="69">
        <v>20</v>
      </c>
      <c r="C15" s="69" t="s">
        <v>300</v>
      </c>
      <c r="D15" s="70">
        <v>724.51</v>
      </c>
      <c r="F15" s="5">
        <v>20</v>
      </c>
      <c r="G15" s="5" t="s">
        <v>43</v>
      </c>
      <c r="H15" s="63">
        <v>278.93</v>
      </c>
      <c r="J15" s="5">
        <v>14</v>
      </c>
      <c r="K15" s="5" t="s">
        <v>31</v>
      </c>
      <c r="L15" s="63">
        <v>254.8</v>
      </c>
      <c r="N15" s="5">
        <v>16</v>
      </c>
      <c r="O15" s="5" t="s">
        <v>282</v>
      </c>
      <c r="P15" s="63">
        <v>578</v>
      </c>
      <c r="R15" s="5"/>
      <c r="S15" s="5"/>
      <c r="T15" s="63"/>
      <c r="V15" s="5"/>
      <c r="W15" s="5"/>
      <c r="X15" s="63"/>
    </row>
    <row r="16" spans="2:24" x14ac:dyDescent="0.25">
      <c r="B16" s="69">
        <v>23</v>
      </c>
      <c r="C16" s="69" t="s">
        <v>284</v>
      </c>
      <c r="D16" s="70">
        <v>1737.35</v>
      </c>
      <c r="F16" s="5">
        <v>21</v>
      </c>
      <c r="G16" s="5" t="s">
        <v>43</v>
      </c>
      <c r="H16" s="63">
        <v>1708.19</v>
      </c>
      <c r="J16" s="5">
        <v>14</v>
      </c>
      <c r="K16" s="5" t="s">
        <v>301</v>
      </c>
      <c r="L16" s="63">
        <v>697.1</v>
      </c>
      <c r="N16" s="5">
        <v>16</v>
      </c>
      <c r="O16" s="5" t="s">
        <v>282</v>
      </c>
      <c r="P16" s="63">
        <v>1084.28</v>
      </c>
      <c r="R16" s="5"/>
      <c r="S16" s="5"/>
      <c r="T16" s="63"/>
      <c r="V16" s="5"/>
      <c r="W16" s="5"/>
      <c r="X16" s="63"/>
    </row>
    <row r="17" spans="2:24" x14ac:dyDescent="0.25">
      <c r="B17" s="69">
        <v>25</v>
      </c>
      <c r="C17" s="69" t="s">
        <v>284</v>
      </c>
      <c r="D17" s="70">
        <v>1139.44</v>
      </c>
      <c r="F17" s="5">
        <v>25</v>
      </c>
      <c r="G17" s="5" t="s">
        <v>283</v>
      </c>
      <c r="H17" s="63">
        <v>422.46</v>
      </c>
      <c r="J17" s="5">
        <v>18</v>
      </c>
      <c r="K17" s="5" t="s">
        <v>43</v>
      </c>
      <c r="L17" s="63">
        <v>1812.07</v>
      </c>
      <c r="N17" s="5">
        <v>16</v>
      </c>
      <c r="O17" s="5" t="s">
        <v>283</v>
      </c>
      <c r="P17" s="63">
        <v>136.51</v>
      </c>
      <c r="R17" s="5"/>
      <c r="S17" s="5"/>
      <c r="T17" s="63"/>
      <c r="V17" s="5"/>
      <c r="W17" s="5"/>
      <c r="X17" s="63"/>
    </row>
    <row r="18" spans="2:24" x14ac:dyDescent="0.25">
      <c r="B18" s="69"/>
      <c r="C18" s="69"/>
      <c r="D18" s="70"/>
      <c r="F18" s="5">
        <v>25</v>
      </c>
      <c r="G18" s="5" t="s">
        <v>283</v>
      </c>
      <c r="H18" s="72">
        <v>1545.5</v>
      </c>
      <c r="J18" s="5">
        <v>20</v>
      </c>
      <c r="K18" s="5" t="s">
        <v>302</v>
      </c>
      <c r="L18" s="63">
        <v>115.8</v>
      </c>
      <c r="N18" s="5">
        <v>20</v>
      </c>
      <c r="O18" s="5" t="s">
        <v>286</v>
      </c>
      <c r="P18" s="63">
        <v>537</v>
      </c>
      <c r="R18" s="5"/>
      <c r="S18" s="5"/>
      <c r="T18" s="63"/>
      <c r="V18" s="5"/>
      <c r="W18" s="5"/>
      <c r="X18" s="63"/>
    </row>
    <row r="19" spans="2:24" x14ac:dyDescent="0.25">
      <c r="B19" s="69">
        <v>30</v>
      </c>
      <c r="C19" s="69" t="s">
        <v>303</v>
      </c>
      <c r="D19" s="70">
        <v>370</v>
      </c>
      <c r="F19" s="5">
        <v>27</v>
      </c>
      <c r="G19" s="5" t="s">
        <v>43</v>
      </c>
      <c r="H19" s="63">
        <v>278.93</v>
      </c>
      <c r="J19" s="5">
        <v>21</v>
      </c>
      <c r="K19" s="5" t="s">
        <v>301</v>
      </c>
      <c r="L19" s="63">
        <v>697.1</v>
      </c>
      <c r="N19" s="5">
        <v>22</v>
      </c>
      <c r="O19" s="5" t="s">
        <v>291</v>
      </c>
      <c r="P19" s="63">
        <v>1486.94</v>
      </c>
      <c r="R19" s="5"/>
      <c r="S19" s="5"/>
      <c r="T19" s="63"/>
      <c r="V19" s="5"/>
      <c r="W19" s="5"/>
      <c r="X19" s="63"/>
    </row>
    <row r="20" spans="2:24" x14ac:dyDescent="0.25">
      <c r="B20" s="69">
        <v>30</v>
      </c>
      <c r="C20" s="69" t="s">
        <v>304</v>
      </c>
      <c r="D20" s="70">
        <v>600</v>
      </c>
      <c r="F20" s="5">
        <v>27</v>
      </c>
      <c r="G20" s="5" t="s">
        <v>291</v>
      </c>
      <c r="H20" s="63">
        <v>1734.28</v>
      </c>
      <c r="J20" s="5">
        <v>25</v>
      </c>
      <c r="K20" s="5" t="s">
        <v>291</v>
      </c>
      <c r="L20" s="63">
        <v>1734.8</v>
      </c>
      <c r="N20" s="5">
        <v>22</v>
      </c>
      <c r="O20" s="5" t="s">
        <v>282</v>
      </c>
      <c r="P20" s="63">
        <v>428.45</v>
      </c>
      <c r="R20" s="5"/>
      <c r="S20" s="5"/>
      <c r="T20" s="63"/>
      <c r="V20" s="5"/>
      <c r="W20" s="5"/>
      <c r="X20" s="63"/>
    </row>
    <row r="21" spans="2:24" x14ac:dyDescent="0.25">
      <c r="B21" s="69">
        <v>30</v>
      </c>
      <c r="C21" s="69" t="s">
        <v>283</v>
      </c>
      <c r="D21" s="70">
        <v>211.23</v>
      </c>
      <c r="F21" s="5">
        <v>28</v>
      </c>
      <c r="G21" s="5" t="s">
        <v>43</v>
      </c>
      <c r="H21" s="63">
        <v>1029.4000000000001</v>
      </c>
      <c r="J21" s="5">
        <v>25</v>
      </c>
      <c r="K21" s="5" t="s">
        <v>43</v>
      </c>
      <c r="L21" s="63">
        <v>1812.08</v>
      </c>
      <c r="N21" s="5">
        <v>23</v>
      </c>
      <c r="O21" s="5" t="s">
        <v>283</v>
      </c>
      <c r="P21" s="63">
        <v>136.51</v>
      </c>
      <c r="R21" s="5"/>
      <c r="S21" s="5"/>
      <c r="T21" s="63"/>
      <c r="V21" s="5"/>
      <c r="W21" s="5"/>
      <c r="X21" s="63"/>
    </row>
    <row r="22" spans="2:24" x14ac:dyDescent="0.25">
      <c r="B22" s="69">
        <v>30</v>
      </c>
      <c r="C22" s="69" t="s">
        <v>283</v>
      </c>
      <c r="D22" s="70">
        <v>416.99</v>
      </c>
      <c r="F22" s="5">
        <v>28</v>
      </c>
      <c r="G22" s="5" t="s">
        <v>281</v>
      </c>
      <c r="H22" s="63">
        <v>326.10000000000002</v>
      </c>
      <c r="J22" s="5">
        <v>25</v>
      </c>
      <c r="K22" s="5" t="s">
        <v>283</v>
      </c>
      <c r="L22" s="63">
        <v>134.99</v>
      </c>
      <c r="N22" s="5">
        <v>29</v>
      </c>
      <c r="O22" s="5" t="s">
        <v>293</v>
      </c>
      <c r="P22" s="63">
        <v>4817.1899999999996</v>
      </c>
      <c r="R22" s="5"/>
      <c r="S22" s="5"/>
      <c r="T22" s="63"/>
      <c r="V22" s="5"/>
      <c r="W22" s="5"/>
      <c r="X22" s="63"/>
    </row>
    <row r="23" spans="2:24" x14ac:dyDescent="0.25">
      <c r="B23" s="69">
        <v>31</v>
      </c>
      <c r="C23" s="69" t="s">
        <v>282</v>
      </c>
      <c r="D23" s="70">
        <v>308.14999999999998</v>
      </c>
      <c r="F23" s="5">
        <v>29</v>
      </c>
      <c r="G23" s="5" t="s">
        <v>287</v>
      </c>
      <c r="H23" s="63">
        <v>1370</v>
      </c>
      <c r="J23" s="5">
        <v>25</v>
      </c>
      <c r="K23" s="5" t="s">
        <v>283</v>
      </c>
      <c r="L23" s="63">
        <v>222.34</v>
      </c>
      <c r="N23" s="5">
        <v>29</v>
      </c>
      <c r="O23" s="5" t="s">
        <v>282</v>
      </c>
      <c r="P23" s="63">
        <v>428.45</v>
      </c>
      <c r="R23" s="5"/>
      <c r="S23" s="5"/>
      <c r="T23" s="63"/>
      <c r="V23" s="5"/>
      <c r="W23" s="5"/>
      <c r="X23" s="63"/>
    </row>
    <row r="24" spans="2:24" x14ac:dyDescent="0.25">
      <c r="B24" s="69">
        <v>31</v>
      </c>
      <c r="C24" s="69" t="s">
        <v>282</v>
      </c>
      <c r="D24" s="70">
        <v>2664</v>
      </c>
      <c r="F24" s="5">
        <v>30</v>
      </c>
      <c r="G24" s="5" t="s">
        <v>296</v>
      </c>
      <c r="H24" s="63">
        <v>389.48</v>
      </c>
      <c r="J24" s="5">
        <v>25</v>
      </c>
      <c r="K24" s="5" t="s">
        <v>291</v>
      </c>
      <c r="L24" s="63">
        <v>1486.49</v>
      </c>
      <c r="N24" s="5">
        <v>29</v>
      </c>
      <c r="O24" s="5" t="s">
        <v>299</v>
      </c>
      <c r="P24" s="63">
        <v>1443.71</v>
      </c>
      <c r="R24" s="5"/>
      <c r="S24" s="5"/>
      <c r="T24" s="63"/>
      <c r="V24" s="5"/>
      <c r="W24" s="5"/>
      <c r="X24" s="63"/>
    </row>
    <row r="25" spans="2:24" x14ac:dyDescent="0.25">
      <c r="B25" s="69">
        <v>20</v>
      </c>
      <c r="C25" s="69" t="s">
        <v>305</v>
      </c>
      <c r="D25" s="70">
        <v>767.67</v>
      </c>
      <c r="F25" s="5">
        <v>30</v>
      </c>
      <c r="G25" s="5" t="s">
        <v>290</v>
      </c>
      <c r="H25" s="63">
        <v>4817.04</v>
      </c>
      <c r="J25" s="5">
        <v>26</v>
      </c>
      <c r="K25" s="5" t="s">
        <v>43</v>
      </c>
      <c r="L25" s="63">
        <v>477.68</v>
      </c>
      <c r="N25" s="5">
        <v>30</v>
      </c>
      <c r="O25" s="5" t="s">
        <v>283</v>
      </c>
      <c r="P25" s="63">
        <v>136.51</v>
      </c>
      <c r="R25" s="5"/>
      <c r="S25" s="5"/>
      <c r="T25" s="63"/>
      <c r="V25" s="5"/>
      <c r="W25" s="5"/>
      <c r="X25" s="63"/>
    </row>
    <row r="26" spans="2:24" x14ac:dyDescent="0.25">
      <c r="B26" s="69">
        <v>20</v>
      </c>
      <c r="C26" s="69" t="s">
        <v>306</v>
      </c>
      <c r="D26" s="70">
        <v>7323.66</v>
      </c>
      <c r="F26" s="5"/>
      <c r="G26" s="5"/>
      <c r="H26" s="63"/>
      <c r="J26" s="5">
        <v>26</v>
      </c>
      <c r="K26" s="5" t="s">
        <v>281</v>
      </c>
      <c r="L26" s="63">
        <v>182.54</v>
      </c>
      <c r="N26" s="5">
        <v>30</v>
      </c>
      <c r="O26" s="5" t="s">
        <v>281</v>
      </c>
      <c r="P26" s="63">
        <v>225.27</v>
      </c>
      <c r="R26" s="5"/>
      <c r="S26" s="5"/>
      <c r="T26" s="63"/>
      <c r="V26" s="5"/>
      <c r="W26" s="5"/>
      <c r="X26" s="63"/>
    </row>
    <row r="27" spans="2:24" x14ac:dyDescent="0.25">
      <c r="B27" s="5"/>
      <c r="C27" s="5"/>
      <c r="D27" s="63"/>
      <c r="F27" s="5"/>
      <c r="G27" s="5"/>
      <c r="H27" s="63"/>
      <c r="J27" s="5">
        <v>27</v>
      </c>
      <c r="K27" s="5" t="s">
        <v>18</v>
      </c>
      <c r="L27" s="63">
        <v>1400</v>
      </c>
      <c r="N27" s="5"/>
      <c r="O27" s="5"/>
      <c r="P27" s="63"/>
      <c r="R27" s="5"/>
      <c r="S27" s="5"/>
      <c r="T27" s="63"/>
      <c r="V27" s="5"/>
      <c r="W27" s="5"/>
      <c r="X27" s="63"/>
    </row>
    <row r="28" spans="2:24" x14ac:dyDescent="0.25">
      <c r="B28" s="5"/>
      <c r="C28" s="5"/>
      <c r="D28" s="63"/>
      <c r="F28" s="5"/>
      <c r="G28" s="5"/>
      <c r="H28" s="63"/>
      <c r="J28" s="5">
        <v>28</v>
      </c>
      <c r="K28" s="5" t="s">
        <v>301</v>
      </c>
      <c r="L28" s="63">
        <v>697.1</v>
      </c>
      <c r="N28" s="5"/>
      <c r="O28" s="5"/>
      <c r="P28" s="63"/>
      <c r="R28" s="5"/>
      <c r="S28" s="5"/>
      <c r="T28" s="63"/>
      <c r="V28" s="5"/>
      <c r="W28" s="5"/>
      <c r="X28" s="63"/>
    </row>
    <row r="29" spans="2:24" x14ac:dyDescent="0.25">
      <c r="B29" s="5"/>
      <c r="C29" s="5"/>
      <c r="D29" s="63"/>
      <c r="F29" s="5"/>
      <c r="G29" s="5"/>
      <c r="H29" s="63"/>
      <c r="J29" s="5">
        <v>30</v>
      </c>
      <c r="K29" s="5" t="s">
        <v>290</v>
      </c>
      <c r="L29" s="63">
        <v>4817.04</v>
      </c>
      <c r="N29" s="5"/>
      <c r="O29" s="5"/>
      <c r="P29" s="63"/>
      <c r="R29" s="5"/>
      <c r="S29" s="5"/>
      <c r="T29" s="63"/>
      <c r="V29" s="5"/>
      <c r="W29" s="5"/>
      <c r="X29" s="63"/>
    </row>
    <row r="30" spans="2:24" x14ac:dyDescent="0.25">
      <c r="B30" s="5"/>
      <c r="C30" s="5"/>
      <c r="D30" s="63"/>
      <c r="F30" s="5"/>
      <c r="G30" s="5"/>
      <c r="H30" s="63"/>
      <c r="J30" s="5"/>
      <c r="K30" s="5"/>
      <c r="L30" s="63"/>
      <c r="N30" s="5"/>
      <c r="O30" s="5"/>
      <c r="P30" s="63"/>
      <c r="R30" s="5"/>
      <c r="S30" s="5"/>
      <c r="T30" s="63"/>
      <c r="V30" s="5"/>
      <c r="W30" s="5"/>
      <c r="X30" s="63"/>
    </row>
    <row r="31" spans="2:24" x14ac:dyDescent="0.25">
      <c r="B31" s="5"/>
      <c r="C31" s="5"/>
      <c r="D31" s="63"/>
      <c r="F31" s="5"/>
      <c r="G31" s="5"/>
      <c r="H31" s="63"/>
      <c r="J31" s="5"/>
      <c r="K31" s="5"/>
      <c r="L31" s="63"/>
      <c r="N31" s="5"/>
      <c r="O31" s="5"/>
      <c r="P31" s="63"/>
      <c r="R31" s="5"/>
      <c r="S31" s="5"/>
      <c r="T31" s="63"/>
      <c r="V31" s="5"/>
      <c r="W31" s="5"/>
      <c r="X31" s="63"/>
    </row>
    <row r="32" spans="2:24" x14ac:dyDescent="0.25">
      <c r="B32" s="5"/>
      <c r="C32" s="5"/>
      <c r="D32" s="63"/>
      <c r="F32" s="5"/>
      <c r="G32" s="5"/>
      <c r="H32" s="63"/>
      <c r="J32" s="5"/>
      <c r="K32" s="5"/>
      <c r="L32" s="63"/>
      <c r="N32" s="5"/>
      <c r="O32" s="5"/>
      <c r="P32" s="63"/>
      <c r="R32" s="5"/>
      <c r="S32" s="5"/>
      <c r="T32" s="63"/>
      <c r="V32" s="5"/>
      <c r="W32" s="5"/>
      <c r="X32" s="63"/>
    </row>
    <row r="33" spans="2:24" x14ac:dyDescent="0.25">
      <c r="B33" s="5"/>
      <c r="C33" s="5"/>
      <c r="D33" s="63"/>
      <c r="F33" s="5"/>
      <c r="G33" s="5"/>
      <c r="H33" s="63"/>
      <c r="J33" s="5"/>
      <c r="K33" s="5"/>
      <c r="L33" s="63"/>
      <c r="N33" s="5"/>
      <c r="O33" s="5"/>
      <c r="P33" s="63"/>
      <c r="R33" s="5"/>
      <c r="S33" s="5"/>
      <c r="T33" s="63"/>
      <c r="V33" s="5"/>
      <c r="W33" s="5"/>
      <c r="X33" s="63"/>
    </row>
    <row r="34" spans="2:24" x14ac:dyDescent="0.25">
      <c r="B34" s="5"/>
      <c r="C34" s="5"/>
      <c r="D34" s="63"/>
      <c r="F34" s="5"/>
      <c r="G34" s="5"/>
      <c r="H34" s="63"/>
      <c r="J34" s="5"/>
      <c r="K34" s="5"/>
      <c r="L34" s="63"/>
      <c r="N34" s="5"/>
      <c r="O34" s="5"/>
      <c r="P34" s="63"/>
      <c r="R34" s="5"/>
      <c r="S34" s="5"/>
      <c r="T34" s="63"/>
      <c r="V34" s="5"/>
      <c r="W34" s="5"/>
      <c r="X34" s="63"/>
    </row>
    <row r="35" spans="2:24" x14ac:dyDescent="0.25">
      <c r="B35" s="5"/>
      <c r="C35" s="5"/>
      <c r="D35" s="63"/>
      <c r="F35" s="5"/>
      <c r="G35" s="5"/>
      <c r="H35" s="63"/>
      <c r="J35" s="5"/>
      <c r="K35" s="5"/>
      <c r="L35" s="63"/>
      <c r="N35" s="5"/>
      <c r="O35" s="5"/>
      <c r="P35" s="63"/>
      <c r="R35" s="5"/>
      <c r="S35" s="5"/>
      <c r="T35" s="63"/>
      <c r="V35" s="5"/>
      <c r="W35" s="5"/>
      <c r="X35" s="63"/>
    </row>
    <row r="36" spans="2:24" x14ac:dyDescent="0.25">
      <c r="B36" s="5"/>
      <c r="C36" s="5"/>
      <c r="D36" s="63"/>
      <c r="F36" s="5"/>
      <c r="G36" s="5"/>
      <c r="H36" s="63"/>
      <c r="J36" s="5"/>
      <c r="K36" s="5"/>
      <c r="L36" s="63"/>
      <c r="N36" s="5"/>
      <c r="O36" s="5"/>
      <c r="P36" s="63"/>
      <c r="R36" s="5"/>
      <c r="S36" s="5"/>
      <c r="T36" s="63"/>
      <c r="V36" s="5"/>
      <c r="W36" s="5"/>
      <c r="X36" s="63"/>
    </row>
    <row r="37" spans="2:24" x14ac:dyDescent="0.25">
      <c r="B37" s="5"/>
      <c r="C37" s="5"/>
      <c r="D37" s="63"/>
      <c r="F37" s="5"/>
      <c r="G37" s="5"/>
      <c r="H37" s="63"/>
      <c r="J37" s="5"/>
      <c r="K37" s="5"/>
      <c r="L37" s="63"/>
      <c r="N37" s="5"/>
      <c r="O37" s="5"/>
      <c r="P37" s="63"/>
      <c r="R37" s="5"/>
      <c r="S37" s="5"/>
      <c r="T37" s="63"/>
      <c r="V37" s="5"/>
      <c r="W37" s="5"/>
      <c r="X37" s="63"/>
    </row>
    <row r="38" spans="2:24" x14ac:dyDescent="0.25">
      <c r="B38" s="5"/>
      <c r="C38" s="5"/>
      <c r="D38" s="63"/>
      <c r="F38" s="5"/>
      <c r="G38" s="5"/>
      <c r="H38" s="63"/>
      <c r="J38" s="5"/>
      <c r="K38" s="5"/>
      <c r="L38" s="63"/>
      <c r="N38" s="5"/>
      <c r="O38" s="5"/>
      <c r="P38" s="63"/>
      <c r="R38" s="5"/>
      <c r="S38" s="5"/>
      <c r="T38" s="63"/>
      <c r="V38" s="5"/>
      <c r="W38" s="5"/>
      <c r="X38" s="63"/>
    </row>
    <row r="39" spans="2:24" x14ac:dyDescent="0.25">
      <c r="B39" s="5"/>
      <c r="C39" s="5"/>
      <c r="D39" s="63"/>
      <c r="F39" s="5"/>
      <c r="G39" s="5"/>
      <c r="H39" s="63"/>
      <c r="J39" s="5"/>
      <c r="K39" s="5"/>
      <c r="L39" s="63"/>
      <c r="N39" s="5"/>
      <c r="O39" s="5"/>
      <c r="P39" s="63"/>
      <c r="R39" s="5"/>
      <c r="S39" s="5"/>
      <c r="T39" s="63"/>
      <c r="V39" s="5"/>
      <c r="W39" s="5"/>
      <c r="X39" s="63"/>
    </row>
    <row r="40" spans="2:24" x14ac:dyDescent="0.25">
      <c r="B40" s="5"/>
      <c r="C40" s="5"/>
      <c r="D40" s="63"/>
      <c r="F40" s="5"/>
      <c r="G40" s="5"/>
      <c r="H40" s="63"/>
      <c r="J40" s="5"/>
      <c r="K40" s="5"/>
      <c r="L40" s="63"/>
      <c r="N40" s="5"/>
      <c r="O40" s="5"/>
      <c r="P40" s="63"/>
      <c r="R40" s="5"/>
      <c r="S40" s="5"/>
      <c r="T40" s="63"/>
      <c r="V40" s="5"/>
      <c r="W40" s="5"/>
      <c r="X40" s="63"/>
    </row>
    <row r="41" spans="2:24" x14ac:dyDescent="0.25">
      <c r="B41" s="5"/>
      <c r="C41" s="5"/>
      <c r="D41" s="63"/>
      <c r="F41" s="5"/>
      <c r="G41" s="5"/>
      <c r="H41" s="63"/>
      <c r="J41" s="5"/>
      <c r="K41" s="5"/>
      <c r="L41" s="63"/>
      <c r="N41" s="5"/>
      <c r="O41" s="5"/>
      <c r="P41" s="63"/>
      <c r="R41" s="5"/>
      <c r="S41" s="5"/>
      <c r="T41" s="63"/>
      <c r="V41" s="5"/>
      <c r="W41" s="5"/>
      <c r="X41" s="63"/>
    </row>
    <row r="42" spans="2:24" x14ac:dyDescent="0.25">
      <c r="B42" s="5"/>
      <c r="C42" s="5"/>
      <c r="D42" s="63"/>
      <c r="F42" s="5"/>
      <c r="G42" s="5"/>
      <c r="H42" s="63"/>
      <c r="J42" s="5"/>
      <c r="K42" s="5"/>
      <c r="L42" s="63"/>
      <c r="N42" s="5"/>
      <c r="O42" s="5"/>
      <c r="P42" s="63"/>
      <c r="R42" s="5"/>
      <c r="S42" s="5"/>
      <c r="T42" s="63"/>
      <c r="V42" s="5"/>
      <c r="W42" s="5"/>
      <c r="X42" s="63"/>
    </row>
    <row r="43" spans="2:24" x14ac:dyDescent="0.25">
      <c r="B43" s="5"/>
      <c r="C43" s="5"/>
      <c r="D43" s="63"/>
      <c r="F43" s="5"/>
      <c r="G43" s="5"/>
      <c r="H43" s="63"/>
      <c r="J43" s="5"/>
      <c r="K43" s="5"/>
      <c r="L43" s="63"/>
      <c r="N43" s="5"/>
      <c r="O43" s="5"/>
      <c r="P43" s="63"/>
      <c r="R43" s="5"/>
      <c r="S43" s="5"/>
      <c r="T43" s="63"/>
      <c r="V43" s="5"/>
      <c r="W43" s="5"/>
      <c r="X43" s="63"/>
    </row>
    <row r="44" spans="2:24" x14ac:dyDescent="0.25">
      <c r="B44" s="5"/>
      <c r="C44" s="5"/>
      <c r="D44" s="63"/>
      <c r="F44" s="5"/>
      <c r="G44" s="5"/>
      <c r="H44" s="63"/>
      <c r="J44" s="5"/>
      <c r="K44" s="5"/>
      <c r="L44" s="63"/>
      <c r="N44" s="5"/>
      <c r="O44" s="5"/>
      <c r="P44" s="63"/>
      <c r="R44" s="5"/>
      <c r="S44" s="5"/>
      <c r="T44" s="63"/>
      <c r="V44" s="5"/>
      <c r="W44" s="5"/>
      <c r="X44" s="63"/>
    </row>
    <row r="45" spans="2:24" x14ac:dyDescent="0.25">
      <c r="B45" s="5"/>
      <c r="C45" s="5"/>
      <c r="D45" s="63"/>
      <c r="F45" s="5"/>
      <c r="G45" s="5"/>
      <c r="H45" s="63"/>
      <c r="J45" s="5"/>
      <c r="K45" s="5"/>
      <c r="L45" s="63"/>
      <c r="N45" s="5"/>
      <c r="O45" s="5"/>
      <c r="P45" s="63"/>
      <c r="R45" s="5"/>
      <c r="S45" s="5"/>
      <c r="T45" s="63"/>
      <c r="V45" s="5"/>
      <c r="W45" s="5"/>
      <c r="X45" s="63"/>
    </row>
    <row r="46" spans="2:24" x14ac:dyDescent="0.25">
      <c r="B46" s="5"/>
      <c r="C46" s="5"/>
      <c r="D46" s="63"/>
      <c r="F46" s="5"/>
      <c r="G46" s="5"/>
      <c r="H46" s="63"/>
      <c r="J46" s="5"/>
      <c r="K46" s="5"/>
      <c r="L46" s="63"/>
      <c r="N46" s="5"/>
      <c r="O46" s="5"/>
      <c r="P46" s="63"/>
      <c r="R46" s="5"/>
      <c r="S46" s="5"/>
      <c r="T46" s="63"/>
      <c r="V46" s="5"/>
      <c r="W46" s="5"/>
      <c r="X46" s="63"/>
    </row>
    <row r="47" spans="2:24" x14ac:dyDescent="0.25">
      <c r="B47" s="5"/>
      <c r="C47" s="5"/>
      <c r="D47" s="63"/>
      <c r="F47" s="5"/>
      <c r="G47" s="5"/>
      <c r="H47" s="63"/>
      <c r="J47" s="5"/>
      <c r="K47" s="5"/>
      <c r="L47" s="63"/>
      <c r="N47" s="5"/>
      <c r="O47" s="5"/>
      <c r="P47" s="63"/>
      <c r="R47" s="5"/>
      <c r="S47" s="5"/>
      <c r="T47" s="63"/>
      <c r="V47" s="5"/>
      <c r="W47" s="5"/>
      <c r="X47" s="63"/>
    </row>
    <row r="48" spans="2:24" x14ac:dyDescent="0.25">
      <c r="B48" s="5"/>
      <c r="C48" s="5"/>
      <c r="D48" s="63"/>
      <c r="F48" s="5"/>
      <c r="G48" s="5"/>
      <c r="H48" s="63"/>
      <c r="J48" s="5"/>
      <c r="K48" s="5"/>
      <c r="L48" s="63"/>
      <c r="N48" s="5"/>
      <c r="O48" s="5"/>
      <c r="P48" s="63"/>
      <c r="R48" s="5"/>
      <c r="S48" s="5"/>
      <c r="T48" s="63"/>
      <c r="V48" s="5"/>
      <c r="W48" s="5"/>
      <c r="X48" s="63"/>
    </row>
    <row r="49" spans="2:24" x14ac:dyDescent="0.25">
      <c r="B49" s="5"/>
      <c r="C49" s="5"/>
      <c r="D49" s="63"/>
      <c r="F49" s="5"/>
      <c r="G49" s="5"/>
      <c r="H49" s="63"/>
      <c r="J49" s="5"/>
      <c r="K49" s="5"/>
      <c r="L49" s="63"/>
      <c r="N49" s="5"/>
      <c r="O49" s="5"/>
      <c r="P49" s="63"/>
      <c r="R49" s="5"/>
      <c r="S49" s="5"/>
      <c r="T49" s="63"/>
      <c r="V49" s="5"/>
      <c r="W49" s="5"/>
      <c r="X49" s="63"/>
    </row>
    <row r="50" spans="2:24" x14ac:dyDescent="0.25">
      <c r="B50" s="103" t="s">
        <v>69</v>
      </c>
      <c r="C50" s="95"/>
      <c r="D50" s="63">
        <f>SUM(D3:D49)</f>
        <v>25968.649999999998</v>
      </c>
      <c r="F50" s="103" t="s">
        <v>69</v>
      </c>
      <c r="G50" s="95"/>
      <c r="H50" s="63">
        <f>SUM(H3:H49)</f>
        <v>28077.18</v>
      </c>
      <c r="J50" s="103" t="s">
        <v>69</v>
      </c>
      <c r="K50" s="95"/>
      <c r="L50" s="63">
        <f>SUM(L3:L49)</f>
        <v>25759.74</v>
      </c>
      <c r="N50" s="103" t="s">
        <v>69</v>
      </c>
      <c r="O50" s="95"/>
      <c r="P50" s="63">
        <f>SUM(P3:P49)</f>
        <v>18652.939999999999</v>
      </c>
      <c r="R50" s="103" t="s">
        <v>69</v>
      </c>
      <c r="S50" s="95"/>
      <c r="T50" s="63">
        <f>SUM(T3:T49)</f>
        <v>3302.46</v>
      </c>
      <c r="V50" s="103" t="s">
        <v>69</v>
      </c>
      <c r="W50" s="95"/>
      <c r="X50" s="63">
        <f>SUM(X3:X49)</f>
        <v>3122.82</v>
      </c>
    </row>
  </sheetData>
  <autoFilter ref="N2:P26" xr:uid="{00000000-0009-0000-0000-000004000000}">
    <sortState xmlns:xlrd2="http://schemas.microsoft.com/office/spreadsheetml/2017/richdata2" ref="N2:P26">
      <sortCondition ref="N2:N26"/>
    </sortState>
  </autoFilter>
  <mergeCells count="12">
    <mergeCell ref="N1:P1"/>
    <mergeCell ref="R1:T1"/>
    <mergeCell ref="V1:X1"/>
    <mergeCell ref="B50:C50"/>
    <mergeCell ref="V50:W50"/>
    <mergeCell ref="F50:G50"/>
    <mergeCell ref="J50:K50"/>
    <mergeCell ref="N50:O50"/>
    <mergeCell ref="R50:S50"/>
    <mergeCell ref="B1:D1"/>
    <mergeCell ref="F1:H1"/>
    <mergeCell ref="J1:L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183"/>
  <sheetViews>
    <sheetView workbookViewId="0"/>
  </sheetViews>
  <sheetFormatPr defaultColWidth="14.42578125" defaultRowHeight="15" customHeight="1" x14ac:dyDescent="0.25"/>
  <cols>
    <col min="9" max="9" width="25.7109375" customWidth="1"/>
  </cols>
  <sheetData>
    <row r="1" spans="1:11" x14ac:dyDescent="0.25">
      <c r="A1" s="73"/>
      <c r="B1" s="21"/>
      <c r="C1" s="21"/>
      <c r="D1" s="21"/>
      <c r="E1" s="21"/>
      <c r="F1" s="21"/>
      <c r="G1" s="24"/>
      <c r="H1" s="24"/>
      <c r="I1" s="21"/>
      <c r="J1" s="21"/>
      <c r="K1" s="24">
        <v>0</v>
      </c>
    </row>
    <row r="2" spans="1:11" x14ac:dyDescent="0.25">
      <c r="A2" s="74">
        <v>45962</v>
      </c>
      <c r="B2" s="4" t="s">
        <v>307</v>
      </c>
      <c r="C2" s="4" t="s">
        <v>20</v>
      </c>
      <c r="D2" s="4" t="s">
        <v>13</v>
      </c>
      <c r="E2" s="4" t="s">
        <v>17</v>
      </c>
      <c r="F2" s="4"/>
      <c r="G2" s="75">
        <v>7834</v>
      </c>
      <c r="H2" s="75"/>
      <c r="I2" s="4"/>
      <c r="J2" s="4" t="s">
        <v>54</v>
      </c>
      <c r="K2" s="75">
        <v>7834</v>
      </c>
    </row>
    <row r="3" spans="1:11" x14ac:dyDescent="0.25">
      <c r="A3" s="74">
        <v>45962</v>
      </c>
      <c r="B3" s="4" t="s">
        <v>308</v>
      </c>
      <c r="C3" s="4" t="s">
        <v>20</v>
      </c>
      <c r="D3" s="4" t="s">
        <v>22</v>
      </c>
      <c r="E3" s="4" t="s">
        <v>17</v>
      </c>
      <c r="F3" s="4"/>
      <c r="G3" s="75">
        <v>370</v>
      </c>
      <c r="H3" s="75"/>
      <c r="I3" s="4"/>
      <c r="J3" s="4" t="s">
        <v>54</v>
      </c>
      <c r="K3" s="75">
        <v>8204</v>
      </c>
    </row>
    <row r="4" spans="1:11" x14ac:dyDescent="0.25">
      <c r="A4" s="74">
        <v>45962</v>
      </c>
      <c r="B4" s="4" t="s">
        <v>23</v>
      </c>
      <c r="C4" s="4" t="s">
        <v>12</v>
      </c>
      <c r="D4" s="4" t="s">
        <v>24</v>
      </c>
      <c r="E4" s="4" t="s">
        <v>17</v>
      </c>
      <c r="F4" s="4" t="s">
        <v>25</v>
      </c>
      <c r="G4" s="75">
        <v>53</v>
      </c>
      <c r="H4" s="75"/>
      <c r="I4" s="4"/>
      <c r="J4" s="4" t="s">
        <v>54</v>
      </c>
      <c r="K4" s="75">
        <v>8151</v>
      </c>
    </row>
    <row r="5" spans="1:11" x14ac:dyDescent="0.25">
      <c r="A5" s="74">
        <v>45963</v>
      </c>
      <c r="B5" s="4" t="s">
        <v>307</v>
      </c>
      <c r="C5" s="4" t="s">
        <v>20</v>
      </c>
      <c r="D5" s="4" t="s">
        <v>13</v>
      </c>
      <c r="E5" s="4" t="s">
        <v>17</v>
      </c>
      <c r="F5" s="4"/>
      <c r="G5" s="75">
        <v>3000</v>
      </c>
      <c r="H5" s="75"/>
      <c r="I5" s="4"/>
      <c r="J5" s="4" t="s">
        <v>54</v>
      </c>
      <c r="K5" s="75">
        <v>11151</v>
      </c>
    </row>
    <row r="6" spans="1:11" x14ac:dyDescent="0.25">
      <c r="A6" s="74">
        <v>45963</v>
      </c>
      <c r="B6" s="4" t="s">
        <v>308</v>
      </c>
      <c r="C6" s="4" t="s">
        <v>20</v>
      </c>
      <c r="D6" s="4" t="s">
        <v>22</v>
      </c>
      <c r="E6" s="4" t="s">
        <v>17</v>
      </c>
      <c r="F6" s="4"/>
      <c r="G6" s="75">
        <v>441</v>
      </c>
      <c r="H6" s="75"/>
      <c r="I6" s="4"/>
      <c r="J6" s="4" t="s">
        <v>54</v>
      </c>
      <c r="K6" s="75">
        <v>11592</v>
      </c>
    </row>
    <row r="7" spans="1:11" x14ac:dyDescent="0.25">
      <c r="A7" s="74">
        <v>45963</v>
      </c>
      <c r="B7" s="4" t="s">
        <v>23</v>
      </c>
      <c r="C7" s="4" t="s">
        <v>12</v>
      </c>
      <c r="D7" s="4" t="s">
        <v>24</v>
      </c>
      <c r="E7" s="4" t="s">
        <v>17</v>
      </c>
      <c r="F7" s="4" t="s">
        <v>25</v>
      </c>
      <c r="G7" s="75">
        <v>54</v>
      </c>
      <c r="H7" s="75"/>
      <c r="I7" s="4"/>
      <c r="J7" s="4" t="s">
        <v>54</v>
      </c>
      <c r="K7" s="75">
        <v>11538</v>
      </c>
    </row>
    <row r="8" spans="1:11" x14ac:dyDescent="0.25">
      <c r="A8" s="74">
        <v>45963</v>
      </c>
      <c r="B8" s="4" t="s">
        <v>309</v>
      </c>
      <c r="C8" s="4" t="s">
        <v>12</v>
      </c>
      <c r="D8" s="4" t="s">
        <v>19</v>
      </c>
      <c r="E8" s="4" t="s">
        <v>17</v>
      </c>
      <c r="F8" s="4"/>
      <c r="G8" s="75">
        <v>772.79</v>
      </c>
      <c r="H8" s="75"/>
      <c r="I8" s="4"/>
      <c r="J8" s="4" t="s">
        <v>54</v>
      </c>
      <c r="K8" s="75">
        <v>10765.21</v>
      </c>
    </row>
    <row r="9" spans="1:11" x14ac:dyDescent="0.25">
      <c r="A9" s="74">
        <v>45964</v>
      </c>
      <c r="B9" s="4" t="s">
        <v>310</v>
      </c>
      <c r="C9" s="4" t="s">
        <v>12</v>
      </c>
      <c r="D9" s="4" t="s">
        <v>39</v>
      </c>
      <c r="E9" s="4" t="s">
        <v>14</v>
      </c>
      <c r="F9" s="4" t="s">
        <v>15</v>
      </c>
      <c r="G9" s="75">
        <v>1670</v>
      </c>
      <c r="H9" s="75"/>
      <c r="I9" s="4" t="s">
        <v>311</v>
      </c>
      <c r="J9" s="4" t="s">
        <v>54</v>
      </c>
      <c r="K9" s="75">
        <v>9095.2099999999991</v>
      </c>
    </row>
    <row r="10" spans="1:11" x14ac:dyDescent="0.25">
      <c r="A10" s="74">
        <v>45964</v>
      </c>
      <c r="B10" s="4" t="s">
        <v>312</v>
      </c>
      <c r="C10" s="4" t="s">
        <v>20</v>
      </c>
      <c r="D10" s="4" t="s">
        <v>13</v>
      </c>
      <c r="E10" s="4" t="s">
        <v>17</v>
      </c>
      <c r="F10" s="4"/>
      <c r="G10" s="75">
        <v>1708</v>
      </c>
      <c r="H10" s="75"/>
      <c r="I10" s="4"/>
      <c r="J10" s="4" t="s">
        <v>54</v>
      </c>
      <c r="K10" s="75">
        <v>10803.21</v>
      </c>
    </row>
    <row r="11" spans="1:11" x14ac:dyDescent="0.25">
      <c r="A11" s="74">
        <v>45965</v>
      </c>
      <c r="B11" s="4" t="s">
        <v>313</v>
      </c>
      <c r="C11" s="4" t="s">
        <v>12</v>
      </c>
      <c r="D11" s="4" t="s">
        <v>19</v>
      </c>
      <c r="E11" s="4" t="s">
        <v>17</v>
      </c>
      <c r="F11" s="4"/>
      <c r="G11" s="75">
        <v>953.18</v>
      </c>
      <c r="H11" s="75"/>
      <c r="I11" s="4"/>
      <c r="J11" s="4" t="s">
        <v>54</v>
      </c>
      <c r="K11" s="75">
        <v>9850.0299999999988</v>
      </c>
    </row>
    <row r="12" spans="1:11" x14ac:dyDescent="0.25">
      <c r="A12" s="74">
        <v>45965</v>
      </c>
      <c r="B12" s="4" t="s">
        <v>314</v>
      </c>
      <c r="C12" s="4" t="s">
        <v>12</v>
      </c>
      <c r="D12" s="4" t="s">
        <v>19</v>
      </c>
      <c r="E12" s="4" t="s">
        <v>17</v>
      </c>
      <c r="F12" s="4"/>
      <c r="G12" s="75">
        <v>22.12</v>
      </c>
      <c r="H12" s="75"/>
      <c r="I12" s="4"/>
      <c r="J12" s="4" t="s">
        <v>54</v>
      </c>
      <c r="K12" s="75">
        <v>9827.909999999998</v>
      </c>
    </row>
    <row r="13" spans="1:11" x14ac:dyDescent="0.25">
      <c r="A13" s="74">
        <v>45965</v>
      </c>
      <c r="B13" s="4" t="s">
        <v>313</v>
      </c>
      <c r="C13" s="4" t="s">
        <v>12</v>
      </c>
      <c r="D13" s="4" t="s">
        <v>19</v>
      </c>
      <c r="E13" s="4" t="s">
        <v>17</v>
      </c>
      <c r="F13" s="4"/>
      <c r="G13" s="75">
        <v>1445.77</v>
      </c>
      <c r="H13" s="75"/>
      <c r="I13" s="4"/>
      <c r="J13" s="4" t="s">
        <v>54</v>
      </c>
      <c r="K13" s="75">
        <v>8382.1399999999976</v>
      </c>
    </row>
    <row r="14" spans="1:11" x14ac:dyDescent="0.25">
      <c r="A14" s="74">
        <v>45965</v>
      </c>
      <c r="B14" s="4" t="s">
        <v>315</v>
      </c>
      <c r="C14" s="4" t="s">
        <v>12</v>
      </c>
      <c r="D14" s="4" t="s">
        <v>27</v>
      </c>
      <c r="E14" s="4" t="s">
        <v>17</v>
      </c>
      <c r="F14" s="4"/>
      <c r="G14" s="75">
        <v>400</v>
      </c>
      <c r="H14" s="75"/>
      <c r="I14" s="4"/>
      <c r="J14" s="4" t="s">
        <v>54</v>
      </c>
      <c r="K14" s="75">
        <v>7982.1399999999976</v>
      </c>
    </row>
    <row r="15" spans="1:11" x14ac:dyDescent="0.25">
      <c r="A15" s="74">
        <v>45965</v>
      </c>
      <c r="B15" s="4" t="s">
        <v>316</v>
      </c>
      <c r="C15" s="4" t="s">
        <v>12</v>
      </c>
      <c r="D15" s="4" t="s">
        <v>67</v>
      </c>
      <c r="E15" s="4" t="s">
        <v>17</v>
      </c>
      <c r="F15" s="4" t="s">
        <v>25</v>
      </c>
      <c r="G15" s="75">
        <v>3.5</v>
      </c>
      <c r="H15" s="75"/>
      <c r="I15" s="4" t="s">
        <v>317</v>
      </c>
      <c r="J15" s="4" t="s">
        <v>54</v>
      </c>
      <c r="K15" s="75">
        <v>7978.6399999999976</v>
      </c>
    </row>
    <row r="16" spans="1:11" x14ac:dyDescent="0.25">
      <c r="A16" s="74">
        <v>45965</v>
      </c>
      <c r="B16" s="4" t="s">
        <v>11</v>
      </c>
      <c r="C16" s="4" t="s">
        <v>12</v>
      </c>
      <c r="D16" s="4" t="s">
        <v>19</v>
      </c>
      <c r="E16" s="4" t="s">
        <v>14</v>
      </c>
      <c r="F16" s="4" t="s">
        <v>15</v>
      </c>
      <c r="G16" s="75">
        <v>94</v>
      </c>
      <c r="H16" s="75"/>
      <c r="I16" s="4"/>
      <c r="J16" s="4" t="s">
        <v>54</v>
      </c>
      <c r="K16" s="75">
        <v>7884.6399999999976</v>
      </c>
    </row>
    <row r="17" spans="1:11" x14ac:dyDescent="0.25">
      <c r="A17" s="74">
        <v>45965</v>
      </c>
      <c r="B17" s="4" t="s">
        <v>45</v>
      </c>
      <c r="C17" s="4" t="s">
        <v>12</v>
      </c>
      <c r="D17" s="4" t="s">
        <v>24</v>
      </c>
      <c r="E17" s="4" t="s">
        <v>17</v>
      </c>
      <c r="F17" s="4" t="s">
        <v>25</v>
      </c>
      <c r="G17" s="75">
        <v>9</v>
      </c>
      <c r="H17" s="75"/>
      <c r="I17" s="4"/>
      <c r="J17" s="4" t="s">
        <v>54</v>
      </c>
      <c r="K17" s="75">
        <v>7875.6399999999976</v>
      </c>
    </row>
    <row r="18" spans="1:11" x14ac:dyDescent="0.25">
      <c r="A18" s="76">
        <v>45965</v>
      </c>
      <c r="B18" s="4" t="s">
        <v>30</v>
      </c>
      <c r="C18" s="4" t="s">
        <v>20</v>
      </c>
      <c r="D18" s="4" t="s">
        <v>13</v>
      </c>
      <c r="E18" s="4" t="s">
        <v>17</v>
      </c>
      <c r="F18" s="4"/>
      <c r="G18" s="75">
        <v>1499</v>
      </c>
      <c r="H18" s="75"/>
      <c r="I18" s="4"/>
      <c r="J18" s="4" t="s">
        <v>54</v>
      </c>
      <c r="K18" s="75">
        <v>9374.6399999999976</v>
      </c>
    </row>
    <row r="19" spans="1:11" x14ac:dyDescent="0.25">
      <c r="A19" s="74">
        <v>45965</v>
      </c>
      <c r="B19" s="4" t="s">
        <v>318</v>
      </c>
      <c r="C19" s="4" t="s">
        <v>20</v>
      </c>
      <c r="D19" s="4" t="s">
        <v>22</v>
      </c>
      <c r="E19" s="4" t="s">
        <v>17</v>
      </c>
      <c r="F19" s="4"/>
      <c r="G19" s="75">
        <v>78</v>
      </c>
      <c r="H19" s="75"/>
      <c r="I19" s="4"/>
      <c r="J19" s="4" t="s">
        <v>54</v>
      </c>
      <c r="K19" s="75">
        <v>9452.6399999999976</v>
      </c>
    </row>
    <row r="20" spans="1:11" x14ac:dyDescent="0.25">
      <c r="A20" s="74">
        <v>45601</v>
      </c>
      <c r="B20" s="4" t="s">
        <v>319</v>
      </c>
      <c r="C20" s="4" t="s">
        <v>12</v>
      </c>
      <c r="D20" s="4" t="s">
        <v>39</v>
      </c>
      <c r="E20" s="4" t="s">
        <v>17</v>
      </c>
      <c r="F20" s="4"/>
      <c r="G20" s="75">
        <v>100</v>
      </c>
      <c r="H20" s="75"/>
      <c r="I20" s="4"/>
      <c r="J20" s="4" t="s">
        <v>320</v>
      </c>
      <c r="K20" s="75">
        <v>9352.6399999999976</v>
      </c>
    </row>
    <row r="21" spans="1:11" x14ac:dyDescent="0.25">
      <c r="A21" s="74">
        <v>45966</v>
      </c>
      <c r="B21" s="4" t="s">
        <v>321</v>
      </c>
      <c r="C21" s="4" t="s">
        <v>12</v>
      </c>
      <c r="D21" s="4" t="s">
        <v>39</v>
      </c>
      <c r="E21" s="4" t="s">
        <v>17</v>
      </c>
      <c r="F21" s="4"/>
      <c r="G21" s="75">
        <v>9000</v>
      </c>
      <c r="H21" s="75"/>
      <c r="I21" s="4"/>
      <c r="J21" s="4" t="s">
        <v>54</v>
      </c>
      <c r="K21" s="75">
        <v>352.6399999999976</v>
      </c>
    </row>
    <row r="22" spans="1:11" x14ac:dyDescent="0.25">
      <c r="A22" s="74">
        <v>45966</v>
      </c>
      <c r="B22" s="4" t="s">
        <v>322</v>
      </c>
      <c r="C22" s="4" t="s">
        <v>12</v>
      </c>
      <c r="D22" s="4" t="s">
        <v>39</v>
      </c>
      <c r="E22" s="4" t="s">
        <v>17</v>
      </c>
      <c r="F22" s="4"/>
      <c r="G22" s="75">
        <v>90.85</v>
      </c>
      <c r="H22" s="75"/>
      <c r="I22" s="4"/>
      <c r="J22" s="4" t="s">
        <v>54</v>
      </c>
      <c r="K22" s="75">
        <v>261.78999999999758</v>
      </c>
    </row>
    <row r="23" spans="1:11" x14ac:dyDescent="0.25">
      <c r="A23" s="74">
        <v>45966</v>
      </c>
      <c r="B23" s="4" t="s">
        <v>323</v>
      </c>
      <c r="C23" s="4" t="s">
        <v>12</v>
      </c>
      <c r="D23" s="4" t="s">
        <v>19</v>
      </c>
      <c r="E23" s="4" t="s">
        <v>17</v>
      </c>
      <c r="F23" s="4"/>
      <c r="G23" s="75">
        <v>278</v>
      </c>
      <c r="H23" s="75"/>
      <c r="I23" s="4"/>
      <c r="J23" s="4" t="s">
        <v>54</v>
      </c>
      <c r="K23" s="75">
        <v>-16.21000000000242</v>
      </c>
    </row>
    <row r="24" spans="1:11" x14ac:dyDescent="0.25">
      <c r="A24" s="74">
        <v>45966</v>
      </c>
      <c r="B24" s="4" t="s">
        <v>324</v>
      </c>
      <c r="C24" s="4" t="s">
        <v>12</v>
      </c>
      <c r="D24" s="4" t="s">
        <v>64</v>
      </c>
      <c r="E24" s="4" t="s">
        <v>17</v>
      </c>
      <c r="F24" s="4" t="s">
        <v>25</v>
      </c>
      <c r="G24" s="75">
        <v>45</v>
      </c>
      <c r="H24" s="75"/>
      <c r="I24" s="4" t="s">
        <v>325</v>
      </c>
      <c r="J24" s="4" t="s">
        <v>54</v>
      </c>
      <c r="K24" s="75">
        <v>-61.210000000002417</v>
      </c>
    </row>
    <row r="25" spans="1:11" x14ac:dyDescent="0.25">
      <c r="A25" s="74">
        <v>45966</v>
      </c>
      <c r="B25" s="4" t="s">
        <v>11</v>
      </c>
      <c r="C25" s="4" t="s">
        <v>12</v>
      </c>
      <c r="D25" s="4" t="s">
        <v>19</v>
      </c>
      <c r="E25" s="4" t="s">
        <v>14</v>
      </c>
      <c r="F25" s="4" t="s">
        <v>15</v>
      </c>
      <c r="G25" s="75">
        <v>94</v>
      </c>
      <c r="H25" s="75"/>
      <c r="I25" s="4"/>
      <c r="J25" s="4" t="s">
        <v>54</v>
      </c>
      <c r="K25" s="75">
        <v>-155.2100000000024</v>
      </c>
    </row>
    <row r="26" spans="1:11" x14ac:dyDescent="0.25">
      <c r="A26" s="76">
        <v>45966</v>
      </c>
      <c r="B26" s="4" t="s">
        <v>326</v>
      </c>
      <c r="C26" s="4" t="s">
        <v>12</v>
      </c>
      <c r="D26" s="4" t="s">
        <v>327</v>
      </c>
      <c r="E26" s="4" t="s">
        <v>17</v>
      </c>
      <c r="F26" s="4"/>
      <c r="G26" s="75">
        <v>4478.1899999999996</v>
      </c>
      <c r="H26" s="75"/>
      <c r="I26" s="4" t="s">
        <v>328</v>
      </c>
      <c r="J26" s="4" t="s">
        <v>54</v>
      </c>
      <c r="K26" s="75">
        <v>-4633.4000000000024</v>
      </c>
    </row>
    <row r="27" spans="1:11" x14ac:dyDescent="0.25">
      <c r="A27" s="74">
        <v>45966</v>
      </c>
      <c r="B27" s="4" t="s">
        <v>304</v>
      </c>
      <c r="C27" s="4" t="s">
        <v>12</v>
      </c>
      <c r="D27" s="4" t="s">
        <v>68</v>
      </c>
      <c r="E27" s="4" t="s">
        <v>17</v>
      </c>
      <c r="F27" s="4"/>
      <c r="G27" s="75">
        <v>2000</v>
      </c>
      <c r="H27" s="75"/>
      <c r="I27" s="4" t="s">
        <v>329</v>
      </c>
      <c r="J27" s="4" t="s">
        <v>54</v>
      </c>
      <c r="K27" s="75">
        <v>-6633.4000000000024</v>
      </c>
    </row>
    <row r="28" spans="1:11" x14ac:dyDescent="0.25">
      <c r="A28" s="74">
        <v>45966</v>
      </c>
      <c r="B28" s="4" t="s">
        <v>45</v>
      </c>
      <c r="C28" s="4" t="s">
        <v>12</v>
      </c>
      <c r="D28" s="4" t="s">
        <v>24</v>
      </c>
      <c r="E28" s="4" t="s">
        <v>17</v>
      </c>
      <c r="F28" s="4" t="s">
        <v>25</v>
      </c>
      <c r="G28" s="75">
        <v>27</v>
      </c>
      <c r="H28" s="75"/>
      <c r="I28" s="4"/>
      <c r="J28" s="4" t="s">
        <v>54</v>
      </c>
      <c r="K28" s="75">
        <v>-6660.4000000000024</v>
      </c>
    </row>
    <row r="29" spans="1:11" x14ac:dyDescent="0.25">
      <c r="A29" s="76">
        <v>45966</v>
      </c>
      <c r="B29" s="4" t="s">
        <v>330</v>
      </c>
      <c r="C29" s="4" t="s">
        <v>20</v>
      </c>
      <c r="D29" s="4" t="s">
        <v>13</v>
      </c>
      <c r="E29" s="4"/>
      <c r="F29" s="4"/>
      <c r="G29" s="75">
        <v>1225</v>
      </c>
      <c r="H29" s="75"/>
      <c r="I29" s="4"/>
      <c r="J29" s="4" t="s">
        <v>54</v>
      </c>
      <c r="K29" s="75">
        <v>-5435.4000000000024</v>
      </c>
    </row>
    <row r="30" spans="1:11" x14ac:dyDescent="0.25">
      <c r="A30" s="74">
        <v>45966</v>
      </c>
      <c r="B30" s="4" t="s">
        <v>331</v>
      </c>
      <c r="C30" s="4" t="s">
        <v>20</v>
      </c>
      <c r="D30" s="4" t="s">
        <v>22</v>
      </c>
      <c r="E30" s="4" t="s">
        <v>17</v>
      </c>
      <c r="F30" s="4"/>
      <c r="G30" s="75">
        <v>185.2</v>
      </c>
      <c r="H30" s="75"/>
      <c r="I30" s="4"/>
      <c r="J30" s="4" t="s">
        <v>54</v>
      </c>
      <c r="K30" s="75">
        <v>-5250.2000000000025</v>
      </c>
    </row>
    <row r="31" spans="1:11" x14ac:dyDescent="0.25">
      <c r="A31" s="74">
        <v>45967</v>
      </c>
      <c r="B31" s="4" t="s">
        <v>11</v>
      </c>
      <c r="C31" s="4" t="s">
        <v>12</v>
      </c>
      <c r="D31" s="4" t="s">
        <v>19</v>
      </c>
      <c r="E31" s="4" t="s">
        <v>14</v>
      </c>
      <c r="F31" s="4" t="s">
        <v>15</v>
      </c>
      <c r="G31" s="75">
        <v>235</v>
      </c>
      <c r="H31" s="75"/>
      <c r="I31" s="4"/>
      <c r="J31" s="4" t="s">
        <v>54</v>
      </c>
      <c r="K31" s="75">
        <v>-5485.2000000000025</v>
      </c>
    </row>
    <row r="32" spans="1:11" x14ac:dyDescent="0.25">
      <c r="A32" s="74">
        <v>45967</v>
      </c>
      <c r="B32" s="4" t="s">
        <v>332</v>
      </c>
      <c r="C32" s="4" t="s">
        <v>12</v>
      </c>
      <c r="D32" s="4" t="s">
        <v>27</v>
      </c>
      <c r="E32" s="4" t="s">
        <v>14</v>
      </c>
      <c r="F32" s="4" t="s">
        <v>15</v>
      </c>
      <c r="G32" s="75">
        <v>190</v>
      </c>
      <c r="H32" s="75"/>
      <c r="I32" s="4" t="s">
        <v>333</v>
      </c>
      <c r="J32" s="4" t="s">
        <v>54</v>
      </c>
      <c r="K32" s="75">
        <v>-5675.2000000000025</v>
      </c>
    </row>
    <row r="33" spans="1:11" x14ac:dyDescent="0.25">
      <c r="A33" s="76">
        <v>45967</v>
      </c>
      <c r="B33" s="4" t="s">
        <v>330</v>
      </c>
      <c r="C33" s="4" t="s">
        <v>20</v>
      </c>
      <c r="D33" s="4" t="s">
        <v>13</v>
      </c>
      <c r="E33" s="4"/>
      <c r="F33" s="4"/>
      <c r="G33" s="75">
        <v>2605</v>
      </c>
      <c r="H33" s="75"/>
      <c r="I33" s="4"/>
      <c r="J33" s="4" t="s">
        <v>54</v>
      </c>
      <c r="K33" s="75">
        <v>-3070.200000000003</v>
      </c>
    </row>
    <row r="34" spans="1:11" x14ac:dyDescent="0.25">
      <c r="A34" s="76" t="s">
        <v>334</v>
      </c>
      <c r="B34" s="4" t="s">
        <v>335</v>
      </c>
      <c r="C34" s="4" t="s">
        <v>20</v>
      </c>
      <c r="D34" s="4" t="s">
        <v>22</v>
      </c>
      <c r="E34" s="4" t="s">
        <v>17</v>
      </c>
      <c r="F34" s="4"/>
      <c r="G34" s="75">
        <v>58.4</v>
      </c>
      <c r="H34" s="75"/>
      <c r="I34" s="4"/>
      <c r="J34" s="4" t="s">
        <v>336</v>
      </c>
      <c r="K34" s="75">
        <v>-3011.800000000002</v>
      </c>
    </row>
    <row r="35" spans="1:11" x14ac:dyDescent="0.25">
      <c r="A35" s="74">
        <v>45967</v>
      </c>
      <c r="B35" s="4" t="s">
        <v>23</v>
      </c>
      <c r="C35" s="4" t="s">
        <v>12</v>
      </c>
      <c r="D35" s="4" t="s">
        <v>24</v>
      </c>
      <c r="E35" s="4" t="s">
        <v>17</v>
      </c>
      <c r="F35" s="4" t="s">
        <v>25</v>
      </c>
      <c r="G35" s="75">
        <v>9</v>
      </c>
      <c r="H35" s="75"/>
      <c r="I35" s="4"/>
      <c r="J35" s="4" t="s">
        <v>54</v>
      </c>
      <c r="K35" s="75">
        <v>-3020.800000000002</v>
      </c>
    </row>
    <row r="36" spans="1:11" x14ac:dyDescent="0.25">
      <c r="A36" s="74">
        <v>45968</v>
      </c>
      <c r="B36" s="4" t="s">
        <v>337</v>
      </c>
      <c r="C36" s="4" t="s">
        <v>12</v>
      </c>
      <c r="D36" s="4" t="s">
        <v>27</v>
      </c>
      <c r="E36" s="4" t="s">
        <v>17</v>
      </c>
      <c r="F36" s="4" t="s">
        <v>25</v>
      </c>
      <c r="G36" s="75">
        <v>9642.93</v>
      </c>
      <c r="H36" s="75"/>
      <c r="I36" s="4"/>
      <c r="J36" s="4" t="s">
        <v>54</v>
      </c>
      <c r="K36" s="75">
        <v>-12663.73</v>
      </c>
    </row>
    <row r="37" spans="1:11" x14ac:dyDescent="0.25">
      <c r="A37" s="74">
        <v>45968</v>
      </c>
      <c r="B37" s="4" t="s">
        <v>11</v>
      </c>
      <c r="C37" s="4" t="s">
        <v>12</v>
      </c>
      <c r="D37" s="4" t="s">
        <v>19</v>
      </c>
      <c r="E37" s="4" t="s">
        <v>14</v>
      </c>
      <c r="F37" s="4" t="s">
        <v>15</v>
      </c>
      <c r="G37" s="75">
        <v>376</v>
      </c>
      <c r="H37" s="75"/>
      <c r="I37" s="4"/>
      <c r="J37" s="4" t="s">
        <v>54</v>
      </c>
      <c r="K37" s="75">
        <v>-13039.73</v>
      </c>
    </row>
    <row r="38" spans="1:11" x14ac:dyDescent="0.25">
      <c r="A38" s="74">
        <v>45968</v>
      </c>
      <c r="B38" s="4" t="s">
        <v>23</v>
      </c>
      <c r="C38" s="4" t="s">
        <v>12</v>
      </c>
      <c r="D38" s="4" t="s">
        <v>24</v>
      </c>
      <c r="E38" s="4" t="s">
        <v>17</v>
      </c>
      <c r="F38" s="4" t="s">
        <v>25</v>
      </c>
      <c r="G38" s="75">
        <v>35</v>
      </c>
      <c r="H38" s="75"/>
      <c r="I38" s="4"/>
      <c r="J38" s="4" t="s">
        <v>54</v>
      </c>
      <c r="K38" s="75">
        <v>-13074.73</v>
      </c>
    </row>
    <row r="39" spans="1:11" x14ac:dyDescent="0.25">
      <c r="A39" s="74">
        <v>45968</v>
      </c>
      <c r="B39" s="4" t="s">
        <v>330</v>
      </c>
      <c r="C39" s="4" t="s">
        <v>20</v>
      </c>
      <c r="D39" s="4" t="s">
        <v>13</v>
      </c>
      <c r="E39" s="4"/>
      <c r="F39" s="4"/>
      <c r="G39" s="75">
        <v>3432.3</v>
      </c>
      <c r="H39" s="75"/>
      <c r="I39" s="4"/>
      <c r="J39" s="4" t="s">
        <v>54</v>
      </c>
      <c r="K39" s="75">
        <v>-9642.4300000000039</v>
      </c>
    </row>
    <row r="40" spans="1:11" x14ac:dyDescent="0.25">
      <c r="A40" s="74">
        <v>45968</v>
      </c>
      <c r="B40" s="4" t="s">
        <v>44</v>
      </c>
      <c r="C40" s="4" t="s">
        <v>20</v>
      </c>
      <c r="D40" s="4" t="s">
        <v>22</v>
      </c>
      <c r="E40" s="4" t="s">
        <v>17</v>
      </c>
      <c r="F40" s="4"/>
      <c r="G40" s="75">
        <v>302.5</v>
      </c>
      <c r="H40" s="75"/>
      <c r="I40" s="4"/>
      <c r="J40" s="4" t="s">
        <v>54</v>
      </c>
      <c r="K40" s="75">
        <v>-9339.9300000000039</v>
      </c>
    </row>
    <row r="41" spans="1:11" x14ac:dyDescent="0.25">
      <c r="A41" s="74">
        <v>45969</v>
      </c>
      <c r="B41" s="4" t="s">
        <v>338</v>
      </c>
      <c r="C41" s="4" t="s">
        <v>12</v>
      </c>
      <c r="D41" s="4" t="s">
        <v>33</v>
      </c>
      <c r="E41" s="4" t="s">
        <v>14</v>
      </c>
      <c r="F41" s="4" t="s">
        <v>15</v>
      </c>
      <c r="G41" s="75">
        <v>120</v>
      </c>
      <c r="H41" s="75"/>
      <c r="I41" s="4"/>
      <c r="J41" s="4" t="s">
        <v>54</v>
      </c>
      <c r="K41" s="75">
        <v>-9459.9300000000039</v>
      </c>
    </row>
    <row r="42" spans="1:11" x14ac:dyDescent="0.25">
      <c r="A42" s="74">
        <v>45969</v>
      </c>
      <c r="B42" s="4" t="s">
        <v>23</v>
      </c>
      <c r="C42" s="4" t="s">
        <v>12</v>
      </c>
      <c r="D42" s="4" t="s">
        <v>24</v>
      </c>
      <c r="E42" s="4" t="s">
        <v>17</v>
      </c>
      <c r="F42" s="4" t="s">
        <v>25</v>
      </c>
      <c r="G42" s="75">
        <v>26</v>
      </c>
      <c r="H42" s="75"/>
      <c r="I42" s="4"/>
      <c r="J42" s="4" t="s">
        <v>54</v>
      </c>
      <c r="K42" s="75">
        <v>-9485.9300000000039</v>
      </c>
    </row>
    <row r="43" spans="1:11" x14ac:dyDescent="0.25">
      <c r="A43" s="74">
        <v>45969</v>
      </c>
      <c r="B43" s="4" t="s">
        <v>330</v>
      </c>
      <c r="C43" s="4" t="s">
        <v>20</v>
      </c>
      <c r="D43" s="4" t="s">
        <v>13</v>
      </c>
      <c r="E43" s="4"/>
      <c r="F43" s="4"/>
      <c r="G43" s="75">
        <v>4737.2</v>
      </c>
      <c r="H43" s="75"/>
      <c r="I43" s="4"/>
      <c r="J43" s="4" t="s">
        <v>54</v>
      </c>
      <c r="K43" s="75">
        <v>-4748.7300000000041</v>
      </c>
    </row>
    <row r="44" spans="1:11" x14ac:dyDescent="0.25">
      <c r="A44" s="74">
        <v>45969</v>
      </c>
      <c r="B44" s="4" t="s">
        <v>335</v>
      </c>
      <c r="C44" s="4" t="s">
        <v>20</v>
      </c>
      <c r="D44" s="4" t="s">
        <v>22</v>
      </c>
      <c r="E44" s="4" t="s">
        <v>17</v>
      </c>
      <c r="F44" s="4"/>
      <c r="G44" s="75">
        <v>346.5</v>
      </c>
      <c r="H44" s="75"/>
      <c r="I44" s="4"/>
      <c r="J44" s="4" t="s">
        <v>54</v>
      </c>
      <c r="K44" s="75">
        <v>-4402.2300000000041</v>
      </c>
    </row>
    <row r="45" spans="1:11" x14ac:dyDescent="0.25">
      <c r="A45" s="74">
        <v>45970</v>
      </c>
      <c r="B45" s="4" t="s">
        <v>45</v>
      </c>
      <c r="C45" s="4" t="s">
        <v>12</v>
      </c>
      <c r="D45" s="4" t="s">
        <v>24</v>
      </c>
      <c r="E45" s="4" t="s">
        <v>17</v>
      </c>
      <c r="F45" s="4" t="s">
        <v>25</v>
      </c>
      <c r="G45" s="75">
        <v>69</v>
      </c>
      <c r="H45" s="75"/>
      <c r="I45" s="4"/>
      <c r="J45" s="4" t="s">
        <v>54</v>
      </c>
      <c r="K45" s="75">
        <v>-4471.2300000000041</v>
      </c>
    </row>
    <row r="46" spans="1:11" x14ac:dyDescent="0.25">
      <c r="A46" s="74">
        <v>45970</v>
      </c>
      <c r="B46" s="4" t="s">
        <v>330</v>
      </c>
      <c r="C46" s="4" t="s">
        <v>20</v>
      </c>
      <c r="D46" s="4" t="s">
        <v>13</v>
      </c>
      <c r="E46" s="4"/>
      <c r="F46" s="4"/>
      <c r="G46" s="75">
        <v>9025</v>
      </c>
      <c r="H46" s="75"/>
      <c r="I46" s="4"/>
      <c r="J46" s="4" t="s">
        <v>54</v>
      </c>
      <c r="K46" s="75">
        <v>4553.7699999999959</v>
      </c>
    </row>
    <row r="47" spans="1:11" x14ac:dyDescent="0.25">
      <c r="A47" s="74">
        <v>45970</v>
      </c>
      <c r="B47" s="4" t="s">
        <v>44</v>
      </c>
      <c r="C47" s="4" t="s">
        <v>20</v>
      </c>
      <c r="D47" s="4" t="s">
        <v>22</v>
      </c>
      <c r="E47" s="4" t="s">
        <v>17</v>
      </c>
      <c r="F47" s="4"/>
      <c r="G47" s="75">
        <v>352.9</v>
      </c>
      <c r="H47" s="75"/>
      <c r="I47" s="4"/>
      <c r="J47" s="4" t="s">
        <v>54</v>
      </c>
      <c r="K47" s="75">
        <v>4906.6699999999964</v>
      </c>
    </row>
    <row r="48" spans="1:11" x14ac:dyDescent="0.25">
      <c r="A48" s="76">
        <v>45970</v>
      </c>
      <c r="B48" s="4" t="s">
        <v>339</v>
      </c>
      <c r="C48" s="4" t="s">
        <v>12</v>
      </c>
      <c r="D48" s="4" t="s">
        <v>33</v>
      </c>
      <c r="E48" s="4" t="s">
        <v>14</v>
      </c>
      <c r="F48" s="4" t="s">
        <v>15</v>
      </c>
      <c r="G48" s="75">
        <v>120</v>
      </c>
      <c r="H48" s="75"/>
      <c r="I48" s="4"/>
      <c r="J48" s="4" t="s">
        <v>54</v>
      </c>
      <c r="K48" s="75">
        <v>4786.6699999999964</v>
      </c>
    </row>
    <row r="49" spans="1:11" x14ac:dyDescent="0.25">
      <c r="A49" s="74">
        <v>45971</v>
      </c>
      <c r="B49" s="4" t="s">
        <v>340</v>
      </c>
      <c r="C49" s="4" t="s">
        <v>12</v>
      </c>
      <c r="D49" s="4" t="s">
        <v>66</v>
      </c>
      <c r="E49" s="4" t="s">
        <v>17</v>
      </c>
      <c r="F49" s="4" t="s">
        <v>25</v>
      </c>
      <c r="G49" s="75">
        <v>7726.31</v>
      </c>
      <c r="H49" s="75"/>
      <c r="I49" s="4"/>
      <c r="J49" s="4" t="s">
        <v>54</v>
      </c>
      <c r="K49" s="75">
        <v>-2939.6400000000049</v>
      </c>
    </row>
    <row r="50" spans="1:11" x14ac:dyDescent="0.25">
      <c r="A50" s="74">
        <v>45971</v>
      </c>
      <c r="B50" s="4" t="s">
        <v>341</v>
      </c>
      <c r="C50" s="4" t="s">
        <v>12</v>
      </c>
      <c r="D50" s="4" t="s">
        <v>27</v>
      </c>
      <c r="E50" s="4" t="s">
        <v>17</v>
      </c>
      <c r="F50" s="4" t="s">
        <v>25</v>
      </c>
      <c r="G50" s="75">
        <v>900</v>
      </c>
      <c r="H50" s="75"/>
      <c r="I50" s="4"/>
      <c r="J50" s="4" t="s">
        <v>54</v>
      </c>
      <c r="K50" s="75">
        <v>-3839.6400000000049</v>
      </c>
    </row>
    <row r="51" spans="1:11" x14ac:dyDescent="0.25">
      <c r="A51" s="74">
        <v>45971</v>
      </c>
      <c r="B51" s="4" t="s">
        <v>342</v>
      </c>
      <c r="C51" s="4" t="s">
        <v>12</v>
      </c>
      <c r="D51" s="4" t="s">
        <v>27</v>
      </c>
      <c r="E51" s="4" t="s">
        <v>17</v>
      </c>
      <c r="F51" s="4" t="s">
        <v>25</v>
      </c>
      <c r="G51" s="75">
        <v>3500</v>
      </c>
      <c r="H51" s="75"/>
      <c r="I51" s="4" t="s">
        <v>343</v>
      </c>
      <c r="J51" s="4" t="s">
        <v>54</v>
      </c>
      <c r="K51" s="75">
        <v>-7339.6400000000049</v>
      </c>
    </row>
    <row r="52" spans="1:11" x14ac:dyDescent="0.25">
      <c r="A52" s="74">
        <v>45971</v>
      </c>
      <c r="B52" s="4" t="s">
        <v>64</v>
      </c>
      <c r="C52" s="4" t="s">
        <v>12</v>
      </c>
      <c r="D52" s="4" t="s">
        <v>64</v>
      </c>
      <c r="E52" s="4" t="s">
        <v>17</v>
      </c>
      <c r="F52" s="4"/>
      <c r="G52" s="75">
        <v>685</v>
      </c>
      <c r="H52" s="75"/>
      <c r="I52" s="4"/>
      <c r="J52" s="4" t="s">
        <v>54</v>
      </c>
      <c r="K52" s="75">
        <v>-8024.6400000000049</v>
      </c>
    </row>
    <row r="53" spans="1:11" x14ac:dyDescent="0.25">
      <c r="A53" s="74">
        <v>45971</v>
      </c>
      <c r="B53" s="4" t="s">
        <v>344</v>
      </c>
      <c r="C53" s="4" t="s">
        <v>12</v>
      </c>
      <c r="D53" s="4" t="s">
        <v>19</v>
      </c>
      <c r="E53" s="4" t="s">
        <v>17</v>
      </c>
      <c r="F53" s="4"/>
      <c r="G53" s="75">
        <v>400.22</v>
      </c>
      <c r="H53" s="75"/>
      <c r="I53" s="4"/>
      <c r="J53" s="4" t="s">
        <v>54</v>
      </c>
      <c r="K53" s="75">
        <v>-8424.8600000000042</v>
      </c>
    </row>
    <row r="54" spans="1:11" x14ac:dyDescent="0.25">
      <c r="A54" s="74">
        <v>45971</v>
      </c>
      <c r="B54" s="4" t="s">
        <v>344</v>
      </c>
      <c r="C54" s="4" t="s">
        <v>12</v>
      </c>
      <c r="D54" s="4" t="s">
        <v>19</v>
      </c>
      <c r="E54" s="4" t="s">
        <v>17</v>
      </c>
      <c r="F54" s="4"/>
      <c r="G54" s="75">
        <v>444.67</v>
      </c>
      <c r="H54" s="75"/>
      <c r="I54" s="4"/>
      <c r="J54" s="4" t="s">
        <v>54</v>
      </c>
      <c r="K54" s="75">
        <v>-8869.5300000000043</v>
      </c>
    </row>
    <row r="55" spans="1:11" x14ac:dyDescent="0.25">
      <c r="A55" s="74">
        <v>45971</v>
      </c>
      <c r="B55" s="4" t="s">
        <v>345</v>
      </c>
      <c r="C55" s="4" t="s">
        <v>12</v>
      </c>
      <c r="D55" s="4" t="s">
        <v>27</v>
      </c>
      <c r="E55" s="4" t="s">
        <v>17</v>
      </c>
      <c r="F55" s="4"/>
      <c r="G55" s="75">
        <v>60</v>
      </c>
      <c r="H55" s="75"/>
      <c r="I55" s="4"/>
      <c r="J55" s="4" t="s">
        <v>54</v>
      </c>
      <c r="K55" s="75">
        <v>-8929.5300000000043</v>
      </c>
    </row>
    <row r="56" spans="1:11" x14ac:dyDescent="0.25">
      <c r="A56" s="74">
        <v>45971</v>
      </c>
      <c r="B56" s="4" t="s">
        <v>11</v>
      </c>
      <c r="C56" s="4" t="s">
        <v>12</v>
      </c>
      <c r="D56" s="4" t="s">
        <v>19</v>
      </c>
      <c r="E56" s="4" t="s">
        <v>14</v>
      </c>
      <c r="F56" s="4" t="s">
        <v>15</v>
      </c>
      <c r="G56" s="75">
        <v>0</v>
      </c>
      <c r="H56" s="75"/>
      <c r="I56" s="4"/>
      <c r="J56" s="4" t="s">
        <v>54</v>
      </c>
      <c r="K56" s="75">
        <v>-8929.5300000000043</v>
      </c>
    </row>
    <row r="57" spans="1:11" x14ac:dyDescent="0.25">
      <c r="A57" s="74">
        <v>45971</v>
      </c>
      <c r="B57" s="4" t="s">
        <v>330</v>
      </c>
      <c r="C57" s="4" t="s">
        <v>20</v>
      </c>
      <c r="D57" s="4" t="s">
        <v>13</v>
      </c>
      <c r="E57" s="4"/>
      <c r="F57" s="4"/>
      <c r="G57" s="75">
        <v>1745</v>
      </c>
      <c r="H57" s="75"/>
      <c r="I57" s="4"/>
      <c r="J57" s="4" t="s">
        <v>54</v>
      </c>
      <c r="K57" s="75">
        <v>-7184.5300000000043</v>
      </c>
    </row>
    <row r="58" spans="1:11" x14ac:dyDescent="0.25">
      <c r="A58" s="74">
        <v>45971</v>
      </c>
      <c r="B58" s="4" t="s">
        <v>44</v>
      </c>
      <c r="C58" s="4" t="s">
        <v>20</v>
      </c>
      <c r="D58" s="4" t="s">
        <v>22</v>
      </c>
      <c r="E58" s="4" t="s">
        <v>17</v>
      </c>
      <c r="F58" s="4"/>
      <c r="G58" s="75">
        <v>97.4</v>
      </c>
      <c r="H58" s="75"/>
      <c r="I58" s="4"/>
      <c r="J58" s="4" t="s">
        <v>54</v>
      </c>
      <c r="K58" s="75">
        <v>-7087.1300000000047</v>
      </c>
    </row>
    <row r="59" spans="1:11" x14ac:dyDescent="0.25">
      <c r="A59" s="74">
        <v>45971</v>
      </c>
      <c r="B59" s="4" t="s">
        <v>45</v>
      </c>
      <c r="C59" s="4" t="s">
        <v>12</v>
      </c>
      <c r="D59" s="4" t="s">
        <v>24</v>
      </c>
      <c r="E59" s="4" t="s">
        <v>17</v>
      </c>
      <c r="F59" s="4" t="s">
        <v>25</v>
      </c>
      <c r="G59" s="75">
        <v>17</v>
      </c>
      <c r="H59" s="75"/>
      <c r="I59" s="4"/>
      <c r="J59" s="4" t="s">
        <v>54</v>
      </c>
      <c r="K59" s="75">
        <v>-7104.1300000000047</v>
      </c>
    </row>
    <row r="60" spans="1:11" x14ac:dyDescent="0.25">
      <c r="A60" s="74">
        <v>45972</v>
      </c>
      <c r="B60" s="4" t="s">
        <v>346</v>
      </c>
      <c r="C60" s="4" t="s">
        <v>12</v>
      </c>
      <c r="D60" s="4" t="s">
        <v>19</v>
      </c>
      <c r="E60" s="4" t="s">
        <v>14</v>
      </c>
      <c r="F60" s="4" t="s">
        <v>15</v>
      </c>
      <c r="G60" s="75">
        <v>300</v>
      </c>
      <c r="H60" s="75"/>
      <c r="I60" s="4"/>
      <c r="J60" s="4" t="s">
        <v>54</v>
      </c>
      <c r="K60" s="75">
        <v>-7404.1300000000047</v>
      </c>
    </row>
    <row r="61" spans="1:11" x14ac:dyDescent="0.25">
      <c r="A61" s="74">
        <v>45972</v>
      </c>
      <c r="B61" s="4" t="s">
        <v>11</v>
      </c>
      <c r="C61" s="4" t="s">
        <v>12</v>
      </c>
      <c r="D61" s="4" t="s">
        <v>19</v>
      </c>
      <c r="E61" s="4" t="s">
        <v>14</v>
      </c>
      <c r="F61" s="4" t="s">
        <v>15</v>
      </c>
      <c r="G61" s="75">
        <v>47</v>
      </c>
      <c r="H61" s="75"/>
      <c r="I61" s="4"/>
      <c r="J61" s="4" t="s">
        <v>54</v>
      </c>
      <c r="K61" s="75">
        <v>-7451.1300000000047</v>
      </c>
    </row>
    <row r="62" spans="1:11" x14ac:dyDescent="0.25">
      <c r="A62" s="74">
        <v>45972</v>
      </c>
      <c r="B62" s="4" t="s">
        <v>330</v>
      </c>
      <c r="C62" s="4" t="s">
        <v>20</v>
      </c>
      <c r="D62" s="4" t="s">
        <v>13</v>
      </c>
      <c r="E62" s="4"/>
      <c r="F62" s="4"/>
      <c r="G62" s="75">
        <v>1866</v>
      </c>
      <c r="H62" s="75"/>
      <c r="I62" s="4"/>
      <c r="J62" s="4" t="s">
        <v>54</v>
      </c>
      <c r="K62" s="75">
        <v>-5585.1300000000047</v>
      </c>
    </row>
    <row r="63" spans="1:11" x14ac:dyDescent="0.25">
      <c r="A63" s="74">
        <v>45972</v>
      </c>
      <c r="B63" s="4" t="s">
        <v>44</v>
      </c>
      <c r="C63" s="4" t="s">
        <v>20</v>
      </c>
      <c r="D63" s="4" t="s">
        <v>22</v>
      </c>
      <c r="E63" s="4" t="s">
        <v>17</v>
      </c>
      <c r="F63" s="4"/>
      <c r="G63" s="75">
        <v>78</v>
      </c>
      <c r="H63" s="75"/>
      <c r="I63" s="4"/>
      <c r="J63" s="4" t="s">
        <v>54</v>
      </c>
      <c r="K63" s="75">
        <v>-5507.1300000000047</v>
      </c>
    </row>
    <row r="64" spans="1:11" x14ac:dyDescent="0.25">
      <c r="A64" s="74" t="s">
        <v>347</v>
      </c>
      <c r="B64" s="4" t="s">
        <v>348</v>
      </c>
      <c r="C64" s="4" t="s">
        <v>12</v>
      </c>
      <c r="D64" s="4" t="s">
        <v>19</v>
      </c>
      <c r="E64" s="4" t="s">
        <v>17</v>
      </c>
      <c r="F64" s="4"/>
      <c r="G64" s="75">
        <v>3280.83</v>
      </c>
      <c r="H64" s="75"/>
      <c r="I64" s="4"/>
      <c r="J64" s="4" t="s">
        <v>349</v>
      </c>
      <c r="K64" s="75">
        <v>-8787.9600000000046</v>
      </c>
    </row>
    <row r="65" spans="1:11" x14ac:dyDescent="0.25">
      <c r="A65" s="74">
        <v>45972</v>
      </c>
      <c r="B65" s="4" t="s">
        <v>45</v>
      </c>
      <c r="C65" s="4" t="s">
        <v>12</v>
      </c>
      <c r="D65" s="4" t="s">
        <v>24</v>
      </c>
      <c r="E65" s="4" t="s">
        <v>17</v>
      </c>
      <c r="F65" s="4" t="s">
        <v>25</v>
      </c>
      <c r="G65" s="75">
        <v>9</v>
      </c>
      <c r="H65" s="75"/>
      <c r="I65" s="4"/>
      <c r="J65" s="4" t="s">
        <v>54</v>
      </c>
      <c r="K65" s="75">
        <v>-8796.9600000000046</v>
      </c>
    </row>
    <row r="66" spans="1:11" x14ac:dyDescent="0.25">
      <c r="A66" s="74">
        <v>45973</v>
      </c>
      <c r="B66" s="4" t="s">
        <v>346</v>
      </c>
      <c r="C66" s="4" t="s">
        <v>12</v>
      </c>
      <c r="D66" s="4" t="s">
        <v>19</v>
      </c>
      <c r="E66" s="4" t="s">
        <v>14</v>
      </c>
      <c r="F66" s="4" t="s">
        <v>15</v>
      </c>
      <c r="G66" s="75">
        <v>300</v>
      </c>
      <c r="H66" s="75"/>
      <c r="I66" s="4"/>
      <c r="J66" s="4" t="s">
        <v>54</v>
      </c>
      <c r="K66" s="75">
        <v>-9096.9600000000046</v>
      </c>
    </row>
    <row r="67" spans="1:11" x14ac:dyDescent="0.25">
      <c r="A67" s="74">
        <v>45973</v>
      </c>
      <c r="B67" s="4" t="s">
        <v>330</v>
      </c>
      <c r="C67" s="4" t="s">
        <v>20</v>
      </c>
      <c r="D67" s="4" t="s">
        <v>13</v>
      </c>
      <c r="E67" s="4"/>
      <c r="F67" s="4"/>
      <c r="G67" s="75">
        <v>2167.5</v>
      </c>
      <c r="H67" s="75"/>
      <c r="I67" s="4"/>
      <c r="J67" s="4" t="s">
        <v>54</v>
      </c>
      <c r="K67" s="75">
        <v>-6929.4600000000046</v>
      </c>
    </row>
    <row r="68" spans="1:11" x14ac:dyDescent="0.25">
      <c r="A68" s="74">
        <v>45973</v>
      </c>
      <c r="B68" s="4" t="s">
        <v>44</v>
      </c>
      <c r="C68" s="4" t="s">
        <v>20</v>
      </c>
      <c r="D68" s="4" t="s">
        <v>22</v>
      </c>
      <c r="E68" s="4" t="s">
        <v>17</v>
      </c>
      <c r="F68" s="4"/>
      <c r="G68" s="75">
        <v>0</v>
      </c>
      <c r="H68" s="75"/>
      <c r="I68" s="4"/>
      <c r="J68" s="4" t="s">
        <v>54</v>
      </c>
      <c r="K68" s="75">
        <v>-6929.4600000000046</v>
      </c>
    </row>
    <row r="69" spans="1:11" x14ac:dyDescent="0.25">
      <c r="A69" s="74">
        <v>45973</v>
      </c>
      <c r="B69" s="4" t="s">
        <v>11</v>
      </c>
      <c r="C69" s="4" t="s">
        <v>12</v>
      </c>
      <c r="D69" s="4" t="s">
        <v>19</v>
      </c>
      <c r="E69" s="4" t="s">
        <v>14</v>
      </c>
      <c r="F69" s="4" t="s">
        <v>15</v>
      </c>
      <c r="G69" s="75">
        <v>135</v>
      </c>
      <c r="H69" s="75"/>
      <c r="I69" s="4"/>
      <c r="J69" s="4" t="s">
        <v>54</v>
      </c>
      <c r="K69" s="75">
        <v>-7064.4600000000046</v>
      </c>
    </row>
    <row r="70" spans="1:11" x14ac:dyDescent="0.25">
      <c r="A70" s="74">
        <v>45973</v>
      </c>
      <c r="B70" s="4" t="s">
        <v>45</v>
      </c>
      <c r="C70" s="4" t="s">
        <v>12</v>
      </c>
      <c r="D70" s="4" t="s">
        <v>24</v>
      </c>
      <c r="E70" s="4" t="s">
        <v>17</v>
      </c>
      <c r="F70" s="4" t="s">
        <v>25</v>
      </c>
      <c r="G70" s="75">
        <v>0</v>
      </c>
      <c r="H70" s="75"/>
      <c r="I70" s="4"/>
      <c r="J70" s="4" t="s">
        <v>54</v>
      </c>
      <c r="K70" s="75">
        <v>-7064.4600000000046</v>
      </c>
    </row>
    <row r="71" spans="1:11" x14ac:dyDescent="0.25">
      <c r="A71" s="74">
        <v>45973</v>
      </c>
      <c r="B71" s="4" t="s">
        <v>309</v>
      </c>
      <c r="C71" s="4" t="s">
        <v>12</v>
      </c>
      <c r="D71" s="4" t="s">
        <v>19</v>
      </c>
      <c r="E71" s="4" t="s">
        <v>17</v>
      </c>
      <c r="F71" s="4"/>
      <c r="G71" s="75">
        <v>518.41999999999996</v>
      </c>
      <c r="H71" s="75"/>
      <c r="I71" s="4"/>
      <c r="J71" s="4" t="s">
        <v>54</v>
      </c>
      <c r="K71" s="75">
        <v>-7582.8800000000047</v>
      </c>
    </row>
    <row r="72" spans="1:11" x14ac:dyDescent="0.25">
      <c r="A72" s="74">
        <v>45973</v>
      </c>
      <c r="B72" s="4" t="s">
        <v>350</v>
      </c>
      <c r="C72" s="4" t="s">
        <v>12</v>
      </c>
      <c r="D72" s="4" t="s">
        <v>19</v>
      </c>
      <c r="E72" s="4" t="s">
        <v>17</v>
      </c>
      <c r="F72" s="4"/>
      <c r="G72" s="75">
        <v>77.98</v>
      </c>
      <c r="H72" s="75"/>
      <c r="I72" s="4"/>
      <c r="J72" s="4" t="s">
        <v>54</v>
      </c>
      <c r="K72" s="75">
        <v>-7660.8600000000042</v>
      </c>
    </row>
    <row r="73" spans="1:11" x14ac:dyDescent="0.25">
      <c r="A73" s="74">
        <v>45973</v>
      </c>
      <c r="B73" s="4" t="s">
        <v>351</v>
      </c>
      <c r="C73" s="4" t="s">
        <v>12</v>
      </c>
      <c r="D73" s="4" t="s">
        <v>19</v>
      </c>
      <c r="E73" s="4" t="s">
        <v>17</v>
      </c>
      <c r="F73" s="4"/>
      <c r="G73" s="75">
        <v>1019.29</v>
      </c>
      <c r="H73" s="75"/>
      <c r="I73" s="4"/>
      <c r="J73" s="4" t="s">
        <v>54</v>
      </c>
      <c r="K73" s="75">
        <v>-8680.1500000000051</v>
      </c>
    </row>
    <row r="74" spans="1:11" x14ac:dyDescent="0.25">
      <c r="A74" s="74">
        <v>45973</v>
      </c>
      <c r="B74" s="4" t="s">
        <v>352</v>
      </c>
      <c r="C74" s="4" t="s">
        <v>12</v>
      </c>
      <c r="D74" s="4" t="s">
        <v>19</v>
      </c>
      <c r="E74" s="4" t="s">
        <v>17</v>
      </c>
      <c r="F74" s="4"/>
      <c r="G74" s="75">
        <v>1450.11</v>
      </c>
      <c r="H74" s="75"/>
      <c r="I74" s="4"/>
      <c r="J74" s="4" t="s">
        <v>54</v>
      </c>
      <c r="K74" s="75">
        <v>-10130.260000000009</v>
      </c>
    </row>
    <row r="75" spans="1:11" x14ac:dyDescent="0.25">
      <c r="A75" s="74">
        <v>45974</v>
      </c>
      <c r="B75" s="4" t="s">
        <v>353</v>
      </c>
      <c r="C75" s="4" t="s">
        <v>12</v>
      </c>
      <c r="D75" s="4" t="s">
        <v>19</v>
      </c>
      <c r="E75" s="4" t="s">
        <v>17</v>
      </c>
      <c r="F75" s="4"/>
      <c r="G75" s="75">
        <v>935.43</v>
      </c>
      <c r="H75" s="75"/>
      <c r="I75" s="4"/>
      <c r="J75" s="4" t="s">
        <v>54</v>
      </c>
      <c r="K75" s="75">
        <v>-11065.69000000001</v>
      </c>
    </row>
    <row r="76" spans="1:11" x14ac:dyDescent="0.25">
      <c r="A76" s="74">
        <v>45974</v>
      </c>
      <c r="B76" s="4" t="s">
        <v>354</v>
      </c>
      <c r="C76" s="4" t="s">
        <v>12</v>
      </c>
      <c r="D76" s="4" t="s">
        <v>19</v>
      </c>
      <c r="E76" s="4" t="s">
        <v>17</v>
      </c>
      <c r="F76" s="4"/>
      <c r="G76" s="75">
        <v>513.36</v>
      </c>
      <c r="H76" s="75"/>
      <c r="I76" s="4"/>
      <c r="J76" s="4" t="s">
        <v>54</v>
      </c>
      <c r="K76" s="75">
        <v>-11579.05000000001</v>
      </c>
    </row>
    <row r="77" spans="1:11" x14ac:dyDescent="0.25">
      <c r="A77" s="74">
        <v>45973</v>
      </c>
      <c r="B77" s="4" t="s">
        <v>11</v>
      </c>
      <c r="C77" s="4" t="s">
        <v>12</v>
      </c>
      <c r="D77" s="4" t="s">
        <v>19</v>
      </c>
      <c r="E77" s="4" t="s">
        <v>14</v>
      </c>
      <c r="F77" s="4" t="s">
        <v>15</v>
      </c>
      <c r="G77" s="75">
        <v>235</v>
      </c>
      <c r="H77" s="75"/>
      <c r="I77" s="4"/>
      <c r="J77" s="4" t="s">
        <v>54</v>
      </c>
      <c r="K77" s="75">
        <v>-11814.05000000001</v>
      </c>
    </row>
    <row r="78" spans="1:11" x14ac:dyDescent="0.25">
      <c r="A78" s="74">
        <v>45974</v>
      </c>
      <c r="B78" s="4" t="s">
        <v>330</v>
      </c>
      <c r="C78" s="4" t="s">
        <v>20</v>
      </c>
      <c r="D78" s="4" t="s">
        <v>13</v>
      </c>
      <c r="E78" s="4"/>
      <c r="F78" s="4"/>
      <c r="G78" s="75">
        <v>2643</v>
      </c>
      <c r="H78" s="75"/>
      <c r="I78" s="4"/>
      <c r="J78" s="4" t="s">
        <v>54</v>
      </c>
      <c r="K78" s="75">
        <v>-9171.0500000000065</v>
      </c>
    </row>
    <row r="79" spans="1:11" x14ac:dyDescent="0.25">
      <c r="A79" s="74">
        <v>45974</v>
      </c>
      <c r="B79" s="4" t="s">
        <v>355</v>
      </c>
      <c r="C79" s="4" t="s">
        <v>20</v>
      </c>
      <c r="D79" s="4" t="s">
        <v>22</v>
      </c>
      <c r="E79" s="4" t="s">
        <v>17</v>
      </c>
      <c r="F79" s="4"/>
      <c r="G79" s="75">
        <v>214.4</v>
      </c>
      <c r="H79" s="75"/>
      <c r="I79" s="4"/>
      <c r="J79" s="4" t="s">
        <v>54</v>
      </c>
      <c r="K79" s="75">
        <v>-8956.6500000000069</v>
      </c>
    </row>
    <row r="80" spans="1:11" x14ac:dyDescent="0.25">
      <c r="A80" s="74">
        <v>45974</v>
      </c>
      <c r="B80" s="4" t="s">
        <v>45</v>
      </c>
      <c r="C80" s="4" t="s">
        <v>12</v>
      </c>
      <c r="D80" s="4" t="s">
        <v>24</v>
      </c>
      <c r="E80" s="4" t="s">
        <v>17</v>
      </c>
      <c r="F80" s="4" t="s">
        <v>25</v>
      </c>
      <c r="G80" s="75">
        <v>27</v>
      </c>
      <c r="H80" s="75"/>
      <c r="I80" s="4"/>
      <c r="J80" s="4" t="s">
        <v>54</v>
      </c>
      <c r="K80" s="75">
        <v>-8983.6500000000069</v>
      </c>
    </row>
    <row r="81" spans="1:11" x14ac:dyDescent="0.25">
      <c r="A81" s="74">
        <v>45975</v>
      </c>
      <c r="B81" s="4" t="s">
        <v>348</v>
      </c>
      <c r="C81" s="4" t="s">
        <v>12</v>
      </c>
      <c r="D81" s="4" t="s">
        <v>19</v>
      </c>
      <c r="E81" s="4" t="s">
        <v>17</v>
      </c>
      <c r="F81" s="4"/>
      <c r="G81" s="75">
        <v>237.61</v>
      </c>
      <c r="H81" s="75"/>
      <c r="I81" s="4"/>
      <c r="J81" s="4" t="s">
        <v>54</v>
      </c>
      <c r="K81" s="75">
        <v>-9221.2600000000075</v>
      </c>
    </row>
    <row r="82" spans="1:11" x14ac:dyDescent="0.25">
      <c r="A82" s="74">
        <v>45975</v>
      </c>
      <c r="B82" s="4" t="s">
        <v>348</v>
      </c>
      <c r="C82" s="4" t="s">
        <v>12</v>
      </c>
      <c r="D82" s="4" t="s">
        <v>19</v>
      </c>
      <c r="E82" s="4" t="s">
        <v>17</v>
      </c>
      <c r="F82" s="4"/>
      <c r="G82" s="75">
        <v>514.82000000000005</v>
      </c>
      <c r="H82" s="75"/>
      <c r="I82" s="4"/>
      <c r="J82" s="4" t="s">
        <v>54</v>
      </c>
      <c r="K82" s="75">
        <v>-9736.0800000000072</v>
      </c>
    </row>
    <row r="83" spans="1:11" x14ac:dyDescent="0.25">
      <c r="A83" s="74">
        <v>45975</v>
      </c>
      <c r="B83" s="4" t="s">
        <v>356</v>
      </c>
      <c r="C83" s="4" t="s">
        <v>12</v>
      </c>
      <c r="D83" s="4" t="s">
        <v>58</v>
      </c>
      <c r="E83" s="4" t="s">
        <v>17</v>
      </c>
      <c r="F83" s="4"/>
      <c r="G83" s="75">
        <v>842.05</v>
      </c>
      <c r="H83" s="75"/>
      <c r="I83" s="4"/>
      <c r="J83" s="4" t="s">
        <v>54</v>
      </c>
      <c r="K83" s="75">
        <v>-10578.13000000001</v>
      </c>
    </row>
    <row r="84" spans="1:11" x14ac:dyDescent="0.25">
      <c r="A84" s="77">
        <v>45975</v>
      </c>
      <c r="B84" s="4" t="s">
        <v>11</v>
      </c>
      <c r="C84" s="4" t="s">
        <v>12</v>
      </c>
      <c r="D84" s="4" t="s">
        <v>19</v>
      </c>
      <c r="E84" s="4" t="s">
        <v>14</v>
      </c>
      <c r="F84" s="4" t="s">
        <v>15</v>
      </c>
      <c r="G84" s="75">
        <v>329</v>
      </c>
      <c r="H84" s="75"/>
      <c r="I84" s="4"/>
      <c r="J84" s="4" t="s">
        <v>54</v>
      </c>
      <c r="K84" s="75">
        <v>-10907.13000000001</v>
      </c>
    </row>
    <row r="85" spans="1:11" x14ac:dyDescent="0.25">
      <c r="A85" s="74">
        <v>45975</v>
      </c>
      <c r="B85" s="4" t="s">
        <v>45</v>
      </c>
      <c r="C85" s="4" t="s">
        <v>12</v>
      </c>
      <c r="D85" s="4" t="s">
        <v>24</v>
      </c>
      <c r="E85" s="4" t="s">
        <v>17</v>
      </c>
      <c r="F85" s="4" t="s">
        <v>25</v>
      </c>
      <c r="G85" s="75">
        <v>27</v>
      </c>
      <c r="H85" s="75"/>
      <c r="I85" s="4"/>
      <c r="J85" s="4" t="s">
        <v>54</v>
      </c>
      <c r="K85" s="75">
        <v>-10934.13000000001</v>
      </c>
    </row>
    <row r="86" spans="1:11" x14ac:dyDescent="0.25">
      <c r="A86" s="74">
        <v>45975</v>
      </c>
      <c r="B86" s="4" t="s">
        <v>330</v>
      </c>
      <c r="C86" s="4" t="s">
        <v>20</v>
      </c>
      <c r="D86" s="4" t="s">
        <v>13</v>
      </c>
      <c r="E86" s="4"/>
      <c r="F86" s="4"/>
      <c r="G86" s="75">
        <v>3044</v>
      </c>
      <c r="H86" s="75"/>
      <c r="I86" s="4"/>
      <c r="J86" s="4" t="s">
        <v>54</v>
      </c>
      <c r="K86" s="75">
        <v>-7890.1300000000056</v>
      </c>
    </row>
    <row r="87" spans="1:11" x14ac:dyDescent="0.25">
      <c r="A87" s="74">
        <v>45975</v>
      </c>
      <c r="B87" s="4" t="s">
        <v>357</v>
      </c>
      <c r="C87" s="4" t="s">
        <v>20</v>
      </c>
      <c r="D87" s="4" t="s">
        <v>22</v>
      </c>
      <c r="E87" s="4" t="s">
        <v>17</v>
      </c>
      <c r="F87" s="4"/>
      <c r="G87" s="75">
        <v>146.19999999999999</v>
      </c>
      <c r="H87" s="75"/>
      <c r="I87" s="4"/>
      <c r="J87" s="4" t="s">
        <v>54</v>
      </c>
      <c r="K87" s="75">
        <v>-7743.9300000000067</v>
      </c>
    </row>
    <row r="88" spans="1:11" x14ac:dyDescent="0.25">
      <c r="A88" s="74">
        <v>45975</v>
      </c>
      <c r="B88" s="4" t="s">
        <v>358</v>
      </c>
      <c r="C88" s="4" t="s">
        <v>12</v>
      </c>
      <c r="D88" s="4" t="s">
        <v>19</v>
      </c>
      <c r="E88" s="4" t="s">
        <v>17</v>
      </c>
      <c r="F88" s="4" t="s">
        <v>25</v>
      </c>
      <c r="G88" s="75">
        <v>224</v>
      </c>
      <c r="H88" s="75"/>
      <c r="I88" s="4"/>
      <c r="J88" s="4" t="s">
        <v>54</v>
      </c>
      <c r="K88" s="75">
        <v>-7967.9300000000067</v>
      </c>
    </row>
    <row r="89" spans="1:11" x14ac:dyDescent="0.25">
      <c r="A89" s="74">
        <v>45976</v>
      </c>
      <c r="B89" s="4" t="s">
        <v>359</v>
      </c>
      <c r="C89" s="4" t="s">
        <v>12</v>
      </c>
      <c r="D89" s="4" t="s">
        <v>62</v>
      </c>
      <c r="E89" s="4" t="s">
        <v>14</v>
      </c>
      <c r="F89" s="4" t="s">
        <v>15</v>
      </c>
      <c r="G89" s="75">
        <v>5</v>
      </c>
      <c r="H89" s="75"/>
      <c r="I89" s="4"/>
      <c r="J89" s="4" t="s">
        <v>54</v>
      </c>
      <c r="K89" s="75">
        <v>-7972.9300000000067</v>
      </c>
    </row>
    <row r="90" spans="1:11" x14ac:dyDescent="0.25">
      <c r="A90" s="74">
        <v>45976</v>
      </c>
      <c r="B90" s="4" t="s">
        <v>45</v>
      </c>
      <c r="C90" s="4" t="s">
        <v>12</v>
      </c>
      <c r="D90" s="4" t="s">
        <v>24</v>
      </c>
      <c r="E90" s="4" t="s">
        <v>17</v>
      </c>
      <c r="F90" s="4" t="s">
        <v>25</v>
      </c>
      <c r="G90" s="75">
        <v>44</v>
      </c>
      <c r="H90" s="75"/>
      <c r="I90" s="4"/>
      <c r="J90" s="4" t="s">
        <v>54</v>
      </c>
      <c r="K90" s="75">
        <v>-8016.9300000000067</v>
      </c>
    </row>
    <row r="91" spans="1:11" x14ac:dyDescent="0.25">
      <c r="A91" s="74">
        <v>45976</v>
      </c>
      <c r="B91" s="4" t="s">
        <v>330</v>
      </c>
      <c r="C91" s="4" t="s">
        <v>20</v>
      </c>
      <c r="D91" s="4" t="s">
        <v>13</v>
      </c>
      <c r="E91" s="4"/>
      <c r="F91" s="4"/>
      <c r="G91" s="75">
        <v>8091</v>
      </c>
      <c r="H91" s="75"/>
      <c r="I91" s="4"/>
      <c r="J91" s="4" t="s">
        <v>54</v>
      </c>
      <c r="K91" s="75">
        <v>74.069999999993342</v>
      </c>
    </row>
    <row r="92" spans="1:11" x14ac:dyDescent="0.25">
      <c r="A92" s="74">
        <v>45976</v>
      </c>
      <c r="B92" s="4" t="s">
        <v>44</v>
      </c>
      <c r="C92" s="4" t="s">
        <v>20</v>
      </c>
      <c r="D92" s="4" t="s">
        <v>13</v>
      </c>
      <c r="E92" s="4" t="s">
        <v>17</v>
      </c>
      <c r="F92" s="4"/>
      <c r="G92" s="75">
        <v>274.3</v>
      </c>
      <c r="H92" s="75"/>
      <c r="I92" s="4"/>
      <c r="J92" s="4" t="s">
        <v>54</v>
      </c>
      <c r="K92" s="75">
        <v>348.36999999999341</v>
      </c>
    </row>
    <row r="93" spans="1:11" x14ac:dyDescent="0.25">
      <c r="A93" s="74">
        <v>45976</v>
      </c>
      <c r="B93" s="4" t="s">
        <v>33</v>
      </c>
      <c r="C93" s="4" t="s">
        <v>12</v>
      </c>
      <c r="D93" s="4" t="s">
        <v>33</v>
      </c>
      <c r="E93" s="4" t="s">
        <v>14</v>
      </c>
      <c r="F93" s="4" t="s">
        <v>15</v>
      </c>
      <c r="G93" s="75">
        <v>120</v>
      </c>
      <c r="H93" s="75"/>
      <c r="I93" s="4"/>
      <c r="J93" s="4" t="s">
        <v>54</v>
      </c>
      <c r="K93" s="75">
        <v>228.36999999999341</v>
      </c>
    </row>
    <row r="94" spans="1:11" x14ac:dyDescent="0.25">
      <c r="A94" s="74">
        <v>45977</v>
      </c>
      <c r="B94" s="4" t="s">
        <v>338</v>
      </c>
      <c r="C94" s="4" t="s">
        <v>12</v>
      </c>
      <c r="D94" s="4" t="s">
        <v>33</v>
      </c>
      <c r="E94" s="4" t="s">
        <v>14</v>
      </c>
      <c r="F94" s="4" t="s">
        <v>15</v>
      </c>
      <c r="G94" s="75">
        <v>120</v>
      </c>
      <c r="H94" s="75"/>
      <c r="I94" s="4"/>
      <c r="J94" s="4" t="s">
        <v>54</v>
      </c>
      <c r="K94" s="75">
        <v>108.3699999999934</v>
      </c>
    </row>
    <row r="95" spans="1:11" x14ac:dyDescent="0.25">
      <c r="A95" s="74">
        <v>45977</v>
      </c>
      <c r="B95" s="4" t="s">
        <v>360</v>
      </c>
      <c r="C95" s="4" t="s">
        <v>12</v>
      </c>
      <c r="D95" s="4" t="s">
        <v>24</v>
      </c>
      <c r="E95" s="4" t="s">
        <v>17</v>
      </c>
      <c r="F95" s="4" t="s">
        <v>25</v>
      </c>
      <c r="G95" s="75">
        <v>97</v>
      </c>
      <c r="H95" s="75"/>
      <c r="I95" s="4"/>
      <c r="J95" s="4" t="s">
        <v>54</v>
      </c>
      <c r="K95" s="75">
        <v>11.36999999999335</v>
      </c>
    </row>
    <row r="96" spans="1:11" x14ac:dyDescent="0.25">
      <c r="A96" s="74">
        <v>45977</v>
      </c>
      <c r="B96" s="4" t="s">
        <v>361</v>
      </c>
      <c r="C96" s="4" t="s">
        <v>20</v>
      </c>
      <c r="D96" s="4" t="s">
        <v>13</v>
      </c>
      <c r="E96" s="4"/>
      <c r="F96" s="4"/>
      <c r="G96" s="75">
        <v>5696</v>
      </c>
      <c r="H96" s="75"/>
      <c r="I96" s="4"/>
      <c r="J96" s="4" t="s">
        <v>54</v>
      </c>
      <c r="K96" s="75">
        <v>5707.3699999999944</v>
      </c>
    </row>
    <row r="97" spans="1:11" x14ac:dyDescent="0.25">
      <c r="A97" s="74">
        <v>45977</v>
      </c>
      <c r="B97" s="4" t="s">
        <v>362</v>
      </c>
      <c r="C97" s="4" t="s">
        <v>20</v>
      </c>
      <c r="D97" s="4" t="s">
        <v>22</v>
      </c>
      <c r="E97" s="4" t="s">
        <v>17</v>
      </c>
      <c r="F97" s="4"/>
      <c r="G97" s="75">
        <v>528.79999999999995</v>
      </c>
      <c r="H97" s="75"/>
      <c r="I97" s="4"/>
      <c r="J97" s="4" t="s">
        <v>54</v>
      </c>
      <c r="K97" s="75">
        <v>6236.1699999999937</v>
      </c>
    </row>
    <row r="98" spans="1:11" x14ac:dyDescent="0.25">
      <c r="A98" s="74">
        <v>45977</v>
      </c>
      <c r="B98" s="4" t="s">
        <v>363</v>
      </c>
      <c r="C98" s="4" t="s">
        <v>12</v>
      </c>
      <c r="D98" s="4" t="s">
        <v>19</v>
      </c>
      <c r="E98" s="4" t="s">
        <v>17</v>
      </c>
      <c r="F98" s="4" t="s">
        <v>25</v>
      </c>
      <c r="G98" s="75">
        <v>305.60000000000002</v>
      </c>
      <c r="H98" s="75"/>
      <c r="I98" s="4"/>
      <c r="J98" s="4" t="s">
        <v>54</v>
      </c>
      <c r="K98" s="75">
        <v>5930.5699999999933</v>
      </c>
    </row>
    <row r="99" spans="1:11" x14ac:dyDescent="0.25">
      <c r="A99" s="74">
        <v>45978</v>
      </c>
      <c r="B99" s="4" t="s">
        <v>364</v>
      </c>
      <c r="C99" s="4" t="s">
        <v>12</v>
      </c>
      <c r="D99" s="4" t="s">
        <v>27</v>
      </c>
      <c r="E99" s="4" t="s">
        <v>17</v>
      </c>
      <c r="F99" s="4" t="s">
        <v>25</v>
      </c>
      <c r="G99" s="75">
        <v>1500</v>
      </c>
      <c r="H99" s="75"/>
      <c r="I99" s="4"/>
      <c r="J99" s="4" t="s">
        <v>54</v>
      </c>
      <c r="K99" s="75">
        <v>4430.5699999999933</v>
      </c>
    </row>
    <row r="100" spans="1:11" x14ac:dyDescent="0.25">
      <c r="A100" s="74">
        <v>45978</v>
      </c>
      <c r="B100" s="4" t="s">
        <v>365</v>
      </c>
      <c r="C100" s="4" t="s">
        <v>12</v>
      </c>
      <c r="D100" s="4" t="s">
        <v>62</v>
      </c>
      <c r="E100" s="4" t="s">
        <v>17</v>
      </c>
      <c r="F100" s="4" t="s">
        <v>25</v>
      </c>
      <c r="G100" s="75">
        <v>2254</v>
      </c>
      <c r="H100" s="75"/>
      <c r="I100" s="4"/>
      <c r="J100" s="4" t="s">
        <v>54</v>
      </c>
      <c r="K100" s="75">
        <v>2176.5699999999929</v>
      </c>
    </row>
    <row r="101" spans="1:11" x14ac:dyDescent="0.25">
      <c r="A101" s="74">
        <v>45978</v>
      </c>
      <c r="B101" s="4" t="s">
        <v>366</v>
      </c>
      <c r="C101" s="4" t="s">
        <v>12</v>
      </c>
      <c r="D101" s="4" t="s">
        <v>19</v>
      </c>
      <c r="E101" s="4" t="s">
        <v>17</v>
      </c>
      <c r="F101" s="4" t="s">
        <v>25</v>
      </c>
      <c r="G101" s="75">
        <v>378.5</v>
      </c>
      <c r="H101" s="75"/>
      <c r="I101" s="4"/>
      <c r="J101" s="4" t="s">
        <v>54</v>
      </c>
      <c r="K101" s="75">
        <v>1798.0699999999929</v>
      </c>
    </row>
    <row r="102" spans="1:11" x14ac:dyDescent="0.25">
      <c r="A102" s="74">
        <v>45978</v>
      </c>
      <c r="B102" s="4" t="s">
        <v>367</v>
      </c>
      <c r="C102" s="4" t="s">
        <v>12</v>
      </c>
      <c r="D102" s="4" t="s">
        <v>39</v>
      </c>
      <c r="E102" s="4" t="s">
        <v>17</v>
      </c>
      <c r="F102" s="4" t="s">
        <v>25</v>
      </c>
      <c r="G102" s="75">
        <v>99.9</v>
      </c>
      <c r="H102" s="75"/>
      <c r="I102" s="4"/>
      <c r="J102" s="4" t="s">
        <v>54</v>
      </c>
      <c r="K102" s="75">
        <v>1698.169999999993</v>
      </c>
    </row>
    <row r="103" spans="1:11" x14ac:dyDescent="0.25">
      <c r="A103" s="74">
        <v>45978</v>
      </c>
      <c r="B103" s="4" t="s">
        <v>368</v>
      </c>
      <c r="C103" s="4" t="s">
        <v>12</v>
      </c>
      <c r="D103" s="4" t="s">
        <v>27</v>
      </c>
      <c r="E103" s="4" t="s">
        <v>17</v>
      </c>
      <c r="F103" s="4"/>
      <c r="G103" s="75">
        <v>202.8</v>
      </c>
      <c r="H103" s="75"/>
      <c r="I103" s="4"/>
      <c r="J103" s="4" t="s">
        <v>54</v>
      </c>
      <c r="K103" s="75">
        <v>1495.3699999999931</v>
      </c>
    </row>
    <row r="104" spans="1:11" x14ac:dyDescent="0.25">
      <c r="A104" s="74">
        <v>45978</v>
      </c>
      <c r="B104" s="4" t="s">
        <v>369</v>
      </c>
      <c r="C104" s="4" t="s">
        <v>12</v>
      </c>
      <c r="D104" s="4" t="s">
        <v>19</v>
      </c>
      <c r="E104" s="4" t="s">
        <v>17</v>
      </c>
      <c r="F104" s="4"/>
      <c r="G104" s="75">
        <v>2415.85</v>
      </c>
      <c r="H104" s="75"/>
      <c r="I104" s="4"/>
      <c r="J104" s="4" t="s">
        <v>54</v>
      </c>
      <c r="K104" s="75">
        <v>-920.48000000000661</v>
      </c>
    </row>
    <row r="105" spans="1:11" x14ac:dyDescent="0.25">
      <c r="A105" s="74">
        <v>45978</v>
      </c>
      <c r="B105" s="4" t="s">
        <v>370</v>
      </c>
      <c r="C105" s="4" t="s">
        <v>12</v>
      </c>
      <c r="D105" s="4" t="s">
        <v>19</v>
      </c>
      <c r="E105" s="4" t="s">
        <v>17</v>
      </c>
      <c r="F105" s="4" t="s">
        <v>25</v>
      </c>
      <c r="G105" s="75">
        <v>615.38</v>
      </c>
      <c r="H105" s="75"/>
      <c r="I105" s="4"/>
      <c r="J105" s="4" t="s">
        <v>54</v>
      </c>
      <c r="K105" s="75">
        <v>-1535.860000000006</v>
      </c>
    </row>
    <row r="106" spans="1:11" x14ac:dyDescent="0.25">
      <c r="A106" s="74">
        <v>45978</v>
      </c>
      <c r="B106" s="4" t="s">
        <v>45</v>
      </c>
      <c r="C106" s="4" t="s">
        <v>12</v>
      </c>
      <c r="D106" s="4" t="s">
        <v>24</v>
      </c>
      <c r="E106" s="4" t="s">
        <v>17</v>
      </c>
      <c r="F106" s="4" t="s">
        <v>25</v>
      </c>
      <c r="G106" s="75">
        <v>9</v>
      </c>
      <c r="H106" s="75"/>
      <c r="I106" s="4"/>
      <c r="J106" s="4" t="s">
        <v>54</v>
      </c>
      <c r="K106" s="75">
        <v>-1544.860000000006</v>
      </c>
    </row>
    <row r="107" spans="1:11" x14ac:dyDescent="0.25">
      <c r="A107" s="74">
        <v>45978</v>
      </c>
      <c r="B107" s="4" t="s">
        <v>44</v>
      </c>
      <c r="C107" s="4" t="s">
        <v>20</v>
      </c>
      <c r="D107" s="4" t="s">
        <v>22</v>
      </c>
      <c r="E107" s="4" t="s">
        <v>17</v>
      </c>
      <c r="F107" s="4"/>
      <c r="G107" s="75">
        <v>48.6</v>
      </c>
      <c r="H107" s="75"/>
      <c r="I107" s="4"/>
      <c r="J107" s="4" t="s">
        <v>54</v>
      </c>
      <c r="K107" s="75">
        <v>-1496.260000000007</v>
      </c>
    </row>
    <row r="108" spans="1:11" x14ac:dyDescent="0.25">
      <c r="A108" s="74">
        <v>45978</v>
      </c>
      <c r="B108" s="4" t="s">
        <v>330</v>
      </c>
      <c r="C108" s="4" t="s">
        <v>20</v>
      </c>
      <c r="D108" s="4" t="s">
        <v>13</v>
      </c>
      <c r="E108" s="4"/>
      <c r="F108" s="4"/>
      <c r="G108" s="75">
        <v>1151.5</v>
      </c>
      <c r="H108" s="75"/>
      <c r="I108" s="4"/>
      <c r="J108" s="4" t="s">
        <v>54</v>
      </c>
      <c r="K108" s="75">
        <v>-344.76000000000658</v>
      </c>
    </row>
    <row r="109" spans="1:11" x14ac:dyDescent="0.25">
      <c r="A109" s="74">
        <v>45979</v>
      </c>
      <c r="B109" s="4" t="s">
        <v>371</v>
      </c>
      <c r="C109" s="4" t="s">
        <v>12</v>
      </c>
      <c r="D109" s="4" t="s">
        <v>62</v>
      </c>
      <c r="E109" s="4" t="s">
        <v>17</v>
      </c>
      <c r="F109" s="4"/>
      <c r="G109" s="75">
        <v>895</v>
      </c>
      <c r="H109" s="75"/>
      <c r="I109" s="4"/>
      <c r="J109" s="4" t="s">
        <v>54</v>
      </c>
      <c r="K109" s="75">
        <v>-1239.760000000007</v>
      </c>
    </row>
    <row r="110" spans="1:11" x14ac:dyDescent="0.25">
      <c r="A110" s="74">
        <v>45979</v>
      </c>
      <c r="B110" s="4" t="s">
        <v>352</v>
      </c>
      <c r="C110" s="4" t="s">
        <v>12</v>
      </c>
      <c r="D110" s="4" t="s">
        <v>19</v>
      </c>
      <c r="E110" s="4" t="s">
        <v>17</v>
      </c>
      <c r="F110" s="4"/>
      <c r="G110" s="75">
        <v>1245.07</v>
      </c>
      <c r="H110" s="75"/>
      <c r="I110" s="4"/>
      <c r="J110" s="4" t="s">
        <v>54</v>
      </c>
      <c r="K110" s="75">
        <v>-2484.8300000000058</v>
      </c>
    </row>
    <row r="111" spans="1:11" x14ac:dyDescent="0.25">
      <c r="A111" s="74">
        <v>45979</v>
      </c>
      <c r="B111" s="4" t="s">
        <v>11</v>
      </c>
      <c r="C111" s="4" t="s">
        <v>12</v>
      </c>
      <c r="D111" s="4" t="s">
        <v>19</v>
      </c>
      <c r="E111" s="4" t="s">
        <v>14</v>
      </c>
      <c r="F111" s="4" t="s">
        <v>15</v>
      </c>
      <c r="G111" s="75">
        <v>47</v>
      </c>
      <c r="H111" s="75"/>
      <c r="I111" s="4"/>
      <c r="J111" s="4" t="s">
        <v>54</v>
      </c>
      <c r="K111" s="75">
        <v>-2531.8300000000058</v>
      </c>
    </row>
    <row r="112" spans="1:11" x14ac:dyDescent="0.25">
      <c r="A112" s="74">
        <v>45979</v>
      </c>
      <c r="B112" s="4" t="s">
        <v>372</v>
      </c>
      <c r="C112" s="4" t="s">
        <v>20</v>
      </c>
      <c r="D112" s="4" t="s">
        <v>13</v>
      </c>
      <c r="E112" s="4"/>
      <c r="F112" s="4"/>
      <c r="G112" s="75">
        <v>1420</v>
      </c>
      <c r="H112" s="75"/>
      <c r="I112" s="4"/>
      <c r="J112" s="4" t="s">
        <v>54</v>
      </c>
      <c r="K112" s="75">
        <v>-1111.8300000000061</v>
      </c>
    </row>
    <row r="113" spans="1:11" x14ac:dyDescent="0.25">
      <c r="A113" s="74">
        <v>45980</v>
      </c>
      <c r="B113" s="4" t="s">
        <v>11</v>
      </c>
      <c r="C113" s="4" t="s">
        <v>12</v>
      </c>
      <c r="D113" s="4" t="s">
        <v>19</v>
      </c>
      <c r="E113" s="4" t="s">
        <v>14</v>
      </c>
      <c r="F113" s="4" t="s">
        <v>15</v>
      </c>
      <c r="G113" s="75">
        <v>235</v>
      </c>
      <c r="H113" s="75"/>
      <c r="I113" s="4"/>
      <c r="J113" s="4" t="s">
        <v>54</v>
      </c>
      <c r="K113" s="75">
        <v>-1346.8300000000061</v>
      </c>
    </row>
    <row r="114" spans="1:11" x14ac:dyDescent="0.25">
      <c r="A114" s="74">
        <v>45980</v>
      </c>
      <c r="B114" s="4" t="s">
        <v>289</v>
      </c>
      <c r="C114" s="4" t="s">
        <v>12</v>
      </c>
      <c r="D114" s="4" t="s">
        <v>60</v>
      </c>
      <c r="E114" s="4" t="s">
        <v>17</v>
      </c>
      <c r="F114" s="4" t="s">
        <v>25</v>
      </c>
      <c r="G114" s="75">
        <v>448.17</v>
      </c>
      <c r="H114" s="75"/>
      <c r="I114" s="4"/>
      <c r="J114" s="4" t="s">
        <v>54</v>
      </c>
      <c r="K114" s="75">
        <v>-1795.0000000000059</v>
      </c>
    </row>
    <row r="115" spans="1:11" x14ac:dyDescent="0.25">
      <c r="A115" s="77">
        <v>45980</v>
      </c>
      <c r="B115" s="4" t="s">
        <v>373</v>
      </c>
      <c r="C115" s="4" t="s">
        <v>12</v>
      </c>
      <c r="D115" s="4" t="s">
        <v>62</v>
      </c>
      <c r="E115" s="4" t="s">
        <v>17</v>
      </c>
      <c r="F115" s="4" t="s">
        <v>25</v>
      </c>
      <c r="G115" s="75">
        <v>1236</v>
      </c>
      <c r="H115" s="75"/>
      <c r="I115" s="4"/>
      <c r="J115" s="4" t="s">
        <v>54</v>
      </c>
      <c r="K115" s="75">
        <v>-3031.0000000000059</v>
      </c>
    </row>
    <row r="116" spans="1:11" x14ac:dyDescent="0.25">
      <c r="A116" s="74">
        <v>45980</v>
      </c>
      <c r="B116" s="4" t="s">
        <v>374</v>
      </c>
      <c r="C116" s="4" t="s">
        <v>12</v>
      </c>
      <c r="D116" s="4" t="s">
        <v>58</v>
      </c>
      <c r="E116" s="4" t="s">
        <v>17</v>
      </c>
      <c r="F116" s="4"/>
      <c r="G116" s="75">
        <v>864.13</v>
      </c>
      <c r="H116" s="75"/>
      <c r="I116" s="4"/>
      <c r="J116" s="4" t="s">
        <v>54</v>
      </c>
      <c r="K116" s="75">
        <v>-3895.130000000006</v>
      </c>
    </row>
    <row r="117" spans="1:11" x14ac:dyDescent="0.25">
      <c r="A117" s="74">
        <v>45980</v>
      </c>
      <c r="B117" s="4" t="s">
        <v>350</v>
      </c>
      <c r="C117" s="4" t="s">
        <v>12</v>
      </c>
      <c r="D117" s="4" t="s">
        <v>19</v>
      </c>
      <c r="E117" s="4" t="s">
        <v>17</v>
      </c>
      <c r="F117" s="4"/>
      <c r="G117" s="75">
        <v>708.88</v>
      </c>
      <c r="H117" s="75"/>
      <c r="I117" s="4"/>
      <c r="J117" s="4" t="s">
        <v>54</v>
      </c>
      <c r="K117" s="75">
        <v>-4604.0100000000066</v>
      </c>
    </row>
    <row r="118" spans="1:11" x14ac:dyDescent="0.25">
      <c r="A118" s="74">
        <v>45980</v>
      </c>
      <c r="B118" s="4" t="s">
        <v>330</v>
      </c>
      <c r="C118" s="4" t="s">
        <v>20</v>
      </c>
      <c r="D118" s="4" t="s">
        <v>13</v>
      </c>
      <c r="E118" s="4"/>
      <c r="F118" s="4"/>
      <c r="G118" s="75">
        <v>3440</v>
      </c>
      <c r="H118" s="75"/>
      <c r="I118" s="4"/>
      <c r="J118" s="4" t="s">
        <v>54</v>
      </c>
      <c r="K118" s="75">
        <v>-1164.010000000007</v>
      </c>
    </row>
    <row r="119" spans="1:11" x14ac:dyDescent="0.25">
      <c r="A119" s="74">
        <v>45980</v>
      </c>
      <c r="B119" s="4" t="s">
        <v>375</v>
      </c>
      <c r="C119" s="4" t="s">
        <v>12</v>
      </c>
      <c r="D119" s="4" t="s">
        <v>33</v>
      </c>
      <c r="E119" s="4" t="s">
        <v>14</v>
      </c>
      <c r="F119" s="4" t="s">
        <v>15</v>
      </c>
      <c r="G119" s="75">
        <v>21</v>
      </c>
      <c r="H119" s="75"/>
      <c r="I119" s="4"/>
      <c r="J119" s="4" t="s">
        <v>54</v>
      </c>
      <c r="K119" s="75">
        <v>-1185.010000000007</v>
      </c>
    </row>
    <row r="120" spans="1:11" x14ac:dyDescent="0.25">
      <c r="A120" s="74">
        <v>45980</v>
      </c>
      <c r="B120" s="4" t="s">
        <v>376</v>
      </c>
      <c r="C120" s="4" t="s">
        <v>12</v>
      </c>
      <c r="D120" s="4" t="s">
        <v>27</v>
      </c>
      <c r="E120" s="4" t="s">
        <v>17</v>
      </c>
      <c r="F120" s="4" t="s">
        <v>25</v>
      </c>
      <c r="G120" s="75">
        <v>450</v>
      </c>
      <c r="H120" s="75"/>
      <c r="I120" s="4"/>
      <c r="J120" s="4" t="s">
        <v>54</v>
      </c>
      <c r="K120" s="75">
        <v>-1635.010000000007</v>
      </c>
    </row>
    <row r="121" spans="1:11" x14ac:dyDescent="0.25">
      <c r="A121" s="74">
        <v>44884</v>
      </c>
      <c r="B121" s="4" t="s">
        <v>377</v>
      </c>
      <c r="C121" s="4" t="s">
        <v>12</v>
      </c>
      <c r="D121" s="4" t="s">
        <v>27</v>
      </c>
      <c r="E121" s="4" t="s">
        <v>17</v>
      </c>
      <c r="F121" s="4" t="s">
        <v>25</v>
      </c>
      <c r="G121" s="75">
        <v>120</v>
      </c>
      <c r="H121" s="75"/>
      <c r="I121" s="4"/>
      <c r="J121" s="4" t="s">
        <v>378</v>
      </c>
      <c r="K121" s="75">
        <v>-1755.010000000007</v>
      </c>
    </row>
    <row r="122" spans="1:11" x14ac:dyDescent="0.25">
      <c r="A122" s="74">
        <v>45981</v>
      </c>
      <c r="B122" s="4" t="s">
        <v>379</v>
      </c>
      <c r="C122" s="4" t="s">
        <v>12</v>
      </c>
      <c r="D122" s="4" t="s">
        <v>27</v>
      </c>
      <c r="E122" s="4" t="s">
        <v>17</v>
      </c>
      <c r="F122" s="4" t="s">
        <v>25</v>
      </c>
      <c r="G122" s="75">
        <v>300</v>
      </c>
      <c r="H122" s="75"/>
      <c r="I122" s="4"/>
      <c r="J122" s="4" t="s">
        <v>54</v>
      </c>
      <c r="K122" s="75">
        <v>-2055.010000000007</v>
      </c>
    </row>
    <row r="123" spans="1:11" x14ac:dyDescent="0.25">
      <c r="A123" s="74">
        <v>45981</v>
      </c>
      <c r="B123" s="4" t="s">
        <v>379</v>
      </c>
      <c r="C123" s="4" t="s">
        <v>12</v>
      </c>
      <c r="D123" s="4" t="s">
        <v>27</v>
      </c>
      <c r="E123" s="4" t="s">
        <v>14</v>
      </c>
      <c r="F123" s="4" t="s">
        <v>15</v>
      </c>
      <c r="G123" s="75">
        <v>200</v>
      </c>
      <c r="H123" s="75"/>
      <c r="I123" s="4"/>
      <c r="J123" s="4" t="s">
        <v>54</v>
      </c>
      <c r="K123" s="75">
        <v>-2255.010000000007</v>
      </c>
    </row>
    <row r="124" spans="1:11" x14ac:dyDescent="0.25">
      <c r="A124" s="74">
        <v>45981</v>
      </c>
      <c r="B124" s="4" t="s">
        <v>380</v>
      </c>
      <c r="C124" s="4" t="s">
        <v>12</v>
      </c>
      <c r="D124" s="4" t="s">
        <v>19</v>
      </c>
      <c r="E124" s="4" t="s">
        <v>17</v>
      </c>
      <c r="F124" s="4"/>
      <c r="G124" s="75">
        <v>935.43</v>
      </c>
      <c r="H124" s="75"/>
      <c r="I124" s="4"/>
      <c r="J124" s="4" t="s">
        <v>54</v>
      </c>
      <c r="K124" s="75">
        <v>-3190.440000000006</v>
      </c>
    </row>
    <row r="125" spans="1:11" x14ac:dyDescent="0.25">
      <c r="A125" s="74">
        <v>45981</v>
      </c>
      <c r="B125" s="4" t="s">
        <v>33</v>
      </c>
      <c r="C125" s="4" t="s">
        <v>12</v>
      </c>
      <c r="D125" s="4" t="s">
        <v>33</v>
      </c>
      <c r="E125" s="4" t="s">
        <v>14</v>
      </c>
      <c r="F125" s="4" t="s">
        <v>15</v>
      </c>
      <c r="G125" s="75">
        <v>120</v>
      </c>
      <c r="H125" s="75"/>
      <c r="I125" s="4"/>
      <c r="J125" s="4" t="s">
        <v>54</v>
      </c>
      <c r="K125" s="75">
        <v>-3310.440000000006</v>
      </c>
    </row>
    <row r="126" spans="1:11" x14ac:dyDescent="0.25">
      <c r="A126" s="74">
        <v>45981</v>
      </c>
      <c r="B126" s="4" t="s">
        <v>23</v>
      </c>
      <c r="C126" s="4" t="s">
        <v>12</v>
      </c>
      <c r="D126" s="4" t="s">
        <v>24</v>
      </c>
      <c r="E126" s="4" t="s">
        <v>17</v>
      </c>
      <c r="F126" s="4" t="s">
        <v>25</v>
      </c>
      <c r="G126" s="75">
        <v>45</v>
      </c>
      <c r="H126" s="75"/>
      <c r="I126" s="4"/>
      <c r="J126" s="4" t="s">
        <v>54</v>
      </c>
      <c r="K126" s="75">
        <v>-3355.440000000006</v>
      </c>
    </row>
    <row r="127" spans="1:11" x14ac:dyDescent="0.25">
      <c r="A127" s="74">
        <v>45981</v>
      </c>
      <c r="B127" s="4" t="s">
        <v>372</v>
      </c>
      <c r="C127" s="4" t="s">
        <v>20</v>
      </c>
      <c r="D127" s="4" t="s">
        <v>13</v>
      </c>
      <c r="E127" s="4"/>
      <c r="F127" s="4"/>
      <c r="G127" s="75">
        <v>8541</v>
      </c>
      <c r="H127" s="75"/>
      <c r="I127" s="4"/>
      <c r="J127" s="4" t="s">
        <v>54</v>
      </c>
      <c r="K127" s="75">
        <v>5185.559999999994</v>
      </c>
    </row>
    <row r="128" spans="1:11" x14ac:dyDescent="0.25">
      <c r="A128" s="74">
        <v>45981</v>
      </c>
      <c r="B128" s="4" t="s">
        <v>44</v>
      </c>
      <c r="C128" s="4" t="s">
        <v>20</v>
      </c>
      <c r="D128" s="4" t="s">
        <v>22</v>
      </c>
      <c r="E128" s="4" t="s">
        <v>17</v>
      </c>
      <c r="F128" s="4"/>
      <c r="G128" s="75">
        <v>228.5</v>
      </c>
      <c r="H128" s="75"/>
      <c r="I128" s="4"/>
      <c r="J128" s="4" t="s">
        <v>54</v>
      </c>
      <c r="K128" s="75">
        <v>5414.059999999994</v>
      </c>
    </row>
    <row r="129" spans="1:11" x14ac:dyDescent="0.25">
      <c r="A129" s="74">
        <v>45981</v>
      </c>
      <c r="B129" s="4" t="s">
        <v>11</v>
      </c>
      <c r="C129" s="4" t="s">
        <v>12</v>
      </c>
      <c r="D129" s="4" t="s">
        <v>19</v>
      </c>
      <c r="E129" s="4" t="s">
        <v>14</v>
      </c>
      <c r="F129" s="4" t="s">
        <v>15</v>
      </c>
      <c r="G129" s="75">
        <v>470</v>
      </c>
      <c r="H129" s="75"/>
      <c r="I129" s="4"/>
      <c r="J129" s="4" t="s">
        <v>54</v>
      </c>
      <c r="K129" s="75">
        <v>4944.059999999994</v>
      </c>
    </row>
    <row r="130" spans="1:11" x14ac:dyDescent="0.25">
      <c r="A130" s="74">
        <v>45982</v>
      </c>
      <c r="B130" s="4" t="s">
        <v>381</v>
      </c>
      <c r="C130" s="4" t="s">
        <v>12</v>
      </c>
      <c r="D130" s="4" t="s">
        <v>65</v>
      </c>
      <c r="E130" s="4" t="s">
        <v>17</v>
      </c>
      <c r="F130" s="4" t="s">
        <v>25</v>
      </c>
      <c r="G130" s="75">
        <v>2634.3</v>
      </c>
      <c r="H130" s="75"/>
      <c r="I130" s="4"/>
      <c r="J130" s="4" t="s">
        <v>54</v>
      </c>
      <c r="K130" s="75">
        <v>2309.7599999999939</v>
      </c>
    </row>
    <row r="131" spans="1:11" x14ac:dyDescent="0.25">
      <c r="A131" s="74">
        <v>45982</v>
      </c>
      <c r="B131" s="4" t="s">
        <v>382</v>
      </c>
      <c r="C131" s="4" t="s">
        <v>12</v>
      </c>
      <c r="D131" s="4" t="s">
        <v>65</v>
      </c>
      <c r="E131" s="4" t="s">
        <v>17</v>
      </c>
      <c r="F131" s="4"/>
      <c r="G131" s="75">
        <v>625.95000000000005</v>
      </c>
      <c r="H131" s="75"/>
      <c r="I131" s="4"/>
      <c r="J131" s="4" t="s">
        <v>54</v>
      </c>
      <c r="K131" s="75">
        <v>1683.809999999994</v>
      </c>
    </row>
    <row r="132" spans="1:11" x14ac:dyDescent="0.25">
      <c r="A132" s="74">
        <v>45982</v>
      </c>
      <c r="B132" s="4" t="s">
        <v>372</v>
      </c>
      <c r="C132" s="4" t="s">
        <v>20</v>
      </c>
      <c r="D132" s="4" t="s">
        <v>13</v>
      </c>
      <c r="E132" s="4"/>
      <c r="F132" s="4"/>
      <c r="G132" s="75">
        <v>9747</v>
      </c>
      <c r="H132" s="75"/>
      <c r="I132" s="4"/>
      <c r="J132" s="4" t="s">
        <v>54</v>
      </c>
      <c r="K132" s="75">
        <v>11430.80999999999</v>
      </c>
    </row>
    <row r="133" spans="1:11" x14ac:dyDescent="0.25">
      <c r="A133" s="74">
        <v>45982</v>
      </c>
      <c r="B133" s="4" t="s">
        <v>44</v>
      </c>
      <c r="C133" s="4" t="s">
        <v>20</v>
      </c>
      <c r="D133" s="4" t="s">
        <v>22</v>
      </c>
      <c r="E133" s="4" t="s">
        <v>17</v>
      </c>
      <c r="F133" s="4"/>
      <c r="G133" s="75">
        <v>114.3</v>
      </c>
      <c r="H133" s="75"/>
      <c r="I133" s="4"/>
      <c r="J133" s="4" t="s">
        <v>54</v>
      </c>
      <c r="K133" s="75">
        <v>11545.10999999999</v>
      </c>
    </row>
    <row r="134" spans="1:11" x14ac:dyDescent="0.25">
      <c r="A134" s="74">
        <v>45982</v>
      </c>
      <c r="B134" s="4" t="s">
        <v>23</v>
      </c>
      <c r="C134" s="4" t="s">
        <v>12</v>
      </c>
      <c r="D134" s="4" t="s">
        <v>24</v>
      </c>
      <c r="E134" s="4" t="s">
        <v>17</v>
      </c>
      <c r="F134" s="4" t="s">
        <v>25</v>
      </c>
      <c r="G134" s="75">
        <v>27</v>
      </c>
      <c r="H134" s="75"/>
      <c r="I134" s="4"/>
      <c r="J134" s="4" t="s">
        <v>54</v>
      </c>
      <c r="K134" s="75">
        <v>11518.10999999999</v>
      </c>
    </row>
    <row r="135" spans="1:11" x14ac:dyDescent="0.25">
      <c r="A135" s="74">
        <v>45982</v>
      </c>
      <c r="B135" s="4" t="s">
        <v>31</v>
      </c>
      <c r="C135" s="4" t="s">
        <v>12</v>
      </c>
      <c r="D135" s="4" t="s">
        <v>19</v>
      </c>
      <c r="E135" s="4" t="s">
        <v>17</v>
      </c>
      <c r="F135" s="4" t="s">
        <v>25</v>
      </c>
      <c r="G135" s="75">
        <v>265</v>
      </c>
      <c r="H135" s="75"/>
      <c r="I135" s="4"/>
      <c r="J135" s="4" t="s">
        <v>54</v>
      </c>
      <c r="K135" s="75">
        <v>11253.10999999999</v>
      </c>
    </row>
    <row r="136" spans="1:11" x14ac:dyDescent="0.25">
      <c r="A136" s="74">
        <v>45982</v>
      </c>
      <c r="B136" s="4" t="s">
        <v>296</v>
      </c>
      <c r="C136" s="4" t="s">
        <v>12</v>
      </c>
      <c r="D136" s="4" t="s">
        <v>58</v>
      </c>
      <c r="E136" s="4" t="s">
        <v>17</v>
      </c>
      <c r="F136" s="4"/>
      <c r="G136" s="75">
        <v>1285.23</v>
      </c>
      <c r="H136" s="75"/>
      <c r="I136" s="4"/>
      <c r="J136" s="4" t="s">
        <v>54</v>
      </c>
      <c r="K136" s="75">
        <v>9967.8799999999937</v>
      </c>
    </row>
    <row r="137" spans="1:11" x14ac:dyDescent="0.25">
      <c r="A137" s="74">
        <v>45982</v>
      </c>
      <c r="B137" s="4" t="s">
        <v>11</v>
      </c>
      <c r="C137" s="4" t="s">
        <v>12</v>
      </c>
      <c r="D137" s="4" t="s">
        <v>19</v>
      </c>
      <c r="E137" s="4" t="s">
        <v>14</v>
      </c>
      <c r="F137" s="4" t="s">
        <v>15</v>
      </c>
      <c r="G137" s="75">
        <v>282</v>
      </c>
      <c r="H137" s="75"/>
      <c r="I137" s="4"/>
      <c r="J137" s="4" t="s">
        <v>54</v>
      </c>
      <c r="K137" s="75">
        <v>9685.8799999999937</v>
      </c>
    </row>
    <row r="138" spans="1:11" x14ac:dyDescent="0.25">
      <c r="A138" s="74">
        <v>45982</v>
      </c>
      <c r="B138" s="4" t="s">
        <v>375</v>
      </c>
      <c r="C138" s="4" t="s">
        <v>12</v>
      </c>
      <c r="D138" s="4" t="s">
        <v>33</v>
      </c>
      <c r="E138" s="4" t="s">
        <v>14</v>
      </c>
      <c r="F138" s="4" t="s">
        <v>15</v>
      </c>
      <c r="G138" s="75">
        <v>37.5</v>
      </c>
      <c r="H138" s="75"/>
      <c r="I138" s="4"/>
      <c r="J138" s="4" t="s">
        <v>54</v>
      </c>
      <c r="K138" s="75">
        <v>9648.3799999999937</v>
      </c>
    </row>
    <row r="139" spans="1:11" x14ac:dyDescent="0.25">
      <c r="A139" s="74">
        <v>45982</v>
      </c>
      <c r="B139" s="4" t="s">
        <v>33</v>
      </c>
      <c r="C139" s="4" t="s">
        <v>12</v>
      </c>
      <c r="D139" s="4" t="s">
        <v>33</v>
      </c>
      <c r="E139" s="4" t="s">
        <v>14</v>
      </c>
      <c r="F139" s="4" t="s">
        <v>15</v>
      </c>
      <c r="G139" s="75">
        <v>50</v>
      </c>
      <c r="H139" s="75"/>
      <c r="I139" s="4"/>
      <c r="J139" s="4" t="s">
        <v>54</v>
      </c>
      <c r="K139" s="75">
        <v>9598.3799999999937</v>
      </c>
    </row>
    <row r="140" spans="1:11" x14ac:dyDescent="0.25">
      <c r="A140" s="74">
        <v>45983</v>
      </c>
      <c r="B140" s="4" t="s">
        <v>33</v>
      </c>
      <c r="C140" s="4" t="s">
        <v>12</v>
      </c>
      <c r="D140" s="4" t="s">
        <v>33</v>
      </c>
      <c r="E140" s="4" t="s">
        <v>14</v>
      </c>
      <c r="F140" s="4" t="s">
        <v>15</v>
      </c>
      <c r="G140" s="75">
        <v>120</v>
      </c>
      <c r="H140" s="75"/>
      <c r="I140" s="4"/>
      <c r="J140" s="4" t="s">
        <v>54</v>
      </c>
      <c r="K140" s="75">
        <v>9478.3799999999937</v>
      </c>
    </row>
    <row r="141" spans="1:11" x14ac:dyDescent="0.25">
      <c r="A141" s="74">
        <v>45983</v>
      </c>
      <c r="B141" s="4" t="s">
        <v>383</v>
      </c>
      <c r="C141" s="4" t="s">
        <v>20</v>
      </c>
      <c r="D141" s="4" t="s">
        <v>13</v>
      </c>
      <c r="E141" s="4"/>
      <c r="F141" s="4"/>
      <c r="G141" s="75">
        <v>11241</v>
      </c>
      <c r="H141" s="75"/>
      <c r="I141" s="4"/>
      <c r="J141" s="4" t="s">
        <v>54</v>
      </c>
      <c r="K141" s="75">
        <v>20719.37999999999</v>
      </c>
    </row>
    <row r="142" spans="1:11" x14ac:dyDescent="0.25">
      <c r="A142" s="74">
        <v>45983</v>
      </c>
      <c r="B142" s="4" t="s">
        <v>355</v>
      </c>
      <c r="C142" s="4" t="s">
        <v>20</v>
      </c>
      <c r="D142" s="4" t="s">
        <v>22</v>
      </c>
      <c r="E142" s="4" t="s">
        <v>17</v>
      </c>
      <c r="F142" s="4"/>
      <c r="G142" s="75">
        <v>154.9</v>
      </c>
      <c r="H142" s="75"/>
      <c r="I142" s="4"/>
      <c r="J142" s="4" t="s">
        <v>54</v>
      </c>
      <c r="K142" s="75">
        <v>20874.28</v>
      </c>
    </row>
    <row r="143" spans="1:11" x14ac:dyDescent="0.25">
      <c r="A143" s="74">
        <v>45983</v>
      </c>
      <c r="B143" s="4" t="s">
        <v>45</v>
      </c>
      <c r="C143" s="4" t="s">
        <v>12</v>
      </c>
      <c r="D143" s="4" t="s">
        <v>24</v>
      </c>
      <c r="E143" s="4" t="s">
        <v>17</v>
      </c>
      <c r="F143" s="4" t="s">
        <v>25</v>
      </c>
      <c r="G143" s="75">
        <v>18</v>
      </c>
      <c r="H143" s="75"/>
      <c r="I143" s="4"/>
      <c r="J143" s="4" t="s">
        <v>54</v>
      </c>
      <c r="K143" s="75">
        <v>20856.28</v>
      </c>
    </row>
    <row r="144" spans="1:11" x14ac:dyDescent="0.25">
      <c r="A144" s="74">
        <v>45984</v>
      </c>
      <c r="B144" s="4" t="s">
        <v>384</v>
      </c>
      <c r="C144" s="4" t="s">
        <v>12</v>
      </c>
      <c r="D144" s="4" t="s">
        <v>62</v>
      </c>
      <c r="E144" s="4" t="s">
        <v>14</v>
      </c>
      <c r="F144" s="4" t="s">
        <v>15</v>
      </c>
      <c r="G144" s="75">
        <v>30</v>
      </c>
      <c r="H144" s="75"/>
      <c r="I144" s="4"/>
      <c r="J144" s="4" t="s">
        <v>54</v>
      </c>
      <c r="K144" s="75">
        <v>20826.28</v>
      </c>
    </row>
    <row r="145" spans="1:11" x14ac:dyDescent="0.25">
      <c r="A145" s="74">
        <v>45984</v>
      </c>
      <c r="B145" s="4" t="s">
        <v>11</v>
      </c>
      <c r="C145" s="4" t="s">
        <v>12</v>
      </c>
      <c r="D145" s="4" t="s">
        <v>19</v>
      </c>
      <c r="E145" s="4" t="s">
        <v>14</v>
      </c>
      <c r="F145" s="4" t="s">
        <v>15</v>
      </c>
      <c r="G145" s="75">
        <v>141</v>
      </c>
      <c r="H145" s="75"/>
      <c r="I145" s="4"/>
      <c r="J145" s="4" t="s">
        <v>54</v>
      </c>
      <c r="K145" s="75">
        <v>20685.28</v>
      </c>
    </row>
    <row r="146" spans="1:11" x14ac:dyDescent="0.25">
      <c r="A146" s="74">
        <v>45984</v>
      </c>
      <c r="B146" s="4" t="s">
        <v>385</v>
      </c>
      <c r="C146" s="4" t="s">
        <v>12</v>
      </c>
      <c r="D146" s="4" t="s">
        <v>33</v>
      </c>
      <c r="E146" s="4" t="s">
        <v>14</v>
      </c>
      <c r="F146" s="4" t="s">
        <v>15</v>
      </c>
      <c r="G146" s="75">
        <v>265</v>
      </c>
      <c r="H146" s="75"/>
      <c r="I146" s="4"/>
      <c r="J146" s="4" t="s">
        <v>54</v>
      </c>
      <c r="K146" s="75">
        <v>20420.28</v>
      </c>
    </row>
    <row r="147" spans="1:11" x14ac:dyDescent="0.25">
      <c r="A147" s="74">
        <v>45984</v>
      </c>
      <c r="B147" s="4" t="s">
        <v>23</v>
      </c>
      <c r="C147" s="4" t="s">
        <v>12</v>
      </c>
      <c r="D147" s="4" t="s">
        <v>24</v>
      </c>
      <c r="E147" s="4" t="s">
        <v>17</v>
      </c>
      <c r="F147" s="4" t="s">
        <v>25</v>
      </c>
      <c r="G147" s="75">
        <v>36</v>
      </c>
      <c r="H147" s="75"/>
      <c r="I147" s="4" t="s">
        <v>386</v>
      </c>
      <c r="J147" s="4" t="s">
        <v>54</v>
      </c>
      <c r="K147" s="75">
        <v>20384.28</v>
      </c>
    </row>
    <row r="148" spans="1:11" x14ac:dyDescent="0.25">
      <c r="A148" s="74">
        <v>45984</v>
      </c>
      <c r="B148" s="4" t="s">
        <v>372</v>
      </c>
      <c r="C148" s="4" t="s">
        <v>20</v>
      </c>
      <c r="D148" s="4" t="s">
        <v>13</v>
      </c>
      <c r="E148" s="4"/>
      <c r="F148" s="4"/>
      <c r="G148" s="75">
        <v>5762.3</v>
      </c>
      <c r="H148" s="75"/>
      <c r="I148" s="4"/>
      <c r="J148" s="4" t="s">
        <v>54</v>
      </c>
      <c r="K148" s="75">
        <v>26146.579999999991</v>
      </c>
    </row>
    <row r="149" spans="1:11" x14ac:dyDescent="0.25">
      <c r="A149" s="74">
        <v>45984</v>
      </c>
      <c r="B149" s="4" t="s">
        <v>355</v>
      </c>
      <c r="C149" s="4" t="s">
        <v>20</v>
      </c>
      <c r="D149" s="4" t="s">
        <v>22</v>
      </c>
      <c r="E149" s="4" t="s">
        <v>17</v>
      </c>
      <c r="F149" s="4"/>
      <c r="G149" s="75">
        <v>218</v>
      </c>
      <c r="H149" s="75"/>
      <c r="I149" s="4"/>
      <c r="J149" s="4" t="s">
        <v>54</v>
      </c>
      <c r="K149" s="75">
        <v>26364.579999999991</v>
      </c>
    </row>
    <row r="150" spans="1:11" x14ac:dyDescent="0.25">
      <c r="A150" s="74">
        <v>45985</v>
      </c>
      <c r="B150" s="4" t="s">
        <v>387</v>
      </c>
      <c r="C150" s="4" t="s">
        <v>12</v>
      </c>
      <c r="D150" s="4" t="s">
        <v>58</v>
      </c>
      <c r="E150" s="4" t="s">
        <v>17</v>
      </c>
      <c r="F150" s="4"/>
      <c r="G150" s="75">
        <v>10115.16</v>
      </c>
      <c r="H150" s="75"/>
      <c r="I150" s="4"/>
      <c r="J150" s="4" t="s">
        <v>54</v>
      </c>
      <c r="K150" s="75">
        <v>16249.419999999989</v>
      </c>
    </row>
    <row r="151" spans="1:11" x14ac:dyDescent="0.25">
      <c r="A151" s="74">
        <v>45985</v>
      </c>
      <c r="B151" s="4" t="s">
        <v>388</v>
      </c>
      <c r="C151" s="4" t="s">
        <v>12</v>
      </c>
      <c r="D151" s="4" t="s">
        <v>60</v>
      </c>
      <c r="E151" s="4" t="s">
        <v>17</v>
      </c>
      <c r="F151" s="4" t="s">
        <v>25</v>
      </c>
      <c r="G151" s="75">
        <v>133.01</v>
      </c>
      <c r="H151" s="75"/>
      <c r="I151" s="4"/>
      <c r="J151" s="4" t="s">
        <v>54</v>
      </c>
      <c r="K151" s="75">
        <v>16116.409999999991</v>
      </c>
    </row>
    <row r="152" spans="1:11" x14ac:dyDescent="0.25">
      <c r="A152" s="74">
        <v>45985</v>
      </c>
      <c r="B152" s="4" t="s">
        <v>389</v>
      </c>
      <c r="C152" s="4" t="s">
        <v>12</v>
      </c>
      <c r="D152" s="4" t="s">
        <v>19</v>
      </c>
      <c r="E152" s="4" t="s">
        <v>17</v>
      </c>
      <c r="F152" s="4"/>
      <c r="G152" s="75">
        <v>1160.53</v>
      </c>
      <c r="H152" s="75"/>
      <c r="I152" s="4"/>
      <c r="J152" s="4" t="s">
        <v>54</v>
      </c>
      <c r="K152" s="75">
        <v>14955.87999999999</v>
      </c>
    </row>
    <row r="153" spans="1:11" x14ac:dyDescent="0.25">
      <c r="A153" s="74">
        <v>45985</v>
      </c>
      <c r="B153" s="4" t="s">
        <v>390</v>
      </c>
      <c r="C153" s="4" t="s">
        <v>12</v>
      </c>
      <c r="D153" s="4" t="s">
        <v>19</v>
      </c>
      <c r="E153" s="4" t="s">
        <v>17</v>
      </c>
      <c r="F153" s="4"/>
      <c r="G153" s="75">
        <v>379.99</v>
      </c>
      <c r="H153" s="75"/>
      <c r="I153" s="4"/>
      <c r="J153" s="4" t="s">
        <v>54</v>
      </c>
      <c r="K153" s="75">
        <v>14575.88999999999</v>
      </c>
    </row>
    <row r="154" spans="1:11" x14ac:dyDescent="0.25">
      <c r="A154" s="74">
        <v>45985</v>
      </c>
      <c r="B154" s="4" t="s">
        <v>330</v>
      </c>
      <c r="C154" s="4" t="s">
        <v>20</v>
      </c>
      <c r="D154" s="4" t="s">
        <v>13</v>
      </c>
      <c r="E154" s="4"/>
      <c r="F154" s="4"/>
      <c r="G154" s="75">
        <v>801.9</v>
      </c>
      <c r="H154" s="75"/>
      <c r="I154" s="4"/>
      <c r="J154" s="4" t="s">
        <v>54</v>
      </c>
      <c r="K154" s="75">
        <v>15377.78999999999</v>
      </c>
    </row>
    <row r="155" spans="1:11" x14ac:dyDescent="0.25">
      <c r="A155" s="74">
        <v>45986</v>
      </c>
      <c r="B155" s="4" t="s">
        <v>391</v>
      </c>
      <c r="C155" s="4" t="s">
        <v>12</v>
      </c>
      <c r="D155" s="4" t="s">
        <v>60</v>
      </c>
      <c r="E155" s="4" t="s">
        <v>17</v>
      </c>
      <c r="F155" s="4" t="s">
        <v>25</v>
      </c>
      <c r="G155" s="75">
        <v>155.34</v>
      </c>
      <c r="H155" s="75"/>
      <c r="I155" s="4"/>
      <c r="J155" s="4" t="s">
        <v>54</v>
      </c>
      <c r="K155" s="75">
        <v>15222.44999999999</v>
      </c>
    </row>
    <row r="156" spans="1:11" x14ac:dyDescent="0.25">
      <c r="A156" s="74">
        <v>45986</v>
      </c>
      <c r="B156" s="4" t="s">
        <v>392</v>
      </c>
      <c r="C156" s="4" t="s">
        <v>12</v>
      </c>
      <c r="D156" s="4" t="s">
        <v>62</v>
      </c>
      <c r="E156" s="4" t="s">
        <v>17</v>
      </c>
      <c r="F156" s="4"/>
      <c r="G156" s="75">
        <v>324.17</v>
      </c>
      <c r="H156" s="75"/>
      <c r="I156" s="4"/>
      <c r="J156" s="4" t="s">
        <v>54</v>
      </c>
      <c r="K156" s="75">
        <v>14898.27999999999</v>
      </c>
    </row>
    <row r="157" spans="1:11" x14ac:dyDescent="0.25">
      <c r="A157" s="74">
        <v>45986</v>
      </c>
      <c r="B157" s="4" t="s">
        <v>393</v>
      </c>
      <c r="C157" s="4" t="s">
        <v>12</v>
      </c>
      <c r="D157" s="4" t="s">
        <v>19</v>
      </c>
      <c r="E157" s="4" t="s">
        <v>17</v>
      </c>
      <c r="F157" s="4"/>
      <c r="G157" s="75">
        <v>892.8</v>
      </c>
      <c r="H157" s="75"/>
      <c r="I157" s="4"/>
      <c r="J157" s="4" t="s">
        <v>54</v>
      </c>
      <c r="K157" s="75">
        <v>14005.47999999999</v>
      </c>
    </row>
    <row r="158" spans="1:11" x14ac:dyDescent="0.25">
      <c r="A158" s="74">
        <v>45986</v>
      </c>
      <c r="B158" s="4" t="s">
        <v>394</v>
      </c>
      <c r="C158" s="4" t="s">
        <v>12</v>
      </c>
      <c r="D158" s="4" t="s">
        <v>19</v>
      </c>
      <c r="E158" s="4" t="s">
        <v>17</v>
      </c>
      <c r="F158" s="4"/>
      <c r="G158" s="75">
        <v>4442.34</v>
      </c>
      <c r="H158" s="75"/>
      <c r="I158" s="4"/>
      <c r="J158" s="4" t="s">
        <v>54</v>
      </c>
      <c r="K158" s="75">
        <v>9563.139999999994</v>
      </c>
    </row>
    <row r="159" spans="1:11" x14ac:dyDescent="0.25">
      <c r="A159" s="74">
        <v>45986</v>
      </c>
      <c r="B159" s="4" t="s">
        <v>330</v>
      </c>
      <c r="C159" s="4" t="s">
        <v>20</v>
      </c>
      <c r="D159" s="4" t="s">
        <v>13</v>
      </c>
      <c r="E159" s="4"/>
      <c r="F159" s="4"/>
      <c r="G159" s="75">
        <v>1887.4</v>
      </c>
      <c r="H159" s="75"/>
      <c r="I159" s="4"/>
      <c r="J159" s="4" t="s">
        <v>54</v>
      </c>
      <c r="K159" s="75">
        <v>11450.53999999999</v>
      </c>
    </row>
    <row r="160" spans="1:11" x14ac:dyDescent="0.25">
      <c r="A160" s="74">
        <v>45986</v>
      </c>
      <c r="B160" s="4" t="s">
        <v>44</v>
      </c>
      <c r="C160" s="4" t="s">
        <v>20</v>
      </c>
      <c r="D160" s="4" t="s">
        <v>22</v>
      </c>
      <c r="E160" s="4" t="s">
        <v>17</v>
      </c>
      <c r="F160" s="4"/>
      <c r="G160" s="75">
        <v>19.5</v>
      </c>
      <c r="H160" s="75"/>
      <c r="I160" s="4"/>
      <c r="J160" s="4" t="s">
        <v>54</v>
      </c>
      <c r="K160" s="75">
        <v>11470.03999999999</v>
      </c>
    </row>
    <row r="161" spans="1:11" x14ac:dyDescent="0.25">
      <c r="A161" s="74">
        <v>45987</v>
      </c>
      <c r="B161" s="4" t="s">
        <v>395</v>
      </c>
      <c r="C161" s="4" t="s">
        <v>12</v>
      </c>
      <c r="D161" s="4" t="s">
        <v>19</v>
      </c>
      <c r="E161" s="4" t="s">
        <v>17</v>
      </c>
      <c r="F161" s="4"/>
      <c r="G161" s="75">
        <v>278</v>
      </c>
      <c r="H161" s="75"/>
      <c r="I161" s="4"/>
      <c r="J161" s="4" t="s">
        <v>54</v>
      </c>
      <c r="K161" s="75">
        <v>11192.03999999999</v>
      </c>
    </row>
    <row r="162" spans="1:11" x14ac:dyDescent="0.25">
      <c r="A162" s="74">
        <v>45987</v>
      </c>
      <c r="B162" s="4" t="s">
        <v>11</v>
      </c>
      <c r="C162" s="4" t="s">
        <v>12</v>
      </c>
      <c r="D162" s="4" t="s">
        <v>19</v>
      </c>
      <c r="E162" s="4" t="s">
        <v>14</v>
      </c>
      <c r="F162" s="4" t="s">
        <v>15</v>
      </c>
      <c r="G162" s="75">
        <v>235</v>
      </c>
      <c r="H162" s="75"/>
      <c r="I162" s="4"/>
      <c r="J162" s="4" t="s">
        <v>54</v>
      </c>
      <c r="K162" s="75">
        <v>10957.03999999999</v>
      </c>
    </row>
    <row r="163" spans="1:11" x14ac:dyDescent="0.25">
      <c r="A163" s="74">
        <v>45987</v>
      </c>
      <c r="B163" s="4" t="s">
        <v>372</v>
      </c>
      <c r="C163" s="4" t="s">
        <v>20</v>
      </c>
      <c r="D163" s="4" t="s">
        <v>13</v>
      </c>
      <c r="E163" s="4"/>
      <c r="F163" s="4"/>
      <c r="G163" s="75">
        <v>2171</v>
      </c>
      <c r="H163" s="75"/>
      <c r="I163" s="4"/>
      <c r="J163" s="4" t="s">
        <v>54</v>
      </c>
      <c r="K163" s="75">
        <v>13128.03999999999</v>
      </c>
    </row>
    <row r="164" spans="1:11" x14ac:dyDescent="0.25">
      <c r="A164" s="74">
        <v>45987</v>
      </c>
      <c r="B164" s="4" t="s">
        <v>44</v>
      </c>
      <c r="C164" s="4" t="s">
        <v>20</v>
      </c>
      <c r="D164" s="4" t="s">
        <v>22</v>
      </c>
      <c r="E164" s="4" t="s">
        <v>17</v>
      </c>
      <c r="F164" s="4"/>
      <c r="G164" s="75">
        <v>83.3</v>
      </c>
      <c r="H164" s="75"/>
      <c r="I164" s="4"/>
      <c r="J164" s="4" t="s">
        <v>54</v>
      </c>
      <c r="K164" s="75">
        <v>13211.339999999989</v>
      </c>
    </row>
    <row r="165" spans="1:11" x14ac:dyDescent="0.25">
      <c r="A165" s="74">
        <v>45987</v>
      </c>
      <c r="B165" s="4" t="s">
        <v>45</v>
      </c>
      <c r="C165" s="4" t="s">
        <v>12</v>
      </c>
      <c r="D165" s="4" t="s">
        <v>24</v>
      </c>
      <c r="E165" s="4" t="s">
        <v>17</v>
      </c>
      <c r="F165" s="4" t="s">
        <v>25</v>
      </c>
      <c r="G165" s="75">
        <v>26</v>
      </c>
      <c r="H165" s="75"/>
      <c r="I165" s="4"/>
      <c r="J165" s="4" t="s">
        <v>54</v>
      </c>
      <c r="K165" s="75">
        <v>13185.339999999989</v>
      </c>
    </row>
    <row r="166" spans="1:11" x14ac:dyDescent="0.25">
      <c r="A166" s="74">
        <v>45988</v>
      </c>
      <c r="B166" s="4" t="s">
        <v>353</v>
      </c>
      <c r="C166" s="4" t="s">
        <v>12</v>
      </c>
      <c r="D166" s="4" t="s">
        <v>19</v>
      </c>
      <c r="E166" s="4" t="s">
        <v>17</v>
      </c>
      <c r="F166" s="4"/>
      <c r="G166" s="75">
        <v>935.43</v>
      </c>
      <c r="H166" s="75"/>
      <c r="I166" s="4"/>
      <c r="J166" s="4" t="s">
        <v>54</v>
      </c>
      <c r="K166" s="75">
        <v>12249.909999999991</v>
      </c>
    </row>
    <row r="167" spans="1:11" x14ac:dyDescent="0.25">
      <c r="A167" s="74">
        <v>45988</v>
      </c>
      <c r="B167" s="4" t="s">
        <v>11</v>
      </c>
      <c r="C167" s="4" t="s">
        <v>12</v>
      </c>
      <c r="D167" s="4" t="s">
        <v>19</v>
      </c>
      <c r="E167" s="4" t="s">
        <v>14</v>
      </c>
      <c r="F167" s="4" t="s">
        <v>15</v>
      </c>
      <c r="G167" s="75">
        <v>141</v>
      </c>
      <c r="H167" s="75"/>
      <c r="I167" s="4"/>
      <c r="J167" s="4" t="s">
        <v>54</v>
      </c>
      <c r="K167" s="75">
        <v>12108.909999999991</v>
      </c>
    </row>
    <row r="168" spans="1:11" x14ac:dyDescent="0.25">
      <c r="A168" s="74">
        <v>45988</v>
      </c>
      <c r="B168" s="4" t="s">
        <v>372</v>
      </c>
      <c r="C168" s="4" t="s">
        <v>20</v>
      </c>
      <c r="D168" s="4" t="s">
        <v>13</v>
      </c>
      <c r="E168" s="4"/>
      <c r="F168" s="4"/>
      <c r="G168" s="75">
        <v>1514</v>
      </c>
      <c r="H168" s="75"/>
      <c r="I168" s="4"/>
      <c r="J168" s="4" t="s">
        <v>54</v>
      </c>
      <c r="K168" s="75">
        <v>13622.909999999991</v>
      </c>
    </row>
    <row r="169" spans="1:11" x14ac:dyDescent="0.25">
      <c r="A169" s="74">
        <v>45988</v>
      </c>
      <c r="B169" s="4" t="s">
        <v>44</v>
      </c>
      <c r="C169" s="4" t="s">
        <v>20</v>
      </c>
      <c r="D169" s="4" t="s">
        <v>22</v>
      </c>
      <c r="E169" s="4" t="s">
        <v>17</v>
      </c>
      <c r="F169" s="4"/>
      <c r="G169" s="75">
        <v>48</v>
      </c>
      <c r="H169" s="75"/>
      <c r="I169" s="4"/>
      <c r="J169" s="4" t="s">
        <v>54</v>
      </c>
      <c r="K169" s="75">
        <v>13670.909999999991</v>
      </c>
    </row>
    <row r="170" spans="1:11" x14ac:dyDescent="0.25">
      <c r="A170" s="74">
        <v>45988</v>
      </c>
      <c r="B170" s="4" t="s">
        <v>23</v>
      </c>
      <c r="C170" s="4" t="s">
        <v>12</v>
      </c>
      <c r="D170" s="4" t="s">
        <v>24</v>
      </c>
      <c r="E170" s="4" t="s">
        <v>17</v>
      </c>
      <c r="F170" s="4" t="s">
        <v>25</v>
      </c>
      <c r="G170" s="75">
        <v>8</v>
      </c>
      <c r="H170" s="75"/>
      <c r="I170" s="4"/>
      <c r="J170" s="4" t="s">
        <v>54</v>
      </c>
      <c r="K170" s="75">
        <v>13662.909999999991</v>
      </c>
    </row>
    <row r="171" spans="1:11" x14ac:dyDescent="0.25">
      <c r="A171" s="74">
        <v>45989</v>
      </c>
      <c r="B171" s="4" t="s">
        <v>396</v>
      </c>
      <c r="C171" s="4" t="s">
        <v>12</v>
      </c>
      <c r="D171" s="4" t="s">
        <v>27</v>
      </c>
      <c r="E171" s="4" t="s">
        <v>17</v>
      </c>
      <c r="F171" s="4" t="s">
        <v>25</v>
      </c>
      <c r="G171" s="75">
        <v>3384.26</v>
      </c>
      <c r="H171" s="75"/>
      <c r="I171" s="4"/>
      <c r="J171" s="4" t="s">
        <v>54</v>
      </c>
      <c r="K171" s="75">
        <v>10278.649999999991</v>
      </c>
    </row>
    <row r="172" spans="1:11" x14ac:dyDescent="0.25">
      <c r="A172" s="74">
        <v>45989</v>
      </c>
      <c r="B172" s="4" t="s">
        <v>11</v>
      </c>
      <c r="C172" s="4" t="s">
        <v>12</v>
      </c>
      <c r="D172" s="4" t="s">
        <v>19</v>
      </c>
      <c r="E172" s="4" t="s">
        <v>14</v>
      </c>
      <c r="F172" s="4" t="s">
        <v>15</v>
      </c>
      <c r="G172" s="75">
        <v>376</v>
      </c>
      <c r="H172" s="75"/>
      <c r="I172" s="4"/>
      <c r="J172" s="4" t="s">
        <v>54</v>
      </c>
      <c r="K172" s="75">
        <v>9902.6499999999924</v>
      </c>
    </row>
    <row r="173" spans="1:11" x14ac:dyDescent="0.25">
      <c r="A173" s="74">
        <v>45989</v>
      </c>
      <c r="B173" s="4" t="s">
        <v>372</v>
      </c>
      <c r="C173" s="4" t="s">
        <v>20</v>
      </c>
      <c r="D173" s="4" t="s">
        <v>13</v>
      </c>
      <c r="E173" s="4"/>
      <c r="F173" s="4"/>
      <c r="G173" s="75">
        <v>4240</v>
      </c>
      <c r="H173" s="75"/>
      <c r="I173" s="4"/>
      <c r="J173" s="4" t="s">
        <v>54</v>
      </c>
      <c r="K173" s="75">
        <v>14142.649999999991</v>
      </c>
    </row>
    <row r="174" spans="1:11" x14ac:dyDescent="0.25">
      <c r="A174" s="74">
        <v>45989</v>
      </c>
      <c r="B174" s="4" t="s">
        <v>44</v>
      </c>
      <c r="C174" s="4" t="s">
        <v>20</v>
      </c>
      <c r="D174" s="4" t="s">
        <v>22</v>
      </c>
      <c r="E174" s="4" t="s">
        <v>17</v>
      </c>
      <c r="F174" s="4"/>
      <c r="G174" s="75">
        <v>419.1</v>
      </c>
      <c r="H174" s="75"/>
      <c r="I174" s="4"/>
      <c r="J174" s="4" t="s">
        <v>54</v>
      </c>
      <c r="K174" s="75">
        <v>14561.749999999991</v>
      </c>
    </row>
    <row r="175" spans="1:11" x14ac:dyDescent="0.25">
      <c r="A175" s="74">
        <v>45989</v>
      </c>
      <c r="B175" s="4" t="s">
        <v>23</v>
      </c>
      <c r="C175" s="4" t="s">
        <v>12</v>
      </c>
      <c r="D175" s="4" t="s">
        <v>24</v>
      </c>
      <c r="E175" s="4" t="s">
        <v>17</v>
      </c>
      <c r="F175" s="4" t="s">
        <v>25</v>
      </c>
      <c r="G175" s="75">
        <v>54</v>
      </c>
      <c r="H175" s="75"/>
      <c r="I175" s="4"/>
      <c r="J175" s="4" t="s">
        <v>54</v>
      </c>
      <c r="K175" s="75">
        <v>14507.749999999991</v>
      </c>
    </row>
    <row r="176" spans="1:11" x14ac:dyDescent="0.25">
      <c r="A176" s="74">
        <v>45990</v>
      </c>
      <c r="B176" s="4" t="s">
        <v>372</v>
      </c>
      <c r="C176" s="4" t="s">
        <v>20</v>
      </c>
      <c r="D176" s="4" t="s">
        <v>13</v>
      </c>
      <c r="E176" s="4"/>
      <c r="F176" s="4"/>
      <c r="G176" s="75">
        <v>7278.3</v>
      </c>
      <c r="H176" s="75"/>
      <c r="I176" s="4"/>
      <c r="J176" s="4" t="s">
        <v>54</v>
      </c>
      <c r="K176" s="75">
        <v>21786.049999999988</v>
      </c>
    </row>
    <row r="177" spans="1:11" x14ac:dyDescent="0.25">
      <c r="A177" s="74">
        <v>45990</v>
      </c>
      <c r="B177" s="4" t="s">
        <v>44</v>
      </c>
      <c r="C177" s="4" t="s">
        <v>20</v>
      </c>
      <c r="D177" s="4" t="s">
        <v>22</v>
      </c>
      <c r="E177" s="4" t="s">
        <v>17</v>
      </c>
      <c r="F177" s="4"/>
      <c r="G177" s="75">
        <v>531.91</v>
      </c>
      <c r="H177" s="75"/>
      <c r="I177" s="4"/>
      <c r="J177" s="4" t="s">
        <v>54</v>
      </c>
      <c r="K177" s="75">
        <v>22317.959999999988</v>
      </c>
    </row>
    <row r="178" spans="1:11" x14ac:dyDescent="0.25">
      <c r="A178" s="74">
        <v>45990</v>
      </c>
      <c r="B178" s="4" t="s">
        <v>23</v>
      </c>
      <c r="C178" s="4" t="s">
        <v>12</v>
      </c>
      <c r="D178" s="4" t="s">
        <v>24</v>
      </c>
      <c r="E178" s="4" t="s">
        <v>17</v>
      </c>
      <c r="F178" s="4" t="s">
        <v>25</v>
      </c>
      <c r="G178" s="75">
        <v>92</v>
      </c>
      <c r="H178" s="75"/>
      <c r="I178" s="4"/>
      <c r="J178" s="4" t="s">
        <v>54</v>
      </c>
      <c r="K178" s="75">
        <v>22225.959999999988</v>
      </c>
    </row>
    <row r="179" spans="1:11" x14ac:dyDescent="0.25">
      <c r="A179" s="74">
        <v>45991</v>
      </c>
      <c r="B179" s="4" t="s">
        <v>330</v>
      </c>
      <c r="C179" s="4" t="s">
        <v>20</v>
      </c>
      <c r="D179" s="4" t="s">
        <v>13</v>
      </c>
      <c r="E179" s="4"/>
      <c r="F179" s="4"/>
      <c r="G179" s="75">
        <v>8549.5</v>
      </c>
      <c r="H179" s="75"/>
      <c r="I179" s="4"/>
      <c r="J179" s="4" t="s">
        <v>54</v>
      </c>
      <c r="K179" s="75">
        <v>30775.459999999988</v>
      </c>
    </row>
    <row r="180" spans="1:11" x14ac:dyDescent="0.25">
      <c r="A180" s="74">
        <v>45991</v>
      </c>
      <c r="B180" s="4" t="s">
        <v>355</v>
      </c>
      <c r="C180" s="4" t="s">
        <v>20</v>
      </c>
      <c r="D180" s="4" t="s">
        <v>22</v>
      </c>
      <c r="E180" s="4" t="s">
        <v>17</v>
      </c>
      <c r="F180" s="4"/>
      <c r="G180" s="75">
        <v>405.38</v>
      </c>
      <c r="H180" s="75"/>
      <c r="I180" s="4"/>
      <c r="J180" s="4" t="s">
        <v>54</v>
      </c>
      <c r="K180" s="75">
        <v>31180.839999999989</v>
      </c>
    </row>
    <row r="181" spans="1:11" x14ac:dyDescent="0.25">
      <c r="A181" s="74">
        <v>45991</v>
      </c>
      <c r="B181" s="4" t="s">
        <v>23</v>
      </c>
      <c r="C181" s="4" t="s">
        <v>12</v>
      </c>
      <c r="D181" s="4" t="s">
        <v>24</v>
      </c>
      <c r="E181" s="4" t="s">
        <v>17</v>
      </c>
      <c r="F181" s="4" t="s">
        <v>25</v>
      </c>
      <c r="G181" s="75">
        <v>62</v>
      </c>
      <c r="H181" s="75"/>
      <c r="I181" s="4"/>
      <c r="J181" s="4" t="s">
        <v>54</v>
      </c>
      <c r="K181" s="75">
        <v>31118.839999999989</v>
      </c>
    </row>
    <row r="182" spans="1:11" x14ac:dyDescent="0.25">
      <c r="A182" s="74">
        <v>45991</v>
      </c>
      <c r="B182" s="4" t="s">
        <v>33</v>
      </c>
      <c r="C182" s="4" t="s">
        <v>12</v>
      </c>
      <c r="D182" s="4" t="s">
        <v>33</v>
      </c>
      <c r="E182" s="4" t="s">
        <v>14</v>
      </c>
      <c r="F182" s="4" t="s">
        <v>15</v>
      </c>
      <c r="G182" s="75">
        <v>150</v>
      </c>
      <c r="H182" s="75"/>
      <c r="I182" s="4"/>
      <c r="J182" s="4" t="s">
        <v>54</v>
      </c>
      <c r="K182" s="75">
        <v>30968.839999999989</v>
      </c>
    </row>
    <row r="183" spans="1:11" x14ac:dyDescent="0.25">
      <c r="A183" s="74"/>
      <c r="B183" s="4"/>
      <c r="C183" s="4"/>
      <c r="D183" s="4"/>
      <c r="E183" s="4"/>
      <c r="F183" s="4"/>
      <c r="G183" s="75"/>
      <c r="H183" s="75"/>
      <c r="I183" s="4"/>
      <c r="J183" s="4" t="s">
        <v>397</v>
      </c>
      <c r="K183" s="75">
        <v>30968.839999999989</v>
      </c>
    </row>
  </sheetData>
  <autoFilter ref="A1:K183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2:K195"/>
  <sheetViews>
    <sheetView workbookViewId="0"/>
  </sheetViews>
  <sheetFormatPr defaultColWidth="14.42578125" defaultRowHeight="15" customHeight="1" x14ac:dyDescent="0.25"/>
  <cols>
    <col min="2" max="2" width="27.85546875" customWidth="1"/>
    <col min="4" max="4" width="18.140625" customWidth="1"/>
    <col min="9" max="9" width="22.85546875" customWidth="1"/>
  </cols>
  <sheetData>
    <row r="2" spans="1:11" x14ac:dyDescent="0.25">
      <c r="A2" s="78">
        <v>45992</v>
      </c>
      <c r="B2" s="21" t="s">
        <v>398</v>
      </c>
      <c r="C2" s="21" t="s">
        <v>20</v>
      </c>
      <c r="D2" s="21" t="s">
        <v>399</v>
      </c>
      <c r="E2" s="21"/>
      <c r="F2" s="21"/>
      <c r="G2" s="24">
        <v>30968.84</v>
      </c>
      <c r="H2" s="24"/>
      <c r="I2" s="21" t="s">
        <v>399</v>
      </c>
      <c r="J2" s="21" t="s">
        <v>71</v>
      </c>
      <c r="K2" s="24">
        <v>30968.84</v>
      </c>
    </row>
    <row r="3" spans="1:11" x14ac:dyDescent="0.25">
      <c r="A3" s="78">
        <v>45992</v>
      </c>
      <c r="B3" s="21" t="s">
        <v>315</v>
      </c>
      <c r="C3" s="21" t="s">
        <v>12</v>
      </c>
      <c r="D3" s="21" t="s">
        <v>27</v>
      </c>
      <c r="E3" s="21" t="s">
        <v>17</v>
      </c>
      <c r="F3" s="21"/>
      <c r="G3" s="24">
        <v>2400</v>
      </c>
      <c r="H3" s="24"/>
      <c r="I3" s="21"/>
      <c r="J3" s="21" t="s">
        <v>71</v>
      </c>
      <c r="K3" s="24">
        <v>28568.84</v>
      </c>
    </row>
    <row r="4" spans="1:11" x14ac:dyDescent="0.25">
      <c r="A4" s="78">
        <v>45992</v>
      </c>
      <c r="B4" s="21" t="s">
        <v>400</v>
      </c>
      <c r="C4" s="21" t="s">
        <v>12</v>
      </c>
      <c r="D4" s="21" t="s">
        <v>39</v>
      </c>
      <c r="E4" s="21" t="s">
        <v>17</v>
      </c>
      <c r="F4" s="21"/>
      <c r="G4" s="24">
        <v>370</v>
      </c>
      <c r="H4" s="24"/>
      <c r="I4" s="21"/>
      <c r="J4" s="21" t="s">
        <v>71</v>
      </c>
      <c r="K4" s="24">
        <v>28198.84</v>
      </c>
    </row>
    <row r="5" spans="1:11" x14ac:dyDescent="0.25">
      <c r="A5" s="78">
        <v>45992</v>
      </c>
      <c r="B5" s="21" t="s">
        <v>401</v>
      </c>
      <c r="C5" s="21" t="s">
        <v>12</v>
      </c>
      <c r="D5" s="21" t="s">
        <v>19</v>
      </c>
      <c r="E5" s="21" t="s">
        <v>14</v>
      </c>
      <c r="F5" s="21" t="s">
        <v>15</v>
      </c>
      <c r="G5" s="24">
        <v>235</v>
      </c>
      <c r="H5" s="24"/>
      <c r="I5" s="21"/>
      <c r="J5" s="21" t="s">
        <v>71</v>
      </c>
      <c r="K5" s="24">
        <v>27963.84</v>
      </c>
    </row>
    <row r="6" spans="1:11" x14ac:dyDescent="0.25">
      <c r="A6" s="78">
        <v>45992</v>
      </c>
      <c r="B6" s="21" t="s">
        <v>402</v>
      </c>
      <c r="C6" s="21" t="s">
        <v>12</v>
      </c>
      <c r="D6" s="21" t="s">
        <v>62</v>
      </c>
      <c r="E6" s="21" t="s">
        <v>17</v>
      </c>
      <c r="F6" s="21" t="s">
        <v>25</v>
      </c>
      <c r="G6" s="24">
        <v>160</v>
      </c>
      <c r="H6" s="24"/>
      <c r="I6" s="21"/>
      <c r="J6" s="21" t="s">
        <v>71</v>
      </c>
      <c r="K6" s="24">
        <v>27803.84</v>
      </c>
    </row>
    <row r="7" spans="1:11" x14ac:dyDescent="0.25">
      <c r="A7" s="78">
        <v>45992</v>
      </c>
      <c r="B7" s="21" t="s">
        <v>366</v>
      </c>
      <c r="C7" s="21" t="s">
        <v>12</v>
      </c>
      <c r="D7" s="21" t="s">
        <v>19</v>
      </c>
      <c r="E7" s="21" t="s">
        <v>17</v>
      </c>
      <c r="F7" s="21" t="s">
        <v>25</v>
      </c>
      <c r="G7" s="24">
        <v>203.5</v>
      </c>
      <c r="H7" s="24"/>
      <c r="I7" s="21"/>
      <c r="J7" s="21" t="s">
        <v>71</v>
      </c>
      <c r="K7" s="24">
        <v>27600.34</v>
      </c>
    </row>
    <row r="8" spans="1:11" x14ac:dyDescent="0.25">
      <c r="A8" s="78">
        <v>45992</v>
      </c>
      <c r="B8" s="21" t="s">
        <v>403</v>
      </c>
      <c r="C8" s="21" t="s">
        <v>12</v>
      </c>
      <c r="D8" s="21" t="s">
        <v>68</v>
      </c>
      <c r="E8" s="21" t="s">
        <v>17</v>
      </c>
      <c r="F8" s="21" t="s">
        <v>25</v>
      </c>
      <c r="G8" s="24">
        <v>600</v>
      </c>
      <c r="H8" s="24"/>
      <c r="I8" s="21"/>
      <c r="J8" s="21" t="s">
        <v>71</v>
      </c>
      <c r="K8" s="24">
        <v>27000.34</v>
      </c>
    </row>
    <row r="9" spans="1:11" x14ac:dyDescent="0.25">
      <c r="A9" s="78">
        <v>45992</v>
      </c>
      <c r="B9" s="21" t="s">
        <v>404</v>
      </c>
      <c r="C9" s="21" t="s">
        <v>12</v>
      </c>
      <c r="D9" s="21" t="s">
        <v>16</v>
      </c>
      <c r="E9" s="21" t="s">
        <v>17</v>
      </c>
      <c r="F9" s="21"/>
      <c r="G9" s="24">
        <v>13185</v>
      </c>
      <c r="H9" s="24"/>
      <c r="I9" s="21"/>
      <c r="J9" s="21" t="s">
        <v>71</v>
      </c>
      <c r="K9" s="24">
        <v>13815.34</v>
      </c>
    </row>
    <row r="10" spans="1:11" x14ac:dyDescent="0.25">
      <c r="A10" s="78">
        <v>45992</v>
      </c>
      <c r="B10" s="21" t="s">
        <v>330</v>
      </c>
      <c r="C10" s="21" t="s">
        <v>20</v>
      </c>
      <c r="D10" s="21" t="s">
        <v>13</v>
      </c>
      <c r="E10" s="21"/>
      <c r="F10" s="21"/>
      <c r="G10" s="24">
        <v>1824</v>
      </c>
      <c r="H10" s="24"/>
      <c r="I10" s="21"/>
      <c r="J10" s="21" t="s">
        <v>71</v>
      </c>
      <c r="K10" s="24">
        <v>15639.34</v>
      </c>
    </row>
    <row r="11" spans="1:11" x14ac:dyDescent="0.25">
      <c r="A11" s="78">
        <v>45992</v>
      </c>
      <c r="B11" s="21" t="s">
        <v>45</v>
      </c>
      <c r="C11" s="21" t="s">
        <v>12</v>
      </c>
      <c r="D11" s="21" t="s">
        <v>24</v>
      </c>
      <c r="E11" s="21" t="s">
        <v>17</v>
      </c>
      <c r="F11" s="21" t="s">
        <v>25</v>
      </c>
      <c r="G11" s="24">
        <v>19</v>
      </c>
      <c r="H11" s="24"/>
      <c r="I11" s="21"/>
      <c r="J11" s="21" t="s">
        <v>71</v>
      </c>
      <c r="K11" s="24">
        <v>15620.34</v>
      </c>
    </row>
    <row r="12" spans="1:11" x14ac:dyDescent="0.25">
      <c r="A12" s="78">
        <v>45963</v>
      </c>
      <c r="B12" s="21" t="s">
        <v>405</v>
      </c>
      <c r="C12" s="21" t="s">
        <v>12</v>
      </c>
      <c r="D12" s="21" t="s">
        <v>19</v>
      </c>
      <c r="E12" s="21" t="s">
        <v>17</v>
      </c>
      <c r="F12" s="21"/>
      <c r="G12" s="24">
        <v>767.37</v>
      </c>
      <c r="H12" s="24"/>
      <c r="I12" s="21"/>
      <c r="J12" s="21" t="s">
        <v>54</v>
      </c>
      <c r="K12" s="24">
        <v>14852.97</v>
      </c>
    </row>
    <row r="13" spans="1:11" x14ac:dyDescent="0.25">
      <c r="A13" s="78">
        <v>45963</v>
      </c>
      <c r="B13" s="21" t="s">
        <v>406</v>
      </c>
      <c r="C13" s="21" t="s">
        <v>12</v>
      </c>
      <c r="D13" s="21" t="s">
        <v>19</v>
      </c>
      <c r="E13" s="21" t="s">
        <v>17</v>
      </c>
      <c r="F13" s="21"/>
      <c r="G13" s="24">
        <v>1341.23</v>
      </c>
      <c r="H13" s="24"/>
      <c r="I13" s="21"/>
      <c r="J13" s="21" t="s">
        <v>54</v>
      </c>
      <c r="K13" s="24">
        <v>13511.74</v>
      </c>
    </row>
    <row r="14" spans="1:11" x14ac:dyDescent="0.25">
      <c r="A14" s="78">
        <v>45963</v>
      </c>
      <c r="B14" s="21" t="s">
        <v>407</v>
      </c>
      <c r="C14" s="21" t="s">
        <v>12</v>
      </c>
      <c r="D14" s="21" t="s">
        <v>19</v>
      </c>
      <c r="E14" s="21" t="s">
        <v>17</v>
      </c>
      <c r="F14" s="21" t="s">
        <v>25</v>
      </c>
      <c r="G14" s="24">
        <v>698</v>
      </c>
      <c r="H14" s="24"/>
      <c r="I14" s="21"/>
      <c r="J14" s="21" t="s">
        <v>54</v>
      </c>
      <c r="K14" s="24">
        <v>12813.74</v>
      </c>
    </row>
    <row r="15" spans="1:11" x14ac:dyDescent="0.25">
      <c r="A15" s="78">
        <v>45963</v>
      </c>
      <c r="B15" s="21" t="s">
        <v>369</v>
      </c>
      <c r="C15" s="21" t="s">
        <v>12</v>
      </c>
      <c r="D15" s="21" t="s">
        <v>19</v>
      </c>
      <c r="E15" s="21" t="s">
        <v>17</v>
      </c>
      <c r="F15" s="21"/>
      <c r="G15" s="24">
        <v>399.94</v>
      </c>
      <c r="H15" s="24"/>
      <c r="I15" s="21"/>
      <c r="J15" s="21" t="s">
        <v>54</v>
      </c>
      <c r="K15" s="24">
        <v>12413.8</v>
      </c>
    </row>
    <row r="16" spans="1:11" x14ac:dyDescent="0.25">
      <c r="A16" s="78">
        <v>45963</v>
      </c>
      <c r="B16" s="21" t="s">
        <v>408</v>
      </c>
      <c r="C16" s="21" t="s">
        <v>12</v>
      </c>
      <c r="D16" s="21" t="s">
        <v>19</v>
      </c>
      <c r="E16" s="21" t="s">
        <v>17</v>
      </c>
      <c r="F16" s="21" t="s">
        <v>25</v>
      </c>
      <c r="G16" s="24">
        <v>100</v>
      </c>
      <c r="H16" s="24"/>
      <c r="I16" s="21"/>
      <c r="J16" s="21" t="s">
        <v>54</v>
      </c>
      <c r="K16" s="24">
        <v>12313.8</v>
      </c>
    </row>
    <row r="17" spans="1:11" x14ac:dyDescent="0.25">
      <c r="A17" s="78">
        <v>45963</v>
      </c>
      <c r="B17" s="21" t="s">
        <v>330</v>
      </c>
      <c r="C17" s="21" t="s">
        <v>20</v>
      </c>
      <c r="D17" s="21" t="s">
        <v>13</v>
      </c>
      <c r="E17" s="21"/>
      <c r="F17" s="21"/>
      <c r="G17" s="24">
        <v>952</v>
      </c>
      <c r="H17" s="24"/>
      <c r="I17" s="21"/>
      <c r="J17" s="21" t="s">
        <v>54</v>
      </c>
      <c r="K17" s="24">
        <v>13265.8</v>
      </c>
    </row>
    <row r="18" spans="1:11" x14ac:dyDescent="0.25">
      <c r="A18" s="78">
        <v>45963</v>
      </c>
      <c r="B18" s="21" t="s">
        <v>44</v>
      </c>
      <c r="C18" s="21" t="s">
        <v>20</v>
      </c>
      <c r="D18" s="21" t="s">
        <v>22</v>
      </c>
      <c r="E18" s="21" t="s">
        <v>17</v>
      </c>
      <c r="F18" s="21"/>
      <c r="G18" s="24">
        <v>200.39</v>
      </c>
      <c r="H18" s="24"/>
      <c r="I18" s="21"/>
      <c r="J18" s="21" t="s">
        <v>54</v>
      </c>
      <c r="K18" s="24">
        <v>13466.19</v>
      </c>
    </row>
    <row r="19" spans="1:11" x14ac:dyDescent="0.25">
      <c r="A19" s="78">
        <v>45993</v>
      </c>
      <c r="B19" s="21" t="s">
        <v>45</v>
      </c>
      <c r="C19" s="21" t="s">
        <v>12</v>
      </c>
      <c r="D19" s="21" t="s">
        <v>24</v>
      </c>
      <c r="E19" s="21" t="s">
        <v>17</v>
      </c>
      <c r="F19" s="21" t="s">
        <v>25</v>
      </c>
      <c r="G19" s="24">
        <v>25</v>
      </c>
      <c r="H19" s="24"/>
      <c r="I19" s="21"/>
      <c r="J19" s="21" t="s">
        <v>71</v>
      </c>
      <c r="K19" s="24">
        <v>13441.19</v>
      </c>
    </row>
    <row r="20" spans="1:11" x14ac:dyDescent="0.25">
      <c r="A20" s="78">
        <v>45994</v>
      </c>
      <c r="B20" s="21" t="s">
        <v>11</v>
      </c>
      <c r="C20" s="21" t="s">
        <v>12</v>
      </c>
      <c r="D20" s="21" t="s">
        <v>19</v>
      </c>
      <c r="E20" s="21" t="s">
        <v>14</v>
      </c>
      <c r="F20" s="21" t="s">
        <v>15</v>
      </c>
      <c r="G20" s="24">
        <v>0</v>
      </c>
      <c r="H20" s="24"/>
      <c r="I20" s="21"/>
      <c r="J20" s="21" t="s">
        <v>71</v>
      </c>
      <c r="K20" s="24">
        <v>13441.19</v>
      </c>
    </row>
    <row r="21" spans="1:11" x14ac:dyDescent="0.25">
      <c r="A21" s="78">
        <v>45994</v>
      </c>
      <c r="B21" s="21" t="s">
        <v>309</v>
      </c>
      <c r="C21" s="21" t="s">
        <v>12</v>
      </c>
      <c r="D21" s="21" t="s">
        <v>19</v>
      </c>
      <c r="E21" s="21" t="s">
        <v>17</v>
      </c>
      <c r="F21" s="21"/>
      <c r="G21" s="24">
        <v>772.82</v>
      </c>
      <c r="H21" s="24"/>
      <c r="I21" s="21"/>
      <c r="J21" s="21" t="s">
        <v>71</v>
      </c>
      <c r="K21" s="24">
        <v>12668.37</v>
      </c>
    </row>
    <row r="22" spans="1:11" x14ac:dyDescent="0.25">
      <c r="A22" s="78">
        <v>45994</v>
      </c>
      <c r="B22" s="21" t="s">
        <v>409</v>
      </c>
      <c r="C22" s="21" t="s">
        <v>12</v>
      </c>
      <c r="D22" s="21" t="s">
        <v>27</v>
      </c>
      <c r="E22" s="21" t="s">
        <v>17</v>
      </c>
      <c r="F22" s="21" t="s">
        <v>25</v>
      </c>
      <c r="G22" s="24">
        <v>3</v>
      </c>
      <c r="H22" s="24"/>
      <c r="I22" s="21"/>
      <c r="J22" s="21" t="s">
        <v>71</v>
      </c>
      <c r="K22" s="24">
        <v>12665.37</v>
      </c>
    </row>
    <row r="23" spans="1:11" x14ac:dyDescent="0.25">
      <c r="A23" s="78">
        <v>45994</v>
      </c>
      <c r="B23" s="21" t="s">
        <v>330</v>
      </c>
      <c r="C23" s="21" t="s">
        <v>20</v>
      </c>
      <c r="D23" s="21" t="s">
        <v>13</v>
      </c>
      <c r="E23" s="21"/>
      <c r="F23" s="21"/>
      <c r="G23" s="24">
        <v>1599</v>
      </c>
      <c r="H23" s="24"/>
      <c r="I23" s="21"/>
      <c r="J23" s="21" t="s">
        <v>71</v>
      </c>
      <c r="K23" s="24">
        <v>14264.37</v>
      </c>
    </row>
    <row r="24" spans="1:11" x14ac:dyDescent="0.25">
      <c r="A24" s="78">
        <v>45994</v>
      </c>
      <c r="B24" s="21" t="s">
        <v>44</v>
      </c>
      <c r="C24" s="21" t="s">
        <v>20</v>
      </c>
      <c r="D24" s="21" t="s">
        <v>22</v>
      </c>
      <c r="E24" s="21" t="s">
        <v>17</v>
      </c>
      <c r="F24" s="21"/>
      <c r="G24" s="24">
        <v>117</v>
      </c>
      <c r="H24" s="24"/>
      <c r="I24" s="21"/>
      <c r="J24" s="21" t="s">
        <v>71</v>
      </c>
      <c r="K24" s="24">
        <v>14381.37</v>
      </c>
    </row>
    <row r="25" spans="1:11" x14ac:dyDescent="0.25">
      <c r="A25" s="78">
        <v>45995</v>
      </c>
      <c r="B25" s="21" t="s">
        <v>351</v>
      </c>
      <c r="C25" s="21" t="s">
        <v>12</v>
      </c>
      <c r="D25" s="21" t="s">
        <v>19</v>
      </c>
      <c r="E25" s="21" t="s">
        <v>17</v>
      </c>
      <c r="F25" s="21"/>
      <c r="G25" s="24">
        <v>1360.97</v>
      </c>
      <c r="H25" s="24"/>
      <c r="I25" s="21"/>
      <c r="J25" s="21" t="s">
        <v>71</v>
      </c>
      <c r="K25" s="24">
        <v>13020.4</v>
      </c>
    </row>
    <row r="26" spans="1:11" x14ac:dyDescent="0.25">
      <c r="A26" s="79">
        <v>45995</v>
      </c>
      <c r="B26" s="21" t="s">
        <v>410</v>
      </c>
      <c r="C26" s="21" t="s">
        <v>12</v>
      </c>
      <c r="D26" s="21" t="s">
        <v>39</v>
      </c>
      <c r="E26" s="21" t="s">
        <v>17</v>
      </c>
      <c r="F26" s="21"/>
      <c r="G26" s="24">
        <v>100</v>
      </c>
      <c r="H26" s="24"/>
      <c r="I26" s="21"/>
      <c r="J26" s="21" t="s">
        <v>71</v>
      </c>
      <c r="K26" s="24">
        <v>12920.4</v>
      </c>
    </row>
    <row r="27" spans="1:11" x14ac:dyDescent="0.25">
      <c r="A27" s="78">
        <v>45995</v>
      </c>
      <c r="B27" s="21" t="s">
        <v>11</v>
      </c>
      <c r="C27" s="21" t="s">
        <v>12</v>
      </c>
      <c r="D27" s="21" t="s">
        <v>19</v>
      </c>
      <c r="E27" s="21" t="s">
        <v>14</v>
      </c>
      <c r="F27" s="21" t="s">
        <v>15</v>
      </c>
      <c r="G27" s="24">
        <v>282</v>
      </c>
      <c r="H27" s="24"/>
      <c r="I27" s="21"/>
      <c r="J27" s="21" t="s">
        <v>71</v>
      </c>
      <c r="K27" s="24">
        <v>12638.4</v>
      </c>
    </row>
    <row r="28" spans="1:11" x14ac:dyDescent="0.25">
      <c r="A28" s="78">
        <v>45995</v>
      </c>
      <c r="B28" s="21" t="s">
        <v>330</v>
      </c>
      <c r="C28" s="21" t="s">
        <v>20</v>
      </c>
      <c r="D28" s="21" t="s">
        <v>13</v>
      </c>
      <c r="E28" s="21"/>
      <c r="F28" s="21"/>
      <c r="G28" s="24">
        <v>1795</v>
      </c>
      <c r="H28" s="24"/>
      <c r="I28" s="21"/>
      <c r="J28" s="21" t="s">
        <v>71</v>
      </c>
      <c r="K28" s="24">
        <v>14433.4</v>
      </c>
    </row>
    <row r="29" spans="1:11" x14ac:dyDescent="0.25">
      <c r="A29" s="79">
        <v>45995</v>
      </c>
      <c r="B29" s="21" t="s">
        <v>411</v>
      </c>
      <c r="C29" s="21" t="s">
        <v>20</v>
      </c>
      <c r="D29" s="21" t="s">
        <v>22</v>
      </c>
      <c r="E29" s="21" t="s">
        <v>17</v>
      </c>
      <c r="F29" s="21"/>
      <c r="G29" s="24">
        <v>0</v>
      </c>
      <c r="H29" s="24"/>
      <c r="I29" s="21"/>
      <c r="J29" s="21" t="s">
        <v>71</v>
      </c>
      <c r="K29" s="24">
        <v>14433.4</v>
      </c>
    </row>
    <row r="30" spans="1:11" x14ac:dyDescent="0.25">
      <c r="A30" s="78">
        <v>45996</v>
      </c>
      <c r="B30" s="21" t="s">
        <v>412</v>
      </c>
      <c r="C30" s="21" t="s">
        <v>12</v>
      </c>
      <c r="D30" s="21" t="s">
        <v>27</v>
      </c>
      <c r="E30" s="21" t="s">
        <v>17</v>
      </c>
      <c r="F30" s="21"/>
      <c r="G30" s="24">
        <v>9432.18</v>
      </c>
      <c r="H30" s="24"/>
      <c r="I30" s="21"/>
      <c r="J30" s="21" t="s">
        <v>71</v>
      </c>
      <c r="K30" s="24">
        <v>5001.2199999999993</v>
      </c>
    </row>
    <row r="31" spans="1:11" x14ac:dyDescent="0.25">
      <c r="A31" s="78">
        <v>45996</v>
      </c>
      <c r="B31" s="21" t="s">
        <v>321</v>
      </c>
      <c r="C31" s="21" t="s">
        <v>12</v>
      </c>
      <c r="D31" s="21" t="s">
        <v>39</v>
      </c>
      <c r="E31" s="21" t="s">
        <v>17</v>
      </c>
      <c r="F31" s="21"/>
      <c r="G31" s="24">
        <v>9000</v>
      </c>
      <c r="H31" s="24"/>
      <c r="I31" s="21"/>
      <c r="J31" s="21" t="s">
        <v>71</v>
      </c>
      <c r="K31" s="24">
        <v>-3998.7800000000011</v>
      </c>
    </row>
    <row r="32" spans="1:11" x14ac:dyDescent="0.25">
      <c r="A32" s="78">
        <v>45996</v>
      </c>
      <c r="B32" s="21" t="s">
        <v>322</v>
      </c>
      <c r="C32" s="21" t="s">
        <v>12</v>
      </c>
      <c r="D32" s="21" t="s">
        <v>39</v>
      </c>
      <c r="E32" s="21" t="s">
        <v>17</v>
      </c>
      <c r="F32" s="21"/>
      <c r="G32" s="24">
        <v>90.85</v>
      </c>
      <c r="H32" s="24"/>
      <c r="I32" s="21"/>
      <c r="J32" s="21" t="s">
        <v>71</v>
      </c>
      <c r="K32" s="24">
        <v>-4089.630000000001</v>
      </c>
    </row>
    <row r="33" spans="1:11" x14ac:dyDescent="0.25">
      <c r="A33" s="79">
        <v>45996</v>
      </c>
      <c r="B33" s="21" t="s">
        <v>413</v>
      </c>
      <c r="C33" s="21" t="s">
        <v>12</v>
      </c>
      <c r="D33" s="21" t="s">
        <v>327</v>
      </c>
      <c r="E33" s="21" t="s">
        <v>17</v>
      </c>
      <c r="F33" s="21"/>
      <c r="G33" s="24">
        <v>3898.85</v>
      </c>
      <c r="H33" s="24"/>
      <c r="I33" s="21"/>
      <c r="J33" s="21" t="s">
        <v>71</v>
      </c>
      <c r="K33" s="24">
        <v>-7988.48</v>
      </c>
    </row>
    <row r="34" spans="1:11" x14ac:dyDescent="0.25">
      <c r="A34" s="79">
        <v>45996</v>
      </c>
      <c r="B34" s="21" t="s">
        <v>330</v>
      </c>
      <c r="C34" s="21" t="s">
        <v>20</v>
      </c>
      <c r="D34" s="21" t="s">
        <v>13</v>
      </c>
      <c r="E34" s="21"/>
      <c r="F34" s="21"/>
      <c r="G34" s="24">
        <v>3862</v>
      </c>
      <c r="H34" s="24"/>
      <c r="I34" s="21"/>
      <c r="J34" s="21" t="s">
        <v>71</v>
      </c>
      <c r="K34" s="24">
        <v>-4126.4799999999996</v>
      </c>
    </row>
    <row r="35" spans="1:11" x14ac:dyDescent="0.25">
      <c r="A35" s="78">
        <v>45996</v>
      </c>
      <c r="B35" s="21" t="s">
        <v>44</v>
      </c>
      <c r="C35" s="21" t="s">
        <v>20</v>
      </c>
      <c r="D35" s="21" t="s">
        <v>22</v>
      </c>
      <c r="E35" s="21" t="s">
        <v>17</v>
      </c>
      <c r="F35" s="21"/>
      <c r="G35" s="24">
        <v>185.12</v>
      </c>
      <c r="H35" s="24"/>
      <c r="I35" s="21"/>
      <c r="J35" s="21" t="s">
        <v>71</v>
      </c>
      <c r="K35" s="24">
        <v>-3941.360000000001</v>
      </c>
    </row>
    <row r="36" spans="1:11" x14ac:dyDescent="0.25">
      <c r="A36" s="78">
        <v>45996</v>
      </c>
      <c r="B36" s="21" t="s">
        <v>401</v>
      </c>
      <c r="C36" s="21" t="s">
        <v>12</v>
      </c>
      <c r="D36" s="21" t="s">
        <v>19</v>
      </c>
      <c r="E36" s="21" t="s">
        <v>14</v>
      </c>
      <c r="F36" s="21" t="s">
        <v>15</v>
      </c>
      <c r="G36" s="24">
        <v>376</v>
      </c>
      <c r="H36" s="24"/>
      <c r="I36" s="21"/>
      <c r="J36" s="21" t="s">
        <v>71</v>
      </c>
      <c r="K36" s="24">
        <v>-4317.3600000000006</v>
      </c>
    </row>
    <row r="37" spans="1:11" x14ac:dyDescent="0.25">
      <c r="A37" s="78">
        <v>45996</v>
      </c>
      <c r="B37" s="21" t="s">
        <v>341</v>
      </c>
      <c r="C37" s="21" t="s">
        <v>12</v>
      </c>
      <c r="D37" s="21" t="s">
        <v>27</v>
      </c>
      <c r="E37" s="21" t="s">
        <v>17</v>
      </c>
      <c r="F37" s="21" t="s">
        <v>25</v>
      </c>
      <c r="G37" s="24">
        <v>824</v>
      </c>
      <c r="H37" s="24"/>
      <c r="I37" s="21"/>
      <c r="J37" s="21" t="s">
        <v>71</v>
      </c>
      <c r="K37" s="24">
        <v>-5141.3600000000006</v>
      </c>
    </row>
    <row r="38" spans="1:11" x14ac:dyDescent="0.25">
      <c r="A38" s="78">
        <v>45996</v>
      </c>
      <c r="B38" s="21" t="s">
        <v>414</v>
      </c>
      <c r="C38" s="21" t="s">
        <v>12</v>
      </c>
      <c r="D38" s="21" t="s">
        <v>27</v>
      </c>
      <c r="E38" s="21" t="s">
        <v>14</v>
      </c>
      <c r="F38" s="21" t="s">
        <v>15</v>
      </c>
      <c r="G38" s="24">
        <v>150</v>
      </c>
      <c r="H38" s="24"/>
      <c r="I38" s="21"/>
      <c r="J38" s="21" t="s">
        <v>71</v>
      </c>
      <c r="K38" s="24">
        <v>-5291.3600000000006</v>
      </c>
    </row>
    <row r="39" spans="1:11" x14ac:dyDescent="0.25">
      <c r="A39" s="78">
        <v>45996</v>
      </c>
      <c r="B39" s="21" t="s">
        <v>45</v>
      </c>
      <c r="C39" s="21" t="s">
        <v>12</v>
      </c>
      <c r="D39" s="21" t="s">
        <v>24</v>
      </c>
      <c r="E39" s="21" t="s">
        <v>17</v>
      </c>
      <c r="F39" s="21" t="s">
        <v>25</v>
      </c>
      <c r="G39" s="24">
        <v>27</v>
      </c>
      <c r="H39" s="24"/>
      <c r="I39" s="21"/>
      <c r="J39" s="21" t="s">
        <v>71</v>
      </c>
      <c r="K39" s="24">
        <v>-5318.3600000000006</v>
      </c>
    </row>
    <row r="40" spans="1:11" x14ac:dyDescent="0.25">
      <c r="A40" s="78">
        <v>45997</v>
      </c>
      <c r="B40" s="21" t="s">
        <v>330</v>
      </c>
      <c r="C40" s="21" t="s">
        <v>20</v>
      </c>
      <c r="D40" s="21" t="s">
        <v>13</v>
      </c>
      <c r="E40" s="21"/>
      <c r="F40" s="21"/>
      <c r="G40" s="24">
        <v>8793</v>
      </c>
      <c r="H40" s="24"/>
      <c r="I40" s="21"/>
      <c r="J40" s="21" t="s">
        <v>71</v>
      </c>
      <c r="K40" s="24">
        <v>3474.639999999999</v>
      </c>
    </row>
    <row r="41" spans="1:11" x14ac:dyDescent="0.25">
      <c r="A41" s="78">
        <v>45997</v>
      </c>
      <c r="B41" s="21" t="s">
        <v>44</v>
      </c>
      <c r="C41" s="21" t="s">
        <v>20</v>
      </c>
      <c r="D41" s="21" t="s">
        <v>22</v>
      </c>
      <c r="E41" s="21" t="s">
        <v>17</v>
      </c>
      <c r="F41" s="21"/>
      <c r="G41" s="24">
        <v>400.7</v>
      </c>
      <c r="H41" s="24"/>
      <c r="I41" s="21"/>
      <c r="J41" s="21" t="s">
        <v>71</v>
      </c>
      <c r="K41" s="24">
        <v>3875.3399999999988</v>
      </c>
    </row>
    <row r="42" spans="1:11" x14ac:dyDescent="0.25">
      <c r="A42" s="78">
        <v>45997</v>
      </c>
      <c r="B42" s="21" t="s">
        <v>45</v>
      </c>
      <c r="C42" s="21" t="s">
        <v>12</v>
      </c>
      <c r="D42" s="21" t="s">
        <v>24</v>
      </c>
      <c r="E42" s="21" t="s">
        <v>17</v>
      </c>
      <c r="F42" s="21" t="s">
        <v>25</v>
      </c>
      <c r="G42" s="24">
        <v>54</v>
      </c>
      <c r="H42" s="24"/>
      <c r="I42" s="21"/>
      <c r="J42" s="21" t="s">
        <v>71</v>
      </c>
      <c r="K42" s="24">
        <v>3821.3399999999988</v>
      </c>
    </row>
    <row r="43" spans="1:11" x14ac:dyDescent="0.25">
      <c r="A43" s="78">
        <v>45997</v>
      </c>
      <c r="B43" s="21" t="s">
        <v>33</v>
      </c>
      <c r="C43" s="21" t="s">
        <v>12</v>
      </c>
      <c r="D43" s="21" t="s">
        <v>33</v>
      </c>
      <c r="E43" s="21" t="s">
        <v>14</v>
      </c>
      <c r="F43" s="21" t="s">
        <v>15</v>
      </c>
      <c r="G43" s="24">
        <v>120</v>
      </c>
      <c r="H43" s="24"/>
      <c r="I43" s="21"/>
      <c r="J43" s="21" t="s">
        <v>71</v>
      </c>
      <c r="K43" s="24">
        <v>3701.3399999999988</v>
      </c>
    </row>
    <row r="44" spans="1:11" x14ac:dyDescent="0.25">
      <c r="A44" s="78">
        <v>45998</v>
      </c>
      <c r="B44" s="21" t="s">
        <v>33</v>
      </c>
      <c r="C44" s="21" t="s">
        <v>12</v>
      </c>
      <c r="D44" s="21" t="s">
        <v>33</v>
      </c>
      <c r="E44" s="21" t="s">
        <v>14</v>
      </c>
      <c r="F44" s="21" t="s">
        <v>15</v>
      </c>
      <c r="G44" s="24">
        <v>120</v>
      </c>
      <c r="H44" s="24"/>
      <c r="I44" s="21"/>
      <c r="J44" s="21" t="s">
        <v>71</v>
      </c>
      <c r="K44" s="24">
        <v>3581.3399999999988</v>
      </c>
    </row>
    <row r="45" spans="1:11" x14ac:dyDescent="0.25">
      <c r="A45" s="78">
        <v>45998</v>
      </c>
      <c r="B45" s="21" t="s">
        <v>330</v>
      </c>
      <c r="C45" s="21" t="s">
        <v>20</v>
      </c>
      <c r="D45" s="21" t="s">
        <v>13</v>
      </c>
      <c r="E45" s="21"/>
      <c r="F45" s="21"/>
      <c r="G45" s="24">
        <v>8012</v>
      </c>
      <c r="H45" s="24"/>
      <c r="J45" s="21" t="s">
        <v>71</v>
      </c>
      <c r="K45" s="24">
        <v>11593.34</v>
      </c>
    </row>
    <row r="46" spans="1:11" x14ac:dyDescent="0.25">
      <c r="A46" s="78">
        <v>45998</v>
      </c>
      <c r="B46" s="21" t="s">
        <v>44</v>
      </c>
      <c r="C46" s="21" t="s">
        <v>20</v>
      </c>
      <c r="D46" s="21" t="s">
        <v>22</v>
      </c>
      <c r="E46" s="21" t="s">
        <v>17</v>
      </c>
      <c r="F46" s="21"/>
      <c r="G46" s="24">
        <v>516.91</v>
      </c>
      <c r="H46" s="24"/>
      <c r="J46" s="21" t="s">
        <v>71</v>
      </c>
      <c r="K46" s="24">
        <v>12110.25</v>
      </c>
    </row>
    <row r="47" spans="1:11" x14ac:dyDescent="0.25">
      <c r="A47" s="78">
        <v>45998</v>
      </c>
      <c r="B47" s="21" t="s">
        <v>45</v>
      </c>
      <c r="C47" s="21" t="s">
        <v>12</v>
      </c>
      <c r="D47" s="21" t="s">
        <v>24</v>
      </c>
      <c r="E47" s="21" t="s">
        <v>17</v>
      </c>
      <c r="F47" s="21" t="s">
        <v>25</v>
      </c>
      <c r="G47" s="24">
        <v>81</v>
      </c>
      <c r="H47" s="24"/>
      <c r="J47" s="21" t="s">
        <v>71</v>
      </c>
      <c r="K47" s="24">
        <v>12029.25</v>
      </c>
    </row>
    <row r="48" spans="1:11" x14ac:dyDescent="0.25">
      <c r="A48" s="79">
        <v>45998</v>
      </c>
      <c r="B48" s="21" t="s">
        <v>11</v>
      </c>
      <c r="C48" s="21" t="s">
        <v>12</v>
      </c>
      <c r="D48" s="21" t="s">
        <v>19</v>
      </c>
      <c r="E48" s="21" t="s">
        <v>14</v>
      </c>
      <c r="F48" s="21" t="s">
        <v>15</v>
      </c>
      <c r="G48" s="24">
        <v>235</v>
      </c>
      <c r="H48" s="24"/>
      <c r="J48" s="21" t="s">
        <v>71</v>
      </c>
      <c r="K48" s="24">
        <v>11794.25</v>
      </c>
    </row>
    <row r="49" spans="1:11" x14ac:dyDescent="0.25">
      <c r="A49" s="78">
        <v>45999</v>
      </c>
      <c r="B49" s="21" t="s">
        <v>415</v>
      </c>
      <c r="C49" s="21" t="s">
        <v>12</v>
      </c>
      <c r="D49" s="21" t="s">
        <v>19</v>
      </c>
      <c r="E49" s="21" t="s">
        <v>17</v>
      </c>
      <c r="F49" s="21" t="s">
        <v>25</v>
      </c>
      <c r="G49" s="24">
        <v>260</v>
      </c>
      <c r="H49" s="24"/>
      <c r="J49" s="21" t="s">
        <v>71</v>
      </c>
      <c r="K49" s="24">
        <v>11534.25</v>
      </c>
    </row>
    <row r="50" spans="1:11" x14ac:dyDescent="0.25">
      <c r="A50" s="78">
        <v>45999</v>
      </c>
      <c r="B50" s="21" t="s">
        <v>416</v>
      </c>
      <c r="C50" s="21" t="s">
        <v>12</v>
      </c>
      <c r="D50" s="21" t="s">
        <v>68</v>
      </c>
      <c r="E50" s="21" t="s">
        <v>17</v>
      </c>
      <c r="F50" s="21"/>
      <c r="G50" s="24">
        <v>1000</v>
      </c>
      <c r="H50" s="24"/>
      <c r="J50" s="21" t="s">
        <v>71</v>
      </c>
      <c r="K50" s="24">
        <v>10534.25</v>
      </c>
    </row>
    <row r="51" spans="1:11" x14ac:dyDescent="0.25">
      <c r="A51" s="78">
        <v>45999</v>
      </c>
      <c r="B51" s="21" t="s">
        <v>417</v>
      </c>
      <c r="C51" s="21" t="s">
        <v>12</v>
      </c>
      <c r="D51" s="21" t="s">
        <v>39</v>
      </c>
      <c r="E51" s="21" t="s">
        <v>14</v>
      </c>
      <c r="F51" s="21" t="s">
        <v>15</v>
      </c>
      <c r="G51" s="24">
        <v>2473.41</v>
      </c>
      <c r="H51" s="24"/>
      <c r="J51" s="21" t="s">
        <v>71</v>
      </c>
      <c r="K51" s="24">
        <v>8060.84</v>
      </c>
    </row>
    <row r="52" spans="1:11" x14ac:dyDescent="0.25">
      <c r="A52" s="78">
        <v>45999</v>
      </c>
      <c r="B52" s="21" t="s">
        <v>348</v>
      </c>
      <c r="C52" s="21" t="s">
        <v>12</v>
      </c>
      <c r="D52" s="21" t="s">
        <v>19</v>
      </c>
      <c r="E52" s="21" t="s">
        <v>17</v>
      </c>
      <c r="F52" s="21"/>
      <c r="G52" s="24">
        <v>3208.12</v>
      </c>
      <c r="H52" s="24"/>
      <c r="J52" s="21" t="s">
        <v>71</v>
      </c>
      <c r="K52" s="24">
        <v>4852.72</v>
      </c>
    </row>
    <row r="53" spans="1:11" x14ac:dyDescent="0.25">
      <c r="A53" s="78">
        <v>45999</v>
      </c>
      <c r="B53" s="21" t="s">
        <v>418</v>
      </c>
      <c r="C53" s="21" t="s">
        <v>12</v>
      </c>
      <c r="D53" s="21" t="s">
        <v>19</v>
      </c>
      <c r="E53" s="21" t="s">
        <v>17</v>
      </c>
      <c r="F53" s="21"/>
      <c r="G53" s="24">
        <v>1028.1400000000001</v>
      </c>
      <c r="H53" s="24"/>
      <c r="J53" s="21" t="s">
        <v>71</v>
      </c>
      <c r="K53" s="24">
        <v>3824.58</v>
      </c>
    </row>
    <row r="54" spans="1:11" x14ac:dyDescent="0.25">
      <c r="A54" s="78">
        <v>45999</v>
      </c>
      <c r="B54" s="21" t="s">
        <v>419</v>
      </c>
      <c r="C54" s="21" t="s">
        <v>12</v>
      </c>
      <c r="D54" s="21" t="s">
        <v>19</v>
      </c>
      <c r="E54" s="21" t="s">
        <v>17</v>
      </c>
      <c r="F54" s="21"/>
      <c r="G54" s="24">
        <v>1020.55</v>
      </c>
      <c r="H54" s="24"/>
      <c r="J54" s="21" t="s">
        <v>71</v>
      </c>
      <c r="K54" s="24">
        <v>2804.03</v>
      </c>
    </row>
    <row r="55" spans="1:11" x14ac:dyDescent="0.25">
      <c r="A55" s="78">
        <v>45999</v>
      </c>
      <c r="B55" s="21" t="s">
        <v>420</v>
      </c>
      <c r="C55" s="21" t="s">
        <v>12</v>
      </c>
      <c r="D55" s="21" t="s">
        <v>27</v>
      </c>
      <c r="E55" s="21" t="s">
        <v>17</v>
      </c>
      <c r="F55" s="21" t="s">
        <v>25</v>
      </c>
      <c r="G55" s="24">
        <v>3000</v>
      </c>
      <c r="H55" s="24"/>
      <c r="J55" s="21" t="s">
        <v>71</v>
      </c>
      <c r="K55" s="24">
        <v>-195.97000000000031</v>
      </c>
    </row>
    <row r="56" spans="1:11" x14ac:dyDescent="0.25">
      <c r="A56" s="78">
        <v>45999</v>
      </c>
      <c r="B56" s="21" t="s">
        <v>330</v>
      </c>
      <c r="C56" s="21" t="s">
        <v>20</v>
      </c>
      <c r="D56" s="21" t="s">
        <v>13</v>
      </c>
      <c r="E56" s="21"/>
      <c r="F56" s="21"/>
      <c r="G56" s="24">
        <v>3078</v>
      </c>
      <c r="H56" s="24"/>
      <c r="J56" s="21" t="s">
        <v>71</v>
      </c>
      <c r="K56" s="24">
        <v>2882.03</v>
      </c>
    </row>
    <row r="57" spans="1:11" x14ac:dyDescent="0.25">
      <c r="A57" s="78">
        <v>46000</v>
      </c>
      <c r="B57" s="21" t="s">
        <v>330</v>
      </c>
      <c r="C57" s="21" t="s">
        <v>20</v>
      </c>
      <c r="D57" s="21" t="s">
        <v>13</v>
      </c>
      <c r="E57" s="21"/>
      <c r="F57" s="21"/>
      <c r="G57" s="24">
        <v>758</v>
      </c>
      <c r="H57" s="24"/>
      <c r="J57" s="21" t="s">
        <v>71</v>
      </c>
      <c r="K57" s="24">
        <v>3640.03</v>
      </c>
    </row>
    <row r="58" spans="1:11" x14ac:dyDescent="0.25">
      <c r="A58" s="78">
        <v>45993</v>
      </c>
      <c r="B58" s="21" t="s">
        <v>355</v>
      </c>
      <c r="C58" s="21" t="s">
        <v>20</v>
      </c>
      <c r="D58" s="21" t="s">
        <v>22</v>
      </c>
      <c r="E58" s="21" t="s">
        <v>17</v>
      </c>
      <c r="F58" s="21"/>
      <c r="G58" s="24">
        <v>24.3</v>
      </c>
      <c r="H58" s="24"/>
      <c r="J58" s="21" t="s">
        <v>71</v>
      </c>
      <c r="K58" s="24">
        <v>3664.33</v>
      </c>
    </row>
    <row r="59" spans="1:11" x14ac:dyDescent="0.25">
      <c r="A59" s="78">
        <v>46000</v>
      </c>
      <c r="B59" s="21" t="s">
        <v>45</v>
      </c>
      <c r="C59" s="21" t="s">
        <v>12</v>
      </c>
      <c r="D59" s="21" t="s">
        <v>24</v>
      </c>
      <c r="E59" s="21" t="s">
        <v>17</v>
      </c>
      <c r="F59" s="21" t="s">
        <v>25</v>
      </c>
      <c r="G59" s="24">
        <v>9</v>
      </c>
      <c r="H59" s="24"/>
      <c r="J59" s="21" t="s">
        <v>71</v>
      </c>
      <c r="K59" s="24">
        <v>3655.33</v>
      </c>
    </row>
    <row r="60" spans="1:11" x14ac:dyDescent="0.25">
      <c r="A60" s="78">
        <v>46001</v>
      </c>
      <c r="B60" s="21" t="s">
        <v>330</v>
      </c>
      <c r="C60" s="21" t="s">
        <v>20</v>
      </c>
      <c r="D60" s="21" t="s">
        <v>13</v>
      </c>
      <c r="E60" s="21"/>
      <c r="F60" s="21"/>
      <c r="G60" s="24">
        <v>1246</v>
      </c>
      <c r="H60" s="24"/>
      <c r="J60" s="21" t="s">
        <v>71</v>
      </c>
      <c r="K60" s="24">
        <v>4901.33</v>
      </c>
    </row>
    <row r="61" spans="1:11" x14ac:dyDescent="0.25">
      <c r="A61" s="78">
        <v>46001</v>
      </c>
      <c r="B61" s="21" t="s">
        <v>355</v>
      </c>
      <c r="C61" s="21" t="s">
        <v>20</v>
      </c>
      <c r="D61" s="21" t="s">
        <v>22</v>
      </c>
      <c r="E61" s="21" t="s">
        <v>17</v>
      </c>
      <c r="F61" s="21"/>
      <c r="G61" s="24">
        <v>34.299999999999997</v>
      </c>
      <c r="H61" s="24"/>
      <c r="J61" s="21" t="s">
        <v>71</v>
      </c>
      <c r="K61" s="24">
        <v>4935.63</v>
      </c>
    </row>
    <row r="62" spans="1:11" x14ac:dyDescent="0.25">
      <c r="A62" s="78">
        <v>46002</v>
      </c>
      <c r="B62" s="21" t="s">
        <v>421</v>
      </c>
      <c r="C62" s="21" t="s">
        <v>12</v>
      </c>
      <c r="D62" s="21" t="s">
        <v>19</v>
      </c>
      <c r="E62" s="21" t="s">
        <v>17</v>
      </c>
      <c r="F62" s="21" t="s">
        <v>25</v>
      </c>
      <c r="G62" s="24">
        <v>378.5</v>
      </c>
      <c r="H62" s="24"/>
      <c r="J62" s="21" t="s">
        <v>71</v>
      </c>
      <c r="K62" s="24">
        <v>4557.13</v>
      </c>
    </row>
    <row r="63" spans="1:11" x14ac:dyDescent="0.25">
      <c r="A63" s="78">
        <v>46002</v>
      </c>
      <c r="B63" s="21" t="s">
        <v>422</v>
      </c>
      <c r="C63" s="21" t="s">
        <v>12</v>
      </c>
      <c r="D63" s="21" t="s">
        <v>66</v>
      </c>
      <c r="E63" s="21" t="s">
        <v>17</v>
      </c>
      <c r="F63" s="21" t="s">
        <v>25</v>
      </c>
      <c r="G63" s="24">
        <v>8013.92</v>
      </c>
      <c r="H63" s="24"/>
      <c r="J63" s="21" t="s">
        <v>71</v>
      </c>
      <c r="K63" s="24">
        <v>-3456.79</v>
      </c>
    </row>
    <row r="64" spans="1:11" x14ac:dyDescent="0.25">
      <c r="A64" s="78">
        <v>37601</v>
      </c>
      <c r="B64" s="21" t="s">
        <v>423</v>
      </c>
      <c r="C64" s="21" t="s">
        <v>12</v>
      </c>
      <c r="D64" s="21" t="s">
        <v>68</v>
      </c>
      <c r="E64" s="21" t="s">
        <v>17</v>
      </c>
      <c r="F64" s="21" t="s">
        <v>25</v>
      </c>
      <c r="G64" s="24">
        <v>450</v>
      </c>
      <c r="H64" s="24"/>
      <c r="J64" s="21" t="s">
        <v>424</v>
      </c>
      <c r="K64" s="24">
        <v>-3906.79</v>
      </c>
    </row>
    <row r="65" spans="1:11" x14ac:dyDescent="0.25">
      <c r="A65" s="78">
        <v>46002</v>
      </c>
      <c r="B65" s="21" t="s">
        <v>425</v>
      </c>
      <c r="C65" s="21" t="s">
        <v>12</v>
      </c>
      <c r="D65" s="21" t="s">
        <v>19</v>
      </c>
      <c r="E65" s="21" t="s">
        <v>17</v>
      </c>
      <c r="F65" s="21"/>
      <c r="G65" s="24">
        <v>80</v>
      </c>
      <c r="H65" s="24"/>
      <c r="J65" s="21" t="s">
        <v>71</v>
      </c>
      <c r="K65" s="24">
        <v>-3986.79</v>
      </c>
    </row>
    <row r="66" spans="1:11" x14ac:dyDescent="0.25">
      <c r="A66" s="78">
        <v>46002</v>
      </c>
      <c r="B66" s="21" t="s">
        <v>426</v>
      </c>
      <c r="C66" s="21" t="s">
        <v>12</v>
      </c>
      <c r="D66" s="21" t="s">
        <v>19</v>
      </c>
      <c r="E66" s="21" t="s">
        <v>14</v>
      </c>
      <c r="F66" s="21" t="s">
        <v>15</v>
      </c>
      <c r="G66" s="24">
        <v>200</v>
      </c>
      <c r="H66" s="24"/>
      <c r="J66" s="21" t="s">
        <v>71</v>
      </c>
      <c r="K66" s="24">
        <v>-4186.79</v>
      </c>
    </row>
    <row r="67" spans="1:11" x14ac:dyDescent="0.25">
      <c r="A67" s="78">
        <v>46002</v>
      </c>
      <c r="B67" s="21" t="s">
        <v>11</v>
      </c>
      <c r="C67" s="21" t="s">
        <v>12</v>
      </c>
      <c r="D67" s="21" t="s">
        <v>19</v>
      </c>
      <c r="E67" s="21" t="s">
        <v>14</v>
      </c>
      <c r="F67" s="21" t="s">
        <v>15</v>
      </c>
      <c r="G67" s="24">
        <v>150</v>
      </c>
      <c r="H67" s="24"/>
      <c r="J67" s="21" t="s">
        <v>71</v>
      </c>
      <c r="K67" s="24">
        <v>-4336.79</v>
      </c>
    </row>
    <row r="68" spans="1:11" x14ac:dyDescent="0.25">
      <c r="A68" s="78">
        <v>46002</v>
      </c>
      <c r="B68" s="21" t="s">
        <v>330</v>
      </c>
      <c r="C68" s="21" t="s">
        <v>20</v>
      </c>
      <c r="D68" s="21" t="s">
        <v>13</v>
      </c>
      <c r="E68" s="21"/>
      <c r="F68" s="21"/>
      <c r="G68" s="24">
        <v>2280</v>
      </c>
      <c r="H68" s="24"/>
      <c r="J68" s="21" t="s">
        <v>71</v>
      </c>
      <c r="K68" s="24">
        <v>-2056.79</v>
      </c>
    </row>
    <row r="69" spans="1:11" x14ac:dyDescent="0.25">
      <c r="A69" s="78">
        <v>46002</v>
      </c>
      <c r="B69" s="21" t="s">
        <v>355</v>
      </c>
      <c r="C69" s="21" t="s">
        <v>20</v>
      </c>
      <c r="D69" s="21" t="s">
        <v>22</v>
      </c>
      <c r="E69" s="21" t="s">
        <v>17</v>
      </c>
      <c r="F69" s="21"/>
      <c r="G69" s="24">
        <v>49</v>
      </c>
      <c r="H69" s="24"/>
      <c r="J69" s="21" t="s">
        <v>71</v>
      </c>
      <c r="K69" s="24">
        <v>-2007.79</v>
      </c>
    </row>
    <row r="70" spans="1:11" x14ac:dyDescent="0.25">
      <c r="A70" s="78">
        <v>46002</v>
      </c>
      <c r="B70" s="21" t="s">
        <v>45</v>
      </c>
      <c r="C70" s="21" t="s">
        <v>12</v>
      </c>
      <c r="D70" s="21" t="s">
        <v>24</v>
      </c>
      <c r="E70" s="21" t="s">
        <v>17</v>
      </c>
      <c r="F70" s="21" t="s">
        <v>25</v>
      </c>
      <c r="G70" s="24">
        <v>26</v>
      </c>
      <c r="H70" s="24"/>
      <c r="J70" s="21" t="s">
        <v>71</v>
      </c>
      <c r="K70" s="24">
        <v>-2033.79</v>
      </c>
    </row>
    <row r="71" spans="1:11" x14ac:dyDescent="0.25">
      <c r="A71" s="78">
        <v>46003</v>
      </c>
      <c r="B71" s="21" t="s">
        <v>372</v>
      </c>
      <c r="C71" s="21" t="s">
        <v>20</v>
      </c>
      <c r="D71" s="21" t="s">
        <v>13</v>
      </c>
      <c r="E71" s="21"/>
      <c r="F71" s="21"/>
      <c r="G71" s="24">
        <v>4609</v>
      </c>
      <c r="H71" s="24"/>
      <c r="J71" s="21" t="s">
        <v>71</v>
      </c>
      <c r="K71" s="24">
        <v>2575.21</v>
      </c>
    </row>
    <row r="72" spans="1:11" x14ac:dyDescent="0.25">
      <c r="A72" s="78">
        <v>46003</v>
      </c>
      <c r="B72" s="21" t="s">
        <v>427</v>
      </c>
      <c r="C72" s="21" t="s">
        <v>20</v>
      </c>
      <c r="D72" s="21" t="s">
        <v>22</v>
      </c>
      <c r="E72" s="21" t="s">
        <v>17</v>
      </c>
      <c r="F72" s="21"/>
      <c r="G72" s="24">
        <v>137.57</v>
      </c>
      <c r="H72" s="24"/>
      <c r="J72" s="21" t="s">
        <v>71</v>
      </c>
      <c r="K72" s="24">
        <v>2712.78</v>
      </c>
    </row>
    <row r="73" spans="1:11" x14ac:dyDescent="0.25">
      <c r="A73" s="78">
        <v>46003</v>
      </c>
      <c r="B73" s="21" t="s">
        <v>23</v>
      </c>
      <c r="C73" s="21" t="s">
        <v>12</v>
      </c>
      <c r="D73" s="21" t="s">
        <v>24</v>
      </c>
      <c r="E73" s="21" t="s">
        <v>17</v>
      </c>
      <c r="F73" s="21" t="s">
        <v>25</v>
      </c>
      <c r="G73" s="24">
        <v>36</v>
      </c>
      <c r="H73" s="24"/>
      <c r="J73" s="21" t="s">
        <v>71</v>
      </c>
      <c r="K73" s="24">
        <v>2676.78</v>
      </c>
    </row>
    <row r="74" spans="1:11" x14ac:dyDescent="0.25">
      <c r="A74" s="78">
        <v>46003</v>
      </c>
      <c r="B74" s="21" t="s">
        <v>11</v>
      </c>
      <c r="C74" s="21" t="s">
        <v>12</v>
      </c>
      <c r="D74" s="21" t="s">
        <v>19</v>
      </c>
      <c r="E74" s="21" t="s">
        <v>14</v>
      </c>
      <c r="F74" s="21" t="s">
        <v>15</v>
      </c>
      <c r="G74" s="24">
        <v>508</v>
      </c>
      <c r="H74" s="24"/>
      <c r="J74" s="21" t="s">
        <v>71</v>
      </c>
      <c r="K74" s="24">
        <v>2168.7800000000002</v>
      </c>
    </row>
    <row r="75" spans="1:11" x14ac:dyDescent="0.25">
      <c r="A75" s="78">
        <v>46004</v>
      </c>
      <c r="B75" s="21" t="s">
        <v>372</v>
      </c>
      <c r="C75" s="21" t="s">
        <v>20</v>
      </c>
      <c r="D75" s="21" t="s">
        <v>13</v>
      </c>
      <c r="E75" s="21"/>
      <c r="F75" s="21"/>
      <c r="G75" s="24">
        <v>6263.5</v>
      </c>
      <c r="H75" s="24"/>
      <c r="J75" s="21" t="s">
        <v>71</v>
      </c>
      <c r="K75" s="24">
        <v>8432.2800000000007</v>
      </c>
    </row>
    <row r="76" spans="1:11" x14ac:dyDescent="0.25">
      <c r="A76" s="78">
        <v>46004</v>
      </c>
      <c r="B76" s="21" t="s">
        <v>355</v>
      </c>
      <c r="C76" s="21" t="s">
        <v>20</v>
      </c>
      <c r="D76" s="21" t="s">
        <v>22</v>
      </c>
      <c r="E76" s="21" t="s">
        <v>17</v>
      </c>
      <c r="F76" s="21"/>
      <c r="G76" s="24">
        <v>309.3</v>
      </c>
      <c r="H76" s="24"/>
      <c r="J76" s="21" t="s">
        <v>71</v>
      </c>
      <c r="K76" s="24">
        <v>8741.58</v>
      </c>
    </row>
    <row r="77" spans="1:11" x14ac:dyDescent="0.25">
      <c r="A77" s="78">
        <v>46004</v>
      </c>
      <c r="B77" s="21" t="s">
        <v>23</v>
      </c>
      <c r="C77" s="21" t="s">
        <v>12</v>
      </c>
      <c r="D77" s="21" t="s">
        <v>24</v>
      </c>
      <c r="E77" s="21" t="s">
        <v>17</v>
      </c>
      <c r="F77" s="21" t="s">
        <v>25</v>
      </c>
      <c r="G77" s="24">
        <v>44</v>
      </c>
      <c r="H77" s="24"/>
      <c r="J77" s="21" t="s">
        <v>71</v>
      </c>
      <c r="K77" s="24">
        <v>8697.58</v>
      </c>
    </row>
    <row r="78" spans="1:11" x14ac:dyDescent="0.25">
      <c r="A78" s="78">
        <v>46005</v>
      </c>
      <c r="B78" s="21" t="s">
        <v>330</v>
      </c>
      <c r="C78" s="21" t="s">
        <v>20</v>
      </c>
      <c r="D78" s="21" t="s">
        <v>13</v>
      </c>
      <c r="E78" s="21"/>
      <c r="F78" s="21"/>
      <c r="G78" s="24">
        <v>7458</v>
      </c>
      <c r="H78" s="24"/>
      <c r="J78" s="21" t="s">
        <v>71</v>
      </c>
      <c r="K78" s="24">
        <v>16155.58</v>
      </c>
    </row>
    <row r="79" spans="1:11" x14ac:dyDescent="0.25">
      <c r="A79" s="78">
        <v>46005</v>
      </c>
      <c r="B79" s="21" t="s">
        <v>355</v>
      </c>
      <c r="C79" s="21" t="s">
        <v>20</v>
      </c>
      <c r="D79" s="21" t="s">
        <v>22</v>
      </c>
      <c r="E79" s="21" t="s">
        <v>17</v>
      </c>
      <c r="F79" s="21"/>
      <c r="G79" s="24">
        <v>271.33999999999997</v>
      </c>
      <c r="H79" s="24"/>
      <c r="J79" s="21" t="s">
        <v>71</v>
      </c>
      <c r="K79" s="24">
        <v>16426.919999999998</v>
      </c>
    </row>
    <row r="80" spans="1:11" x14ac:dyDescent="0.25">
      <c r="A80" s="78">
        <v>46005</v>
      </c>
      <c r="B80" s="21" t="s">
        <v>23</v>
      </c>
      <c r="C80" s="21" t="s">
        <v>12</v>
      </c>
      <c r="D80" s="21" t="s">
        <v>24</v>
      </c>
      <c r="E80" s="21" t="s">
        <v>17</v>
      </c>
      <c r="F80" s="21" t="s">
        <v>25</v>
      </c>
      <c r="G80" s="24">
        <v>53</v>
      </c>
      <c r="H80" s="24"/>
      <c r="J80" s="21" t="s">
        <v>71</v>
      </c>
      <c r="K80" s="24">
        <v>16373.92</v>
      </c>
    </row>
    <row r="81" spans="1:11" x14ac:dyDescent="0.25">
      <c r="A81" s="78">
        <v>46005</v>
      </c>
      <c r="B81" s="21" t="s">
        <v>428</v>
      </c>
      <c r="C81" s="21" t="s">
        <v>12</v>
      </c>
      <c r="D81" s="21" t="s">
        <v>27</v>
      </c>
      <c r="E81" s="21" t="s">
        <v>14</v>
      </c>
      <c r="F81" s="21" t="s">
        <v>15</v>
      </c>
      <c r="G81" s="24">
        <v>20</v>
      </c>
      <c r="H81" s="24"/>
      <c r="J81" s="21" t="s">
        <v>71</v>
      </c>
      <c r="K81" s="24">
        <v>16353.92</v>
      </c>
    </row>
    <row r="82" spans="1:11" x14ac:dyDescent="0.25">
      <c r="A82" s="78">
        <v>46006</v>
      </c>
      <c r="B82" s="21" t="s">
        <v>429</v>
      </c>
      <c r="C82" s="21" t="s">
        <v>12</v>
      </c>
      <c r="D82" s="21" t="s">
        <v>27</v>
      </c>
      <c r="E82" s="21" t="s">
        <v>17</v>
      </c>
      <c r="F82" s="21" t="s">
        <v>25</v>
      </c>
      <c r="G82" s="24">
        <v>2000</v>
      </c>
      <c r="H82" s="24"/>
      <c r="J82" s="21" t="s">
        <v>71</v>
      </c>
      <c r="K82" s="24">
        <v>14353.92</v>
      </c>
    </row>
    <row r="83" spans="1:11" x14ac:dyDescent="0.25">
      <c r="A83" s="78">
        <v>46006</v>
      </c>
      <c r="B83" s="21" t="s">
        <v>369</v>
      </c>
      <c r="C83" s="21" t="s">
        <v>12</v>
      </c>
      <c r="D83" s="21" t="s">
        <v>19</v>
      </c>
      <c r="E83" s="21" t="s">
        <v>17</v>
      </c>
      <c r="F83" s="21"/>
      <c r="G83" s="24">
        <v>1482.05</v>
      </c>
      <c r="H83" s="24"/>
      <c r="J83" s="21" t="s">
        <v>71</v>
      </c>
      <c r="K83" s="24">
        <v>12871.87</v>
      </c>
    </row>
    <row r="84" spans="1:11" x14ac:dyDescent="0.25">
      <c r="A84" s="80">
        <v>46006</v>
      </c>
      <c r="B84" s="21" t="s">
        <v>369</v>
      </c>
      <c r="C84" s="21" t="s">
        <v>12</v>
      </c>
      <c r="D84" s="21" t="s">
        <v>19</v>
      </c>
      <c r="E84" s="21" t="s">
        <v>17</v>
      </c>
      <c r="F84" s="21"/>
      <c r="G84" s="24">
        <v>584.39</v>
      </c>
      <c r="H84" s="24"/>
      <c r="J84" s="21" t="s">
        <v>71</v>
      </c>
      <c r="K84" s="24">
        <v>12287.48</v>
      </c>
    </row>
    <row r="85" spans="1:11" x14ac:dyDescent="0.25">
      <c r="A85" s="78">
        <v>46006</v>
      </c>
      <c r="B85" s="21" t="s">
        <v>348</v>
      </c>
      <c r="C85" s="21" t="s">
        <v>12</v>
      </c>
      <c r="D85" s="21" t="s">
        <v>19</v>
      </c>
      <c r="E85" s="21" t="s">
        <v>17</v>
      </c>
      <c r="F85" s="21"/>
      <c r="G85" s="24">
        <v>2146.66</v>
      </c>
      <c r="H85" s="24"/>
      <c r="J85" s="21" t="s">
        <v>71</v>
      </c>
      <c r="K85" s="24">
        <v>10140.82</v>
      </c>
    </row>
    <row r="86" spans="1:11" x14ac:dyDescent="0.25">
      <c r="A86" s="78">
        <v>46006</v>
      </c>
      <c r="B86" s="21" t="s">
        <v>430</v>
      </c>
      <c r="C86" s="21" t="s">
        <v>12</v>
      </c>
      <c r="D86" s="21" t="s">
        <v>27</v>
      </c>
      <c r="E86" s="21" t="s">
        <v>17</v>
      </c>
      <c r="F86" s="21"/>
      <c r="G86" s="24">
        <v>84.34</v>
      </c>
      <c r="H86" s="24"/>
      <c r="J86" s="21" t="s">
        <v>71</v>
      </c>
      <c r="K86" s="24">
        <v>10056.48</v>
      </c>
    </row>
    <row r="87" spans="1:11" x14ac:dyDescent="0.25">
      <c r="A87" s="78">
        <v>46006</v>
      </c>
      <c r="B87" s="21" t="s">
        <v>431</v>
      </c>
      <c r="C87" s="21" t="s">
        <v>12</v>
      </c>
      <c r="D87" s="21" t="s">
        <v>64</v>
      </c>
      <c r="E87" s="21" t="s">
        <v>17</v>
      </c>
      <c r="F87" s="21"/>
      <c r="G87" s="24">
        <v>1166.74</v>
      </c>
      <c r="H87" s="24"/>
      <c r="J87" s="21" t="s">
        <v>71</v>
      </c>
      <c r="K87" s="24">
        <v>8889.74</v>
      </c>
    </row>
    <row r="88" spans="1:11" x14ac:dyDescent="0.25">
      <c r="A88" s="78">
        <v>46006</v>
      </c>
      <c r="B88" s="21" t="s">
        <v>390</v>
      </c>
      <c r="C88" s="21" t="s">
        <v>12</v>
      </c>
      <c r="D88" s="21" t="s">
        <v>19</v>
      </c>
      <c r="E88" s="21" t="s">
        <v>17</v>
      </c>
      <c r="F88" s="21"/>
      <c r="G88" s="24">
        <v>447.66</v>
      </c>
      <c r="H88" s="24"/>
      <c r="J88" s="21" t="s">
        <v>71</v>
      </c>
      <c r="K88" s="24">
        <v>8442.08</v>
      </c>
    </row>
    <row r="89" spans="1:11" x14ac:dyDescent="0.25">
      <c r="A89" s="78">
        <v>46006</v>
      </c>
      <c r="B89" s="21" t="s">
        <v>344</v>
      </c>
      <c r="C89" s="21" t="s">
        <v>12</v>
      </c>
      <c r="D89" s="21" t="s">
        <v>19</v>
      </c>
      <c r="E89" s="21" t="s">
        <v>17</v>
      </c>
      <c r="F89" s="21"/>
      <c r="G89" s="24">
        <v>419.75</v>
      </c>
      <c r="H89" s="24"/>
      <c r="J89" s="21" t="s">
        <v>71</v>
      </c>
      <c r="K89" s="24">
        <v>8022.33</v>
      </c>
    </row>
    <row r="90" spans="1:11" x14ac:dyDescent="0.25">
      <c r="A90" s="78">
        <v>46006</v>
      </c>
      <c r="B90" s="21" t="s">
        <v>348</v>
      </c>
      <c r="C90" s="21" t="s">
        <v>12</v>
      </c>
      <c r="D90" s="21" t="s">
        <v>19</v>
      </c>
      <c r="E90" s="21" t="s">
        <v>17</v>
      </c>
      <c r="F90" s="21"/>
      <c r="G90" s="24">
        <v>237.61</v>
      </c>
      <c r="H90" s="24"/>
      <c r="J90" s="21" t="s">
        <v>71</v>
      </c>
      <c r="K90" s="24">
        <v>7784.72</v>
      </c>
    </row>
    <row r="91" spans="1:11" x14ac:dyDescent="0.25">
      <c r="A91" s="78">
        <v>46006</v>
      </c>
      <c r="B91" s="21" t="s">
        <v>348</v>
      </c>
      <c r="C91" s="21" t="s">
        <v>12</v>
      </c>
      <c r="D91" s="21" t="s">
        <v>19</v>
      </c>
      <c r="E91" s="21" t="s">
        <v>17</v>
      </c>
      <c r="F91" s="21"/>
      <c r="G91" s="24">
        <v>514.82000000000005</v>
      </c>
      <c r="H91" s="24"/>
      <c r="J91" s="21" t="s">
        <v>71</v>
      </c>
      <c r="K91" s="24">
        <v>7269.9000000000005</v>
      </c>
    </row>
    <row r="92" spans="1:11" x14ac:dyDescent="0.25">
      <c r="A92" s="78">
        <v>46006</v>
      </c>
      <c r="B92" s="21" t="s">
        <v>432</v>
      </c>
      <c r="C92" s="21" t="s">
        <v>12</v>
      </c>
      <c r="D92" s="21" t="s">
        <v>39</v>
      </c>
      <c r="E92" s="21" t="s">
        <v>17</v>
      </c>
      <c r="F92" s="21"/>
      <c r="G92" s="24">
        <v>99.9</v>
      </c>
      <c r="H92" s="24"/>
      <c r="J92" s="21" t="s">
        <v>71</v>
      </c>
      <c r="K92" s="24">
        <v>7170.0000000000009</v>
      </c>
    </row>
    <row r="93" spans="1:11" x14ac:dyDescent="0.25">
      <c r="A93" s="78">
        <v>46006</v>
      </c>
      <c r="B93" s="21" t="s">
        <v>433</v>
      </c>
      <c r="C93" s="21" t="s">
        <v>12</v>
      </c>
      <c r="D93" s="21" t="s">
        <v>27</v>
      </c>
      <c r="E93" s="21" t="s">
        <v>17</v>
      </c>
      <c r="F93" s="21"/>
      <c r="G93" s="24">
        <v>236.6</v>
      </c>
      <c r="H93" s="24"/>
      <c r="J93" s="21" t="s">
        <v>71</v>
      </c>
      <c r="K93" s="24">
        <v>6933.4000000000005</v>
      </c>
    </row>
    <row r="94" spans="1:11" x14ac:dyDescent="0.25">
      <c r="A94" s="78">
        <v>46006</v>
      </c>
      <c r="B94" s="21" t="s">
        <v>369</v>
      </c>
      <c r="C94" s="21" t="s">
        <v>12</v>
      </c>
      <c r="D94" s="21" t="s">
        <v>19</v>
      </c>
      <c r="E94" s="21" t="s">
        <v>17</v>
      </c>
      <c r="F94" s="21"/>
      <c r="G94" s="24">
        <v>3040.57</v>
      </c>
      <c r="H94" s="24"/>
      <c r="J94" s="21" t="s">
        <v>71</v>
      </c>
      <c r="K94" s="24">
        <v>3892.83</v>
      </c>
    </row>
    <row r="95" spans="1:11" x14ac:dyDescent="0.25">
      <c r="A95" s="21" t="s">
        <v>434</v>
      </c>
      <c r="B95" s="21" t="s">
        <v>407</v>
      </c>
      <c r="C95" s="21" t="s">
        <v>12</v>
      </c>
      <c r="D95" s="21" t="s">
        <v>19</v>
      </c>
      <c r="E95" s="21" t="s">
        <v>17</v>
      </c>
      <c r="F95" s="21" t="s">
        <v>25</v>
      </c>
      <c r="G95" s="24">
        <v>666</v>
      </c>
      <c r="H95" s="24"/>
      <c r="J95" s="21" t="s">
        <v>434</v>
      </c>
      <c r="K95" s="24">
        <v>3226.83</v>
      </c>
    </row>
    <row r="96" spans="1:11" x14ac:dyDescent="0.25">
      <c r="A96" s="78">
        <v>46006</v>
      </c>
      <c r="B96" s="21" t="s">
        <v>401</v>
      </c>
      <c r="C96" s="21" t="s">
        <v>12</v>
      </c>
      <c r="D96" s="21" t="s">
        <v>19</v>
      </c>
      <c r="E96" s="21" t="s">
        <v>14</v>
      </c>
      <c r="F96" s="21" t="s">
        <v>15</v>
      </c>
      <c r="G96" s="24">
        <v>94</v>
      </c>
      <c r="H96" s="24"/>
      <c r="J96" s="21" t="s">
        <v>71</v>
      </c>
      <c r="K96" s="24">
        <v>3132.83</v>
      </c>
    </row>
    <row r="97" spans="1:11" x14ac:dyDescent="0.25">
      <c r="A97" s="78">
        <v>46006</v>
      </c>
      <c r="B97" s="21" t="s">
        <v>330</v>
      </c>
      <c r="C97" s="21" t="s">
        <v>20</v>
      </c>
      <c r="D97" s="21" t="s">
        <v>13</v>
      </c>
      <c r="E97" s="21"/>
      <c r="F97" s="21"/>
      <c r="G97" s="24">
        <v>2306</v>
      </c>
      <c r="H97" s="24"/>
      <c r="J97" s="21" t="s">
        <v>71</v>
      </c>
      <c r="K97" s="24">
        <v>5438.83</v>
      </c>
    </row>
    <row r="98" spans="1:11" x14ac:dyDescent="0.25">
      <c r="A98" s="81">
        <v>46007</v>
      </c>
      <c r="B98" s="21" t="s">
        <v>354</v>
      </c>
      <c r="C98" s="21" t="s">
        <v>12</v>
      </c>
      <c r="D98" s="21" t="s">
        <v>19</v>
      </c>
      <c r="E98" s="21" t="s">
        <v>17</v>
      </c>
      <c r="F98" s="21"/>
      <c r="G98" s="24">
        <v>672.56</v>
      </c>
      <c r="H98" s="24"/>
      <c r="J98" s="21" t="s">
        <v>71</v>
      </c>
      <c r="K98" s="24">
        <v>4766.2700000000004</v>
      </c>
    </row>
    <row r="99" spans="1:11" x14ac:dyDescent="0.25">
      <c r="A99" s="78">
        <v>46007</v>
      </c>
      <c r="B99" s="21" t="s">
        <v>11</v>
      </c>
      <c r="C99" s="21" t="s">
        <v>12</v>
      </c>
      <c r="D99" s="21" t="s">
        <v>19</v>
      </c>
      <c r="E99" s="21" t="s">
        <v>14</v>
      </c>
      <c r="F99" s="21" t="s">
        <v>15</v>
      </c>
      <c r="G99" s="24">
        <v>94</v>
      </c>
      <c r="H99" s="24"/>
      <c r="J99" s="21" t="s">
        <v>71</v>
      </c>
      <c r="K99" s="24">
        <v>4672.2700000000004</v>
      </c>
    </row>
    <row r="100" spans="1:11" x14ac:dyDescent="0.25">
      <c r="A100" s="78">
        <v>46007</v>
      </c>
      <c r="B100" s="21" t="s">
        <v>355</v>
      </c>
      <c r="C100" s="21" t="s">
        <v>20</v>
      </c>
      <c r="D100" s="21" t="s">
        <v>22</v>
      </c>
      <c r="E100" s="21" t="s">
        <v>17</v>
      </c>
      <c r="F100" s="21"/>
      <c r="G100" s="24">
        <v>68.599999999999994</v>
      </c>
      <c r="H100" s="24"/>
      <c r="J100" s="21" t="s">
        <v>71</v>
      </c>
      <c r="K100" s="24">
        <v>4740.8700000000008</v>
      </c>
    </row>
    <row r="101" spans="1:11" x14ac:dyDescent="0.25">
      <c r="A101" s="78">
        <v>46007</v>
      </c>
      <c r="B101" s="21" t="s">
        <v>372</v>
      </c>
      <c r="C101" s="21" t="s">
        <v>20</v>
      </c>
      <c r="D101" s="21" t="s">
        <v>13</v>
      </c>
      <c r="E101" s="21"/>
      <c r="F101" s="21"/>
      <c r="G101" s="24">
        <v>2812</v>
      </c>
      <c r="H101" s="24"/>
      <c r="J101" s="21" t="s">
        <v>71</v>
      </c>
      <c r="K101" s="24">
        <v>7552.8700000000008</v>
      </c>
    </row>
    <row r="102" spans="1:11" x14ac:dyDescent="0.25">
      <c r="A102" s="78">
        <v>46007</v>
      </c>
      <c r="B102" s="21" t="s">
        <v>23</v>
      </c>
      <c r="C102" s="21" t="s">
        <v>12</v>
      </c>
      <c r="D102" s="21" t="s">
        <v>24</v>
      </c>
      <c r="E102" s="21" t="s">
        <v>17</v>
      </c>
      <c r="F102" s="21" t="s">
        <v>25</v>
      </c>
      <c r="G102" s="24">
        <v>9</v>
      </c>
      <c r="H102" s="24"/>
      <c r="J102" s="21" t="s">
        <v>71</v>
      </c>
      <c r="K102" s="24">
        <v>7543.8700000000008</v>
      </c>
    </row>
    <row r="103" spans="1:11" x14ac:dyDescent="0.25">
      <c r="A103" s="78">
        <v>46008</v>
      </c>
      <c r="B103" s="21" t="s">
        <v>418</v>
      </c>
      <c r="C103" s="21" t="s">
        <v>12</v>
      </c>
      <c r="D103" s="21" t="s">
        <v>19</v>
      </c>
      <c r="E103" s="21" t="s">
        <v>17</v>
      </c>
      <c r="F103" s="21"/>
      <c r="G103" s="24">
        <v>329.39</v>
      </c>
      <c r="H103" s="24"/>
      <c r="J103" s="21" t="s">
        <v>71</v>
      </c>
      <c r="K103" s="24">
        <v>7214.48</v>
      </c>
    </row>
    <row r="104" spans="1:11" x14ac:dyDescent="0.25">
      <c r="A104" s="78">
        <v>46008</v>
      </c>
      <c r="B104" s="21" t="s">
        <v>350</v>
      </c>
      <c r="C104" s="21" t="s">
        <v>12</v>
      </c>
      <c r="D104" s="21" t="s">
        <v>19</v>
      </c>
      <c r="E104" s="21" t="s">
        <v>17</v>
      </c>
      <c r="F104" s="21"/>
      <c r="G104" s="24">
        <v>825.85</v>
      </c>
      <c r="H104" s="24"/>
      <c r="J104" s="21" t="s">
        <v>71</v>
      </c>
      <c r="K104" s="24">
        <v>6388.63</v>
      </c>
    </row>
    <row r="105" spans="1:11" x14ac:dyDescent="0.25">
      <c r="A105" s="78">
        <v>46008</v>
      </c>
      <c r="B105" s="21" t="s">
        <v>435</v>
      </c>
      <c r="C105" s="21" t="s">
        <v>12</v>
      </c>
      <c r="D105" s="21" t="s">
        <v>19</v>
      </c>
      <c r="E105" s="21" t="s">
        <v>17</v>
      </c>
      <c r="F105" s="21"/>
      <c r="G105" s="24">
        <v>278</v>
      </c>
      <c r="H105" s="24"/>
      <c r="J105" s="21" t="s">
        <v>71</v>
      </c>
      <c r="K105" s="24">
        <v>6110.63</v>
      </c>
    </row>
    <row r="106" spans="1:11" x14ac:dyDescent="0.25">
      <c r="A106" s="78">
        <v>46008</v>
      </c>
      <c r="B106" s="21" t="s">
        <v>372</v>
      </c>
      <c r="C106" s="21" t="s">
        <v>20</v>
      </c>
      <c r="D106" s="21" t="s">
        <v>13</v>
      </c>
      <c r="E106" s="21"/>
      <c r="F106" s="21"/>
      <c r="G106" s="24">
        <v>1542</v>
      </c>
      <c r="H106" s="24"/>
      <c r="J106" s="21" t="s">
        <v>71</v>
      </c>
      <c r="K106" s="24">
        <v>7652.63</v>
      </c>
    </row>
    <row r="107" spans="1:11" x14ac:dyDescent="0.25">
      <c r="A107" s="78">
        <v>46008</v>
      </c>
      <c r="B107" s="21" t="s">
        <v>436</v>
      </c>
      <c r="C107" s="21" t="s">
        <v>20</v>
      </c>
      <c r="D107" s="21" t="s">
        <v>22</v>
      </c>
      <c r="E107" s="21" t="s">
        <v>17</v>
      </c>
      <c r="F107" s="21"/>
      <c r="G107" s="24">
        <v>109.23</v>
      </c>
      <c r="H107" s="24"/>
      <c r="J107" s="21" t="s">
        <v>71</v>
      </c>
      <c r="K107" s="24">
        <v>7761.86</v>
      </c>
    </row>
    <row r="108" spans="1:11" x14ac:dyDescent="0.25">
      <c r="A108" s="78">
        <v>46008</v>
      </c>
      <c r="B108" s="21" t="s">
        <v>45</v>
      </c>
      <c r="C108" s="21" t="s">
        <v>12</v>
      </c>
      <c r="D108" s="21" t="s">
        <v>24</v>
      </c>
      <c r="E108" s="21" t="s">
        <v>17</v>
      </c>
      <c r="F108" s="21" t="s">
        <v>25</v>
      </c>
      <c r="G108" s="24">
        <v>18</v>
      </c>
      <c r="H108" s="24"/>
      <c r="J108" s="21" t="s">
        <v>71</v>
      </c>
      <c r="K108" s="24">
        <v>7743.86</v>
      </c>
    </row>
    <row r="109" spans="1:11" x14ac:dyDescent="0.25">
      <c r="A109" s="78">
        <v>46009</v>
      </c>
      <c r="B109" s="21" t="s">
        <v>406</v>
      </c>
      <c r="C109" s="21" t="s">
        <v>12</v>
      </c>
      <c r="D109" s="21" t="s">
        <v>19</v>
      </c>
      <c r="E109" s="21" t="s">
        <v>17</v>
      </c>
      <c r="F109" s="21"/>
      <c r="G109" s="24">
        <v>1360.97</v>
      </c>
      <c r="H109" s="24"/>
      <c r="J109" s="21" t="s">
        <v>71</v>
      </c>
      <c r="K109" s="24">
        <v>6382.8899999999994</v>
      </c>
    </row>
    <row r="110" spans="1:11" x14ac:dyDescent="0.25">
      <c r="A110" s="78">
        <v>46009</v>
      </c>
      <c r="B110" s="21" t="s">
        <v>330</v>
      </c>
      <c r="C110" s="21" t="s">
        <v>20</v>
      </c>
      <c r="D110" s="21" t="s">
        <v>13</v>
      </c>
      <c r="E110" s="21"/>
      <c r="F110" s="21"/>
      <c r="G110" s="24">
        <v>1946</v>
      </c>
      <c r="H110" s="24"/>
      <c r="J110" s="21" t="s">
        <v>71</v>
      </c>
      <c r="K110" s="24">
        <v>8328.89</v>
      </c>
    </row>
    <row r="111" spans="1:11" x14ac:dyDescent="0.25">
      <c r="A111" s="78">
        <v>46009</v>
      </c>
      <c r="B111" s="21" t="s">
        <v>436</v>
      </c>
      <c r="C111" s="21" t="s">
        <v>20</v>
      </c>
      <c r="D111" s="21" t="s">
        <v>22</v>
      </c>
      <c r="E111" s="21" t="s">
        <v>17</v>
      </c>
      <c r="F111" s="21"/>
      <c r="G111" s="24">
        <v>0</v>
      </c>
      <c r="H111" s="24"/>
      <c r="J111" s="21" t="s">
        <v>71</v>
      </c>
      <c r="K111" s="24">
        <v>8328.89</v>
      </c>
    </row>
    <row r="112" spans="1:11" x14ac:dyDescent="0.25">
      <c r="A112" s="80">
        <v>46009</v>
      </c>
      <c r="B112" s="21" t="s">
        <v>11</v>
      </c>
      <c r="C112" s="21" t="s">
        <v>12</v>
      </c>
      <c r="D112" s="21" t="s">
        <v>19</v>
      </c>
      <c r="E112" s="21" t="s">
        <v>14</v>
      </c>
      <c r="F112" s="21" t="s">
        <v>15</v>
      </c>
      <c r="G112" s="24">
        <v>287</v>
      </c>
      <c r="H112" s="24"/>
      <c r="J112" s="21" t="s">
        <v>71</v>
      </c>
      <c r="K112" s="24">
        <v>8041.8899999999994</v>
      </c>
    </row>
    <row r="113" spans="1:11" x14ac:dyDescent="0.25">
      <c r="A113" s="78">
        <v>46009</v>
      </c>
      <c r="B113" s="21" t="s">
        <v>23</v>
      </c>
      <c r="C113" s="21" t="s">
        <v>12</v>
      </c>
      <c r="D113" s="21" t="s">
        <v>24</v>
      </c>
      <c r="E113" s="21" t="s">
        <v>17</v>
      </c>
      <c r="F113" s="21" t="s">
        <v>25</v>
      </c>
      <c r="G113" s="24">
        <v>0</v>
      </c>
      <c r="H113" s="24"/>
      <c r="J113" s="21" t="s">
        <v>71</v>
      </c>
      <c r="K113" s="24">
        <v>8041.8899999999994</v>
      </c>
    </row>
    <row r="114" spans="1:11" x14ac:dyDescent="0.25">
      <c r="A114" s="78">
        <v>46010</v>
      </c>
      <c r="B114" s="21" t="s">
        <v>437</v>
      </c>
      <c r="C114" s="21" t="s">
        <v>12</v>
      </c>
      <c r="D114" s="21" t="s">
        <v>27</v>
      </c>
      <c r="E114" s="21" t="s">
        <v>17</v>
      </c>
      <c r="F114" s="21" t="s">
        <v>25</v>
      </c>
      <c r="G114" s="24">
        <v>1551.45</v>
      </c>
      <c r="H114" s="24"/>
      <c r="J114" s="21" t="s">
        <v>71</v>
      </c>
      <c r="K114" s="24">
        <v>6490.44</v>
      </c>
    </row>
    <row r="115" spans="1:11" x14ac:dyDescent="0.25">
      <c r="A115" s="80">
        <v>46010</v>
      </c>
      <c r="B115" s="21" t="s">
        <v>438</v>
      </c>
      <c r="C115" s="21" t="s">
        <v>12</v>
      </c>
      <c r="D115" s="21" t="s">
        <v>27</v>
      </c>
      <c r="E115" s="21" t="s">
        <v>17</v>
      </c>
      <c r="F115" s="21" t="s">
        <v>25</v>
      </c>
      <c r="G115" s="24">
        <v>2341.7800000000002</v>
      </c>
      <c r="H115" s="24"/>
      <c r="J115" s="21" t="s">
        <v>71</v>
      </c>
      <c r="K115" s="24">
        <v>4148.66</v>
      </c>
    </row>
    <row r="116" spans="1:11" x14ac:dyDescent="0.25">
      <c r="A116" s="78">
        <v>46010</v>
      </c>
      <c r="B116" s="21" t="s">
        <v>439</v>
      </c>
      <c r="C116" s="21" t="s">
        <v>12</v>
      </c>
      <c r="D116" s="21" t="s">
        <v>27</v>
      </c>
      <c r="E116" s="21" t="s">
        <v>17</v>
      </c>
      <c r="F116" s="21" t="s">
        <v>25</v>
      </c>
      <c r="G116" s="24">
        <v>1666.67</v>
      </c>
      <c r="H116" s="24"/>
      <c r="J116" s="21" t="s">
        <v>71</v>
      </c>
      <c r="K116" s="24">
        <v>2481.9899999999998</v>
      </c>
    </row>
    <row r="117" spans="1:11" x14ac:dyDescent="0.25">
      <c r="A117" s="78">
        <v>46010</v>
      </c>
      <c r="B117" s="21" t="s">
        <v>440</v>
      </c>
      <c r="C117" s="21" t="s">
        <v>12</v>
      </c>
      <c r="D117" s="21" t="s">
        <v>33</v>
      </c>
      <c r="E117" s="21" t="s">
        <v>14</v>
      </c>
      <c r="F117" s="21" t="s">
        <v>15</v>
      </c>
      <c r="G117" s="24">
        <v>21</v>
      </c>
      <c r="H117" s="24"/>
      <c r="J117" s="21" t="s">
        <v>71</v>
      </c>
      <c r="K117" s="24">
        <v>2460.9899999999998</v>
      </c>
    </row>
    <row r="118" spans="1:11" x14ac:dyDescent="0.25">
      <c r="A118" s="78">
        <v>46010</v>
      </c>
      <c r="B118" s="21" t="s">
        <v>441</v>
      </c>
      <c r="C118" s="21" t="s">
        <v>12</v>
      </c>
      <c r="D118" s="21" t="s">
        <v>58</v>
      </c>
      <c r="E118" s="21" t="s">
        <v>17</v>
      </c>
      <c r="F118" s="21"/>
      <c r="G118" s="24">
        <v>329.11</v>
      </c>
      <c r="H118" s="24"/>
      <c r="J118" s="21" t="s">
        <v>71</v>
      </c>
      <c r="K118" s="24">
        <v>2131.88</v>
      </c>
    </row>
    <row r="119" spans="1:11" x14ac:dyDescent="0.25">
      <c r="A119" s="78">
        <v>46010</v>
      </c>
      <c r="B119" s="21" t="s">
        <v>300</v>
      </c>
      <c r="C119" s="21" t="s">
        <v>12</v>
      </c>
      <c r="D119" s="21" t="s">
        <v>58</v>
      </c>
      <c r="E119" s="21" t="s">
        <v>17</v>
      </c>
      <c r="F119" s="21"/>
      <c r="G119" s="24">
        <v>1036.17</v>
      </c>
      <c r="H119" s="24"/>
      <c r="J119" s="21" t="s">
        <v>71</v>
      </c>
      <c r="K119" s="24">
        <v>1095.71</v>
      </c>
    </row>
    <row r="120" spans="1:11" x14ac:dyDescent="0.25">
      <c r="A120" s="78">
        <v>46010</v>
      </c>
      <c r="B120" s="21" t="s">
        <v>356</v>
      </c>
      <c r="C120" s="21" t="s">
        <v>12</v>
      </c>
      <c r="D120" s="21" t="s">
        <v>58</v>
      </c>
      <c r="E120" s="21" t="s">
        <v>17</v>
      </c>
      <c r="F120" s="21"/>
      <c r="G120" s="24">
        <v>1106.22</v>
      </c>
      <c r="H120" s="24"/>
      <c r="J120" s="21" t="s">
        <v>71</v>
      </c>
      <c r="K120" s="24">
        <v>-10.510000000000449</v>
      </c>
    </row>
    <row r="121" spans="1:11" x14ac:dyDescent="0.25">
      <c r="A121" s="78">
        <v>46010</v>
      </c>
      <c r="B121" s="21" t="s">
        <v>401</v>
      </c>
      <c r="C121" s="21" t="s">
        <v>12</v>
      </c>
      <c r="D121" s="21" t="s">
        <v>19</v>
      </c>
      <c r="E121" s="21" t="s">
        <v>17</v>
      </c>
      <c r="F121" s="21" t="s">
        <v>15</v>
      </c>
      <c r="G121" s="24">
        <v>423</v>
      </c>
      <c r="H121" s="24"/>
      <c r="J121" s="21" t="s">
        <v>71</v>
      </c>
      <c r="K121" s="24">
        <v>-433.51000000000039</v>
      </c>
    </row>
    <row r="122" spans="1:11" x14ac:dyDescent="0.25">
      <c r="A122" s="78">
        <v>46010</v>
      </c>
      <c r="B122" s="21" t="s">
        <v>330</v>
      </c>
      <c r="C122" s="21" t="s">
        <v>20</v>
      </c>
      <c r="D122" s="21" t="s">
        <v>13</v>
      </c>
      <c r="E122" s="21"/>
      <c r="F122" s="21"/>
      <c r="G122" s="24">
        <v>2744</v>
      </c>
      <c r="H122" s="24"/>
      <c r="J122" s="21" t="s">
        <v>71</v>
      </c>
      <c r="K122" s="24">
        <v>2310.4899999999998</v>
      </c>
    </row>
    <row r="123" spans="1:11" x14ac:dyDescent="0.25">
      <c r="A123" s="78">
        <v>46010</v>
      </c>
      <c r="B123" s="21" t="s">
        <v>355</v>
      </c>
      <c r="C123" s="21" t="s">
        <v>20</v>
      </c>
      <c r="D123" s="21" t="s">
        <v>22</v>
      </c>
      <c r="E123" s="21" t="s">
        <v>17</v>
      </c>
      <c r="F123" s="21"/>
      <c r="G123" s="24">
        <v>154.93</v>
      </c>
      <c r="H123" s="24"/>
      <c r="J123" s="21" t="s">
        <v>71</v>
      </c>
      <c r="K123" s="24">
        <v>2465.42</v>
      </c>
    </row>
    <row r="124" spans="1:11" x14ac:dyDescent="0.25">
      <c r="A124" s="78">
        <v>46010</v>
      </c>
      <c r="B124" s="21" t="s">
        <v>45</v>
      </c>
      <c r="C124" s="21" t="s">
        <v>12</v>
      </c>
      <c r="D124" s="21" t="s">
        <v>24</v>
      </c>
      <c r="E124" s="21" t="s">
        <v>17</v>
      </c>
      <c r="F124" s="21" t="s">
        <v>25</v>
      </c>
      <c r="G124" s="24">
        <v>25</v>
      </c>
      <c r="H124" s="24"/>
      <c r="J124" s="21" t="s">
        <v>71</v>
      </c>
      <c r="K124" s="24">
        <v>2440.42</v>
      </c>
    </row>
    <row r="125" spans="1:11" x14ac:dyDescent="0.25">
      <c r="A125" s="80">
        <v>46011</v>
      </c>
      <c r="B125" s="21" t="s">
        <v>330</v>
      </c>
      <c r="C125" s="21" t="s">
        <v>20</v>
      </c>
      <c r="D125" s="21" t="s">
        <v>13</v>
      </c>
      <c r="E125" s="21"/>
      <c r="F125" s="21"/>
      <c r="G125" s="24">
        <v>10108</v>
      </c>
      <c r="H125" s="24"/>
      <c r="J125" s="21" t="s">
        <v>71</v>
      </c>
      <c r="K125" s="24">
        <v>12548.42</v>
      </c>
    </row>
    <row r="126" spans="1:11" x14ac:dyDescent="0.25">
      <c r="A126" s="78">
        <v>46011</v>
      </c>
      <c r="B126" s="21" t="s">
        <v>355</v>
      </c>
      <c r="C126" s="21" t="s">
        <v>20</v>
      </c>
      <c r="D126" s="21" t="s">
        <v>22</v>
      </c>
      <c r="E126" s="21" t="s">
        <v>17</v>
      </c>
      <c r="F126" s="21"/>
      <c r="G126" s="24">
        <v>149.97</v>
      </c>
      <c r="H126" s="24"/>
      <c r="J126" s="21" t="s">
        <v>71</v>
      </c>
      <c r="K126" s="24">
        <v>12698.39</v>
      </c>
    </row>
    <row r="127" spans="1:11" x14ac:dyDescent="0.25">
      <c r="A127" s="78">
        <v>46011</v>
      </c>
      <c r="B127" s="21" t="s">
        <v>45</v>
      </c>
      <c r="C127" s="21" t="s">
        <v>12</v>
      </c>
      <c r="D127" s="21" t="s">
        <v>24</v>
      </c>
      <c r="E127" s="21" t="s">
        <v>17</v>
      </c>
      <c r="F127" s="21" t="s">
        <v>25</v>
      </c>
      <c r="G127" s="24">
        <v>27</v>
      </c>
      <c r="H127" s="24"/>
      <c r="J127" s="21" t="s">
        <v>71</v>
      </c>
      <c r="K127" s="24">
        <v>12671.39</v>
      </c>
    </row>
    <row r="128" spans="1:11" x14ac:dyDescent="0.25">
      <c r="A128" s="78">
        <v>46012</v>
      </c>
      <c r="B128" s="21" t="s">
        <v>330</v>
      </c>
      <c r="C128" s="21" t="s">
        <v>20</v>
      </c>
      <c r="D128" s="21" t="s">
        <v>13</v>
      </c>
      <c r="E128" s="21"/>
      <c r="F128" s="21"/>
      <c r="G128" s="24">
        <v>11350</v>
      </c>
      <c r="H128" s="24"/>
      <c r="J128" s="21" t="s">
        <v>71</v>
      </c>
      <c r="K128" s="24">
        <v>24021.39</v>
      </c>
    </row>
    <row r="129" spans="1:11" x14ac:dyDescent="0.25">
      <c r="A129" s="78">
        <v>46012</v>
      </c>
      <c r="B129" s="21" t="s">
        <v>436</v>
      </c>
      <c r="C129" s="21" t="s">
        <v>20</v>
      </c>
      <c r="D129" s="21" t="s">
        <v>22</v>
      </c>
      <c r="E129" s="21" t="s">
        <v>17</v>
      </c>
      <c r="F129" s="21"/>
      <c r="G129" s="24">
        <v>438.87</v>
      </c>
      <c r="H129" s="24"/>
      <c r="J129" s="21" t="s">
        <v>71</v>
      </c>
      <c r="K129" s="24">
        <v>24460.26</v>
      </c>
    </row>
    <row r="130" spans="1:11" x14ac:dyDescent="0.25">
      <c r="A130" s="78">
        <v>46012</v>
      </c>
      <c r="B130" s="21" t="s">
        <v>23</v>
      </c>
      <c r="C130" s="21" t="s">
        <v>12</v>
      </c>
      <c r="D130" s="21" t="s">
        <v>24</v>
      </c>
      <c r="E130" s="21" t="s">
        <v>17</v>
      </c>
      <c r="F130" s="21" t="s">
        <v>25</v>
      </c>
      <c r="G130" s="24">
        <v>70</v>
      </c>
      <c r="H130" s="24"/>
      <c r="J130" s="21" t="s">
        <v>71</v>
      </c>
      <c r="K130" s="24">
        <v>24390.26</v>
      </c>
    </row>
    <row r="131" spans="1:11" x14ac:dyDescent="0.25">
      <c r="A131" s="78">
        <v>46012</v>
      </c>
      <c r="B131" s="21" t="s">
        <v>33</v>
      </c>
      <c r="C131" s="21" t="s">
        <v>12</v>
      </c>
      <c r="D131" s="21" t="s">
        <v>33</v>
      </c>
      <c r="E131" s="21" t="s">
        <v>14</v>
      </c>
      <c r="F131" s="21" t="s">
        <v>15</v>
      </c>
      <c r="G131" s="24">
        <v>120</v>
      </c>
      <c r="H131" s="24"/>
      <c r="J131" s="21" t="s">
        <v>71</v>
      </c>
      <c r="K131" s="24">
        <v>24270.26</v>
      </c>
    </row>
    <row r="132" spans="1:11" x14ac:dyDescent="0.25">
      <c r="A132" s="78">
        <v>46012</v>
      </c>
      <c r="B132" s="21" t="s">
        <v>11</v>
      </c>
      <c r="C132" s="21" t="s">
        <v>12</v>
      </c>
      <c r="D132" s="21" t="s">
        <v>19</v>
      </c>
      <c r="E132" s="21" t="s">
        <v>14</v>
      </c>
      <c r="F132" s="21" t="s">
        <v>15</v>
      </c>
      <c r="G132" s="24">
        <v>141</v>
      </c>
      <c r="H132" s="24"/>
      <c r="J132" s="21" t="s">
        <v>71</v>
      </c>
      <c r="K132" s="24">
        <v>24129.26</v>
      </c>
    </row>
    <row r="133" spans="1:11" x14ac:dyDescent="0.25">
      <c r="A133" s="78">
        <v>46013</v>
      </c>
      <c r="B133" s="21" t="s">
        <v>442</v>
      </c>
      <c r="C133" s="21" t="s">
        <v>12</v>
      </c>
      <c r="D133" s="21" t="s">
        <v>19</v>
      </c>
      <c r="E133" s="21" t="s">
        <v>17</v>
      </c>
      <c r="F133" s="21"/>
      <c r="G133" s="24">
        <v>817.19</v>
      </c>
      <c r="H133" s="24"/>
      <c r="J133" s="21" t="s">
        <v>71</v>
      </c>
      <c r="K133" s="24">
        <v>23312.07</v>
      </c>
    </row>
    <row r="134" spans="1:11" x14ac:dyDescent="0.25">
      <c r="A134" s="78">
        <v>46013</v>
      </c>
      <c r="B134" s="21" t="s">
        <v>390</v>
      </c>
      <c r="C134" s="21" t="s">
        <v>12</v>
      </c>
      <c r="D134" s="21" t="s">
        <v>19</v>
      </c>
      <c r="E134" s="21" t="s">
        <v>17</v>
      </c>
      <c r="F134" s="21"/>
      <c r="G134" s="24">
        <v>424.25</v>
      </c>
      <c r="H134" s="24"/>
      <c r="J134" s="21" t="s">
        <v>71</v>
      </c>
      <c r="K134" s="24">
        <v>22887.82</v>
      </c>
    </row>
    <row r="135" spans="1:11" x14ac:dyDescent="0.25">
      <c r="A135" s="78">
        <v>46013</v>
      </c>
      <c r="B135" s="21" t="s">
        <v>390</v>
      </c>
      <c r="C135" s="21" t="s">
        <v>12</v>
      </c>
      <c r="D135" s="21" t="s">
        <v>19</v>
      </c>
      <c r="E135" s="21" t="s">
        <v>17</v>
      </c>
      <c r="F135" s="21"/>
      <c r="G135" s="24">
        <v>416.99</v>
      </c>
      <c r="H135" s="24"/>
      <c r="J135" s="21" t="s">
        <v>71</v>
      </c>
      <c r="K135" s="24">
        <v>22470.83</v>
      </c>
    </row>
    <row r="136" spans="1:11" x14ac:dyDescent="0.25">
      <c r="A136" s="78">
        <v>46013</v>
      </c>
      <c r="B136" s="21" t="s">
        <v>443</v>
      </c>
      <c r="C136" s="21" t="s">
        <v>12</v>
      </c>
      <c r="D136" s="21" t="s">
        <v>58</v>
      </c>
      <c r="E136" s="21" t="s">
        <v>17</v>
      </c>
      <c r="F136" s="21"/>
      <c r="G136" s="24">
        <v>477.12</v>
      </c>
      <c r="H136" s="24"/>
      <c r="J136" s="21" t="s">
        <v>71</v>
      </c>
      <c r="K136" s="24">
        <v>21993.71</v>
      </c>
    </row>
    <row r="137" spans="1:11" x14ac:dyDescent="0.25">
      <c r="A137" s="21" t="s">
        <v>444</v>
      </c>
      <c r="B137" s="21" t="s">
        <v>445</v>
      </c>
      <c r="C137" s="21" t="s">
        <v>12</v>
      </c>
      <c r="D137" s="21" t="s">
        <v>58</v>
      </c>
      <c r="E137" s="21" t="s">
        <v>17</v>
      </c>
      <c r="F137" s="21"/>
      <c r="G137" s="24">
        <v>11212.31</v>
      </c>
      <c r="H137" s="24"/>
      <c r="J137" s="21" t="s">
        <v>444</v>
      </c>
      <c r="K137" s="24">
        <v>10781.4</v>
      </c>
    </row>
    <row r="138" spans="1:11" x14ac:dyDescent="0.25">
      <c r="A138" s="78">
        <v>46013</v>
      </c>
      <c r="B138" s="21" t="s">
        <v>415</v>
      </c>
      <c r="C138" s="21" t="s">
        <v>12</v>
      </c>
      <c r="D138" s="21" t="s">
        <v>19</v>
      </c>
      <c r="E138" s="21" t="s">
        <v>17</v>
      </c>
      <c r="F138" s="21" t="s">
        <v>25</v>
      </c>
      <c r="G138" s="24">
        <v>270</v>
      </c>
      <c r="H138" s="24"/>
      <c r="J138" s="21" t="s">
        <v>71</v>
      </c>
      <c r="K138" s="24">
        <v>10511.4</v>
      </c>
    </row>
    <row r="139" spans="1:11" x14ac:dyDescent="0.25">
      <c r="A139" s="78">
        <v>46013</v>
      </c>
      <c r="B139" s="21" t="s">
        <v>401</v>
      </c>
      <c r="C139" s="21" t="s">
        <v>12</v>
      </c>
      <c r="D139" s="21" t="s">
        <v>19</v>
      </c>
      <c r="E139" s="21" t="s">
        <v>14</v>
      </c>
      <c r="F139" s="21" t="s">
        <v>15</v>
      </c>
      <c r="G139" s="24">
        <v>141</v>
      </c>
      <c r="H139" s="24"/>
      <c r="J139" s="21" t="s">
        <v>71</v>
      </c>
      <c r="K139" s="24">
        <v>10370.4</v>
      </c>
    </row>
    <row r="140" spans="1:11" x14ac:dyDescent="0.25">
      <c r="A140" s="78">
        <v>46013</v>
      </c>
      <c r="B140" s="21" t="s">
        <v>372</v>
      </c>
      <c r="C140" s="21" t="s">
        <v>20</v>
      </c>
      <c r="D140" s="21" t="s">
        <v>13</v>
      </c>
      <c r="E140" s="21" t="s">
        <v>14</v>
      </c>
      <c r="F140" s="21"/>
      <c r="G140" s="24">
        <v>5250</v>
      </c>
      <c r="H140" s="24"/>
      <c r="J140" s="21" t="s">
        <v>71</v>
      </c>
      <c r="K140" s="24">
        <v>15620.4</v>
      </c>
    </row>
    <row r="141" spans="1:11" x14ac:dyDescent="0.25">
      <c r="A141" s="21" t="s">
        <v>446</v>
      </c>
      <c r="B141" s="21" t="s">
        <v>370</v>
      </c>
      <c r="C141" s="21" t="s">
        <v>12</v>
      </c>
      <c r="D141" s="21" t="s">
        <v>19</v>
      </c>
      <c r="E141" s="21" t="s">
        <v>17</v>
      </c>
      <c r="F141" s="21" t="s">
        <v>25</v>
      </c>
      <c r="G141" s="24">
        <v>78</v>
      </c>
      <c r="H141" s="24"/>
      <c r="J141" s="21" t="s">
        <v>446</v>
      </c>
      <c r="K141" s="24">
        <v>15542.4</v>
      </c>
    </row>
    <row r="142" spans="1:11" x14ac:dyDescent="0.25">
      <c r="A142" s="78">
        <v>46014</v>
      </c>
      <c r="B142" s="21" t="s">
        <v>447</v>
      </c>
      <c r="C142" s="21" t="s">
        <v>12</v>
      </c>
      <c r="D142" s="21" t="s">
        <v>19</v>
      </c>
      <c r="E142" s="21" t="s">
        <v>17</v>
      </c>
      <c r="F142" s="21"/>
      <c r="G142" s="24">
        <v>3941.02</v>
      </c>
      <c r="H142" s="24"/>
      <c r="J142" s="21" t="s">
        <v>71</v>
      </c>
      <c r="K142" s="24">
        <v>11601.38</v>
      </c>
    </row>
    <row r="143" spans="1:11" x14ac:dyDescent="0.25">
      <c r="A143" s="78">
        <v>46014</v>
      </c>
      <c r="B143" s="21" t="s">
        <v>394</v>
      </c>
      <c r="C143" s="21" t="s">
        <v>12</v>
      </c>
      <c r="D143" s="21" t="s">
        <v>19</v>
      </c>
      <c r="E143" s="21" t="s">
        <v>17</v>
      </c>
      <c r="F143" s="21"/>
      <c r="G143" s="24">
        <v>792</v>
      </c>
      <c r="H143" s="24"/>
      <c r="J143" s="21" t="s">
        <v>71</v>
      </c>
      <c r="K143" s="24">
        <v>10809.38</v>
      </c>
    </row>
    <row r="144" spans="1:11" x14ac:dyDescent="0.25">
      <c r="A144" s="78">
        <v>46014</v>
      </c>
      <c r="B144" s="21" t="s">
        <v>394</v>
      </c>
      <c r="C144" s="21" t="s">
        <v>12</v>
      </c>
      <c r="D144" s="21" t="s">
        <v>19</v>
      </c>
      <c r="E144" s="21" t="s">
        <v>17</v>
      </c>
      <c r="F144" s="21"/>
      <c r="G144" s="24">
        <v>1871.04</v>
      </c>
      <c r="H144" s="24"/>
      <c r="J144" s="21" t="s">
        <v>71</v>
      </c>
      <c r="K144" s="24">
        <v>8938.34</v>
      </c>
    </row>
    <row r="145" spans="1:11" x14ac:dyDescent="0.25">
      <c r="A145" s="78">
        <v>46014</v>
      </c>
      <c r="B145" s="21" t="s">
        <v>401</v>
      </c>
      <c r="C145" s="21" t="s">
        <v>12</v>
      </c>
      <c r="D145" s="21" t="s">
        <v>13</v>
      </c>
      <c r="E145" s="21" t="s">
        <v>14</v>
      </c>
      <c r="F145" s="21" t="s">
        <v>15</v>
      </c>
      <c r="G145" s="24">
        <v>235</v>
      </c>
      <c r="H145" s="24"/>
      <c r="J145" s="21" t="s">
        <v>71</v>
      </c>
      <c r="K145" s="24">
        <v>8703.34</v>
      </c>
    </row>
    <row r="146" spans="1:11" x14ac:dyDescent="0.25">
      <c r="A146" s="80">
        <v>46014</v>
      </c>
      <c r="B146" s="21" t="s">
        <v>330</v>
      </c>
      <c r="C146" s="21" t="s">
        <v>20</v>
      </c>
      <c r="D146" s="21" t="s">
        <v>13</v>
      </c>
      <c r="E146" s="21"/>
      <c r="F146" s="21"/>
      <c r="G146" s="24">
        <v>6430</v>
      </c>
      <c r="H146" s="24"/>
      <c r="J146" s="21" t="s">
        <v>71</v>
      </c>
      <c r="K146" s="24">
        <v>15133.34</v>
      </c>
    </row>
    <row r="147" spans="1:11" x14ac:dyDescent="0.25">
      <c r="A147" s="78">
        <v>46014</v>
      </c>
      <c r="B147" s="21" t="s">
        <v>44</v>
      </c>
      <c r="C147" s="21" t="s">
        <v>20</v>
      </c>
      <c r="D147" s="21" t="s">
        <v>22</v>
      </c>
      <c r="E147" s="21" t="s">
        <v>17</v>
      </c>
      <c r="F147" s="21"/>
      <c r="G147" s="24">
        <v>40.24</v>
      </c>
      <c r="H147" s="24"/>
      <c r="J147" s="21" t="s">
        <v>71</v>
      </c>
      <c r="K147" s="24">
        <v>15173.58</v>
      </c>
    </row>
    <row r="148" spans="1:11" x14ac:dyDescent="0.25">
      <c r="A148" s="21" t="s">
        <v>448</v>
      </c>
      <c r="B148" s="21" t="s">
        <v>45</v>
      </c>
      <c r="C148" s="21" t="s">
        <v>12</v>
      </c>
      <c r="D148" s="21" t="s">
        <v>24</v>
      </c>
      <c r="E148" s="21" t="s">
        <v>17</v>
      </c>
      <c r="F148" s="21" t="s">
        <v>25</v>
      </c>
      <c r="G148" s="24">
        <v>18</v>
      </c>
      <c r="H148" s="24"/>
      <c r="J148" s="21" t="s">
        <v>448</v>
      </c>
      <c r="K148" s="24">
        <v>15155.58</v>
      </c>
    </row>
    <row r="149" spans="1:11" x14ac:dyDescent="0.25">
      <c r="A149" s="78">
        <v>46015</v>
      </c>
      <c r="B149" s="21" t="s">
        <v>309</v>
      </c>
      <c r="C149" s="21" t="s">
        <v>12</v>
      </c>
      <c r="D149" s="21" t="s">
        <v>19</v>
      </c>
      <c r="E149" s="21" t="s">
        <v>17</v>
      </c>
      <c r="F149" s="21"/>
      <c r="G149" s="24">
        <v>2675.38</v>
      </c>
      <c r="H149" s="24"/>
      <c r="J149" s="21" t="s">
        <v>71</v>
      </c>
      <c r="K149" s="24">
        <v>12480.2</v>
      </c>
    </row>
    <row r="150" spans="1:11" x14ac:dyDescent="0.25">
      <c r="A150" s="78">
        <v>46015</v>
      </c>
      <c r="B150" s="21" t="s">
        <v>395</v>
      </c>
      <c r="C150" s="21" t="s">
        <v>12</v>
      </c>
      <c r="D150" s="21" t="s">
        <v>19</v>
      </c>
      <c r="E150" s="21" t="s">
        <v>17</v>
      </c>
      <c r="F150" s="21"/>
      <c r="G150" s="24">
        <v>777</v>
      </c>
      <c r="H150" s="24"/>
      <c r="J150" s="21" t="s">
        <v>71</v>
      </c>
      <c r="K150" s="24">
        <v>11703.2</v>
      </c>
    </row>
    <row r="151" spans="1:11" x14ac:dyDescent="0.25">
      <c r="A151" s="78">
        <v>45650</v>
      </c>
      <c r="B151" s="21" t="s">
        <v>330</v>
      </c>
      <c r="C151" s="21" t="s">
        <v>20</v>
      </c>
      <c r="D151" s="21" t="s">
        <v>13</v>
      </c>
      <c r="E151" s="21"/>
      <c r="F151" s="21"/>
      <c r="G151" s="24">
        <v>5413</v>
      </c>
      <c r="H151" s="24"/>
      <c r="J151" s="21" t="s">
        <v>449</v>
      </c>
      <c r="K151" s="24">
        <v>17116.2</v>
      </c>
    </row>
    <row r="152" spans="1:11" x14ac:dyDescent="0.25">
      <c r="A152" s="78">
        <v>46015</v>
      </c>
      <c r="B152" s="21" t="s">
        <v>44</v>
      </c>
      <c r="C152" s="21" t="s">
        <v>20</v>
      </c>
      <c r="D152" s="21" t="s">
        <v>13</v>
      </c>
      <c r="E152" s="21" t="s">
        <v>17</v>
      </c>
      <c r="F152" s="21"/>
      <c r="G152" s="24">
        <v>151.79</v>
      </c>
      <c r="H152" s="24"/>
      <c r="J152" s="21" t="s">
        <v>71</v>
      </c>
      <c r="K152" s="24">
        <v>17267.990000000002</v>
      </c>
    </row>
    <row r="153" spans="1:11" x14ac:dyDescent="0.25">
      <c r="A153" s="78">
        <v>46015</v>
      </c>
      <c r="B153" s="21" t="s">
        <v>45</v>
      </c>
      <c r="C153" s="21" t="s">
        <v>12</v>
      </c>
      <c r="D153" s="21" t="s">
        <v>24</v>
      </c>
      <c r="E153" s="21" t="s">
        <v>17</v>
      </c>
      <c r="F153" s="21" t="s">
        <v>25</v>
      </c>
      <c r="G153" s="24">
        <v>18</v>
      </c>
      <c r="H153" s="24"/>
      <c r="J153" s="21" t="s">
        <v>71</v>
      </c>
      <c r="K153" s="24">
        <v>17249.990000000002</v>
      </c>
    </row>
    <row r="154" spans="1:11" x14ac:dyDescent="0.25">
      <c r="A154" s="78">
        <v>46017</v>
      </c>
      <c r="B154" s="21" t="s">
        <v>401</v>
      </c>
      <c r="C154" s="21" t="s">
        <v>12</v>
      </c>
      <c r="D154" s="21" t="s">
        <v>19</v>
      </c>
      <c r="E154" s="21" t="s">
        <v>14</v>
      </c>
      <c r="F154" s="21" t="s">
        <v>15</v>
      </c>
      <c r="G154" s="24">
        <v>282</v>
      </c>
      <c r="H154" s="24"/>
      <c r="J154" s="21" t="s">
        <v>71</v>
      </c>
      <c r="K154" s="24">
        <v>16967.990000000002</v>
      </c>
    </row>
    <row r="155" spans="1:11" x14ac:dyDescent="0.25">
      <c r="A155" s="78">
        <v>46017</v>
      </c>
      <c r="B155" s="21" t="s">
        <v>415</v>
      </c>
      <c r="C155" s="21" t="s">
        <v>12</v>
      </c>
      <c r="D155" s="21" t="s">
        <v>19</v>
      </c>
      <c r="E155" s="21" t="s">
        <v>17</v>
      </c>
      <c r="F155" s="21" t="s">
        <v>25</v>
      </c>
      <c r="G155" s="24">
        <v>240</v>
      </c>
      <c r="H155" s="24"/>
      <c r="J155" s="21" t="s">
        <v>71</v>
      </c>
      <c r="K155" s="24">
        <v>16727.990000000002</v>
      </c>
    </row>
    <row r="156" spans="1:11" x14ac:dyDescent="0.25">
      <c r="A156" s="78">
        <v>46017</v>
      </c>
      <c r="B156" s="21" t="s">
        <v>450</v>
      </c>
      <c r="C156" s="21" t="s">
        <v>12</v>
      </c>
      <c r="D156" s="21" t="s">
        <v>19</v>
      </c>
      <c r="E156" s="21" t="s">
        <v>17</v>
      </c>
      <c r="F156" s="21" t="s">
        <v>25</v>
      </c>
      <c r="G156" s="24">
        <v>378.5</v>
      </c>
      <c r="H156" s="24"/>
      <c r="J156" s="21" t="s">
        <v>71</v>
      </c>
      <c r="K156" s="24">
        <v>16349.49</v>
      </c>
    </row>
    <row r="157" spans="1:11" x14ac:dyDescent="0.25">
      <c r="A157" s="78">
        <v>46017</v>
      </c>
      <c r="B157" s="21" t="s">
        <v>11</v>
      </c>
      <c r="C157" s="21" t="s">
        <v>12</v>
      </c>
      <c r="D157" s="21" t="s">
        <v>19</v>
      </c>
      <c r="E157" s="21" t="s">
        <v>14</v>
      </c>
      <c r="F157" s="21" t="s">
        <v>15</v>
      </c>
      <c r="G157" s="24">
        <v>329</v>
      </c>
      <c r="H157" s="24"/>
      <c r="J157" s="21" t="s">
        <v>71</v>
      </c>
      <c r="K157" s="24">
        <v>16020.49</v>
      </c>
    </row>
    <row r="158" spans="1:11" x14ac:dyDescent="0.25">
      <c r="A158" s="78">
        <v>46017</v>
      </c>
      <c r="B158" s="21" t="s">
        <v>370</v>
      </c>
      <c r="C158" s="21" t="s">
        <v>12</v>
      </c>
      <c r="D158" s="21" t="s">
        <v>19</v>
      </c>
      <c r="E158" s="21" t="s">
        <v>17</v>
      </c>
      <c r="F158" s="21" t="s">
        <v>25</v>
      </c>
      <c r="G158" s="24">
        <v>834.75</v>
      </c>
      <c r="H158" s="24"/>
      <c r="J158" s="21" t="s">
        <v>71</v>
      </c>
      <c r="K158" s="24">
        <v>15185.74</v>
      </c>
    </row>
    <row r="159" spans="1:11" x14ac:dyDescent="0.25">
      <c r="A159" s="78">
        <v>46017</v>
      </c>
      <c r="B159" s="21" t="s">
        <v>13</v>
      </c>
      <c r="C159" s="21" t="s">
        <v>20</v>
      </c>
      <c r="D159" s="21" t="s">
        <v>13</v>
      </c>
      <c r="E159" s="21"/>
      <c r="F159" s="21"/>
      <c r="G159" s="24">
        <v>10522</v>
      </c>
      <c r="H159" s="24"/>
      <c r="J159" s="21" t="s">
        <v>71</v>
      </c>
      <c r="K159" s="24">
        <v>25707.74</v>
      </c>
    </row>
    <row r="160" spans="1:11" x14ac:dyDescent="0.25">
      <c r="A160" s="78">
        <v>46017</v>
      </c>
      <c r="B160" s="21" t="s">
        <v>44</v>
      </c>
      <c r="C160" s="21" t="s">
        <v>20</v>
      </c>
      <c r="D160" s="21" t="s">
        <v>22</v>
      </c>
      <c r="E160" s="21" t="s">
        <v>17</v>
      </c>
      <c r="F160" s="21"/>
      <c r="G160" s="24">
        <v>275.95</v>
      </c>
      <c r="H160" s="24"/>
      <c r="J160" s="21" t="s">
        <v>71</v>
      </c>
      <c r="K160" s="24">
        <v>25983.69</v>
      </c>
    </row>
    <row r="161" spans="1:11" x14ac:dyDescent="0.25">
      <c r="A161" s="78">
        <v>46017</v>
      </c>
      <c r="B161" s="21" t="s">
        <v>45</v>
      </c>
      <c r="C161" s="21" t="s">
        <v>12</v>
      </c>
      <c r="D161" s="21" t="s">
        <v>24</v>
      </c>
      <c r="E161" s="21" t="s">
        <v>17</v>
      </c>
      <c r="F161" s="21" t="s">
        <v>25</v>
      </c>
      <c r="G161" s="24">
        <v>43</v>
      </c>
      <c r="H161" s="24"/>
      <c r="J161" s="21" t="s">
        <v>71</v>
      </c>
      <c r="K161" s="24">
        <v>25940.69</v>
      </c>
    </row>
    <row r="162" spans="1:11" x14ac:dyDescent="0.25">
      <c r="A162" s="78">
        <v>46017</v>
      </c>
      <c r="B162" s="21" t="s">
        <v>451</v>
      </c>
      <c r="C162" s="21" t="s">
        <v>12</v>
      </c>
      <c r="D162" s="21" t="s">
        <v>33</v>
      </c>
      <c r="E162" s="21" t="s">
        <v>14</v>
      </c>
      <c r="F162" s="21" t="s">
        <v>15</v>
      </c>
      <c r="G162" s="24">
        <v>120</v>
      </c>
      <c r="H162" s="24"/>
      <c r="J162" s="21" t="s">
        <v>71</v>
      </c>
      <c r="K162" s="24">
        <v>25820.69</v>
      </c>
    </row>
    <row r="163" spans="1:11" x14ac:dyDescent="0.25">
      <c r="A163" s="78">
        <v>46017</v>
      </c>
      <c r="B163" s="21" t="s">
        <v>452</v>
      </c>
      <c r="C163" s="21" t="s">
        <v>12</v>
      </c>
      <c r="D163" s="21" t="s">
        <v>33</v>
      </c>
      <c r="E163" s="21" t="s">
        <v>14</v>
      </c>
      <c r="F163" s="21" t="s">
        <v>15</v>
      </c>
      <c r="G163" s="24">
        <v>150</v>
      </c>
      <c r="H163" s="24"/>
      <c r="J163" s="21" t="s">
        <v>71</v>
      </c>
      <c r="K163" s="24">
        <v>25670.69</v>
      </c>
    </row>
    <row r="164" spans="1:11" x14ac:dyDescent="0.25">
      <c r="A164" s="78">
        <v>46018</v>
      </c>
      <c r="B164" s="21" t="s">
        <v>339</v>
      </c>
      <c r="C164" s="21" t="s">
        <v>12</v>
      </c>
      <c r="D164" s="21" t="s">
        <v>33</v>
      </c>
      <c r="E164" s="21" t="s">
        <v>14</v>
      </c>
      <c r="F164" s="21" t="s">
        <v>15</v>
      </c>
      <c r="G164" s="24">
        <v>120</v>
      </c>
      <c r="H164" s="24"/>
      <c r="J164" s="21" t="s">
        <v>71</v>
      </c>
      <c r="K164" s="24">
        <v>25550.69</v>
      </c>
    </row>
    <row r="165" spans="1:11" x14ac:dyDescent="0.25">
      <c r="A165" s="78">
        <v>46018</v>
      </c>
      <c r="B165" s="21" t="s">
        <v>330</v>
      </c>
      <c r="C165" s="21" t="s">
        <v>20</v>
      </c>
      <c r="D165" s="21" t="s">
        <v>13</v>
      </c>
      <c r="E165" s="21"/>
      <c r="F165" s="21"/>
      <c r="G165" s="24">
        <v>11431</v>
      </c>
      <c r="H165" s="24"/>
      <c r="J165" s="21" t="s">
        <v>71</v>
      </c>
      <c r="K165" s="24">
        <v>36981.69</v>
      </c>
    </row>
    <row r="166" spans="1:11" x14ac:dyDescent="0.25">
      <c r="A166" s="78">
        <v>46018</v>
      </c>
      <c r="B166" s="21" t="s">
        <v>44</v>
      </c>
      <c r="C166" s="21" t="s">
        <v>20</v>
      </c>
      <c r="D166" s="21" t="s">
        <v>22</v>
      </c>
      <c r="E166" s="21" t="s">
        <v>17</v>
      </c>
      <c r="F166" s="21"/>
      <c r="G166" s="24">
        <v>59.53</v>
      </c>
      <c r="H166" s="24"/>
      <c r="J166" s="21" t="s">
        <v>71</v>
      </c>
      <c r="K166" s="24">
        <v>37041.22</v>
      </c>
    </row>
    <row r="167" spans="1:11" x14ac:dyDescent="0.25">
      <c r="A167" s="78">
        <v>46018</v>
      </c>
      <c r="B167" s="21" t="s">
        <v>45</v>
      </c>
      <c r="C167" s="21" t="s">
        <v>12</v>
      </c>
      <c r="D167" s="21" t="s">
        <v>24</v>
      </c>
      <c r="E167" s="21" t="s">
        <v>17</v>
      </c>
      <c r="F167" s="21" t="s">
        <v>25</v>
      </c>
      <c r="G167" s="24">
        <v>18</v>
      </c>
      <c r="H167" s="24"/>
      <c r="J167" s="21" t="s">
        <v>71</v>
      </c>
      <c r="K167" s="24">
        <v>37023.22</v>
      </c>
    </row>
    <row r="168" spans="1:11" x14ac:dyDescent="0.25">
      <c r="A168" s="78">
        <v>46019</v>
      </c>
      <c r="B168" s="21" t="s">
        <v>453</v>
      </c>
      <c r="C168" s="21" t="s">
        <v>12</v>
      </c>
      <c r="D168" s="21" t="s">
        <v>19</v>
      </c>
      <c r="E168" s="21"/>
      <c r="F168" s="21"/>
      <c r="G168" s="24">
        <v>248.76</v>
      </c>
      <c r="H168" s="24"/>
      <c r="I168" s="21" t="s">
        <v>454</v>
      </c>
      <c r="J168" s="21" t="s">
        <v>71</v>
      </c>
      <c r="K168" s="24">
        <v>36774.46</v>
      </c>
    </row>
    <row r="169" spans="1:11" x14ac:dyDescent="0.25">
      <c r="A169" s="78">
        <v>46019</v>
      </c>
      <c r="B169" s="21" t="s">
        <v>33</v>
      </c>
      <c r="C169" s="21" t="s">
        <v>12</v>
      </c>
      <c r="D169" s="21" t="s">
        <v>33</v>
      </c>
      <c r="E169" s="21" t="s">
        <v>14</v>
      </c>
      <c r="F169" s="21" t="s">
        <v>15</v>
      </c>
      <c r="G169" s="24">
        <v>270</v>
      </c>
      <c r="H169" s="24"/>
      <c r="J169" s="21" t="s">
        <v>71</v>
      </c>
      <c r="K169" s="24">
        <v>36504.46</v>
      </c>
    </row>
    <row r="170" spans="1:11" x14ac:dyDescent="0.25">
      <c r="A170" s="78">
        <v>46019</v>
      </c>
      <c r="B170" s="21" t="s">
        <v>372</v>
      </c>
      <c r="C170" s="21" t="s">
        <v>20</v>
      </c>
      <c r="D170" s="21" t="s">
        <v>13</v>
      </c>
      <c r="E170" s="21"/>
      <c r="F170" s="21"/>
      <c r="G170" s="24">
        <v>12041</v>
      </c>
      <c r="H170" s="24"/>
      <c r="J170" s="21" t="s">
        <v>71</v>
      </c>
      <c r="K170" s="24">
        <v>48545.46</v>
      </c>
    </row>
    <row r="171" spans="1:11" x14ac:dyDescent="0.25">
      <c r="A171" s="78">
        <v>46019</v>
      </c>
      <c r="B171" s="21" t="s">
        <v>44</v>
      </c>
      <c r="C171" s="21" t="s">
        <v>20</v>
      </c>
      <c r="D171" s="21" t="s">
        <v>22</v>
      </c>
      <c r="E171" s="21" t="s">
        <v>17</v>
      </c>
      <c r="F171" s="21"/>
      <c r="G171" s="24">
        <v>461.78</v>
      </c>
      <c r="H171" s="24"/>
      <c r="J171" s="21" t="s">
        <v>71</v>
      </c>
      <c r="K171" s="24">
        <v>49007.24</v>
      </c>
    </row>
    <row r="172" spans="1:11" x14ac:dyDescent="0.25">
      <c r="A172" s="78">
        <v>46019</v>
      </c>
      <c r="B172" s="21" t="s">
        <v>23</v>
      </c>
      <c r="C172" s="21" t="s">
        <v>12</v>
      </c>
      <c r="D172" s="21" t="s">
        <v>24</v>
      </c>
      <c r="E172" s="21" t="s">
        <v>17</v>
      </c>
      <c r="F172" s="21" t="s">
        <v>25</v>
      </c>
      <c r="G172" s="24">
        <v>70</v>
      </c>
      <c r="H172" s="24"/>
      <c r="J172" s="21" t="s">
        <v>71</v>
      </c>
      <c r="K172" s="24">
        <v>48937.24</v>
      </c>
    </row>
    <row r="173" spans="1:11" x14ac:dyDescent="0.25">
      <c r="A173" s="78">
        <v>46020</v>
      </c>
      <c r="B173" s="21" t="s">
        <v>366</v>
      </c>
      <c r="C173" s="21" t="s">
        <v>12</v>
      </c>
      <c r="D173" s="21" t="s">
        <v>19</v>
      </c>
      <c r="E173" s="21" t="s">
        <v>17</v>
      </c>
      <c r="F173" s="21" t="s">
        <v>25</v>
      </c>
      <c r="G173" s="24">
        <v>378.5</v>
      </c>
      <c r="H173" s="24"/>
      <c r="J173" s="21" t="s">
        <v>71</v>
      </c>
      <c r="K173" s="24">
        <v>48558.74</v>
      </c>
    </row>
    <row r="174" spans="1:11" x14ac:dyDescent="0.25">
      <c r="A174" s="78">
        <v>46020</v>
      </c>
      <c r="B174" s="21" t="s">
        <v>455</v>
      </c>
      <c r="C174" s="21" t="s">
        <v>12</v>
      </c>
      <c r="D174" s="21" t="s">
        <v>62</v>
      </c>
      <c r="E174" s="21" t="s">
        <v>14</v>
      </c>
      <c r="F174" s="21" t="s">
        <v>15</v>
      </c>
      <c r="G174" s="24">
        <v>227.65</v>
      </c>
      <c r="H174" s="24"/>
      <c r="J174" s="21" t="s">
        <v>71</v>
      </c>
      <c r="K174" s="24">
        <v>48331.09</v>
      </c>
    </row>
    <row r="175" spans="1:11" x14ac:dyDescent="0.25">
      <c r="A175" s="78">
        <v>46020</v>
      </c>
      <c r="B175" s="21" t="s">
        <v>45</v>
      </c>
      <c r="C175" s="21" t="s">
        <v>12</v>
      </c>
      <c r="D175" s="21" t="s">
        <v>24</v>
      </c>
      <c r="E175" s="21" t="s">
        <v>17</v>
      </c>
      <c r="F175" s="21" t="s">
        <v>25</v>
      </c>
      <c r="G175" s="24">
        <v>26</v>
      </c>
      <c r="H175" s="24"/>
      <c r="J175" s="21" t="s">
        <v>71</v>
      </c>
      <c r="K175" s="24">
        <v>48305.09</v>
      </c>
    </row>
    <row r="176" spans="1:11" x14ac:dyDescent="0.25">
      <c r="A176" s="78">
        <v>46020</v>
      </c>
      <c r="B176" s="21" t="s">
        <v>456</v>
      </c>
      <c r="C176" s="21" t="s">
        <v>12</v>
      </c>
      <c r="D176" s="21" t="s">
        <v>33</v>
      </c>
      <c r="E176" s="21" t="s">
        <v>14</v>
      </c>
      <c r="F176" s="21" t="s">
        <v>15</v>
      </c>
      <c r="G176" s="24">
        <v>50</v>
      </c>
      <c r="H176" s="24"/>
      <c r="J176" s="21" t="s">
        <v>71</v>
      </c>
      <c r="K176" s="24">
        <v>48255.09</v>
      </c>
    </row>
    <row r="177" spans="1:11" x14ac:dyDescent="0.25">
      <c r="A177" s="21" t="s">
        <v>457</v>
      </c>
      <c r="B177" s="21" t="s">
        <v>401</v>
      </c>
      <c r="C177" s="21" t="s">
        <v>12</v>
      </c>
      <c r="D177" s="21" t="s">
        <v>19</v>
      </c>
      <c r="E177" s="21" t="s">
        <v>14</v>
      </c>
      <c r="F177" s="21" t="s">
        <v>15</v>
      </c>
      <c r="G177" s="24">
        <v>235</v>
      </c>
      <c r="H177" s="24"/>
      <c r="J177" s="21" t="s">
        <v>457</v>
      </c>
      <c r="K177" s="24">
        <v>48020.09</v>
      </c>
    </row>
    <row r="178" spans="1:11" x14ac:dyDescent="0.25">
      <c r="A178" s="78">
        <v>46020</v>
      </c>
      <c r="B178" s="21" t="s">
        <v>30</v>
      </c>
      <c r="C178" s="21" t="s">
        <v>20</v>
      </c>
      <c r="D178" s="21" t="s">
        <v>13</v>
      </c>
      <c r="E178" s="21"/>
      <c r="F178" s="21"/>
      <c r="G178" s="24">
        <v>6090</v>
      </c>
      <c r="H178" s="24"/>
      <c r="J178" s="21" t="s">
        <v>71</v>
      </c>
      <c r="K178" s="24">
        <v>54110.09</v>
      </c>
    </row>
    <row r="179" spans="1:11" x14ac:dyDescent="0.25">
      <c r="A179" s="78">
        <v>46020</v>
      </c>
      <c r="B179" s="21" t="s">
        <v>44</v>
      </c>
      <c r="C179" s="21" t="s">
        <v>20</v>
      </c>
      <c r="D179" s="21" t="s">
        <v>22</v>
      </c>
      <c r="E179" s="21" t="s">
        <v>17</v>
      </c>
      <c r="F179" s="21"/>
      <c r="G179" s="24">
        <v>284.18</v>
      </c>
      <c r="H179" s="24"/>
      <c r="J179" s="21" t="s">
        <v>71</v>
      </c>
      <c r="K179" s="24">
        <v>54394.27</v>
      </c>
    </row>
    <row r="180" spans="1:11" x14ac:dyDescent="0.25">
      <c r="A180" s="78">
        <v>46021</v>
      </c>
      <c r="B180" s="21" t="s">
        <v>400</v>
      </c>
      <c r="C180" s="21" t="s">
        <v>12</v>
      </c>
      <c r="D180" s="21" t="s">
        <v>39</v>
      </c>
      <c r="E180" s="21" t="s">
        <v>17</v>
      </c>
      <c r="F180" s="21"/>
      <c r="G180" s="24">
        <v>370</v>
      </c>
      <c r="H180" s="24"/>
      <c r="J180" s="21" t="s">
        <v>71</v>
      </c>
      <c r="K180" s="24">
        <v>54024.27</v>
      </c>
    </row>
    <row r="181" spans="1:11" x14ac:dyDescent="0.25">
      <c r="A181" s="78">
        <v>46021</v>
      </c>
      <c r="B181" s="21" t="s">
        <v>458</v>
      </c>
      <c r="C181" s="21" t="s">
        <v>12</v>
      </c>
      <c r="D181" s="21" t="s">
        <v>68</v>
      </c>
      <c r="E181" s="21" t="s">
        <v>17</v>
      </c>
      <c r="F181" s="21"/>
      <c r="G181" s="24">
        <v>600</v>
      </c>
      <c r="H181" s="24"/>
      <c r="J181" s="21" t="s">
        <v>71</v>
      </c>
      <c r="K181" s="24">
        <v>53424.27</v>
      </c>
    </row>
    <row r="182" spans="1:11" x14ac:dyDescent="0.25">
      <c r="A182" s="78">
        <v>46021</v>
      </c>
      <c r="B182" s="21" t="s">
        <v>459</v>
      </c>
      <c r="C182" s="21" t="s">
        <v>12</v>
      </c>
      <c r="D182" s="21" t="s">
        <v>19</v>
      </c>
      <c r="E182" s="21" t="s">
        <v>17</v>
      </c>
      <c r="F182" s="21"/>
      <c r="G182" s="24">
        <v>736</v>
      </c>
      <c r="H182" s="24"/>
      <c r="J182" s="21" t="s">
        <v>71</v>
      </c>
      <c r="K182" s="24">
        <v>52688.27</v>
      </c>
    </row>
    <row r="183" spans="1:11" x14ac:dyDescent="0.25">
      <c r="A183" s="78">
        <v>46021</v>
      </c>
      <c r="B183" s="21" t="s">
        <v>354</v>
      </c>
      <c r="C183" s="21" t="s">
        <v>12</v>
      </c>
      <c r="D183" s="21" t="s">
        <v>19</v>
      </c>
      <c r="E183" s="21" t="s">
        <v>17</v>
      </c>
      <c r="F183" s="21"/>
      <c r="G183" s="24">
        <v>2157.96</v>
      </c>
      <c r="H183" s="24"/>
      <c r="J183" s="21" t="s">
        <v>71</v>
      </c>
      <c r="K183" s="24">
        <v>50530.31</v>
      </c>
    </row>
    <row r="184" spans="1:11" x14ac:dyDescent="0.25">
      <c r="A184" s="78">
        <v>46021</v>
      </c>
      <c r="B184" s="21" t="s">
        <v>353</v>
      </c>
      <c r="C184" s="21" t="s">
        <v>12</v>
      </c>
      <c r="D184" s="21" t="s">
        <v>19</v>
      </c>
      <c r="E184" s="21" t="s">
        <v>17</v>
      </c>
      <c r="F184" s="21"/>
      <c r="G184" s="24">
        <v>1161.5</v>
      </c>
      <c r="H184" s="24"/>
      <c r="J184" s="21" t="s">
        <v>71</v>
      </c>
      <c r="K184" s="24">
        <v>49368.81</v>
      </c>
    </row>
    <row r="185" spans="1:11" x14ac:dyDescent="0.25">
      <c r="A185" s="78">
        <v>46021</v>
      </c>
      <c r="B185" s="21" t="s">
        <v>405</v>
      </c>
      <c r="C185" s="21" t="s">
        <v>12</v>
      </c>
      <c r="D185" s="21" t="s">
        <v>19</v>
      </c>
      <c r="E185" s="21" t="s">
        <v>17</v>
      </c>
      <c r="F185" s="21"/>
      <c r="G185" s="24">
        <v>708.88</v>
      </c>
      <c r="H185" s="24"/>
      <c r="J185" s="21" t="s">
        <v>71</v>
      </c>
      <c r="K185" s="24">
        <v>48659.93</v>
      </c>
    </row>
    <row r="186" spans="1:11" x14ac:dyDescent="0.25">
      <c r="A186" s="78">
        <v>46021</v>
      </c>
      <c r="B186" s="21" t="s">
        <v>13</v>
      </c>
      <c r="C186" s="21" t="s">
        <v>20</v>
      </c>
      <c r="D186" s="21" t="s">
        <v>13</v>
      </c>
      <c r="E186" s="21"/>
      <c r="F186" s="21"/>
      <c r="G186" s="24">
        <v>7250</v>
      </c>
      <c r="H186" s="24"/>
      <c r="J186" s="21" t="s">
        <v>71</v>
      </c>
      <c r="K186" s="24">
        <v>55909.93</v>
      </c>
    </row>
    <row r="187" spans="1:11" x14ac:dyDescent="0.25">
      <c r="A187" s="78">
        <v>46021</v>
      </c>
      <c r="B187" s="21" t="s">
        <v>44</v>
      </c>
      <c r="C187" s="21" t="s">
        <v>20</v>
      </c>
      <c r="D187" s="21" t="s">
        <v>22</v>
      </c>
      <c r="E187" s="21" t="s">
        <v>17</v>
      </c>
      <c r="F187" s="21"/>
      <c r="G187" s="24">
        <v>49.59</v>
      </c>
      <c r="H187" s="24"/>
      <c r="J187" s="21" t="s">
        <v>71</v>
      </c>
      <c r="K187" s="24">
        <v>55959.519999999997</v>
      </c>
    </row>
    <row r="188" spans="1:11" x14ac:dyDescent="0.25">
      <c r="A188" s="78">
        <v>46021</v>
      </c>
      <c r="B188" s="21" t="s">
        <v>23</v>
      </c>
      <c r="C188" s="21" t="s">
        <v>12</v>
      </c>
      <c r="D188" s="21" t="s">
        <v>24</v>
      </c>
      <c r="E188" s="21" t="s">
        <v>17</v>
      </c>
      <c r="F188" s="21" t="s">
        <v>25</v>
      </c>
      <c r="G188" s="24">
        <v>8</v>
      </c>
      <c r="H188" s="24"/>
      <c r="J188" s="21" t="s">
        <v>71</v>
      </c>
      <c r="K188" s="24">
        <v>55951.519999999997</v>
      </c>
    </row>
    <row r="189" spans="1:11" x14ac:dyDescent="0.25">
      <c r="A189" s="78">
        <v>46021</v>
      </c>
      <c r="B189" s="21" t="s">
        <v>11</v>
      </c>
      <c r="C189" s="21" t="s">
        <v>12</v>
      </c>
      <c r="D189" s="21" t="s">
        <v>19</v>
      </c>
      <c r="E189" s="21" t="s">
        <v>14</v>
      </c>
      <c r="F189" s="21" t="s">
        <v>15</v>
      </c>
      <c r="G189" s="24">
        <v>141</v>
      </c>
      <c r="H189" s="24"/>
      <c r="J189" s="21" t="s">
        <v>71</v>
      </c>
      <c r="K189" s="24">
        <v>55810.52</v>
      </c>
    </row>
    <row r="190" spans="1:11" x14ac:dyDescent="0.25">
      <c r="A190" s="78">
        <v>46021</v>
      </c>
      <c r="B190" s="21" t="s">
        <v>417</v>
      </c>
      <c r="C190" s="21" t="s">
        <v>12</v>
      </c>
      <c r="D190" s="21" t="s">
        <v>39</v>
      </c>
      <c r="E190" s="21" t="s">
        <v>14</v>
      </c>
      <c r="F190" s="21" t="s">
        <v>15</v>
      </c>
      <c r="G190" s="24">
        <v>2903.4</v>
      </c>
      <c r="H190" s="24"/>
      <c r="J190" s="21" t="s">
        <v>71</v>
      </c>
      <c r="K190" s="24">
        <v>52907.12</v>
      </c>
    </row>
    <row r="191" spans="1:11" x14ac:dyDescent="0.25">
      <c r="A191" s="78">
        <v>46022</v>
      </c>
      <c r="B191" s="21" t="s">
        <v>460</v>
      </c>
      <c r="C191" s="21" t="s">
        <v>12</v>
      </c>
      <c r="D191" s="21" t="s">
        <v>27</v>
      </c>
      <c r="E191" s="21" t="s">
        <v>17</v>
      </c>
      <c r="F191" s="21" t="s">
        <v>25</v>
      </c>
      <c r="G191" s="24">
        <v>218</v>
      </c>
      <c r="H191" s="24"/>
      <c r="J191" s="21" t="s">
        <v>71</v>
      </c>
      <c r="K191" s="24">
        <v>52689.120000000003</v>
      </c>
    </row>
    <row r="192" spans="1:11" x14ac:dyDescent="0.25">
      <c r="A192" s="78">
        <v>46022</v>
      </c>
      <c r="B192" s="21" t="s">
        <v>13</v>
      </c>
      <c r="C192" s="21" t="s">
        <v>20</v>
      </c>
      <c r="D192" s="21" t="s">
        <v>13</v>
      </c>
      <c r="E192" s="21"/>
      <c r="F192" s="21"/>
      <c r="G192" s="24"/>
      <c r="H192" s="24"/>
      <c r="J192" s="21" t="s">
        <v>71</v>
      </c>
      <c r="K192" s="24">
        <v>52689.120000000003</v>
      </c>
    </row>
    <row r="193" spans="1:11" x14ac:dyDescent="0.25">
      <c r="A193" s="78">
        <v>46022</v>
      </c>
      <c r="B193" s="21" t="s">
        <v>44</v>
      </c>
      <c r="C193" s="21" t="s">
        <v>20</v>
      </c>
      <c r="D193" s="21" t="s">
        <v>22</v>
      </c>
      <c r="E193" s="21"/>
      <c r="F193" s="21"/>
      <c r="G193" s="24"/>
      <c r="H193" s="24"/>
      <c r="J193" s="21" t="s">
        <v>71</v>
      </c>
      <c r="K193" s="24">
        <v>52689.120000000003</v>
      </c>
    </row>
    <row r="194" spans="1:11" x14ac:dyDescent="0.25">
      <c r="A194" s="78">
        <v>46022</v>
      </c>
      <c r="B194" s="21" t="s">
        <v>23</v>
      </c>
      <c r="C194" s="21" t="s">
        <v>12</v>
      </c>
      <c r="D194" s="21" t="s">
        <v>24</v>
      </c>
      <c r="E194" s="21" t="s">
        <v>17</v>
      </c>
      <c r="F194" s="21" t="s">
        <v>25</v>
      </c>
      <c r="G194" s="24"/>
      <c r="H194" s="24"/>
      <c r="J194" s="21" t="s">
        <v>71</v>
      </c>
      <c r="K194" s="24">
        <v>52689.120000000003</v>
      </c>
    </row>
    <row r="195" spans="1:11" x14ac:dyDescent="0.25">
      <c r="A195" s="78">
        <v>46022</v>
      </c>
      <c r="B195" s="21" t="s">
        <v>315</v>
      </c>
      <c r="C195" s="21" t="s">
        <v>12</v>
      </c>
      <c r="D195" s="21" t="s">
        <v>27</v>
      </c>
      <c r="E195" s="21" t="s">
        <v>17</v>
      </c>
      <c r="F195" s="21"/>
      <c r="G195" s="24">
        <v>2400</v>
      </c>
      <c r="H195" s="24"/>
      <c r="J195" s="21" t="s">
        <v>71</v>
      </c>
      <c r="K195" s="24">
        <v>50289.120000000003</v>
      </c>
    </row>
  </sheetData>
  <autoFilter ref="A1:K195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2:K217"/>
  <sheetViews>
    <sheetView workbookViewId="0"/>
  </sheetViews>
  <sheetFormatPr defaultColWidth="14.42578125" defaultRowHeight="15" customHeight="1" x14ac:dyDescent="0.25"/>
  <sheetData>
    <row r="2" spans="1:11" x14ac:dyDescent="0.25">
      <c r="A2" s="21" t="s">
        <v>1</v>
      </c>
      <c r="B2" s="21" t="s">
        <v>2</v>
      </c>
      <c r="C2" s="21" t="s">
        <v>3</v>
      </c>
      <c r="D2" s="21" t="s">
        <v>4</v>
      </c>
      <c r="E2" s="21" t="s">
        <v>5</v>
      </c>
      <c r="F2" s="21" t="s">
        <v>6</v>
      </c>
      <c r="G2" s="21" t="s">
        <v>7</v>
      </c>
      <c r="H2" s="21"/>
      <c r="I2" s="21" t="s">
        <v>8</v>
      </c>
      <c r="J2" s="21" t="s">
        <v>9</v>
      </c>
      <c r="K2" s="21" t="s">
        <v>10</v>
      </c>
    </row>
    <row r="3" spans="1:11" x14ac:dyDescent="0.25">
      <c r="A3" s="73"/>
      <c r="B3" s="21"/>
      <c r="C3" s="21"/>
      <c r="D3" s="21"/>
      <c r="E3" s="21"/>
      <c r="F3" s="21"/>
      <c r="G3" s="24"/>
      <c r="H3" s="24"/>
      <c r="I3" s="21"/>
      <c r="J3" s="21"/>
      <c r="K3" s="24">
        <v>0</v>
      </c>
    </row>
    <row r="4" spans="1:11" x14ac:dyDescent="0.25">
      <c r="A4" s="78">
        <v>46024</v>
      </c>
      <c r="B4" s="21" t="s">
        <v>16</v>
      </c>
      <c r="C4" s="21" t="s">
        <v>12</v>
      </c>
      <c r="D4" s="21" t="s">
        <v>16</v>
      </c>
      <c r="E4" s="21" t="s">
        <v>17</v>
      </c>
      <c r="F4" s="21"/>
      <c r="G4" s="24">
        <v>13185</v>
      </c>
      <c r="H4" s="24"/>
      <c r="I4" s="21"/>
      <c r="J4" s="21" t="s">
        <v>461</v>
      </c>
      <c r="K4" s="24">
        <v>-13185</v>
      </c>
    </row>
    <row r="5" spans="1:11" x14ac:dyDescent="0.25">
      <c r="A5" s="78">
        <v>46024</v>
      </c>
      <c r="B5" s="21" t="s">
        <v>30</v>
      </c>
      <c r="C5" s="21" t="s">
        <v>20</v>
      </c>
      <c r="D5" s="21" t="s">
        <v>13</v>
      </c>
      <c r="E5" s="21"/>
      <c r="F5" s="21"/>
      <c r="G5" s="24">
        <v>10749</v>
      </c>
      <c r="H5" s="24"/>
      <c r="I5" s="21"/>
      <c r="J5" s="21" t="s">
        <v>461</v>
      </c>
      <c r="K5" s="24">
        <v>-2436</v>
      </c>
    </row>
    <row r="6" spans="1:11" x14ac:dyDescent="0.25">
      <c r="A6" s="78">
        <v>46024</v>
      </c>
      <c r="B6" s="21" t="s">
        <v>21</v>
      </c>
      <c r="C6" s="21" t="s">
        <v>20</v>
      </c>
      <c r="D6" s="21" t="s">
        <v>22</v>
      </c>
      <c r="E6" s="21"/>
      <c r="F6" s="21"/>
      <c r="G6" s="24">
        <v>228.9</v>
      </c>
      <c r="H6" s="24"/>
      <c r="I6" s="21"/>
      <c r="J6" s="21" t="s">
        <v>461</v>
      </c>
      <c r="K6" s="24">
        <v>-2207.1</v>
      </c>
    </row>
    <row r="7" spans="1:11" x14ac:dyDescent="0.25">
      <c r="A7" s="82">
        <v>46024</v>
      </c>
      <c r="B7" s="21" t="s">
        <v>23</v>
      </c>
      <c r="C7" s="21" t="s">
        <v>12</v>
      </c>
      <c r="D7" s="21" t="s">
        <v>24</v>
      </c>
      <c r="E7" s="21" t="s">
        <v>17</v>
      </c>
      <c r="F7" s="21" t="s">
        <v>25</v>
      </c>
      <c r="G7" s="24">
        <v>35</v>
      </c>
      <c r="H7" s="24"/>
      <c r="I7" s="21"/>
      <c r="J7" s="21" t="s">
        <v>461</v>
      </c>
      <c r="K7" s="24">
        <v>-2242.1</v>
      </c>
    </row>
    <row r="8" spans="1:11" x14ac:dyDescent="0.25">
      <c r="A8" s="78">
        <v>46024</v>
      </c>
      <c r="B8" s="21" t="s">
        <v>11</v>
      </c>
      <c r="C8" s="21" t="s">
        <v>12</v>
      </c>
      <c r="D8" s="21" t="s">
        <v>19</v>
      </c>
      <c r="E8" s="21" t="s">
        <v>14</v>
      </c>
      <c r="F8" s="21" t="s">
        <v>15</v>
      </c>
      <c r="G8" s="24">
        <v>188</v>
      </c>
      <c r="H8" s="24"/>
      <c r="I8" s="21"/>
      <c r="J8" s="21" t="s">
        <v>461</v>
      </c>
      <c r="K8" s="24">
        <v>-2430.1</v>
      </c>
    </row>
    <row r="9" spans="1:11" x14ac:dyDescent="0.25">
      <c r="A9" s="78">
        <v>46024</v>
      </c>
      <c r="B9" s="21" t="s">
        <v>366</v>
      </c>
      <c r="C9" s="21" t="s">
        <v>12</v>
      </c>
      <c r="D9" s="21" t="s">
        <v>19</v>
      </c>
      <c r="E9" s="21" t="s">
        <v>17</v>
      </c>
      <c r="F9" s="21" t="s">
        <v>25</v>
      </c>
      <c r="G9" s="24">
        <v>203.5</v>
      </c>
      <c r="H9" s="24"/>
      <c r="I9" s="21"/>
      <c r="J9" s="21" t="s">
        <v>461</v>
      </c>
      <c r="K9" s="24">
        <v>-2633.6</v>
      </c>
    </row>
    <row r="10" spans="1:11" x14ac:dyDescent="0.25">
      <c r="A10" s="78">
        <v>46024</v>
      </c>
      <c r="B10" s="21" t="s">
        <v>462</v>
      </c>
      <c r="C10" s="21" t="s">
        <v>12</v>
      </c>
      <c r="D10" s="21" t="s">
        <v>73</v>
      </c>
      <c r="E10" s="21" t="s">
        <v>17</v>
      </c>
      <c r="F10" s="21"/>
      <c r="G10" s="24">
        <v>5091.58</v>
      </c>
      <c r="H10" s="24"/>
      <c r="I10" s="21"/>
      <c r="J10" s="21" t="s">
        <v>461</v>
      </c>
      <c r="K10" s="24">
        <v>-7725.18</v>
      </c>
    </row>
    <row r="11" spans="1:11" x14ac:dyDescent="0.25">
      <c r="A11" s="78">
        <v>46024</v>
      </c>
      <c r="B11" s="21" t="s">
        <v>463</v>
      </c>
      <c r="C11" s="21" t="s">
        <v>12</v>
      </c>
      <c r="D11" s="21" t="s">
        <v>73</v>
      </c>
      <c r="E11" s="21" t="s">
        <v>17</v>
      </c>
      <c r="F11" s="21" t="s">
        <v>25</v>
      </c>
      <c r="G11" s="24">
        <v>8462.74</v>
      </c>
      <c r="H11" s="24"/>
      <c r="I11" s="21"/>
      <c r="J11" s="21" t="s">
        <v>461</v>
      </c>
      <c r="K11" s="24">
        <v>-16187.92</v>
      </c>
    </row>
    <row r="12" spans="1:11" x14ac:dyDescent="0.25">
      <c r="A12" s="78">
        <v>46056</v>
      </c>
      <c r="B12" s="21" t="s">
        <v>11</v>
      </c>
      <c r="C12" s="21" t="s">
        <v>12</v>
      </c>
      <c r="D12" s="21" t="s">
        <v>19</v>
      </c>
      <c r="E12" s="21" t="s">
        <v>14</v>
      </c>
      <c r="F12" s="21" t="s">
        <v>15</v>
      </c>
      <c r="G12" s="24">
        <v>300</v>
      </c>
      <c r="H12" s="24"/>
      <c r="I12" s="21"/>
      <c r="J12" s="21" t="s">
        <v>464</v>
      </c>
      <c r="K12" s="24">
        <v>-16487.919999999998</v>
      </c>
    </row>
    <row r="13" spans="1:11" x14ac:dyDescent="0.25">
      <c r="A13" s="78">
        <v>46056</v>
      </c>
      <c r="B13" s="21" t="s">
        <v>33</v>
      </c>
      <c r="C13" s="21" t="s">
        <v>12</v>
      </c>
      <c r="D13" s="21" t="s">
        <v>33</v>
      </c>
      <c r="E13" s="21" t="s">
        <v>14</v>
      </c>
      <c r="F13" s="21" t="s">
        <v>15</v>
      </c>
      <c r="G13" s="24">
        <v>150</v>
      </c>
      <c r="H13" s="24"/>
      <c r="I13" s="21"/>
      <c r="J13" s="21" t="s">
        <v>464</v>
      </c>
      <c r="K13" s="24">
        <v>-16637.919999999998</v>
      </c>
    </row>
    <row r="14" spans="1:11" x14ac:dyDescent="0.25">
      <c r="A14" s="78">
        <v>46056</v>
      </c>
      <c r="B14" s="21" t="s">
        <v>13</v>
      </c>
      <c r="C14" s="21" t="s">
        <v>20</v>
      </c>
      <c r="D14" s="21" t="s">
        <v>13</v>
      </c>
      <c r="E14" s="21"/>
      <c r="F14" s="21"/>
      <c r="G14" s="24">
        <v>12622</v>
      </c>
      <c r="H14" s="24"/>
      <c r="I14" s="21"/>
      <c r="J14" s="21" t="s">
        <v>464</v>
      </c>
      <c r="K14" s="24">
        <v>-4015.9199999999978</v>
      </c>
    </row>
    <row r="15" spans="1:11" x14ac:dyDescent="0.25">
      <c r="A15" s="78">
        <v>46056</v>
      </c>
      <c r="B15" s="21" t="s">
        <v>21</v>
      </c>
      <c r="C15" s="21" t="s">
        <v>20</v>
      </c>
      <c r="D15" s="21" t="s">
        <v>22</v>
      </c>
      <c r="E15" s="21" t="s">
        <v>17</v>
      </c>
      <c r="F15" s="21"/>
      <c r="G15" s="24">
        <v>183.15</v>
      </c>
      <c r="H15" s="24"/>
      <c r="I15" s="21"/>
      <c r="J15" s="21" t="s">
        <v>464</v>
      </c>
      <c r="K15" s="24">
        <v>-3832.7699999999982</v>
      </c>
    </row>
    <row r="16" spans="1:11" x14ac:dyDescent="0.25">
      <c r="A16" s="78">
        <v>46056</v>
      </c>
      <c r="B16" s="21" t="s">
        <v>23</v>
      </c>
      <c r="C16" s="21" t="s">
        <v>12</v>
      </c>
      <c r="D16" s="21" t="s">
        <v>24</v>
      </c>
      <c r="E16" s="21" t="s">
        <v>17</v>
      </c>
      <c r="F16" s="21" t="s">
        <v>25</v>
      </c>
      <c r="G16" s="24">
        <v>44</v>
      </c>
      <c r="H16" s="24"/>
      <c r="I16" s="21"/>
      <c r="J16" s="21" t="s">
        <v>464</v>
      </c>
      <c r="K16" s="24">
        <v>-3876.7699999999982</v>
      </c>
    </row>
    <row r="17" spans="1:11" x14ac:dyDescent="0.25">
      <c r="A17" s="78">
        <v>46026</v>
      </c>
      <c r="B17" s="21" t="s">
        <v>11</v>
      </c>
      <c r="C17" s="21" t="s">
        <v>12</v>
      </c>
      <c r="D17" s="21" t="s">
        <v>19</v>
      </c>
      <c r="E17" s="21" t="s">
        <v>14</v>
      </c>
      <c r="F17" s="21" t="s">
        <v>15</v>
      </c>
      <c r="G17" s="24">
        <v>235</v>
      </c>
      <c r="H17" s="24"/>
      <c r="I17" s="21"/>
      <c r="J17" s="21" t="s">
        <v>461</v>
      </c>
      <c r="K17" s="24">
        <v>-4111.7699999999986</v>
      </c>
    </row>
    <row r="18" spans="1:11" x14ac:dyDescent="0.25">
      <c r="A18" s="78">
        <v>46026</v>
      </c>
      <c r="B18" s="21" t="s">
        <v>33</v>
      </c>
      <c r="C18" s="21" t="s">
        <v>12</v>
      </c>
      <c r="D18" s="21" t="s">
        <v>33</v>
      </c>
      <c r="E18" s="21" t="s">
        <v>14</v>
      </c>
      <c r="F18" s="21" t="s">
        <v>15</v>
      </c>
      <c r="G18" s="24">
        <v>270</v>
      </c>
      <c r="H18" s="24"/>
      <c r="I18" s="21"/>
      <c r="J18" s="21" t="s">
        <v>461</v>
      </c>
      <c r="K18" s="24">
        <v>-4381.7699999999986</v>
      </c>
    </row>
    <row r="19" spans="1:11" x14ac:dyDescent="0.25">
      <c r="A19" s="78">
        <v>46026</v>
      </c>
      <c r="B19" s="21" t="s">
        <v>13</v>
      </c>
      <c r="C19" s="21" t="s">
        <v>20</v>
      </c>
      <c r="D19" s="21" t="s">
        <v>13</v>
      </c>
      <c r="E19" s="21"/>
      <c r="F19" s="21"/>
      <c r="G19" s="24">
        <v>12260</v>
      </c>
      <c r="H19" s="24"/>
      <c r="I19" s="21"/>
      <c r="J19" s="21" t="s">
        <v>461</v>
      </c>
      <c r="K19" s="24">
        <v>7878.2300000000014</v>
      </c>
    </row>
    <row r="20" spans="1:11" x14ac:dyDescent="0.25">
      <c r="A20" s="78">
        <v>46026</v>
      </c>
      <c r="B20" s="21" t="s">
        <v>21</v>
      </c>
      <c r="C20" s="21" t="s">
        <v>20</v>
      </c>
      <c r="D20" s="21" t="s">
        <v>22</v>
      </c>
      <c r="E20" s="21" t="s">
        <v>17</v>
      </c>
      <c r="F20" s="21"/>
      <c r="G20" s="24">
        <v>798.02</v>
      </c>
      <c r="H20" s="24"/>
      <c r="I20" s="21"/>
      <c r="J20" s="21" t="s">
        <v>461</v>
      </c>
      <c r="K20" s="24">
        <v>8676.2500000000018</v>
      </c>
    </row>
    <row r="21" spans="1:11" x14ac:dyDescent="0.25">
      <c r="A21" s="78">
        <v>46026</v>
      </c>
      <c r="B21" s="21" t="s">
        <v>23</v>
      </c>
      <c r="C21" s="21" t="s">
        <v>12</v>
      </c>
      <c r="D21" s="21" t="s">
        <v>24</v>
      </c>
      <c r="E21" s="21" t="s">
        <v>17</v>
      </c>
      <c r="F21" s="21" t="s">
        <v>25</v>
      </c>
      <c r="G21" s="24">
        <v>95</v>
      </c>
      <c r="H21" s="24"/>
      <c r="I21" s="21"/>
      <c r="J21" s="21" t="s">
        <v>461</v>
      </c>
      <c r="K21" s="24">
        <v>8581.2500000000018</v>
      </c>
    </row>
    <row r="22" spans="1:11" x14ac:dyDescent="0.25">
      <c r="A22" s="78">
        <v>46027</v>
      </c>
      <c r="B22" s="21" t="s">
        <v>465</v>
      </c>
      <c r="C22" s="21" t="s">
        <v>12</v>
      </c>
      <c r="D22" s="21" t="s">
        <v>62</v>
      </c>
      <c r="E22" s="21" t="s">
        <v>17</v>
      </c>
      <c r="F22" s="21"/>
      <c r="G22" s="24">
        <v>929.88</v>
      </c>
      <c r="H22" s="24"/>
      <c r="I22" s="21"/>
      <c r="J22" s="21" t="s">
        <v>461</v>
      </c>
      <c r="K22" s="24">
        <v>7651.3700000000017</v>
      </c>
    </row>
    <row r="23" spans="1:11" x14ac:dyDescent="0.25">
      <c r="A23" s="78">
        <v>46027</v>
      </c>
      <c r="B23" s="21" t="s">
        <v>344</v>
      </c>
      <c r="C23" s="21" t="s">
        <v>12</v>
      </c>
      <c r="D23" s="21" t="s">
        <v>19</v>
      </c>
      <c r="E23" s="21" t="s">
        <v>17</v>
      </c>
      <c r="F23" s="21"/>
      <c r="G23" s="24">
        <v>1115.22</v>
      </c>
      <c r="H23" s="24"/>
      <c r="I23" s="21"/>
      <c r="J23" s="21" t="s">
        <v>461</v>
      </c>
      <c r="K23" s="24">
        <v>6536.1500000000005</v>
      </c>
    </row>
    <row r="24" spans="1:11" x14ac:dyDescent="0.25">
      <c r="A24" s="78">
        <v>46027</v>
      </c>
      <c r="B24" s="21" t="s">
        <v>344</v>
      </c>
      <c r="C24" s="21" t="s">
        <v>12</v>
      </c>
      <c r="D24" s="21" t="s">
        <v>19</v>
      </c>
      <c r="E24" s="21" t="s">
        <v>17</v>
      </c>
      <c r="F24" s="21"/>
      <c r="G24" s="24">
        <v>833.98</v>
      </c>
      <c r="H24" s="24"/>
      <c r="I24" s="21"/>
      <c r="J24" s="21" t="s">
        <v>461</v>
      </c>
      <c r="K24" s="24">
        <v>5702.1700000000019</v>
      </c>
    </row>
    <row r="25" spans="1:11" x14ac:dyDescent="0.25">
      <c r="A25" s="78">
        <v>46027</v>
      </c>
      <c r="B25" s="21" t="s">
        <v>466</v>
      </c>
      <c r="C25" s="21" t="s">
        <v>12</v>
      </c>
      <c r="D25" s="21" t="s">
        <v>19</v>
      </c>
      <c r="E25" s="21" t="s">
        <v>17</v>
      </c>
      <c r="F25" s="21"/>
      <c r="G25" s="24">
        <v>315</v>
      </c>
      <c r="H25" s="24"/>
      <c r="I25" s="21"/>
      <c r="J25" s="21" t="s">
        <v>461</v>
      </c>
      <c r="K25" s="24">
        <v>5387.1700000000019</v>
      </c>
    </row>
    <row r="26" spans="1:11" x14ac:dyDescent="0.25">
      <c r="A26" s="78">
        <v>46027</v>
      </c>
      <c r="B26" s="21" t="s">
        <v>467</v>
      </c>
      <c r="C26" s="21" t="s">
        <v>12</v>
      </c>
      <c r="D26" s="21" t="s">
        <v>19</v>
      </c>
      <c r="E26" s="21" t="s">
        <v>17</v>
      </c>
      <c r="F26" s="21"/>
      <c r="G26" s="24">
        <v>646</v>
      </c>
      <c r="H26" s="24"/>
      <c r="I26" s="21"/>
      <c r="J26" s="21" t="s">
        <v>461</v>
      </c>
      <c r="K26" s="24">
        <v>4741.1700000000019</v>
      </c>
    </row>
    <row r="27" spans="1:11" x14ac:dyDescent="0.25">
      <c r="A27" s="78">
        <v>46027</v>
      </c>
      <c r="B27" s="21" t="s">
        <v>38</v>
      </c>
      <c r="C27" s="21" t="s">
        <v>12</v>
      </c>
      <c r="D27" s="21" t="s">
        <v>39</v>
      </c>
      <c r="E27" s="21" t="s">
        <v>17</v>
      </c>
      <c r="F27" s="21"/>
      <c r="G27" s="24">
        <v>9000</v>
      </c>
      <c r="H27" s="24"/>
      <c r="I27" s="21"/>
      <c r="J27" s="21" t="s">
        <v>461</v>
      </c>
      <c r="K27" s="24">
        <v>-4258.8299999999981</v>
      </c>
    </row>
    <row r="28" spans="1:11" x14ac:dyDescent="0.25">
      <c r="A28" s="78">
        <v>46027</v>
      </c>
      <c r="B28" s="21" t="s">
        <v>11</v>
      </c>
      <c r="C28" s="21" t="s">
        <v>12</v>
      </c>
      <c r="D28" s="21" t="s">
        <v>19</v>
      </c>
      <c r="E28" s="21" t="s">
        <v>14</v>
      </c>
      <c r="F28" s="21"/>
      <c r="G28" s="24">
        <v>141</v>
      </c>
      <c r="H28" s="24"/>
      <c r="I28" s="21"/>
      <c r="J28" s="21" t="s">
        <v>461</v>
      </c>
      <c r="K28" s="24">
        <v>-4399.8299999999981</v>
      </c>
    </row>
    <row r="29" spans="1:11" x14ac:dyDescent="0.25">
      <c r="A29" s="78">
        <v>46027</v>
      </c>
      <c r="B29" s="21" t="s">
        <v>13</v>
      </c>
      <c r="C29" s="21" t="s">
        <v>20</v>
      </c>
      <c r="D29" s="21" t="s">
        <v>13</v>
      </c>
      <c r="E29" s="21"/>
      <c r="F29" s="21"/>
      <c r="G29" s="24">
        <v>4473</v>
      </c>
      <c r="H29" s="24"/>
      <c r="I29" s="21"/>
      <c r="J29" s="21" t="s">
        <v>461</v>
      </c>
      <c r="K29" s="24">
        <v>73.170000000001892</v>
      </c>
    </row>
    <row r="30" spans="1:11" x14ac:dyDescent="0.25">
      <c r="A30" s="78">
        <v>46027</v>
      </c>
      <c r="B30" s="21" t="s">
        <v>21</v>
      </c>
      <c r="C30" s="21" t="s">
        <v>20</v>
      </c>
      <c r="D30" s="21" t="s">
        <v>22</v>
      </c>
      <c r="E30" s="21" t="s">
        <v>17</v>
      </c>
      <c r="F30" s="21"/>
      <c r="G30" s="24">
        <v>96.29</v>
      </c>
      <c r="H30" s="24"/>
      <c r="I30" s="21"/>
      <c r="J30" s="21" t="s">
        <v>461</v>
      </c>
      <c r="K30" s="24">
        <v>169.46000000000191</v>
      </c>
    </row>
    <row r="31" spans="1:11" x14ac:dyDescent="0.25">
      <c r="A31" s="78">
        <v>46027</v>
      </c>
      <c r="B31" s="21" t="s">
        <v>23</v>
      </c>
      <c r="C31" s="21" t="s">
        <v>12</v>
      </c>
      <c r="D31" s="21" t="s">
        <v>24</v>
      </c>
      <c r="E31" s="21" t="s">
        <v>17</v>
      </c>
      <c r="F31" s="21"/>
      <c r="G31" s="24">
        <v>8</v>
      </c>
      <c r="H31" s="24"/>
      <c r="I31" s="21"/>
      <c r="J31" s="21" t="s">
        <v>461</v>
      </c>
      <c r="K31" s="24">
        <v>161.46000000000191</v>
      </c>
    </row>
    <row r="32" spans="1:11" x14ac:dyDescent="0.25">
      <c r="A32" s="78">
        <v>46027</v>
      </c>
      <c r="B32" s="21" t="s">
        <v>327</v>
      </c>
      <c r="C32" s="21" t="s">
        <v>12</v>
      </c>
      <c r="D32" s="21" t="s">
        <v>327</v>
      </c>
      <c r="E32" s="21" t="s">
        <v>17</v>
      </c>
      <c r="F32" s="21"/>
      <c r="G32" s="24">
        <v>5371.8</v>
      </c>
      <c r="H32" s="24"/>
      <c r="I32" s="21"/>
      <c r="J32" s="21" t="s">
        <v>461</v>
      </c>
      <c r="K32" s="24">
        <v>-5210.3399999999983</v>
      </c>
    </row>
    <row r="33" spans="1:11" x14ac:dyDescent="0.25">
      <c r="A33" s="78">
        <v>46027</v>
      </c>
      <c r="B33" s="21" t="s">
        <v>468</v>
      </c>
      <c r="C33" s="21" t="s">
        <v>12</v>
      </c>
      <c r="D33" s="21" t="s">
        <v>68</v>
      </c>
      <c r="E33" s="21" t="s">
        <v>17</v>
      </c>
      <c r="F33" s="21"/>
      <c r="G33" s="24">
        <v>1000</v>
      </c>
      <c r="H33" s="24"/>
      <c r="I33" s="21"/>
      <c r="J33" s="21" t="s">
        <v>461</v>
      </c>
      <c r="K33" s="24">
        <v>-6210.3399999999983</v>
      </c>
    </row>
    <row r="34" spans="1:11" x14ac:dyDescent="0.25">
      <c r="A34" s="78">
        <v>46028</v>
      </c>
      <c r="B34" s="21" t="s">
        <v>384</v>
      </c>
      <c r="C34" s="21" t="s">
        <v>12</v>
      </c>
      <c r="D34" s="21" t="s">
        <v>62</v>
      </c>
      <c r="E34" s="21" t="s">
        <v>14</v>
      </c>
      <c r="F34" s="21" t="s">
        <v>15</v>
      </c>
      <c r="G34" s="24">
        <v>20</v>
      </c>
      <c r="H34" s="24"/>
      <c r="I34" s="21"/>
      <c r="J34" s="21" t="s">
        <v>461</v>
      </c>
      <c r="K34" s="24">
        <v>-6230.3399999999983</v>
      </c>
    </row>
    <row r="35" spans="1:11" x14ac:dyDescent="0.25">
      <c r="A35" s="78">
        <v>46028</v>
      </c>
      <c r="B35" s="21" t="s">
        <v>13</v>
      </c>
      <c r="C35" s="21" t="s">
        <v>20</v>
      </c>
      <c r="D35" s="21" t="s">
        <v>13</v>
      </c>
      <c r="E35" s="21"/>
      <c r="F35" s="21"/>
      <c r="G35" s="24">
        <v>4131</v>
      </c>
      <c r="H35" s="24"/>
      <c r="I35" s="21"/>
      <c r="J35" s="21" t="s">
        <v>461</v>
      </c>
      <c r="K35" s="24">
        <v>-2099.3399999999979</v>
      </c>
    </row>
    <row r="36" spans="1:11" x14ac:dyDescent="0.25">
      <c r="A36" s="78">
        <v>46028</v>
      </c>
      <c r="B36" s="21" t="s">
        <v>21</v>
      </c>
      <c r="C36" s="21" t="s">
        <v>20</v>
      </c>
      <c r="D36" s="21" t="s">
        <v>22</v>
      </c>
      <c r="E36" s="21" t="s">
        <v>17</v>
      </c>
      <c r="F36" s="21"/>
      <c r="G36" s="24">
        <v>19.600000000000001</v>
      </c>
      <c r="H36" s="24"/>
      <c r="I36" s="21"/>
      <c r="J36" s="21" t="s">
        <v>461</v>
      </c>
      <c r="K36" s="24">
        <v>-2079.739999999998</v>
      </c>
    </row>
    <row r="37" spans="1:11" x14ac:dyDescent="0.25">
      <c r="A37" s="78">
        <v>46028</v>
      </c>
      <c r="B37" s="21" t="s">
        <v>23</v>
      </c>
      <c r="C37" s="21" t="s">
        <v>12</v>
      </c>
      <c r="D37" s="21" t="s">
        <v>24</v>
      </c>
      <c r="E37" s="21" t="s">
        <v>17</v>
      </c>
      <c r="F37" s="21"/>
      <c r="G37" s="24">
        <v>0</v>
      </c>
      <c r="H37" s="24"/>
      <c r="I37" s="21"/>
      <c r="J37" s="21" t="s">
        <v>461</v>
      </c>
      <c r="K37" s="24">
        <v>-2079.739999999998</v>
      </c>
    </row>
    <row r="38" spans="1:11" x14ac:dyDescent="0.25">
      <c r="A38" s="78">
        <v>46028</v>
      </c>
      <c r="B38" s="21" t="s">
        <v>466</v>
      </c>
      <c r="C38" s="21" t="s">
        <v>12</v>
      </c>
      <c r="D38" s="21" t="s">
        <v>19</v>
      </c>
      <c r="E38" s="21" t="s">
        <v>17</v>
      </c>
      <c r="F38" s="21" t="s">
        <v>25</v>
      </c>
      <c r="G38" s="24">
        <v>290</v>
      </c>
      <c r="H38" s="24"/>
      <c r="I38" s="21"/>
      <c r="J38" s="21" t="s">
        <v>461</v>
      </c>
      <c r="K38" s="24">
        <v>-2369.739999999998</v>
      </c>
    </row>
    <row r="39" spans="1:11" x14ac:dyDescent="0.25">
      <c r="A39" s="78">
        <v>46028</v>
      </c>
      <c r="B39" s="21" t="s">
        <v>309</v>
      </c>
      <c r="C39" s="21" t="s">
        <v>12</v>
      </c>
      <c r="D39" s="21" t="s">
        <v>19</v>
      </c>
      <c r="E39" s="21" t="s">
        <v>17</v>
      </c>
      <c r="F39" s="21"/>
      <c r="G39" s="24">
        <v>3208.22</v>
      </c>
      <c r="H39" s="24"/>
      <c r="I39" s="21"/>
      <c r="J39" s="21" t="s">
        <v>461</v>
      </c>
      <c r="K39" s="24">
        <v>-5577.9599999999982</v>
      </c>
    </row>
    <row r="40" spans="1:11" x14ac:dyDescent="0.25">
      <c r="A40" s="78">
        <v>46028</v>
      </c>
      <c r="B40" s="21" t="s">
        <v>371</v>
      </c>
      <c r="C40" s="21" t="s">
        <v>12</v>
      </c>
      <c r="D40" s="21" t="s">
        <v>62</v>
      </c>
      <c r="E40" s="21" t="s">
        <v>17</v>
      </c>
      <c r="F40" s="21"/>
      <c r="G40" s="24">
        <v>476.59</v>
      </c>
      <c r="H40" s="24"/>
      <c r="I40" s="21"/>
      <c r="J40" s="21" t="s">
        <v>461</v>
      </c>
      <c r="K40" s="24">
        <v>-6054.5499999999984</v>
      </c>
    </row>
    <row r="41" spans="1:11" x14ac:dyDescent="0.25">
      <c r="A41" s="78">
        <v>46028</v>
      </c>
      <c r="B41" s="21" t="s">
        <v>352</v>
      </c>
      <c r="C41" s="21" t="s">
        <v>12</v>
      </c>
      <c r="D41" s="21" t="s">
        <v>19</v>
      </c>
      <c r="E41" s="21" t="s">
        <v>17</v>
      </c>
      <c r="F41" s="21"/>
      <c r="G41" s="24">
        <v>3409.49</v>
      </c>
      <c r="H41" s="24"/>
      <c r="I41" s="21"/>
      <c r="J41" s="21" t="s">
        <v>461</v>
      </c>
      <c r="K41" s="24">
        <v>-9464.0399999999972</v>
      </c>
    </row>
    <row r="42" spans="1:11" x14ac:dyDescent="0.25">
      <c r="A42" s="78">
        <v>46028</v>
      </c>
      <c r="B42" s="21" t="s">
        <v>469</v>
      </c>
      <c r="C42" s="21" t="s">
        <v>12</v>
      </c>
      <c r="D42" s="21" t="s">
        <v>19</v>
      </c>
      <c r="E42" s="21" t="s">
        <v>17</v>
      </c>
      <c r="F42" s="21"/>
      <c r="G42" s="24">
        <v>2269.2600000000002</v>
      </c>
      <c r="H42" s="24"/>
      <c r="I42" s="21"/>
      <c r="J42" s="21" t="s">
        <v>461</v>
      </c>
      <c r="K42" s="24">
        <v>-11733.3</v>
      </c>
    </row>
    <row r="43" spans="1:11" x14ac:dyDescent="0.25">
      <c r="A43" s="78">
        <v>46028</v>
      </c>
      <c r="B43" s="21" t="s">
        <v>352</v>
      </c>
      <c r="C43" s="21" t="s">
        <v>12</v>
      </c>
      <c r="D43" s="21" t="s">
        <v>19</v>
      </c>
      <c r="E43" s="21" t="s">
        <v>17</v>
      </c>
      <c r="F43" s="21"/>
      <c r="G43" s="24">
        <v>2707.7</v>
      </c>
      <c r="H43" s="24"/>
      <c r="I43" s="21"/>
      <c r="J43" s="21" t="s">
        <v>461</v>
      </c>
      <c r="K43" s="24">
        <v>-14441</v>
      </c>
    </row>
    <row r="44" spans="1:11" x14ac:dyDescent="0.25">
      <c r="A44" s="78">
        <v>46028</v>
      </c>
      <c r="B44" s="21" t="s">
        <v>470</v>
      </c>
      <c r="C44" s="21" t="s">
        <v>12</v>
      </c>
      <c r="D44" s="21" t="s">
        <v>39</v>
      </c>
      <c r="E44" s="21" t="s">
        <v>17</v>
      </c>
      <c r="F44" s="21"/>
      <c r="G44" s="24">
        <v>102.2</v>
      </c>
      <c r="H44" s="24"/>
      <c r="I44" s="21"/>
      <c r="J44" s="21" t="s">
        <v>461</v>
      </c>
      <c r="K44" s="24">
        <v>-14543.2</v>
      </c>
    </row>
    <row r="45" spans="1:11" x14ac:dyDescent="0.25">
      <c r="A45" s="78">
        <v>46028</v>
      </c>
      <c r="B45" s="21" t="s">
        <v>471</v>
      </c>
      <c r="C45" s="21" t="s">
        <v>12</v>
      </c>
      <c r="D45" s="21" t="s">
        <v>19</v>
      </c>
      <c r="E45" s="21" t="s">
        <v>17</v>
      </c>
      <c r="F45" s="21"/>
      <c r="G45" s="24">
        <v>1028.1199999999999</v>
      </c>
      <c r="H45" s="24"/>
      <c r="I45" s="21"/>
      <c r="J45" s="21" t="s">
        <v>461</v>
      </c>
      <c r="K45" s="24">
        <v>-15571.32</v>
      </c>
    </row>
    <row r="46" spans="1:11" x14ac:dyDescent="0.25">
      <c r="A46" s="78">
        <v>46028</v>
      </c>
      <c r="B46" s="21" t="s">
        <v>11</v>
      </c>
      <c r="C46" s="21" t="s">
        <v>12</v>
      </c>
      <c r="D46" s="21" t="s">
        <v>19</v>
      </c>
      <c r="E46" s="21" t="s">
        <v>14</v>
      </c>
      <c r="F46" s="21" t="s">
        <v>15</v>
      </c>
      <c r="G46" s="24">
        <v>47</v>
      </c>
      <c r="H46" s="24"/>
      <c r="I46" s="21"/>
      <c r="J46" s="21" t="s">
        <v>461</v>
      </c>
      <c r="K46" s="24">
        <v>-15618.32</v>
      </c>
    </row>
    <row r="47" spans="1:11" x14ac:dyDescent="0.25">
      <c r="A47" s="78">
        <v>46029</v>
      </c>
      <c r="B47" s="21" t="s">
        <v>472</v>
      </c>
      <c r="C47" s="21" t="s">
        <v>12</v>
      </c>
      <c r="D47" s="21" t="s">
        <v>60</v>
      </c>
      <c r="E47" s="21" t="s">
        <v>17</v>
      </c>
      <c r="F47" s="21"/>
      <c r="G47" s="24">
        <v>342.77</v>
      </c>
      <c r="H47" s="24"/>
      <c r="J47" s="21" t="s">
        <v>461</v>
      </c>
      <c r="K47" s="24">
        <v>-15961.09</v>
      </c>
    </row>
    <row r="48" spans="1:11" x14ac:dyDescent="0.25">
      <c r="A48" s="78">
        <v>46029</v>
      </c>
      <c r="B48" s="21" t="s">
        <v>473</v>
      </c>
      <c r="C48" s="21" t="s">
        <v>12</v>
      </c>
      <c r="D48" s="21" t="s">
        <v>27</v>
      </c>
      <c r="E48" s="21" t="s">
        <v>17</v>
      </c>
      <c r="F48" s="21" t="s">
        <v>25</v>
      </c>
      <c r="G48" s="24">
        <v>8362.66</v>
      </c>
      <c r="H48" s="24"/>
      <c r="J48" s="21" t="s">
        <v>461</v>
      </c>
      <c r="K48" s="24">
        <v>-24323.75</v>
      </c>
    </row>
    <row r="49" spans="1:11" x14ac:dyDescent="0.25">
      <c r="A49" s="79">
        <v>44203</v>
      </c>
      <c r="B49" s="21" t="s">
        <v>474</v>
      </c>
      <c r="C49" s="21" t="s">
        <v>12</v>
      </c>
      <c r="D49" s="21" t="s">
        <v>27</v>
      </c>
      <c r="E49" s="21" t="s">
        <v>17</v>
      </c>
      <c r="F49" s="21" t="s">
        <v>25</v>
      </c>
      <c r="G49" s="24">
        <v>4000</v>
      </c>
      <c r="H49" s="24"/>
      <c r="J49" s="21" t="s">
        <v>475</v>
      </c>
      <c r="K49" s="24">
        <v>-28323.75</v>
      </c>
    </row>
    <row r="50" spans="1:11" x14ac:dyDescent="0.25">
      <c r="A50" s="79">
        <v>45664</v>
      </c>
      <c r="B50" s="21" t="s">
        <v>13</v>
      </c>
      <c r="C50" s="21" t="s">
        <v>20</v>
      </c>
      <c r="D50" s="21" t="s">
        <v>13</v>
      </c>
      <c r="E50" s="21"/>
      <c r="F50" s="21"/>
      <c r="G50" s="24">
        <v>3146</v>
      </c>
      <c r="H50" s="24"/>
      <c r="J50" s="21" t="s">
        <v>476</v>
      </c>
      <c r="K50" s="24">
        <v>-25177.75</v>
      </c>
    </row>
    <row r="51" spans="1:11" x14ac:dyDescent="0.25">
      <c r="A51" s="78">
        <v>45664</v>
      </c>
      <c r="B51" s="21" t="s">
        <v>477</v>
      </c>
      <c r="C51" s="21" t="s">
        <v>20</v>
      </c>
      <c r="D51" s="21" t="s">
        <v>22</v>
      </c>
      <c r="E51" s="21" t="s">
        <v>17</v>
      </c>
      <c r="F51" s="21"/>
      <c r="G51" s="24">
        <v>0</v>
      </c>
      <c r="H51" s="24"/>
      <c r="J51" s="21" t="s">
        <v>476</v>
      </c>
      <c r="K51" s="24">
        <v>-25177.75</v>
      </c>
    </row>
    <row r="52" spans="1:11" x14ac:dyDescent="0.25">
      <c r="A52" s="78">
        <v>45664</v>
      </c>
      <c r="B52" s="21" t="s">
        <v>45</v>
      </c>
      <c r="C52" s="21" t="s">
        <v>12</v>
      </c>
      <c r="D52" s="21" t="s">
        <v>24</v>
      </c>
      <c r="E52" s="21" t="s">
        <v>17</v>
      </c>
      <c r="F52" s="21" t="s">
        <v>25</v>
      </c>
      <c r="G52" s="24">
        <v>0</v>
      </c>
      <c r="H52" s="24"/>
      <c r="J52" s="21" t="s">
        <v>476</v>
      </c>
      <c r="K52" s="24">
        <v>-25177.75</v>
      </c>
    </row>
    <row r="53" spans="1:11" x14ac:dyDescent="0.25">
      <c r="A53" s="78">
        <v>45664</v>
      </c>
      <c r="B53" s="21" t="s">
        <v>11</v>
      </c>
      <c r="C53" s="21" t="s">
        <v>12</v>
      </c>
      <c r="D53" s="21" t="s">
        <v>19</v>
      </c>
      <c r="E53" s="21" t="s">
        <v>14</v>
      </c>
      <c r="F53" s="21" t="s">
        <v>15</v>
      </c>
      <c r="G53" s="24">
        <v>244</v>
      </c>
      <c r="H53" s="24"/>
      <c r="J53" s="21" t="s">
        <v>476</v>
      </c>
      <c r="K53" s="24">
        <v>-25421.75</v>
      </c>
    </row>
    <row r="54" spans="1:11" x14ac:dyDescent="0.25">
      <c r="A54" s="78">
        <v>46030</v>
      </c>
      <c r="B54" s="21" t="s">
        <v>478</v>
      </c>
      <c r="C54" s="21" t="s">
        <v>12</v>
      </c>
      <c r="D54" s="21" t="s">
        <v>19</v>
      </c>
      <c r="E54" s="21" t="s">
        <v>17</v>
      </c>
      <c r="F54" s="21"/>
      <c r="G54" s="24">
        <v>156.08000000000001</v>
      </c>
      <c r="H54" s="24"/>
      <c r="J54" s="21" t="s">
        <v>461</v>
      </c>
      <c r="K54" s="24">
        <v>-25577.83</v>
      </c>
    </row>
    <row r="55" spans="1:11" x14ac:dyDescent="0.25">
      <c r="A55" s="78">
        <v>46030</v>
      </c>
      <c r="B55" s="21" t="s">
        <v>401</v>
      </c>
      <c r="C55" s="21" t="s">
        <v>12</v>
      </c>
      <c r="D55" s="21" t="s">
        <v>19</v>
      </c>
      <c r="E55" s="21" t="s">
        <v>14</v>
      </c>
      <c r="F55" s="21" t="s">
        <v>15</v>
      </c>
      <c r="G55" s="24">
        <v>470</v>
      </c>
      <c r="H55" s="24"/>
      <c r="J55" s="21" t="s">
        <v>461</v>
      </c>
      <c r="K55" s="24">
        <v>-26047.83</v>
      </c>
    </row>
    <row r="56" spans="1:11" x14ac:dyDescent="0.25">
      <c r="A56" s="78">
        <v>46030</v>
      </c>
      <c r="B56" s="21" t="s">
        <v>30</v>
      </c>
      <c r="C56" s="21" t="s">
        <v>20</v>
      </c>
      <c r="D56" s="21" t="s">
        <v>13</v>
      </c>
      <c r="E56" s="21"/>
      <c r="F56" s="21"/>
      <c r="G56" s="24">
        <v>5211</v>
      </c>
      <c r="H56" s="24"/>
      <c r="J56" s="21" t="s">
        <v>461</v>
      </c>
      <c r="K56" s="24">
        <v>-20836.830000000002</v>
      </c>
    </row>
    <row r="57" spans="1:11" x14ac:dyDescent="0.25">
      <c r="A57" s="78">
        <v>46030</v>
      </c>
      <c r="B57" s="21" t="s">
        <v>357</v>
      </c>
      <c r="C57" s="21" t="s">
        <v>20</v>
      </c>
      <c r="D57" s="21" t="s">
        <v>22</v>
      </c>
      <c r="E57" s="21" t="s">
        <v>17</v>
      </c>
      <c r="F57" s="21"/>
      <c r="G57" s="24">
        <v>0</v>
      </c>
      <c r="H57" s="24"/>
      <c r="J57" s="21" t="s">
        <v>461</v>
      </c>
      <c r="K57" s="24">
        <v>-20836.830000000002</v>
      </c>
    </row>
    <row r="58" spans="1:11" x14ac:dyDescent="0.25">
      <c r="A58" s="78">
        <v>46030</v>
      </c>
      <c r="B58" s="21" t="s">
        <v>45</v>
      </c>
      <c r="C58" s="21" t="s">
        <v>12</v>
      </c>
      <c r="D58" s="21" t="s">
        <v>24</v>
      </c>
      <c r="E58" s="21" t="s">
        <v>17</v>
      </c>
      <c r="F58" s="21" t="s">
        <v>25</v>
      </c>
      <c r="G58" s="24">
        <v>0</v>
      </c>
      <c r="H58" s="24"/>
      <c r="J58" s="21" t="s">
        <v>461</v>
      </c>
      <c r="K58" s="24">
        <v>-20836.830000000002</v>
      </c>
    </row>
    <row r="59" spans="1:11" x14ac:dyDescent="0.25">
      <c r="A59" s="78">
        <v>45665</v>
      </c>
      <c r="B59" s="21" t="s">
        <v>479</v>
      </c>
      <c r="C59" s="21" t="s">
        <v>12</v>
      </c>
      <c r="D59" s="21" t="s">
        <v>33</v>
      </c>
      <c r="E59" s="21" t="s">
        <v>17</v>
      </c>
      <c r="F59" s="21" t="s">
        <v>25</v>
      </c>
      <c r="G59" s="24">
        <v>112</v>
      </c>
      <c r="H59" s="24"/>
      <c r="J59" s="21" t="s">
        <v>476</v>
      </c>
      <c r="K59" s="24">
        <v>-20948.830000000002</v>
      </c>
    </row>
    <row r="60" spans="1:11" x14ac:dyDescent="0.25">
      <c r="A60" s="78">
        <v>45665</v>
      </c>
      <c r="B60" s="21" t="s">
        <v>480</v>
      </c>
      <c r="C60" s="21" t="s">
        <v>12</v>
      </c>
      <c r="D60" s="21" t="s">
        <v>27</v>
      </c>
      <c r="E60" s="21" t="s">
        <v>17</v>
      </c>
      <c r="F60" s="21" t="s">
        <v>25</v>
      </c>
      <c r="G60" s="24">
        <v>900</v>
      </c>
      <c r="H60" s="24"/>
      <c r="J60" s="21" t="s">
        <v>476</v>
      </c>
      <c r="K60" s="24">
        <v>-21848.83</v>
      </c>
    </row>
    <row r="61" spans="1:11" x14ac:dyDescent="0.25">
      <c r="A61" s="78">
        <v>46031</v>
      </c>
      <c r="B61" s="21" t="s">
        <v>348</v>
      </c>
      <c r="C61" s="21" t="s">
        <v>12</v>
      </c>
      <c r="D61" s="21" t="s">
        <v>19</v>
      </c>
      <c r="E61" s="21" t="s">
        <v>17</v>
      </c>
      <c r="F61" s="21"/>
      <c r="G61" s="24">
        <v>2097.7199999999998</v>
      </c>
      <c r="H61" s="24"/>
      <c r="J61" s="21" t="s">
        <v>461</v>
      </c>
      <c r="K61" s="24">
        <v>-23946.55</v>
      </c>
    </row>
    <row r="62" spans="1:11" x14ac:dyDescent="0.25">
      <c r="A62" s="78">
        <v>46031</v>
      </c>
      <c r="B62" s="21" t="s">
        <v>401</v>
      </c>
      <c r="C62" s="21" t="s">
        <v>12</v>
      </c>
      <c r="D62" s="21" t="s">
        <v>19</v>
      </c>
      <c r="E62" s="21" t="s">
        <v>14</v>
      </c>
      <c r="F62" s="21" t="s">
        <v>15</v>
      </c>
      <c r="G62" s="24">
        <v>329</v>
      </c>
      <c r="H62" s="24"/>
      <c r="J62" s="21" t="s">
        <v>461</v>
      </c>
      <c r="K62" s="24">
        <v>-24275.55</v>
      </c>
    </row>
    <row r="63" spans="1:11" x14ac:dyDescent="0.25">
      <c r="A63" s="78">
        <v>46031</v>
      </c>
      <c r="B63" s="21" t="s">
        <v>30</v>
      </c>
      <c r="C63" s="21" t="s">
        <v>20</v>
      </c>
      <c r="D63" s="21" t="s">
        <v>13</v>
      </c>
      <c r="E63" s="21"/>
      <c r="F63" s="21"/>
      <c r="G63" s="24">
        <v>8220</v>
      </c>
      <c r="H63" s="24"/>
      <c r="J63" s="21" t="s">
        <v>461</v>
      </c>
      <c r="K63" s="24">
        <v>-16055.55</v>
      </c>
    </row>
    <row r="64" spans="1:11" x14ac:dyDescent="0.25">
      <c r="A64" s="78">
        <v>46031</v>
      </c>
      <c r="B64" s="21" t="s">
        <v>44</v>
      </c>
      <c r="C64" s="21" t="s">
        <v>20</v>
      </c>
      <c r="D64" s="21" t="s">
        <v>22</v>
      </c>
      <c r="E64" s="21" t="s">
        <v>17</v>
      </c>
      <c r="F64" s="21"/>
      <c r="G64" s="24">
        <v>58.01</v>
      </c>
      <c r="H64" s="24"/>
      <c r="J64" s="21" t="s">
        <v>461</v>
      </c>
      <c r="K64" s="24">
        <v>-15997.54</v>
      </c>
    </row>
    <row r="65" spans="1:11" x14ac:dyDescent="0.25">
      <c r="A65" s="78">
        <v>46031</v>
      </c>
      <c r="B65" s="21" t="s">
        <v>45</v>
      </c>
      <c r="C65" s="21" t="s">
        <v>12</v>
      </c>
      <c r="D65" s="21" t="s">
        <v>24</v>
      </c>
      <c r="E65" s="21" t="s">
        <v>17</v>
      </c>
      <c r="F65" s="21" t="s">
        <v>25</v>
      </c>
      <c r="G65" s="24">
        <v>17</v>
      </c>
      <c r="H65" s="24"/>
      <c r="J65" s="21" t="s">
        <v>461</v>
      </c>
      <c r="K65" s="24">
        <v>-16014.54</v>
      </c>
    </row>
    <row r="66" spans="1:11" x14ac:dyDescent="0.25">
      <c r="A66" s="78">
        <v>46031</v>
      </c>
      <c r="B66" s="21" t="s">
        <v>366</v>
      </c>
      <c r="C66" s="21" t="s">
        <v>12</v>
      </c>
      <c r="D66" s="21" t="s">
        <v>19</v>
      </c>
      <c r="E66" s="21" t="s">
        <v>17</v>
      </c>
      <c r="F66" s="21" t="s">
        <v>25</v>
      </c>
      <c r="G66" s="24">
        <v>378.5</v>
      </c>
      <c r="H66" s="24"/>
      <c r="J66" s="21" t="s">
        <v>461</v>
      </c>
      <c r="K66" s="24">
        <v>-16393.04</v>
      </c>
    </row>
    <row r="67" spans="1:11" x14ac:dyDescent="0.25">
      <c r="A67" s="78">
        <v>46032</v>
      </c>
      <c r="B67" s="21" t="s">
        <v>68</v>
      </c>
      <c r="C67" s="21" t="s">
        <v>12</v>
      </c>
      <c r="D67" s="21" t="s">
        <v>68</v>
      </c>
      <c r="E67" s="21" t="s">
        <v>17</v>
      </c>
      <c r="F67" s="21" t="s">
        <v>25</v>
      </c>
      <c r="G67" s="24">
        <v>450</v>
      </c>
      <c r="H67" s="24"/>
      <c r="J67" s="21" t="s">
        <v>461</v>
      </c>
      <c r="K67" s="24">
        <v>-16843.04</v>
      </c>
    </row>
    <row r="68" spans="1:11" x14ac:dyDescent="0.25">
      <c r="A68" s="78">
        <v>46032</v>
      </c>
      <c r="B68" s="21" t="s">
        <v>66</v>
      </c>
      <c r="C68" s="21" t="s">
        <v>12</v>
      </c>
      <c r="D68" s="21" t="s">
        <v>66</v>
      </c>
      <c r="E68" s="21" t="s">
        <v>17</v>
      </c>
      <c r="F68" s="21" t="s">
        <v>25</v>
      </c>
      <c r="G68" s="24">
        <v>9629.0499999999993</v>
      </c>
      <c r="H68" s="24"/>
      <c r="J68" s="21" t="s">
        <v>461</v>
      </c>
      <c r="K68" s="24">
        <v>-26472.09</v>
      </c>
    </row>
    <row r="69" spans="1:11" x14ac:dyDescent="0.25">
      <c r="A69" s="83">
        <v>46032</v>
      </c>
      <c r="B69" s="21" t="s">
        <v>481</v>
      </c>
      <c r="C69" s="21" t="s">
        <v>12</v>
      </c>
      <c r="D69" s="21" t="s">
        <v>27</v>
      </c>
      <c r="E69" s="21" t="s">
        <v>17</v>
      </c>
      <c r="F69" s="21"/>
      <c r="G69" s="24">
        <v>72</v>
      </c>
      <c r="H69" s="24"/>
      <c r="J69" s="21" t="s">
        <v>461</v>
      </c>
      <c r="K69" s="24">
        <v>-26544.09</v>
      </c>
    </row>
    <row r="70" spans="1:11" x14ac:dyDescent="0.25">
      <c r="A70" s="78">
        <v>46032</v>
      </c>
      <c r="B70" s="21" t="s">
        <v>13</v>
      </c>
      <c r="C70" s="21" t="s">
        <v>20</v>
      </c>
      <c r="D70" s="21" t="s">
        <v>13</v>
      </c>
      <c r="E70" s="21"/>
      <c r="F70" s="21"/>
      <c r="G70" s="24">
        <v>11002</v>
      </c>
      <c r="H70" s="24"/>
      <c r="J70" s="21" t="s">
        <v>461</v>
      </c>
      <c r="K70" s="24">
        <v>-15542.09</v>
      </c>
    </row>
    <row r="71" spans="1:11" x14ac:dyDescent="0.25">
      <c r="A71" s="78">
        <v>46032</v>
      </c>
      <c r="B71" s="21" t="s">
        <v>21</v>
      </c>
      <c r="C71" s="21" t="s">
        <v>20</v>
      </c>
      <c r="D71" s="21" t="s">
        <v>22</v>
      </c>
      <c r="E71" s="21" t="s">
        <v>17</v>
      </c>
      <c r="F71" s="21"/>
      <c r="G71" s="24">
        <v>259.87</v>
      </c>
      <c r="H71" s="24"/>
      <c r="J71" s="21" t="s">
        <v>461</v>
      </c>
      <c r="K71" s="24">
        <v>-15282.22</v>
      </c>
    </row>
    <row r="72" spans="1:11" x14ac:dyDescent="0.25">
      <c r="A72" s="78">
        <v>46032</v>
      </c>
      <c r="B72" s="21" t="s">
        <v>23</v>
      </c>
      <c r="C72" s="21" t="s">
        <v>12</v>
      </c>
      <c r="D72" s="21" t="s">
        <v>24</v>
      </c>
      <c r="E72" s="21" t="s">
        <v>17</v>
      </c>
      <c r="F72" s="21" t="s">
        <v>25</v>
      </c>
      <c r="G72" s="24">
        <v>43</v>
      </c>
      <c r="H72" s="24"/>
      <c r="J72" s="21" t="s">
        <v>461</v>
      </c>
      <c r="K72" s="24">
        <v>-15325.22</v>
      </c>
    </row>
    <row r="73" spans="1:11" x14ac:dyDescent="0.25">
      <c r="A73" s="78">
        <v>46032</v>
      </c>
      <c r="B73" s="21" t="s">
        <v>33</v>
      </c>
      <c r="C73" s="21" t="s">
        <v>12</v>
      </c>
      <c r="D73" s="21" t="s">
        <v>33</v>
      </c>
      <c r="E73" s="21" t="s">
        <v>14</v>
      </c>
      <c r="F73" s="21" t="s">
        <v>15</v>
      </c>
      <c r="G73" s="24">
        <v>150</v>
      </c>
      <c r="H73" s="24"/>
      <c r="J73" s="21" t="s">
        <v>461</v>
      </c>
      <c r="K73" s="24">
        <v>-15475.22</v>
      </c>
    </row>
    <row r="74" spans="1:11" x14ac:dyDescent="0.25">
      <c r="A74" s="78">
        <v>46032</v>
      </c>
      <c r="B74" s="21" t="s">
        <v>431</v>
      </c>
      <c r="C74" s="21" t="s">
        <v>12</v>
      </c>
      <c r="D74" s="21" t="s">
        <v>39</v>
      </c>
      <c r="E74" s="21" t="s">
        <v>17</v>
      </c>
      <c r="F74" s="21"/>
      <c r="G74" s="24">
        <v>685</v>
      </c>
      <c r="H74" s="24"/>
      <c r="J74" s="21" t="s">
        <v>461</v>
      </c>
      <c r="K74" s="24">
        <v>-16160.22</v>
      </c>
    </row>
    <row r="75" spans="1:11" x14ac:dyDescent="0.25">
      <c r="A75" s="78">
        <v>46032</v>
      </c>
      <c r="B75" s="21" t="s">
        <v>466</v>
      </c>
      <c r="C75" s="21" t="s">
        <v>12</v>
      </c>
      <c r="D75" s="21" t="s">
        <v>19</v>
      </c>
      <c r="E75" s="21" t="s">
        <v>17</v>
      </c>
      <c r="F75" s="21" t="s">
        <v>25</v>
      </c>
      <c r="G75" s="24">
        <v>110</v>
      </c>
      <c r="H75" s="24"/>
      <c r="J75" s="21" t="s">
        <v>461</v>
      </c>
      <c r="K75" s="24">
        <v>-16270.22</v>
      </c>
    </row>
    <row r="76" spans="1:11" x14ac:dyDescent="0.25">
      <c r="A76" s="78">
        <v>46033</v>
      </c>
      <c r="B76" s="21" t="s">
        <v>30</v>
      </c>
      <c r="C76" s="21" t="s">
        <v>20</v>
      </c>
      <c r="D76" s="21" t="s">
        <v>13</v>
      </c>
      <c r="E76" s="21"/>
      <c r="F76" s="21"/>
      <c r="G76" s="24">
        <v>11570</v>
      </c>
      <c r="H76" s="24"/>
      <c r="J76" s="21" t="s">
        <v>461</v>
      </c>
      <c r="K76" s="24">
        <v>-4700.2199999999993</v>
      </c>
    </row>
    <row r="77" spans="1:11" x14ac:dyDescent="0.25">
      <c r="A77" s="78">
        <v>46033</v>
      </c>
      <c r="B77" s="21" t="s">
        <v>44</v>
      </c>
      <c r="C77" s="21" t="s">
        <v>20</v>
      </c>
      <c r="D77" s="21" t="s">
        <v>22</v>
      </c>
      <c r="E77" s="21" t="s">
        <v>17</v>
      </c>
      <c r="F77" s="21"/>
      <c r="G77" s="24">
        <v>643.9</v>
      </c>
      <c r="H77" s="24"/>
      <c r="J77" s="21" t="s">
        <v>461</v>
      </c>
      <c r="K77" s="24">
        <v>-4056.3199999999988</v>
      </c>
    </row>
    <row r="78" spans="1:11" x14ac:dyDescent="0.25">
      <c r="A78" s="78">
        <v>46033</v>
      </c>
      <c r="B78" s="21" t="s">
        <v>23</v>
      </c>
      <c r="C78" s="21" t="s">
        <v>12</v>
      </c>
      <c r="D78" s="21" t="s">
        <v>24</v>
      </c>
      <c r="E78" s="21" t="s">
        <v>17</v>
      </c>
      <c r="F78" s="21" t="s">
        <v>25</v>
      </c>
      <c r="G78" s="24">
        <v>89</v>
      </c>
      <c r="H78" s="24"/>
      <c r="J78" s="21" t="s">
        <v>461</v>
      </c>
      <c r="K78" s="24">
        <v>-4145.32</v>
      </c>
    </row>
    <row r="79" spans="1:11" x14ac:dyDescent="0.25">
      <c r="A79" s="78">
        <v>46033</v>
      </c>
      <c r="B79" s="21" t="s">
        <v>11</v>
      </c>
      <c r="C79" s="21" t="s">
        <v>12</v>
      </c>
      <c r="D79" s="21" t="s">
        <v>19</v>
      </c>
      <c r="E79" s="21" t="s">
        <v>14</v>
      </c>
      <c r="F79" s="21" t="s">
        <v>15</v>
      </c>
      <c r="G79" s="24">
        <v>94</v>
      </c>
      <c r="H79" s="24"/>
      <c r="J79" s="21" t="s">
        <v>461</v>
      </c>
      <c r="K79" s="24">
        <v>-4239.32</v>
      </c>
    </row>
    <row r="80" spans="1:11" x14ac:dyDescent="0.25">
      <c r="A80" s="78">
        <v>46033</v>
      </c>
      <c r="B80" s="21" t="s">
        <v>33</v>
      </c>
      <c r="C80" s="21" t="s">
        <v>12</v>
      </c>
      <c r="D80" s="21" t="s">
        <v>33</v>
      </c>
      <c r="E80" s="21" t="s">
        <v>14</v>
      </c>
      <c r="F80" s="21" t="s">
        <v>15</v>
      </c>
      <c r="G80" s="24">
        <v>300</v>
      </c>
      <c r="H80" s="24"/>
      <c r="J80" s="21" t="s">
        <v>461</v>
      </c>
      <c r="K80" s="24">
        <v>-4539.32</v>
      </c>
    </row>
    <row r="81" spans="1:11" x14ac:dyDescent="0.25">
      <c r="A81" s="78">
        <v>46034</v>
      </c>
      <c r="B81" s="21" t="s">
        <v>324</v>
      </c>
      <c r="C81" s="21" t="s">
        <v>12</v>
      </c>
      <c r="D81" s="21" t="s">
        <v>65</v>
      </c>
      <c r="E81" s="21" t="s">
        <v>17</v>
      </c>
      <c r="F81" s="21" t="s">
        <v>25</v>
      </c>
      <c r="G81" s="24">
        <v>45</v>
      </c>
      <c r="H81" s="24"/>
      <c r="J81" s="21" t="s">
        <v>461</v>
      </c>
      <c r="K81" s="24">
        <v>-4584.32</v>
      </c>
    </row>
    <row r="82" spans="1:11" x14ac:dyDescent="0.25">
      <c r="A82" s="78">
        <v>46034</v>
      </c>
      <c r="B82" s="21" t="s">
        <v>369</v>
      </c>
      <c r="C82" s="21" t="s">
        <v>12</v>
      </c>
      <c r="D82" s="21" t="s">
        <v>19</v>
      </c>
      <c r="E82" s="21" t="s">
        <v>17</v>
      </c>
      <c r="F82" s="21"/>
      <c r="G82" s="24">
        <v>557.34</v>
      </c>
      <c r="H82" s="24"/>
      <c r="J82" s="21" t="s">
        <v>461</v>
      </c>
      <c r="K82" s="24">
        <v>-5141.66</v>
      </c>
    </row>
    <row r="83" spans="1:11" x14ac:dyDescent="0.25">
      <c r="A83" s="78">
        <v>46034</v>
      </c>
      <c r="B83" s="21" t="s">
        <v>482</v>
      </c>
      <c r="C83" s="21" t="s">
        <v>12</v>
      </c>
      <c r="D83" s="21" t="s">
        <v>62</v>
      </c>
      <c r="E83" s="21" t="s">
        <v>17</v>
      </c>
      <c r="F83" s="21" t="s">
        <v>25</v>
      </c>
      <c r="G83" s="24">
        <v>2078.71</v>
      </c>
      <c r="H83" s="24"/>
      <c r="J83" s="21" t="s">
        <v>461</v>
      </c>
      <c r="K83" s="24">
        <v>-7220.37</v>
      </c>
    </row>
    <row r="84" spans="1:11" x14ac:dyDescent="0.25">
      <c r="A84" s="78">
        <v>46034</v>
      </c>
      <c r="B84" s="21" t="s">
        <v>30</v>
      </c>
      <c r="C84" s="21" t="s">
        <v>20</v>
      </c>
      <c r="D84" s="21" t="s">
        <v>13</v>
      </c>
      <c r="E84" s="21"/>
      <c r="F84" s="21"/>
      <c r="G84" s="24">
        <v>4081</v>
      </c>
      <c r="H84" s="24"/>
      <c r="J84" s="21" t="s">
        <v>461</v>
      </c>
      <c r="K84" s="24">
        <v>-3139.37</v>
      </c>
    </row>
    <row r="85" spans="1:11" x14ac:dyDescent="0.25">
      <c r="A85" s="78">
        <v>46034</v>
      </c>
      <c r="B85" s="21" t="s">
        <v>44</v>
      </c>
      <c r="C85" s="21" t="s">
        <v>20</v>
      </c>
      <c r="D85" s="21" t="s">
        <v>22</v>
      </c>
      <c r="E85" s="21" t="s">
        <v>17</v>
      </c>
      <c r="F85" s="21"/>
      <c r="G85" s="24">
        <v>157.56</v>
      </c>
      <c r="H85" s="24"/>
      <c r="J85" s="21" t="s">
        <v>461</v>
      </c>
      <c r="K85" s="24">
        <v>-2981.81</v>
      </c>
    </row>
    <row r="86" spans="1:11" x14ac:dyDescent="0.25">
      <c r="A86" s="80">
        <v>46034</v>
      </c>
      <c r="B86" s="21" t="s">
        <v>45</v>
      </c>
      <c r="C86" s="21" t="s">
        <v>12</v>
      </c>
      <c r="D86" s="21" t="s">
        <v>24</v>
      </c>
      <c r="E86" s="21" t="s">
        <v>17</v>
      </c>
      <c r="F86" s="21" t="s">
        <v>25</v>
      </c>
      <c r="G86" s="24">
        <v>18</v>
      </c>
      <c r="H86" s="24"/>
      <c r="J86" s="21" t="s">
        <v>461</v>
      </c>
      <c r="K86" s="24">
        <v>-2999.81</v>
      </c>
    </row>
    <row r="87" spans="1:11" x14ac:dyDescent="0.25">
      <c r="A87" s="78">
        <v>20466</v>
      </c>
      <c r="B87" s="21" t="s">
        <v>401</v>
      </c>
      <c r="C87" s="21" t="s">
        <v>12</v>
      </c>
      <c r="D87" s="21" t="s">
        <v>19</v>
      </c>
      <c r="E87" s="21" t="s">
        <v>14</v>
      </c>
      <c r="F87" s="21" t="s">
        <v>15</v>
      </c>
      <c r="G87" s="24">
        <v>141</v>
      </c>
      <c r="H87" s="24"/>
      <c r="J87" s="21" t="s">
        <v>483</v>
      </c>
      <c r="K87" s="24">
        <v>-3140.81</v>
      </c>
    </row>
    <row r="88" spans="1:11" x14ac:dyDescent="0.25">
      <c r="A88" s="78">
        <v>46034</v>
      </c>
      <c r="B88" s="21" t="s">
        <v>484</v>
      </c>
      <c r="C88" s="21" t="s">
        <v>12</v>
      </c>
      <c r="D88" s="21" t="s">
        <v>19</v>
      </c>
      <c r="E88" s="21" t="s">
        <v>14</v>
      </c>
      <c r="F88" s="21" t="s">
        <v>15</v>
      </c>
      <c r="G88" s="24">
        <v>35</v>
      </c>
      <c r="H88" s="24"/>
      <c r="J88" s="21" t="s">
        <v>461</v>
      </c>
      <c r="K88" s="24">
        <v>-3175.81</v>
      </c>
    </row>
    <row r="89" spans="1:11" x14ac:dyDescent="0.25">
      <c r="A89" s="78">
        <v>46035</v>
      </c>
      <c r="B89" s="21" t="s">
        <v>309</v>
      </c>
      <c r="C89" s="21" t="s">
        <v>12</v>
      </c>
      <c r="D89" s="21" t="s">
        <v>19</v>
      </c>
      <c r="E89" s="21" t="s">
        <v>17</v>
      </c>
      <c r="F89" s="21"/>
      <c r="G89" s="24">
        <v>514.83000000000004</v>
      </c>
      <c r="H89" s="24"/>
      <c r="J89" s="21" t="s">
        <v>461</v>
      </c>
      <c r="K89" s="24">
        <v>-3690.64</v>
      </c>
    </row>
    <row r="90" spans="1:11" x14ac:dyDescent="0.25">
      <c r="A90" s="78">
        <v>46035</v>
      </c>
      <c r="B90" s="21" t="s">
        <v>352</v>
      </c>
      <c r="C90" s="21" t="s">
        <v>12</v>
      </c>
      <c r="D90" s="21" t="s">
        <v>19</v>
      </c>
      <c r="E90" s="21" t="s">
        <v>17</v>
      </c>
      <c r="F90" s="21"/>
      <c r="G90" s="24">
        <v>3409.49</v>
      </c>
      <c r="H90" s="24"/>
      <c r="J90" s="21" t="s">
        <v>461</v>
      </c>
      <c r="K90" s="24">
        <v>-7100.1299999999992</v>
      </c>
    </row>
    <row r="91" spans="1:11" x14ac:dyDescent="0.25">
      <c r="A91" s="78">
        <v>46035</v>
      </c>
      <c r="B91" s="21" t="s">
        <v>485</v>
      </c>
      <c r="C91" s="21" t="s">
        <v>12</v>
      </c>
      <c r="D91" s="21" t="s">
        <v>62</v>
      </c>
      <c r="E91" s="21" t="s">
        <v>17</v>
      </c>
      <c r="F91" s="21"/>
      <c r="G91" s="24">
        <v>754</v>
      </c>
      <c r="H91" s="24"/>
      <c r="J91" s="21" t="s">
        <v>461</v>
      </c>
      <c r="K91" s="24">
        <v>-7854.1299999999992</v>
      </c>
    </row>
    <row r="92" spans="1:11" x14ac:dyDescent="0.25">
      <c r="A92" s="78">
        <v>46035</v>
      </c>
      <c r="B92" s="21" t="s">
        <v>97</v>
      </c>
      <c r="C92" s="21" t="s">
        <v>12</v>
      </c>
      <c r="D92" s="21" t="s">
        <v>62</v>
      </c>
      <c r="E92" s="21" t="s">
        <v>17</v>
      </c>
      <c r="F92" s="21" t="s">
        <v>25</v>
      </c>
      <c r="G92" s="24">
        <v>600</v>
      </c>
      <c r="H92" s="24"/>
      <c r="J92" s="21" t="s">
        <v>461</v>
      </c>
      <c r="K92" s="24">
        <v>-8454.1299999999992</v>
      </c>
    </row>
    <row r="93" spans="1:11" x14ac:dyDescent="0.25">
      <c r="A93" s="79">
        <v>46035</v>
      </c>
      <c r="B93" s="21" t="s">
        <v>13</v>
      </c>
      <c r="C93" s="21" t="s">
        <v>20</v>
      </c>
      <c r="D93" s="21" t="s">
        <v>13</v>
      </c>
      <c r="E93" s="21"/>
      <c r="F93" s="21"/>
      <c r="G93" s="24">
        <v>3341</v>
      </c>
      <c r="H93" s="24"/>
      <c r="J93" s="21" t="s">
        <v>461</v>
      </c>
      <c r="K93" s="24">
        <v>-5113.1299999999992</v>
      </c>
    </row>
    <row r="94" spans="1:11" x14ac:dyDescent="0.25">
      <c r="A94" s="78">
        <v>46035</v>
      </c>
      <c r="B94" s="21" t="s">
        <v>21</v>
      </c>
      <c r="C94" s="21" t="s">
        <v>20</v>
      </c>
      <c r="D94" s="21" t="s">
        <v>22</v>
      </c>
      <c r="E94" s="21" t="s">
        <v>17</v>
      </c>
      <c r="F94" s="21"/>
      <c r="G94" s="24">
        <v>0</v>
      </c>
      <c r="H94" s="24"/>
      <c r="J94" s="21" t="s">
        <v>461</v>
      </c>
      <c r="K94" s="24">
        <v>-5113.1299999999992</v>
      </c>
    </row>
    <row r="95" spans="1:11" x14ac:dyDescent="0.25">
      <c r="A95" s="78">
        <v>46035</v>
      </c>
      <c r="B95" s="21" t="s">
        <v>23</v>
      </c>
      <c r="C95" s="21" t="s">
        <v>12</v>
      </c>
      <c r="D95" s="21" t="s">
        <v>24</v>
      </c>
      <c r="E95" s="21" t="s">
        <v>17</v>
      </c>
      <c r="F95" s="21" t="s">
        <v>25</v>
      </c>
      <c r="G95" s="24">
        <v>0</v>
      </c>
      <c r="H95" s="24"/>
      <c r="J95" s="21" t="s">
        <v>461</v>
      </c>
      <c r="K95" s="24">
        <v>-5113.1299999999992</v>
      </c>
    </row>
    <row r="96" spans="1:11" x14ac:dyDescent="0.25">
      <c r="A96" s="78">
        <v>46035</v>
      </c>
      <c r="B96" s="21" t="s">
        <v>11</v>
      </c>
      <c r="C96" s="21" t="s">
        <v>12</v>
      </c>
      <c r="D96" s="21" t="s">
        <v>19</v>
      </c>
      <c r="E96" s="21" t="s">
        <v>14</v>
      </c>
      <c r="F96" s="21" t="s">
        <v>15</v>
      </c>
      <c r="G96" s="24">
        <v>94</v>
      </c>
      <c r="H96" s="24"/>
      <c r="J96" s="21" t="s">
        <v>461</v>
      </c>
      <c r="K96" s="24">
        <v>-5207.1299999999992</v>
      </c>
    </row>
    <row r="97" spans="1:11" x14ac:dyDescent="0.25">
      <c r="A97" s="79">
        <v>46035</v>
      </c>
      <c r="B97" s="21" t="s">
        <v>486</v>
      </c>
      <c r="C97" s="21" t="s">
        <v>12</v>
      </c>
      <c r="D97" s="21" t="s">
        <v>33</v>
      </c>
      <c r="E97" s="21" t="s">
        <v>14</v>
      </c>
      <c r="F97" s="21" t="s">
        <v>15</v>
      </c>
      <c r="G97" s="24">
        <v>200</v>
      </c>
      <c r="H97" s="24"/>
      <c r="J97" s="21" t="s">
        <v>461</v>
      </c>
      <c r="K97" s="24">
        <v>-5407.1299999999992</v>
      </c>
    </row>
    <row r="98" spans="1:11" x14ac:dyDescent="0.25">
      <c r="A98" s="78">
        <v>46036</v>
      </c>
      <c r="B98" s="21" t="s">
        <v>13</v>
      </c>
      <c r="C98" s="21" t="s">
        <v>20</v>
      </c>
      <c r="D98" s="21" t="s">
        <v>13</v>
      </c>
      <c r="E98" s="21"/>
      <c r="F98" s="21"/>
      <c r="G98" s="24">
        <v>3528</v>
      </c>
      <c r="H98" s="24"/>
      <c r="J98" s="21" t="s">
        <v>461</v>
      </c>
      <c r="K98" s="24">
        <v>-1879.129999999999</v>
      </c>
    </row>
    <row r="99" spans="1:11" x14ac:dyDescent="0.25">
      <c r="A99" s="83">
        <v>46036</v>
      </c>
      <c r="B99" s="21" t="s">
        <v>487</v>
      </c>
      <c r="C99" s="21" t="s">
        <v>20</v>
      </c>
      <c r="D99" s="21" t="s">
        <v>22</v>
      </c>
      <c r="E99" s="21" t="s">
        <v>17</v>
      </c>
      <c r="F99" s="21"/>
      <c r="G99" s="24">
        <v>0</v>
      </c>
      <c r="H99" s="24"/>
      <c r="J99" s="21" t="s">
        <v>461</v>
      </c>
      <c r="K99" s="24">
        <v>-1879.129999999999</v>
      </c>
    </row>
    <row r="100" spans="1:11" x14ac:dyDescent="0.25">
      <c r="A100" s="81">
        <v>46036</v>
      </c>
      <c r="B100" s="21" t="s">
        <v>23</v>
      </c>
      <c r="C100" s="21" t="s">
        <v>12</v>
      </c>
      <c r="D100" s="21" t="s">
        <v>24</v>
      </c>
      <c r="E100" s="21" t="s">
        <v>17</v>
      </c>
      <c r="F100" s="21" t="s">
        <v>25</v>
      </c>
      <c r="G100" s="24">
        <v>0</v>
      </c>
      <c r="H100" s="24"/>
      <c r="J100" s="21" t="s">
        <v>461</v>
      </c>
      <c r="K100" s="24">
        <v>-1879.129999999999</v>
      </c>
    </row>
    <row r="101" spans="1:11" x14ac:dyDescent="0.25">
      <c r="A101" s="78">
        <v>46036</v>
      </c>
      <c r="B101" s="21" t="s">
        <v>11</v>
      </c>
      <c r="C101" s="21" t="s">
        <v>12</v>
      </c>
      <c r="D101" s="21" t="s">
        <v>19</v>
      </c>
      <c r="E101" s="21" t="s">
        <v>14</v>
      </c>
      <c r="F101" s="21" t="s">
        <v>15</v>
      </c>
      <c r="G101" s="24">
        <v>94</v>
      </c>
      <c r="H101" s="24"/>
      <c r="J101" s="21" t="s">
        <v>461</v>
      </c>
      <c r="K101" s="24">
        <v>-1973.129999999999</v>
      </c>
    </row>
    <row r="102" spans="1:11" x14ac:dyDescent="0.25">
      <c r="A102" s="78">
        <v>46036</v>
      </c>
      <c r="B102" s="21" t="s">
        <v>488</v>
      </c>
      <c r="C102" s="21" t="s">
        <v>12</v>
      </c>
      <c r="D102" s="21" t="s">
        <v>62</v>
      </c>
      <c r="E102" s="21" t="s">
        <v>14</v>
      </c>
      <c r="F102" s="21" t="s">
        <v>15</v>
      </c>
      <c r="G102" s="24">
        <v>72</v>
      </c>
      <c r="H102" s="24"/>
      <c r="J102" s="21" t="s">
        <v>461</v>
      </c>
      <c r="K102" s="24">
        <v>-2045.129999999999</v>
      </c>
    </row>
    <row r="103" spans="1:11" x14ac:dyDescent="0.25">
      <c r="A103" s="78">
        <v>46036</v>
      </c>
      <c r="B103" s="21" t="s">
        <v>489</v>
      </c>
      <c r="C103" s="21" t="s">
        <v>12</v>
      </c>
      <c r="D103" s="21" t="s">
        <v>19</v>
      </c>
      <c r="E103" s="21" t="s">
        <v>17</v>
      </c>
      <c r="F103" s="21" t="s">
        <v>25</v>
      </c>
      <c r="G103" s="24">
        <v>611.88</v>
      </c>
      <c r="H103" s="24"/>
      <c r="J103" s="21" t="s">
        <v>461</v>
      </c>
      <c r="K103" s="24">
        <v>-2657.0099999999989</v>
      </c>
    </row>
    <row r="104" spans="1:11" x14ac:dyDescent="0.25">
      <c r="A104" s="78">
        <v>46037</v>
      </c>
      <c r="B104" s="21" t="s">
        <v>433</v>
      </c>
      <c r="C104" s="21" t="s">
        <v>12</v>
      </c>
      <c r="D104" s="21" t="s">
        <v>27</v>
      </c>
      <c r="E104" s="21" t="s">
        <v>17</v>
      </c>
      <c r="F104" s="21"/>
      <c r="G104" s="24">
        <v>202.8</v>
      </c>
      <c r="H104" s="24"/>
      <c r="J104" s="21" t="s">
        <v>461</v>
      </c>
      <c r="K104" s="24">
        <v>-2859.809999999999</v>
      </c>
    </row>
    <row r="105" spans="1:11" x14ac:dyDescent="0.25">
      <c r="A105" s="78">
        <v>46037</v>
      </c>
      <c r="B105" s="21" t="s">
        <v>367</v>
      </c>
      <c r="C105" s="21" t="s">
        <v>12</v>
      </c>
      <c r="D105" s="21" t="s">
        <v>39</v>
      </c>
      <c r="E105" s="21" t="s">
        <v>17</v>
      </c>
      <c r="F105" s="21" t="s">
        <v>25</v>
      </c>
      <c r="G105" s="24">
        <v>99.9</v>
      </c>
      <c r="H105" s="24"/>
      <c r="J105" s="21" t="s">
        <v>461</v>
      </c>
      <c r="K105" s="24">
        <v>-2959.71</v>
      </c>
    </row>
    <row r="106" spans="1:11" x14ac:dyDescent="0.25">
      <c r="A106" s="78">
        <v>46037</v>
      </c>
      <c r="B106" s="21" t="s">
        <v>490</v>
      </c>
      <c r="C106" s="21" t="s">
        <v>12</v>
      </c>
      <c r="D106" s="21" t="s">
        <v>39</v>
      </c>
      <c r="E106" s="21" t="s">
        <v>17</v>
      </c>
      <c r="F106" s="21" t="s">
        <v>25</v>
      </c>
      <c r="G106" s="24">
        <v>350</v>
      </c>
      <c r="H106" s="24"/>
      <c r="J106" s="21" t="s">
        <v>461</v>
      </c>
      <c r="K106" s="24">
        <v>-3309.71</v>
      </c>
    </row>
    <row r="107" spans="1:11" x14ac:dyDescent="0.25">
      <c r="A107" s="78">
        <v>46037</v>
      </c>
      <c r="B107" s="21" t="s">
        <v>30</v>
      </c>
      <c r="C107" s="21" t="s">
        <v>20</v>
      </c>
      <c r="D107" s="21" t="s">
        <v>13</v>
      </c>
      <c r="E107" s="21"/>
      <c r="F107" s="21"/>
      <c r="G107" s="24">
        <v>2990</v>
      </c>
      <c r="H107" s="24"/>
      <c r="J107" s="21" t="s">
        <v>461</v>
      </c>
      <c r="K107" s="24">
        <v>-319.70999999999958</v>
      </c>
    </row>
    <row r="108" spans="1:11" x14ac:dyDescent="0.25">
      <c r="A108" s="78">
        <v>46037</v>
      </c>
      <c r="B108" s="21" t="s">
        <v>44</v>
      </c>
      <c r="C108" s="21" t="s">
        <v>20</v>
      </c>
      <c r="D108" s="21" t="s">
        <v>22</v>
      </c>
      <c r="E108" s="21" t="s">
        <v>17</v>
      </c>
      <c r="F108" s="21"/>
      <c r="G108" s="24">
        <v>0</v>
      </c>
      <c r="H108" s="24"/>
      <c r="J108" s="21" t="s">
        <v>461</v>
      </c>
      <c r="K108" s="24">
        <v>-319.70999999999958</v>
      </c>
    </row>
    <row r="109" spans="1:11" x14ac:dyDescent="0.25">
      <c r="A109" s="78">
        <v>46037</v>
      </c>
      <c r="B109" s="21" t="s">
        <v>45</v>
      </c>
      <c r="C109" s="21" t="s">
        <v>12</v>
      </c>
      <c r="D109" s="21" t="s">
        <v>24</v>
      </c>
      <c r="E109" s="21" t="s">
        <v>17</v>
      </c>
      <c r="F109" s="21" t="s">
        <v>25</v>
      </c>
      <c r="G109" s="24">
        <v>0</v>
      </c>
      <c r="H109" s="24"/>
      <c r="J109" s="21" t="s">
        <v>461</v>
      </c>
      <c r="K109" s="24">
        <v>-319.70999999999958</v>
      </c>
    </row>
    <row r="110" spans="1:11" x14ac:dyDescent="0.25">
      <c r="A110" s="78">
        <v>46037</v>
      </c>
      <c r="B110" s="21" t="s">
        <v>401</v>
      </c>
      <c r="C110" s="21" t="s">
        <v>12</v>
      </c>
      <c r="D110" s="21" t="s">
        <v>19</v>
      </c>
      <c r="E110" s="21" t="s">
        <v>14</v>
      </c>
      <c r="F110" s="21" t="s">
        <v>15</v>
      </c>
      <c r="G110" s="24">
        <v>282</v>
      </c>
      <c r="H110" s="24"/>
      <c r="J110" s="21" t="s">
        <v>461</v>
      </c>
      <c r="K110" s="24">
        <v>-601.70999999999958</v>
      </c>
    </row>
    <row r="111" spans="1:11" x14ac:dyDescent="0.25">
      <c r="A111" s="78">
        <v>46037</v>
      </c>
      <c r="B111" s="21" t="s">
        <v>491</v>
      </c>
      <c r="C111" s="21" t="s">
        <v>12</v>
      </c>
      <c r="D111" s="21" t="s">
        <v>19</v>
      </c>
      <c r="E111" s="21" t="s">
        <v>14</v>
      </c>
      <c r="F111" s="21" t="s">
        <v>15</v>
      </c>
      <c r="G111" s="24">
        <v>100</v>
      </c>
      <c r="H111" s="24"/>
      <c r="J111" s="21" t="s">
        <v>461</v>
      </c>
      <c r="K111" s="24">
        <v>-701.70999999999958</v>
      </c>
    </row>
    <row r="112" spans="1:11" x14ac:dyDescent="0.25">
      <c r="A112" s="78">
        <v>46037</v>
      </c>
      <c r="B112" s="21" t="s">
        <v>492</v>
      </c>
      <c r="C112" s="21" t="s">
        <v>12</v>
      </c>
      <c r="D112" s="21" t="s">
        <v>33</v>
      </c>
      <c r="E112" s="21" t="s">
        <v>14</v>
      </c>
      <c r="F112" s="21" t="s">
        <v>15</v>
      </c>
      <c r="G112" s="24">
        <v>300</v>
      </c>
      <c r="H112" s="24"/>
      <c r="J112" s="21" t="s">
        <v>461</v>
      </c>
      <c r="K112" s="24">
        <v>-1001.71</v>
      </c>
    </row>
    <row r="113" spans="1:11" x14ac:dyDescent="0.25">
      <c r="A113" s="78">
        <v>46037</v>
      </c>
      <c r="B113" s="21" t="s">
        <v>493</v>
      </c>
      <c r="C113" s="21" t="s">
        <v>12</v>
      </c>
      <c r="D113" s="21" t="s">
        <v>65</v>
      </c>
      <c r="E113" s="21" t="s">
        <v>17</v>
      </c>
      <c r="F113" s="21" t="s">
        <v>25</v>
      </c>
      <c r="G113" s="24">
        <v>3</v>
      </c>
      <c r="H113" s="24"/>
      <c r="J113" s="21" t="s">
        <v>461</v>
      </c>
      <c r="K113" s="24">
        <v>-1004.71</v>
      </c>
    </row>
    <row r="114" spans="1:11" x14ac:dyDescent="0.25">
      <c r="A114" s="80">
        <v>46038</v>
      </c>
      <c r="B114" s="21" t="s">
        <v>309</v>
      </c>
      <c r="C114" s="21" t="s">
        <v>12</v>
      </c>
      <c r="D114" s="21" t="s">
        <v>19</v>
      </c>
      <c r="E114" s="21" t="s">
        <v>17</v>
      </c>
      <c r="F114" s="21"/>
      <c r="G114" s="24">
        <v>883.29</v>
      </c>
      <c r="H114" s="24"/>
      <c r="J114" s="21" t="s">
        <v>461</v>
      </c>
      <c r="K114" s="24">
        <v>-1888</v>
      </c>
    </row>
    <row r="115" spans="1:11" x14ac:dyDescent="0.25">
      <c r="A115" s="78">
        <v>46038</v>
      </c>
      <c r="B115" s="21" t="s">
        <v>471</v>
      </c>
      <c r="C115" s="21" t="s">
        <v>12</v>
      </c>
      <c r="D115" s="21" t="s">
        <v>19</v>
      </c>
      <c r="E115" s="21" t="s">
        <v>17</v>
      </c>
      <c r="F115" s="21"/>
      <c r="G115" s="24">
        <v>222.34</v>
      </c>
      <c r="H115" s="24"/>
      <c r="J115" s="21" t="s">
        <v>461</v>
      </c>
      <c r="K115" s="24">
        <v>-2110.34</v>
      </c>
    </row>
    <row r="116" spans="1:11" x14ac:dyDescent="0.25">
      <c r="A116" s="78">
        <v>46038</v>
      </c>
      <c r="B116" s="21" t="s">
        <v>471</v>
      </c>
      <c r="C116" s="21" t="s">
        <v>12</v>
      </c>
      <c r="D116" s="21" t="s">
        <v>19</v>
      </c>
      <c r="E116" s="21" t="s">
        <v>17</v>
      </c>
      <c r="F116" s="21"/>
      <c r="G116" s="24">
        <v>329.39</v>
      </c>
      <c r="H116" s="24"/>
      <c r="J116" s="21" t="s">
        <v>461</v>
      </c>
      <c r="K116" s="24">
        <v>-2439.73</v>
      </c>
    </row>
    <row r="117" spans="1:11" x14ac:dyDescent="0.25">
      <c r="A117" s="80">
        <v>46038</v>
      </c>
      <c r="B117" s="21" t="s">
        <v>494</v>
      </c>
      <c r="C117" s="21" t="s">
        <v>12</v>
      </c>
      <c r="D117" s="21" t="s">
        <v>65</v>
      </c>
      <c r="E117" s="21" t="s">
        <v>17</v>
      </c>
      <c r="F117" s="21" t="s">
        <v>25</v>
      </c>
      <c r="G117" s="24">
        <v>506.46</v>
      </c>
      <c r="H117" s="24"/>
      <c r="J117" s="21" t="s">
        <v>461</v>
      </c>
      <c r="K117" s="24">
        <v>-2946.19</v>
      </c>
    </row>
    <row r="118" spans="1:11" x14ac:dyDescent="0.25">
      <c r="A118" s="78">
        <v>46038</v>
      </c>
      <c r="B118" s="21" t="s">
        <v>13</v>
      </c>
      <c r="C118" s="21" t="s">
        <v>20</v>
      </c>
      <c r="D118" s="21" t="s">
        <v>13</v>
      </c>
      <c r="E118" s="21"/>
      <c r="F118" s="21"/>
      <c r="G118" s="24">
        <v>5074</v>
      </c>
      <c r="H118" s="24"/>
      <c r="J118" s="21" t="s">
        <v>461</v>
      </c>
      <c r="K118" s="24">
        <v>2127.81</v>
      </c>
    </row>
    <row r="119" spans="1:11" x14ac:dyDescent="0.25">
      <c r="A119" s="78">
        <v>46038</v>
      </c>
      <c r="B119" s="21" t="s">
        <v>21</v>
      </c>
      <c r="C119" s="21" t="s">
        <v>20</v>
      </c>
      <c r="D119" s="21" t="s">
        <v>22</v>
      </c>
      <c r="E119" s="21" t="s">
        <v>17</v>
      </c>
      <c r="F119" s="21"/>
      <c r="G119" s="24">
        <v>95.88</v>
      </c>
      <c r="H119" s="24"/>
      <c r="J119" s="21" t="s">
        <v>461</v>
      </c>
      <c r="K119" s="24">
        <v>2223.690000000001</v>
      </c>
    </row>
    <row r="120" spans="1:11" x14ac:dyDescent="0.25">
      <c r="A120" s="78">
        <v>46038</v>
      </c>
      <c r="B120" s="21" t="s">
        <v>23</v>
      </c>
      <c r="C120" s="21" t="s">
        <v>12</v>
      </c>
      <c r="D120" s="21" t="s">
        <v>24</v>
      </c>
      <c r="E120" s="21" t="s">
        <v>17</v>
      </c>
      <c r="F120" s="21" t="s">
        <v>25</v>
      </c>
      <c r="G120" s="24">
        <v>18</v>
      </c>
      <c r="H120" s="24"/>
      <c r="J120" s="21" t="s">
        <v>461</v>
      </c>
      <c r="K120" s="24">
        <v>2205.690000000001</v>
      </c>
    </row>
    <row r="121" spans="1:11" x14ac:dyDescent="0.25">
      <c r="A121" s="78">
        <v>46038</v>
      </c>
      <c r="B121" s="21" t="s">
        <v>11</v>
      </c>
      <c r="C121" s="21" t="s">
        <v>12</v>
      </c>
      <c r="D121" s="21" t="s">
        <v>19</v>
      </c>
      <c r="E121" s="21" t="s">
        <v>14</v>
      </c>
      <c r="F121" s="21" t="s">
        <v>15</v>
      </c>
      <c r="G121" s="24">
        <v>329</v>
      </c>
      <c r="H121" s="24"/>
      <c r="J121" s="21" t="s">
        <v>461</v>
      </c>
      <c r="K121" s="24">
        <v>1876.690000000001</v>
      </c>
    </row>
    <row r="122" spans="1:11" x14ac:dyDescent="0.25">
      <c r="A122" s="78">
        <v>46038</v>
      </c>
      <c r="B122" s="21" t="s">
        <v>415</v>
      </c>
      <c r="C122" s="21" t="s">
        <v>12</v>
      </c>
      <c r="D122" s="21" t="s">
        <v>19</v>
      </c>
      <c r="E122" s="21" t="s">
        <v>17</v>
      </c>
      <c r="F122" s="21" t="s">
        <v>25</v>
      </c>
      <c r="G122" s="24">
        <v>395</v>
      </c>
      <c r="H122" s="24"/>
      <c r="J122" s="21" t="s">
        <v>461</v>
      </c>
      <c r="K122" s="24">
        <v>1481.690000000001</v>
      </c>
    </row>
    <row r="123" spans="1:11" x14ac:dyDescent="0.25">
      <c r="A123" s="78">
        <v>46038</v>
      </c>
      <c r="B123" s="21" t="s">
        <v>493</v>
      </c>
      <c r="C123" s="21" t="s">
        <v>12</v>
      </c>
      <c r="D123" s="21" t="s">
        <v>27</v>
      </c>
      <c r="E123" s="21" t="s">
        <v>14</v>
      </c>
      <c r="F123" s="21" t="s">
        <v>15</v>
      </c>
      <c r="G123" s="24">
        <v>3</v>
      </c>
      <c r="H123" s="24"/>
      <c r="J123" s="21" t="s">
        <v>461</v>
      </c>
      <c r="K123" s="24">
        <v>1478.690000000001</v>
      </c>
    </row>
    <row r="124" spans="1:11" x14ac:dyDescent="0.25">
      <c r="A124" s="78">
        <v>46039</v>
      </c>
      <c r="B124" s="21" t="s">
        <v>30</v>
      </c>
      <c r="C124" s="21" t="s">
        <v>20</v>
      </c>
      <c r="D124" s="21" t="s">
        <v>13</v>
      </c>
      <c r="E124" s="21"/>
      <c r="F124" s="21"/>
      <c r="G124" s="24">
        <v>8892</v>
      </c>
      <c r="H124" s="24"/>
      <c r="J124" s="21" t="s">
        <v>461</v>
      </c>
      <c r="K124" s="24">
        <v>10370.69</v>
      </c>
    </row>
    <row r="125" spans="1:11" x14ac:dyDescent="0.25">
      <c r="A125" s="78">
        <v>46039</v>
      </c>
      <c r="B125" s="21" t="s">
        <v>44</v>
      </c>
      <c r="C125" s="21" t="s">
        <v>20</v>
      </c>
      <c r="D125" s="21" t="s">
        <v>22</v>
      </c>
      <c r="E125" s="21" t="s">
        <v>17</v>
      </c>
      <c r="F125" s="21"/>
      <c r="G125" s="24">
        <v>297.36</v>
      </c>
      <c r="H125" s="24"/>
      <c r="J125" s="21" t="s">
        <v>461</v>
      </c>
      <c r="K125" s="24">
        <v>10668.05</v>
      </c>
    </row>
    <row r="126" spans="1:11" x14ac:dyDescent="0.25">
      <c r="A126" s="78">
        <v>46039</v>
      </c>
      <c r="B126" s="21" t="s">
        <v>45</v>
      </c>
      <c r="C126" s="21" t="s">
        <v>12</v>
      </c>
      <c r="D126" s="21" t="s">
        <v>24</v>
      </c>
      <c r="E126" s="21" t="s">
        <v>17</v>
      </c>
      <c r="F126" s="21" t="s">
        <v>25</v>
      </c>
      <c r="G126" s="24">
        <v>52</v>
      </c>
      <c r="H126" s="24"/>
      <c r="J126" s="21" t="s">
        <v>461</v>
      </c>
      <c r="K126" s="24">
        <v>10616.05</v>
      </c>
    </row>
    <row r="127" spans="1:11" x14ac:dyDescent="0.25">
      <c r="A127" s="80">
        <v>46039</v>
      </c>
      <c r="B127" s="21" t="s">
        <v>495</v>
      </c>
      <c r="C127" s="21" t="s">
        <v>12</v>
      </c>
      <c r="D127" s="21" t="s">
        <v>33</v>
      </c>
      <c r="E127" s="21" t="s">
        <v>14</v>
      </c>
      <c r="F127" s="21" t="s">
        <v>15</v>
      </c>
      <c r="G127" s="24">
        <v>50</v>
      </c>
      <c r="H127" s="24"/>
      <c r="J127" s="21" t="s">
        <v>461</v>
      </c>
      <c r="K127" s="24">
        <v>10566.05</v>
      </c>
    </row>
    <row r="128" spans="1:11" x14ac:dyDescent="0.25">
      <c r="A128" s="78">
        <v>46040</v>
      </c>
      <c r="B128" s="21" t="s">
        <v>13</v>
      </c>
      <c r="C128" s="21" t="s">
        <v>20</v>
      </c>
      <c r="D128" s="21" t="s">
        <v>13</v>
      </c>
      <c r="E128" s="21"/>
      <c r="F128" s="21"/>
      <c r="G128" s="24">
        <v>6136</v>
      </c>
      <c r="H128" s="24"/>
      <c r="J128" s="21" t="s">
        <v>461</v>
      </c>
      <c r="K128" s="24">
        <v>16702.05</v>
      </c>
    </row>
    <row r="129" spans="1:11" x14ac:dyDescent="0.25">
      <c r="A129" s="78">
        <v>46040</v>
      </c>
      <c r="B129" s="21" t="s">
        <v>21</v>
      </c>
      <c r="C129" s="21" t="s">
        <v>20</v>
      </c>
      <c r="D129" s="21" t="s">
        <v>22</v>
      </c>
      <c r="E129" s="21" t="s">
        <v>17</v>
      </c>
      <c r="F129" s="21"/>
      <c r="G129" s="24">
        <v>331.95</v>
      </c>
      <c r="H129" s="24"/>
      <c r="J129" s="21" t="s">
        <v>461</v>
      </c>
      <c r="K129" s="24">
        <v>17034</v>
      </c>
    </row>
    <row r="130" spans="1:11" x14ac:dyDescent="0.25">
      <c r="A130" s="78">
        <v>46040</v>
      </c>
      <c r="B130" s="21" t="s">
        <v>23</v>
      </c>
      <c r="C130" s="21" t="s">
        <v>12</v>
      </c>
      <c r="D130" s="21" t="s">
        <v>24</v>
      </c>
      <c r="E130" s="21" t="s">
        <v>17</v>
      </c>
      <c r="F130" s="21" t="s">
        <v>25</v>
      </c>
      <c r="G130" s="24">
        <v>71</v>
      </c>
      <c r="H130" s="24"/>
      <c r="J130" s="21" t="s">
        <v>461</v>
      </c>
      <c r="K130" s="24">
        <v>16963</v>
      </c>
    </row>
    <row r="131" spans="1:11" x14ac:dyDescent="0.25">
      <c r="A131" s="78">
        <v>46040</v>
      </c>
      <c r="B131" s="21" t="s">
        <v>33</v>
      </c>
      <c r="C131" s="21" t="s">
        <v>12</v>
      </c>
      <c r="D131" s="21" t="s">
        <v>33</v>
      </c>
      <c r="E131" s="21" t="s">
        <v>14</v>
      </c>
      <c r="F131" s="21" t="s">
        <v>15</v>
      </c>
      <c r="G131" s="24">
        <v>0</v>
      </c>
      <c r="H131" s="24"/>
      <c r="J131" s="21" t="s">
        <v>461</v>
      </c>
      <c r="K131" s="24">
        <v>16963</v>
      </c>
    </row>
    <row r="132" spans="1:11" x14ac:dyDescent="0.25">
      <c r="A132" s="78">
        <v>46040</v>
      </c>
      <c r="B132" s="21" t="s">
        <v>11</v>
      </c>
      <c r="C132" s="21" t="s">
        <v>12</v>
      </c>
      <c r="D132" s="21" t="s">
        <v>19</v>
      </c>
      <c r="E132" s="21" t="s">
        <v>14</v>
      </c>
      <c r="F132" s="21" t="s">
        <v>15</v>
      </c>
      <c r="G132" s="24">
        <v>0</v>
      </c>
      <c r="H132" s="24"/>
      <c r="J132" s="21" t="s">
        <v>461</v>
      </c>
      <c r="K132" s="24">
        <v>16963</v>
      </c>
    </row>
    <row r="133" spans="1:11" x14ac:dyDescent="0.25">
      <c r="A133" s="78">
        <v>46040</v>
      </c>
      <c r="B133" s="21" t="s">
        <v>496</v>
      </c>
      <c r="C133" s="21" t="s">
        <v>12</v>
      </c>
      <c r="D133" s="21" t="s">
        <v>27</v>
      </c>
      <c r="E133" s="21" t="s">
        <v>14</v>
      </c>
      <c r="F133" s="21" t="s">
        <v>15</v>
      </c>
      <c r="G133" s="24">
        <v>285</v>
      </c>
      <c r="H133" s="24"/>
      <c r="J133" s="21" t="s">
        <v>461</v>
      </c>
      <c r="K133" s="24">
        <v>16678</v>
      </c>
    </row>
    <row r="134" spans="1:11" x14ac:dyDescent="0.25">
      <c r="A134" s="78">
        <v>46040</v>
      </c>
      <c r="B134" s="21" t="s">
        <v>497</v>
      </c>
      <c r="C134" s="21" t="s">
        <v>12</v>
      </c>
      <c r="D134" s="21" t="s">
        <v>27</v>
      </c>
      <c r="E134" s="21" t="s">
        <v>17</v>
      </c>
      <c r="F134" s="21" t="s">
        <v>25</v>
      </c>
      <c r="G134" s="24">
        <v>1802.9</v>
      </c>
      <c r="H134" s="24"/>
      <c r="J134" s="21" t="s">
        <v>461</v>
      </c>
      <c r="K134" s="24">
        <v>14875.1</v>
      </c>
    </row>
    <row r="135" spans="1:11" x14ac:dyDescent="0.25">
      <c r="A135" s="78">
        <v>46040</v>
      </c>
      <c r="B135" s="21" t="s">
        <v>354</v>
      </c>
      <c r="C135" s="21" t="s">
        <v>12</v>
      </c>
      <c r="D135" s="21" t="s">
        <v>19</v>
      </c>
      <c r="E135" s="21" t="s">
        <v>17</v>
      </c>
      <c r="F135" s="21"/>
      <c r="G135" s="24">
        <v>526.15</v>
      </c>
      <c r="H135" s="24"/>
      <c r="J135" s="21" t="s">
        <v>461</v>
      </c>
      <c r="K135" s="24">
        <v>14348.95</v>
      </c>
    </row>
    <row r="136" spans="1:11" x14ac:dyDescent="0.25">
      <c r="A136" s="78">
        <v>46040</v>
      </c>
      <c r="B136" s="21" t="s">
        <v>348</v>
      </c>
      <c r="C136" s="21" t="s">
        <v>12</v>
      </c>
      <c r="D136" s="21" t="s">
        <v>19</v>
      </c>
      <c r="E136" s="21" t="s">
        <v>17</v>
      </c>
      <c r="F136" s="21"/>
      <c r="G136" s="24">
        <v>817.19</v>
      </c>
      <c r="H136" s="24"/>
      <c r="J136" s="21" t="s">
        <v>461</v>
      </c>
      <c r="K136" s="24">
        <v>13531.76</v>
      </c>
    </row>
    <row r="137" spans="1:11" x14ac:dyDescent="0.25">
      <c r="A137" s="78">
        <v>46041</v>
      </c>
      <c r="B137" s="21" t="s">
        <v>366</v>
      </c>
      <c r="C137" s="21" t="s">
        <v>12</v>
      </c>
      <c r="D137" s="21" t="s">
        <v>19</v>
      </c>
      <c r="E137" s="21" t="s">
        <v>17</v>
      </c>
      <c r="F137" s="21" t="s">
        <v>25</v>
      </c>
      <c r="G137" s="24">
        <v>382.5</v>
      </c>
      <c r="H137" s="24"/>
      <c r="J137" s="21" t="s">
        <v>461</v>
      </c>
      <c r="K137" s="24">
        <v>13149.26</v>
      </c>
    </row>
    <row r="138" spans="1:11" x14ac:dyDescent="0.25">
      <c r="A138" s="83">
        <v>46041</v>
      </c>
      <c r="B138" s="21" t="s">
        <v>498</v>
      </c>
      <c r="C138" s="21" t="s">
        <v>12</v>
      </c>
      <c r="D138" s="21" t="s">
        <v>39</v>
      </c>
      <c r="E138" s="21" t="s">
        <v>17</v>
      </c>
      <c r="F138" s="21" t="s">
        <v>25</v>
      </c>
      <c r="G138" s="24">
        <v>800</v>
      </c>
      <c r="H138" s="24"/>
      <c r="J138" s="21" t="s">
        <v>461</v>
      </c>
      <c r="K138" s="24">
        <v>12349.26</v>
      </c>
    </row>
    <row r="139" spans="1:11" x14ac:dyDescent="0.25">
      <c r="A139" s="83">
        <v>46041</v>
      </c>
      <c r="B139" s="21" t="s">
        <v>13</v>
      </c>
      <c r="C139" s="21" t="s">
        <v>20</v>
      </c>
      <c r="D139" s="21" t="s">
        <v>13</v>
      </c>
      <c r="E139" s="21"/>
      <c r="F139" s="21"/>
      <c r="G139" s="24">
        <v>3678</v>
      </c>
      <c r="H139" s="24"/>
      <c r="J139" s="21" t="s">
        <v>461</v>
      </c>
      <c r="K139" s="24">
        <v>16027.26</v>
      </c>
    </row>
    <row r="140" spans="1:11" x14ac:dyDescent="0.25">
      <c r="A140" s="78">
        <v>46041</v>
      </c>
      <c r="B140" s="21" t="s">
        <v>21</v>
      </c>
      <c r="C140" s="21" t="s">
        <v>20</v>
      </c>
      <c r="D140" s="21" t="s">
        <v>22</v>
      </c>
      <c r="E140" s="21" t="s">
        <v>17</v>
      </c>
      <c r="F140" s="21"/>
      <c r="G140" s="24">
        <v>54.89</v>
      </c>
      <c r="H140" s="24"/>
      <c r="J140" s="21" t="s">
        <v>461</v>
      </c>
      <c r="K140" s="24">
        <v>16082.15</v>
      </c>
    </row>
    <row r="141" spans="1:11" x14ac:dyDescent="0.25">
      <c r="A141" s="78">
        <v>46041</v>
      </c>
      <c r="B141" s="21" t="s">
        <v>23</v>
      </c>
      <c r="C141" s="21" t="s">
        <v>12</v>
      </c>
      <c r="D141" s="21" t="s">
        <v>24</v>
      </c>
      <c r="E141" s="21" t="s">
        <v>17</v>
      </c>
      <c r="F141" s="21" t="s">
        <v>25</v>
      </c>
      <c r="G141" s="24">
        <v>9</v>
      </c>
      <c r="H141" s="24"/>
      <c r="J141" s="21" t="s">
        <v>461</v>
      </c>
      <c r="K141" s="24">
        <v>16073.15</v>
      </c>
    </row>
    <row r="142" spans="1:11" x14ac:dyDescent="0.25">
      <c r="A142" s="78">
        <v>46042</v>
      </c>
      <c r="B142" s="21" t="s">
        <v>469</v>
      </c>
      <c r="C142" s="21" t="s">
        <v>12</v>
      </c>
      <c r="D142" s="21" t="s">
        <v>19</v>
      </c>
      <c r="E142" s="21" t="s">
        <v>17</v>
      </c>
      <c r="F142" s="21"/>
      <c r="G142" s="24">
        <v>2269.2600000000002</v>
      </c>
      <c r="H142" s="24"/>
      <c r="J142" s="21" t="s">
        <v>461</v>
      </c>
      <c r="K142" s="24">
        <v>13803.89</v>
      </c>
    </row>
    <row r="143" spans="1:11" x14ac:dyDescent="0.25">
      <c r="A143" s="78">
        <v>46042</v>
      </c>
      <c r="B143" s="21" t="s">
        <v>352</v>
      </c>
      <c r="C143" s="21" t="s">
        <v>12</v>
      </c>
      <c r="D143" s="21" t="s">
        <v>19</v>
      </c>
      <c r="E143" s="21" t="s">
        <v>17</v>
      </c>
      <c r="F143" s="21"/>
      <c r="G143" s="24">
        <v>3409.49</v>
      </c>
      <c r="H143" s="24"/>
      <c r="J143" s="21" t="s">
        <v>461</v>
      </c>
      <c r="K143" s="24">
        <v>10394.4</v>
      </c>
    </row>
    <row r="144" spans="1:11" x14ac:dyDescent="0.25">
      <c r="A144" s="78">
        <v>46042</v>
      </c>
      <c r="B144" s="21" t="s">
        <v>371</v>
      </c>
      <c r="C144" s="21" t="s">
        <v>12</v>
      </c>
      <c r="D144" s="21" t="s">
        <v>62</v>
      </c>
      <c r="E144" s="21" t="s">
        <v>17</v>
      </c>
      <c r="F144" s="21"/>
      <c r="G144" s="24">
        <v>447.5</v>
      </c>
      <c r="H144" s="24"/>
      <c r="J144" s="21" t="s">
        <v>461</v>
      </c>
      <c r="K144" s="24">
        <v>9946.9000000000033</v>
      </c>
    </row>
    <row r="145" spans="1:11" x14ac:dyDescent="0.25">
      <c r="A145" s="78">
        <v>46042</v>
      </c>
      <c r="B145" s="21" t="s">
        <v>499</v>
      </c>
      <c r="C145" s="21" t="s">
        <v>12</v>
      </c>
      <c r="D145" s="21" t="s">
        <v>58</v>
      </c>
      <c r="E145" s="21" t="s">
        <v>17</v>
      </c>
      <c r="F145" s="21"/>
      <c r="G145" s="24">
        <v>3499.65</v>
      </c>
      <c r="H145" s="24"/>
      <c r="J145" s="21" t="s">
        <v>461</v>
      </c>
      <c r="K145" s="24">
        <v>6447.2500000000036</v>
      </c>
    </row>
    <row r="146" spans="1:11" x14ac:dyDescent="0.25">
      <c r="A146" s="78">
        <v>46042</v>
      </c>
      <c r="B146" s="21" t="s">
        <v>500</v>
      </c>
      <c r="C146" s="21" t="s">
        <v>12</v>
      </c>
      <c r="D146" s="21" t="s">
        <v>58</v>
      </c>
      <c r="E146" s="21" t="s">
        <v>17</v>
      </c>
      <c r="F146" s="21"/>
      <c r="G146" s="24">
        <v>1074.93</v>
      </c>
      <c r="H146" s="24"/>
      <c r="J146" s="21" t="s">
        <v>461</v>
      </c>
      <c r="K146" s="24">
        <v>5372.3200000000033</v>
      </c>
    </row>
    <row r="147" spans="1:11" x14ac:dyDescent="0.25">
      <c r="A147" s="78">
        <v>46042</v>
      </c>
      <c r="B147" s="21" t="s">
        <v>501</v>
      </c>
      <c r="C147" s="21" t="s">
        <v>12</v>
      </c>
      <c r="D147" s="21" t="s">
        <v>58</v>
      </c>
      <c r="E147" s="21" t="s">
        <v>17</v>
      </c>
      <c r="F147" s="21"/>
      <c r="G147" s="24">
        <v>832.34</v>
      </c>
      <c r="H147" s="24"/>
      <c r="J147" s="21" t="s">
        <v>461</v>
      </c>
      <c r="K147" s="24">
        <v>4539.9800000000032</v>
      </c>
    </row>
    <row r="148" spans="1:11" x14ac:dyDescent="0.25">
      <c r="A148" s="78">
        <v>46042</v>
      </c>
      <c r="B148" s="21" t="s">
        <v>502</v>
      </c>
      <c r="C148" s="21" t="s">
        <v>12</v>
      </c>
      <c r="D148" s="21" t="s">
        <v>58</v>
      </c>
      <c r="E148" s="21" t="s">
        <v>17</v>
      </c>
      <c r="F148" s="21"/>
      <c r="G148" s="24">
        <v>13722.55</v>
      </c>
      <c r="H148" s="24"/>
      <c r="J148" s="21" t="s">
        <v>461</v>
      </c>
      <c r="K148" s="24">
        <v>-9182.5699999999961</v>
      </c>
    </row>
    <row r="149" spans="1:11" x14ac:dyDescent="0.25">
      <c r="A149" s="78">
        <v>46042</v>
      </c>
      <c r="B149" s="21" t="s">
        <v>13</v>
      </c>
      <c r="C149" s="21" t="s">
        <v>20</v>
      </c>
      <c r="D149" s="21" t="s">
        <v>13</v>
      </c>
      <c r="E149" s="21"/>
      <c r="F149" s="21"/>
      <c r="G149" s="24">
        <v>3462</v>
      </c>
      <c r="H149" s="24"/>
      <c r="J149" s="21" t="s">
        <v>461</v>
      </c>
      <c r="K149" s="24">
        <v>-5720.5699999999961</v>
      </c>
    </row>
    <row r="150" spans="1:11" x14ac:dyDescent="0.25">
      <c r="A150" s="78">
        <v>46042</v>
      </c>
      <c r="B150" s="21" t="s">
        <v>503</v>
      </c>
      <c r="C150" s="21" t="s">
        <v>20</v>
      </c>
      <c r="D150" s="21" t="s">
        <v>22</v>
      </c>
      <c r="E150" s="21" t="s">
        <v>17</v>
      </c>
      <c r="F150" s="21"/>
      <c r="G150" s="24">
        <v>18.989999999999998</v>
      </c>
      <c r="H150" s="24"/>
      <c r="J150" s="21" t="s">
        <v>461</v>
      </c>
      <c r="K150" s="24">
        <v>-5701.5799999999963</v>
      </c>
    </row>
    <row r="151" spans="1:11" x14ac:dyDescent="0.25">
      <c r="A151" s="78">
        <v>46042</v>
      </c>
      <c r="B151" s="21" t="s">
        <v>23</v>
      </c>
      <c r="C151" s="21" t="s">
        <v>12</v>
      </c>
      <c r="D151" s="21" t="s">
        <v>24</v>
      </c>
      <c r="E151" s="21" t="s">
        <v>17</v>
      </c>
      <c r="F151" s="21" t="s">
        <v>25</v>
      </c>
      <c r="G151" s="24">
        <v>9</v>
      </c>
      <c r="H151" s="24"/>
      <c r="J151" s="21" t="s">
        <v>461</v>
      </c>
      <c r="K151" s="24">
        <v>-5710.5799999999963</v>
      </c>
    </row>
    <row r="152" spans="1:11" x14ac:dyDescent="0.25">
      <c r="A152" s="78">
        <v>46042</v>
      </c>
      <c r="B152" s="21" t="s">
        <v>504</v>
      </c>
      <c r="C152" s="21" t="s">
        <v>12</v>
      </c>
      <c r="D152" s="21" t="s">
        <v>27</v>
      </c>
      <c r="E152" s="21" t="s">
        <v>17</v>
      </c>
      <c r="F152" s="21" t="s">
        <v>25</v>
      </c>
      <c r="G152" s="24">
        <v>500</v>
      </c>
      <c r="H152" s="24"/>
      <c r="J152" s="21" t="s">
        <v>461</v>
      </c>
      <c r="K152" s="24">
        <v>-6210.5799999999963</v>
      </c>
    </row>
    <row r="153" spans="1:11" x14ac:dyDescent="0.25">
      <c r="A153" s="78">
        <v>46042</v>
      </c>
      <c r="B153" s="21" t="s">
        <v>505</v>
      </c>
      <c r="C153" s="21" t="s">
        <v>12</v>
      </c>
      <c r="D153" s="21" t="s">
        <v>60</v>
      </c>
      <c r="E153" s="21" t="s">
        <v>17</v>
      </c>
      <c r="F153" s="21" t="s">
        <v>25</v>
      </c>
      <c r="G153" s="24">
        <v>180.41</v>
      </c>
      <c r="H153" s="24"/>
      <c r="J153" s="21" t="s">
        <v>461</v>
      </c>
      <c r="K153" s="24">
        <v>-6390.9899999999961</v>
      </c>
    </row>
    <row r="154" spans="1:11" x14ac:dyDescent="0.25">
      <c r="A154" s="78">
        <v>46042</v>
      </c>
      <c r="B154" s="21" t="s">
        <v>11</v>
      </c>
      <c r="C154" s="21" t="s">
        <v>12</v>
      </c>
      <c r="D154" s="21" t="s">
        <v>19</v>
      </c>
      <c r="E154" s="21" t="s">
        <v>14</v>
      </c>
      <c r="F154" s="21" t="s">
        <v>15</v>
      </c>
      <c r="G154" s="24">
        <v>0</v>
      </c>
      <c r="H154" s="24"/>
      <c r="J154" s="21" t="s">
        <v>461</v>
      </c>
      <c r="K154" s="24">
        <v>-6390.9899999999961</v>
      </c>
    </row>
    <row r="155" spans="1:11" x14ac:dyDescent="0.25">
      <c r="A155" s="78">
        <v>46043</v>
      </c>
      <c r="B155" s="21" t="s">
        <v>506</v>
      </c>
      <c r="C155" s="21" t="s">
        <v>12</v>
      </c>
      <c r="D155" s="21" t="s">
        <v>19</v>
      </c>
      <c r="E155" s="21" t="s">
        <v>17</v>
      </c>
      <c r="F155" s="21"/>
      <c r="G155" s="24">
        <v>278</v>
      </c>
      <c r="H155" s="24"/>
      <c r="J155" s="21" t="s">
        <v>461</v>
      </c>
      <c r="K155" s="24">
        <v>-6668.9899999999961</v>
      </c>
    </row>
    <row r="156" spans="1:11" x14ac:dyDescent="0.25">
      <c r="A156" s="78">
        <v>46043</v>
      </c>
      <c r="B156" s="21" t="s">
        <v>405</v>
      </c>
      <c r="C156" s="21" t="s">
        <v>12</v>
      </c>
      <c r="D156" s="21" t="s">
        <v>19</v>
      </c>
      <c r="E156" s="21" t="s">
        <v>17</v>
      </c>
      <c r="F156" s="21"/>
      <c r="G156" s="24">
        <v>747.87</v>
      </c>
      <c r="H156" s="24"/>
      <c r="J156" s="21" t="s">
        <v>461</v>
      </c>
      <c r="K156" s="24">
        <v>-7416.859999999996</v>
      </c>
    </row>
    <row r="157" spans="1:11" x14ac:dyDescent="0.25">
      <c r="A157" s="78">
        <v>46043</v>
      </c>
      <c r="B157" s="21" t="s">
        <v>13</v>
      </c>
      <c r="C157" s="21" t="s">
        <v>20</v>
      </c>
      <c r="D157" s="21" t="s">
        <v>13</v>
      </c>
      <c r="E157" s="21"/>
      <c r="F157" s="21"/>
      <c r="G157" s="24">
        <v>2175</v>
      </c>
      <c r="H157" s="24"/>
      <c r="J157" s="21" t="s">
        <v>461</v>
      </c>
      <c r="K157" s="24">
        <v>-5241.859999999996</v>
      </c>
    </row>
    <row r="158" spans="1:11" x14ac:dyDescent="0.25">
      <c r="A158" s="78">
        <v>46043</v>
      </c>
      <c r="B158" s="21" t="s">
        <v>21</v>
      </c>
      <c r="C158" s="21" t="s">
        <v>20</v>
      </c>
      <c r="D158" s="21" t="s">
        <v>22</v>
      </c>
      <c r="E158" s="21" t="s">
        <v>17</v>
      </c>
      <c r="F158" s="21"/>
      <c r="G158" s="24">
        <v>80.48</v>
      </c>
      <c r="H158" s="24"/>
      <c r="J158" s="21" t="s">
        <v>461</v>
      </c>
      <c r="K158" s="24">
        <v>-5161.3799999999956</v>
      </c>
    </row>
    <row r="159" spans="1:11" x14ac:dyDescent="0.25">
      <c r="A159" s="78">
        <v>46043</v>
      </c>
      <c r="B159" s="21" t="s">
        <v>23</v>
      </c>
      <c r="C159" s="21" t="s">
        <v>12</v>
      </c>
      <c r="D159" s="21" t="s">
        <v>24</v>
      </c>
      <c r="E159" s="21" t="s">
        <v>17</v>
      </c>
      <c r="F159" s="21" t="s">
        <v>25</v>
      </c>
      <c r="G159" s="24">
        <v>36</v>
      </c>
      <c r="H159" s="24"/>
      <c r="J159" s="21" t="s">
        <v>461</v>
      </c>
      <c r="K159" s="24">
        <v>-5197.3799999999956</v>
      </c>
    </row>
    <row r="160" spans="1:11" x14ac:dyDescent="0.25">
      <c r="A160" s="78">
        <v>46074</v>
      </c>
      <c r="B160" s="21" t="s">
        <v>11</v>
      </c>
      <c r="C160" s="21" t="s">
        <v>12</v>
      </c>
      <c r="D160" s="21" t="s">
        <v>19</v>
      </c>
      <c r="E160" s="21" t="s">
        <v>14</v>
      </c>
      <c r="F160" s="21" t="s">
        <v>15</v>
      </c>
      <c r="G160" s="24">
        <v>235</v>
      </c>
      <c r="H160" s="24"/>
      <c r="J160" s="21" t="s">
        <v>464</v>
      </c>
      <c r="K160" s="24">
        <v>-5432.3799999999956</v>
      </c>
    </row>
    <row r="161" spans="1:11" x14ac:dyDescent="0.25">
      <c r="A161" s="78">
        <v>46044</v>
      </c>
      <c r="B161" s="21" t="s">
        <v>507</v>
      </c>
      <c r="C161" s="21" t="s">
        <v>12</v>
      </c>
      <c r="D161" s="21" t="s">
        <v>64</v>
      </c>
      <c r="E161" s="21" t="s">
        <v>17</v>
      </c>
      <c r="F161" s="21" t="s">
        <v>25</v>
      </c>
      <c r="G161" s="24">
        <v>45</v>
      </c>
      <c r="H161" s="24"/>
      <c r="J161" s="21" t="s">
        <v>461</v>
      </c>
      <c r="K161" s="24">
        <v>-5477.3799999999956</v>
      </c>
    </row>
    <row r="162" spans="1:11" x14ac:dyDescent="0.25">
      <c r="A162" s="78">
        <v>46044</v>
      </c>
      <c r="B162" s="21" t="s">
        <v>508</v>
      </c>
      <c r="C162" s="21" t="s">
        <v>12</v>
      </c>
      <c r="D162" s="21" t="s">
        <v>39</v>
      </c>
      <c r="E162" s="21" t="s">
        <v>17</v>
      </c>
      <c r="F162" s="21" t="s">
        <v>25</v>
      </c>
      <c r="G162" s="24">
        <v>130</v>
      </c>
      <c r="H162" s="24"/>
      <c r="I162" s="21" t="s">
        <v>509</v>
      </c>
      <c r="J162" s="21" t="s">
        <v>461</v>
      </c>
      <c r="K162" s="24">
        <v>-5607.3799999999956</v>
      </c>
    </row>
    <row r="163" spans="1:11" x14ac:dyDescent="0.25">
      <c r="A163" s="78">
        <v>46044</v>
      </c>
      <c r="B163" s="21" t="s">
        <v>30</v>
      </c>
      <c r="C163" s="21" t="s">
        <v>20</v>
      </c>
      <c r="D163" s="21" t="s">
        <v>13</v>
      </c>
      <c r="E163" s="21"/>
      <c r="F163" s="21"/>
      <c r="G163" s="24">
        <v>2976</v>
      </c>
      <c r="H163" s="24"/>
      <c r="J163" s="21" t="s">
        <v>461</v>
      </c>
      <c r="K163" s="24">
        <v>-2631.379999999996</v>
      </c>
    </row>
    <row r="164" spans="1:11" x14ac:dyDescent="0.25">
      <c r="A164" s="78">
        <v>46044</v>
      </c>
      <c r="B164" s="21" t="s">
        <v>21</v>
      </c>
      <c r="C164" s="21" t="s">
        <v>20</v>
      </c>
      <c r="D164" s="21" t="s">
        <v>22</v>
      </c>
      <c r="E164" s="21" t="s">
        <v>17</v>
      </c>
      <c r="F164" s="21"/>
      <c r="G164" s="24">
        <v>85.29</v>
      </c>
      <c r="H164" s="24"/>
      <c r="J164" s="21" t="s">
        <v>461</v>
      </c>
      <c r="K164" s="24">
        <v>-2546.089999999997</v>
      </c>
    </row>
    <row r="165" spans="1:11" x14ac:dyDescent="0.25">
      <c r="A165" s="78">
        <v>46044</v>
      </c>
      <c r="B165" s="21" t="s">
        <v>23</v>
      </c>
      <c r="C165" s="21" t="s">
        <v>12</v>
      </c>
      <c r="D165" s="21" t="s">
        <v>24</v>
      </c>
      <c r="E165" s="21" t="s">
        <v>17</v>
      </c>
      <c r="F165" s="21" t="s">
        <v>25</v>
      </c>
      <c r="G165" s="24">
        <v>9</v>
      </c>
      <c r="H165" s="24"/>
      <c r="J165" s="21" t="s">
        <v>461</v>
      </c>
      <c r="K165" s="24">
        <v>-2555.089999999997</v>
      </c>
    </row>
    <row r="166" spans="1:11" x14ac:dyDescent="0.25">
      <c r="A166" s="78">
        <v>46044</v>
      </c>
      <c r="B166" s="21" t="s">
        <v>11</v>
      </c>
      <c r="C166" s="21" t="s">
        <v>12</v>
      </c>
      <c r="D166" s="21" t="s">
        <v>19</v>
      </c>
      <c r="E166" s="21" t="s">
        <v>14</v>
      </c>
      <c r="F166" s="21" t="s">
        <v>15</v>
      </c>
      <c r="G166" s="24">
        <v>235</v>
      </c>
      <c r="H166" s="24"/>
      <c r="J166" s="21" t="s">
        <v>461</v>
      </c>
      <c r="K166" s="24">
        <v>-2790.089999999997</v>
      </c>
    </row>
    <row r="167" spans="1:11" x14ac:dyDescent="0.25">
      <c r="A167" s="78">
        <v>46045</v>
      </c>
      <c r="B167" s="21" t="s">
        <v>309</v>
      </c>
      <c r="C167" s="21" t="s">
        <v>12</v>
      </c>
      <c r="D167" s="21" t="s">
        <v>19</v>
      </c>
      <c r="E167" s="21" t="s">
        <v>17</v>
      </c>
      <c r="F167" s="21"/>
      <c r="G167" s="24">
        <v>2675.38</v>
      </c>
      <c r="H167" s="24"/>
      <c r="J167" s="21" t="s">
        <v>461</v>
      </c>
      <c r="K167" s="24">
        <v>-5465.4699999999966</v>
      </c>
    </row>
    <row r="168" spans="1:11" x14ac:dyDescent="0.25">
      <c r="A168" s="78">
        <v>46045</v>
      </c>
      <c r="B168" s="21" t="s">
        <v>13</v>
      </c>
      <c r="C168" s="21" t="s">
        <v>20</v>
      </c>
      <c r="D168" s="21" t="s">
        <v>13</v>
      </c>
      <c r="E168" s="21"/>
      <c r="F168" s="21"/>
      <c r="G168" s="24">
        <v>2072</v>
      </c>
      <c r="H168" s="24"/>
      <c r="J168" s="21" t="s">
        <v>461</v>
      </c>
      <c r="K168" s="24">
        <v>-3393.4699999999971</v>
      </c>
    </row>
    <row r="169" spans="1:11" x14ac:dyDescent="0.25">
      <c r="A169" s="78">
        <v>46045</v>
      </c>
      <c r="B169" s="21" t="s">
        <v>21</v>
      </c>
      <c r="C169" s="21" t="s">
        <v>20</v>
      </c>
      <c r="D169" s="21" t="s">
        <v>22</v>
      </c>
      <c r="E169" s="21" t="s">
        <v>17</v>
      </c>
      <c r="F169" s="21"/>
      <c r="G169" s="24">
        <v>251</v>
      </c>
      <c r="H169" s="24"/>
      <c r="J169" s="21" t="s">
        <v>461</v>
      </c>
      <c r="K169" s="24">
        <v>-3142.4699999999971</v>
      </c>
    </row>
    <row r="170" spans="1:11" x14ac:dyDescent="0.25">
      <c r="A170" s="78">
        <v>46045</v>
      </c>
      <c r="B170" s="21" t="s">
        <v>510</v>
      </c>
      <c r="C170" s="21" t="s">
        <v>12</v>
      </c>
      <c r="D170" s="21" t="s">
        <v>24</v>
      </c>
      <c r="E170" s="21" t="s">
        <v>17</v>
      </c>
      <c r="F170" s="21" t="s">
        <v>25</v>
      </c>
      <c r="G170" s="24">
        <v>25</v>
      </c>
      <c r="H170" s="24"/>
      <c r="J170" s="21" t="s">
        <v>461</v>
      </c>
      <c r="K170" s="24">
        <v>-3167.4699999999971</v>
      </c>
    </row>
    <row r="171" spans="1:11" x14ac:dyDescent="0.25">
      <c r="A171" s="78">
        <v>46045</v>
      </c>
      <c r="B171" s="21" t="s">
        <v>11</v>
      </c>
      <c r="C171" s="21" t="s">
        <v>12</v>
      </c>
      <c r="D171" s="21" t="s">
        <v>19</v>
      </c>
      <c r="E171" s="21" t="s">
        <v>14</v>
      </c>
      <c r="F171" s="21" t="s">
        <v>15</v>
      </c>
      <c r="G171" s="24">
        <v>0</v>
      </c>
      <c r="H171" s="24"/>
      <c r="J171" s="21" t="s">
        <v>461</v>
      </c>
      <c r="K171" s="24">
        <v>-3167.4699999999971</v>
      </c>
    </row>
    <row r="172" spans="1:11" x14ac:dyDescent="0.25">
      <c r="A172" s="78">
        <v>46045</v>
      </c>
      <c r="B172" s="21" t="s">
        <v>511</v>
      </c>
      <c r="C172" s="21" t="s">
        <v>12</v>
      </c>
      <c r="D172" s="21" t="s">
        <v>39</v>
      </c>
      <c r="E172" s="21" t="s">
        <v>17</v>
      </c>
      <c r="F172" s="21" t="s">
        <v>25</v>
      </c>
      <c r="G172" s="24">
        <v>365</v>
      </c>
      <c r="H172" s="24"/>
      <c r="J172" s="21" t="s">
        <v>461</v>
      </c>
      <c r="K172" s="24">
        <v>-3532.4699999999971</v>
      </c>
    </row>
    <row r="173" spans="1:11" x14ac:dyDescent="0.25">
      <c r="A173" s="78">
        <v>46046</v>
      </c>
      <c r="B173" s="21" t="s">
        <v>512</v>
      </c>
      <c r="C173" s="21" t="s">
        <v>12</v>
      </c>
      <c r="D173" s="21" t="s">
        <v>27</v>
      </c>
      <c r="E173" s="21" t="s">
        <v>17</v>
      </c>
      <c r="F173" s="21" t="s">
        <v>25</v>
      </c>
      <c r="G173" s="24">
        <v>286</v>
      </c>
      <c r="H173" s="24"/>
      <c r="J173" s="21" t="s">
        <v>461</v>
      </c>
      <c r="K173" s="24">
        <v>-3818.4699999999971</v>
      </c>
    </row>
    <row r="174" spans="1:11" x14ac:dyDescent="0.25">
      <c r="A174" s="78">
        <v>46046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6766</v>
      </c>
      <c r="H174" s="24"/>
      <c r="J174" s="21" t="s">
        <v>461</v>
      </c>
      <c r="K174" s="24">
        <v>2947.5300000000029</v>
      </c>
    </row>
    <row r="175" spans="1:11" x14ac:dyDescent="0.25">
      <c r="A175" s="78">
        <v>46046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312.93</v>
      </c>
      <c r="H175" s="24"/>
      <c r="J175" s="21" t="s">
        <v>461</v>
      </c>
      <c r="K175" s="24">
        <v>3260.4600000000032</v>
      </c>
    </row>
    <row r="176" spans="1:11" x14ac:dyDescent="0.25">
      <c r="A176" s="78">
        <v>37280</v>
      </c>
      <c r="B176" s="21" t="s">
        <v>513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43</v>
      </c>
      <c r="H176" s="24"/>
      <c r="J176" s="21" t="s">
        <v>514</v>
      </c>
      <c r="K176" s="24">
        <v>3217.4600000000032</v>
      </c>
    </row>
    <row r="177" spans="1:11" x14ac:dyDescent="0.25">
      <c r="A177" s="78">
        <v>46047</v>
      </c>
      <c r="B177" s="21" t="s">
        <v>11</v>
      </c>
      <c r="C177" s="21" t="s">
        <v>12</v>
      </c>
      <c r="D177" s="21" t="s">
        <v>19</v>
      </c>
      <c r="E177" s="21" t="s">
        <v>14</v>
      </c>
      <c r="F177" s="21" t="s">
        <v>25</v>
      </c>
      <c r="G177" s="24">
        <v>188</v>
      </c>
      <c r="H177" s="24"/>
      <c r="J177" s="21" t="s">
        <v>461</v>
      </c>
      <c r="K177" s="24">
        <v>3029.4600000000032</v>
      </c>
    </row>
    <row r="178" spans="1:11" x14ac:dyDescent="0.25">
      <c r="A178" s="78">
        <v>46047</v>
      </c>
      <c r="B178" s="21" t="s">
        <v>515</v>
      </c>
      <c r="C178" s="21" t="s">
        <v>12</v>
      </c>
      <c r="D178" s="21" t="s">
        <v>33</v>
      </c>
      <c r="E178" s="21" t="s">
        <v>14</v>
      </c>
      <c r="F178" s="21" t="s">
        <v>15</v>
      </c>
      <c r="G178" s="24">
        <v>170</v>
      </c>
      <c r="H178" s="24"/>
      <c r="J178" s="21" t="s">
        <v>461</v>
      </c>
      <c r="K178" s="24">
        <v>2859.4600000000032</v>
      </c>
    </row>
    <row r="179" spans="1:11" x14ac:dyDescent="0.25">
      <c r="A179" s="78">
        <v>46047</v>
      </c>
      <c r="B179" s="21" t="s">
        <v>32</v>
      </c>
      <c r="C179" s="21" t="s">
        <v>12</v>
      </c>
      <c r="D179" s="21" t="s">
        <v>33</v>
      </c>
      <c r="E179" s="21" t="s">
        <v>17</v>
      </c>
      <c r="F179" s="21" t="s">
        <v>25</v>
      </c>
      <c r="G179" s="24">
        <v>150</v>
      </c>
      <c r="H179" s="24"/>
      <c r="J179" s="21" t="s">
        <v>461</v>
      </c>
      <c r="K179" s="24">
        <v>2709.4600000000032</v>
      </c>
    </row>
    <row r="180" spans="1:11" x14ac:dyDescent="0.25">
      <c r="A180" s="78">
        <v>46047</v>
      </c>
      <c r="B180" s="21" t="s">
        <v>13</v>
      </c>
      <c r="C180" s="21" t="s">
        <v>20</v>
      </c>
      <c r="D180" s="21" t="s">
        <v>13</v>
      </c>
      <c r="E180" s="21"/>
      <c r="F180" s="21"/>
      <c r="G180" s="24">
        <v>6596.5</v>
      </c>
      <c r="H180" s="24"/>
      <c r="J180" s="21" t="s">
        <v>461</v>
      </c>
      <c r="K180" s="24">
        <v>9305.9600000000028</v>
      </c>
    </row>
    <row r="181" spans="1:11" x14ac:dyDescent="0.25">
      <c r="A181" s="78">
        <v>46047</v>
      </c>
      <c r="B181" s="21" t="s">
        <v>21</v>
      </c>
      <c r="C181" s="21" t="s">
        <v>20</v>
      </c>
      <c r="D181" s="21" t="s">
        <v>22</v>
      </c>
      <c r="E181" s="21" t="s">
        <v>17</v>
      </c>
      <c r="F181" s="21"/>
      <c r="G181" s="24">
        <v>116.44</v>
      </c>
      <c r="H181" s="24"/>
      <c r="J181" s="21" t="s">
        <v>461</v>
      </c>
      <c r="K181" s="24">
        <v>9422.4000000000033</v>
      </c>
    </row>
    <row r="182" spans="1:11" x14ac:dyDescent="0.25">
      <c r="A182" s="78">
        <v>46047</v>
      </c>
      <c r="B182" s="21" t="s">
        <v>23</v>
      </c>
      <c r="C182" s="21" t="s">
        <v>12</v>
      </c>
      <c r="D182" s="21" t="s">
        <v>24</v>
      </c>
      <c r="E182" s="21" t="s">
        <v>17</v>
      </c>
      <c r="F182" s="21" t="s">
        <v>25</v>
      </c>
      <c r="G182" s="24">
        <v>27</v>
      </c>
      <c r="H182" s="24"/>
      <c r="J182" s="21" t="s">
        <v>461</v>
      </c>
      <c r="K182" s="24">
        <v>9395.4000000000033</v>
      </c>
    </row>
    <row r="183" spans="1:11" x14ac:dyDescent="0.25">
      <c r="A183" s="78">
        <v>46048</v>
      </c>
      <c r="B183" s="21" t="s">
        <v>30</v>
      </c>
      <c r="C183" s="21" t="s">
        <v>20</v>
      </c>
      <c r="D183" s="21" t="s">
        <v>13</v>
      </c>
      <c r="E183" s="21"/>
      <c r="F183" s="21"/>
      <c r="G183" s="24">
        <v>2696</v>
      </c>
      <c r="H183" s="24"/>
      <c r="J183" s="21" t="s">
        <v>461</v>
      </c>
      <c r="K183" s="24">
        <v>12091.4</v>
      </c>
    </row>
    <row r="184" spans="1:11" x14ac:dyDescent="0.25">
      <c r="A184" s="78">
        <v>46048</v>
      </c>
      <c r="B184" s="21" t="s">
        <v>44</v>
      </c>
      <c r="C184" s="21" t="s">
        <v>20</v>
      </c>
      <c r="D184" s="21" t="s">
        <v>22</v>
      </c>
      <c r="E184" s="21" t="s">
        <v>17</v>
      </c>
      <c r="F184" s="21"/>
      <c r="G184" s="24">
        <v>77.239999999999995</v>
      </c>
      <c r="H184" s="24"/>
      <c r="J184" s="21" t="s">
        <v>461</v>
      </c>
      <c r="K184" s="24">
        <v>12168.64</v>
      </c>
    </row>
    <row r="185" spans="1:11" x14ac:dyDescent="0.25">
      <c r="A185" s="78">
        <v>46048</v>
      </c>
      <c r="B185" s="21" t="s">
        <v>45</v>
      </c>
      <c r="C185" s="21" t="s">
        <v>12</v>
      </c>
      <c r="D185" s="21" t="s">
        <v>24</v>
      </c>
      <c r="E185" s="21" t="s">
        <v>17</v>
      </c>
      <c r="F185" s="21" t="s">
        <v>25</v>
      </c>
      <c r="G185" s="24">
        <v>18</v>
      </c>
      <c r="H185" s="24"/>
      <c r="J185" s="21" t="s">
        <v>461</v>
      </c>
      <c r="K185" s="24">
        <v>12150.64</v>
      </c>
    </row>
    <row r="186" spans="1:11" x14ac:dyDescent="0.25">
      <c r="A186" s="78">
        <v>46048</v>
      </c>
      <c r="B186" s="21" t="s">
        <v>516</v>
      </c>
      <c r="C186" s="21" t="s">
        <v>12</v>
      </c>
      <c r="D186" s="21" t="s">
        <v>19</v>
      </c>
      <c r="E186" s="21" t="s">
        <v>14</v>
      </c>
      <c r="F186" s="21" t="s">
        <v>15</v>
      </c>
      <c r="G186" s="24">
        <v>50</v>
      </c>
      <c r="H186" s="24"/>
      <c r="J186" s="21" t="s">
        <v>461</v>
      </c>
      <c r="K186" s="24">
        <v>12100.64</v>
      </c>
    </row>
    <row r="187" spans="1:11" x14ac:dyDescent="0.25">
      <c r="A187" s="78">
        <v>46049</v>
      </c>
      <c r="B187" s="21" t="s">
        <v>517</v>
      </c>
      <c r="C187" s="21" t="s">
        <v>12</v>
      </c>
      <c r="D187" s="21" t="s">
        <v>39</v>
      </c>
      <c r="E187" s="21" t="s">
        <v>14</v>
      </c>
      <c r="F187" s="21" t="s">
        <v>15</v>
      </c>
      <c r="G187" s="24">
        <v>3230</v>
      </c>
      <c r="H187" s="24"/>
      <c r="J187" s="21" t="s">
        <v>461</v>
      </c>
      <c r="K187" s="24">
        <v>8870.6400000000031</v>
      </c>
    </row>
    <row r="188" spans="1:11" x14ac:dyDescent="0.25">
      <c r="A188" s="78">
        <v>46049</v>
      </c>
      <c r="B188" s="21" t="s">
        <v>30</v>
      </c>
      <c r="C188" s="21" t="s">
        <v>20</v>
      </c>
      <c r="D188" s="21" t="s">
        <v>13</v>
      </c>
      <c r="E188" s="21"/>
      <c r="F188" s="21"/>
      <c r="G188" s="24">
        <v>2522</v>
      </c>
      <c r="H188" s="24"/>
      <c r="J188" s="21" t="s">
        <v>461</v>
      </c>
      <c r="K188" s="24">
        <v>11392.64</v>
      </c>
    </row>
    <row r="189" spans="1:11" x14ac:dyDescent="0.25">
      <c r="A189" s="78">
        <v>46049</v>
      </c>
      <c r="B189" s="21" t="s">
        <v>21</v>
      </c>
      <c r="C189" s="21" t="s">
        <v>20</v>
      </c>
      <c r="D189" s="21" t="s">
        <v>22</v>
      </c>
      <c r="E189" s="21" t="s">
        <v>17</v>
      </c>
      <c r="F189" s="21"/>
      <c r="G189" s="24">
        <v>0</v>
      </c>
      <c r="H189" s="24"/>
      <c r="J189" s="21" t="s">
        <v>461</v>
      </c>
      <c r="K189" s="24">
        <v>11392.64</v>
      </c>
    </row>
    <row r="190" spans="1:11" x14ac:dyDescent="0.25">
      <c r="A190" s="78">
        <v>46049</v>
      </c>
      <c r="B190" s="21" t="s">
        <v>23</v>
      </c>
      <c r="C190" s="21" t="s">
        <v>12</v>
      </c>
      <c r="D190" s="21" t="s">
        <v>24</v>
      </c>
      <c r="E190" s="21" t="s">
        <v>17</v>
      </c>
      <c r="F190" s="21" t="s">
        <v>25</v>
      </c>
      <c r="G190" s="24">
        <v>0</v>
      </c>
      <c r="H190" s="24"/>
      <c r="J190" s="21" t="s">
        <v>461</v>
      </c>
      <c r="K190" s="24">
        <v>11392.64</v>
      </c>
    </row>
    <row r="191" spans="1:11" x14ac:dyDescent="0.25">
      <c r="A191" s="78">
        <v>46049</v>
      </c>
      <c r="B191" s="21" t="s">
        <v>11</v>
      </c>
      <c r="C191" s="21" t="s">
        <v>12</v>
      </c>
      <c r="D191" s="21" t="s">
        <v>19</v>
      </c>
      <c r="E191" s="21" t="s">
        <v>14</v>
      </c>
      <c r="F191" s="21" t="s">
        <v>15</v>
      </c>
      <c r="G191" s="24">
        <v>124</v>
      </c>
      <c r="H191" s="24"/>
      <c r="J191" s="21" t="s">
        <v>461</v>
      </c>
      <c r="K191" s="24">
        <v>11268.64</v>
      </c>
    </row>
    <row r="192" spans="1:11" x14ac:dyDescent="0.25">
      <c r="A192" s="78">
        <v>46049</v>
      </c>
      <c r="B192" s="21" t="s">
        <v>352</v>
      </c>
      <c r="C192" s="21" t="s">
        <v>12</v>
      </c>
      <c r="D192" s="21" t="s">
        <v>19</v>
      </c>
      <c r="E192" s="21" t="s">
        <v>17</v>
      </c>
      <c r="F192" s="21"/>
      <c r="G192" s="24">
        <v>552</v>
      </c>
      <c r="H192" s="24"/>
      <c r="J192" s="21" t="s">
        <v>461</v>
      </c>
      <c r="K192" s="24">
        <v>10716.64</v>
      </c>
    </row>
    <row r="193" spans="1:11" x14ac:dyDescent="0.25">
      <c r="A193" s="78">
        <v>46049</v>
      </c>
      <c r="B193" s="21" t="s">
        <v>352</v>
      </c>
      <c r="C193" s="21" t="s">
        <v>12</v>
      </c>
      <c r="D193" s="21" t="s">
        <v>19</v>
      </c>
      <c r="E193" s="21" t="s">
        <v>17</v>
      </c>
      <c r="F193" s="21"/>
      <c r="G193" s="24">
        <v>907.2</v>
      </c>
      <c r="H193" s="24"/>
      <c r="J193" s="21" t="s">
        <v>461</v>
      </c>
      <c r="K193" s="24">
        <v>9809.4400000000023</v>
      </c>
    </row>
    <row r="194" spans="1:11" x14ac:dyDescent="0.25">
      <c r="A194" s="78">
        <v>46049</v>
      </c>
      <c r="B194" s="21" t="s">
        <v>352</v>
      </c>
      <c r="C194" s="21" t="s">
        <v>12</v>
      </c>
      <c r="D194" s="21" t="s">
        <v>19</v>
      </c>
      <c r="E194" s="21" t="s">
        <v>17</v>
      </c>
      <c r="F194" s="21"/>
      <c r="G194" s="24">
        <v>907.2</v>
      </c>
      <c r="H194" s="24"/>
      <c r="J194" s="21" t="s">
        <v>461</v>
      </c>
      <c r="K194" s="24">
        <v>8902.2400000000016</v>
      </c>
    </row>
    <row r="195" spans="1:11" x14ac:dyDescent="0.25">
      <c r="A195" s="78">
        <v>46049</v>
      </c>
      <c r="B195" s="21" t="s">
        <v>351</v>
      </c>
      <c r="C195" s="21" t="s">
        <v>12</v>
      </c>
      <c r="D195" s="21" t="s">
        <v>19</v>
      </c>
      <c r="E195" s="21" t="s">
        <v>17</v>
      </c>
      <c r="F195" s="21"/>
      <c r="G195" s="24">
        <v>1794.8</v>
      </c>
      <c r="H195" s="24"/>
      <c r="J195" s="21" t="s">
        <v>461</v>
      </c>
      <c r="K195" s="24">
        <v>7107.4400000000014</v>
      </c>
    </row>
    <row r="196" spans="1:11" x14ac:dyDescent="0.25">
      <c r="A196" s="78">
        <v>46050</v>
      </c>
      <c r="B196" s="21" t="s">
        <v>389</v>
      </c>
      <c r="C196" s="21" t="s">
        <v>12</v>
      </c>
      <c r="D196" s="21" t="s">
        <v>19</v>
      </c>
      <c r="E196" s="21" t="s">
        <v>17</v>
      </c>
      <c r="F196" s="21"/>
      <c r="G196" s="24">
        <v>614.16</v>
      </c>
      <c r="H196" s="24"/>
      <c r="J196" s="21" t="s">
        <v>461</v>
      </c>
      <c r="K196" s="24">
        <v>6493.2800000000016</v>
      </c>
    </row>
    <row r="197" spans="1:11" x14ac:dyDescent="0.25">
      <c r="A197" s="78">
        <v>46050</v>
      </c>
      <c r="B197" s="21" t="s">
        <v>518</v>
      </c>
      <c r="C197" s="21" t="s">
        <v>12</v>
      </c>
      <c r="D197" s="21" t="s">
        <v>19</v>
      </c>
      <c r="E197" s="21" t="s">
        <v>17</v>
      </c>
      <c r="F197" s="21"/>
      <c r="G197" s="24">
        <v>116.97</v>
      </c>
      <c r="H197" s="24"/>
      <c r="J197" s="21" t="s">
        <v>461</v>
      </c>
      <c r="K197" s="24">
        <v>6376.3100000000013</v>
      </c>
    </row>
    <row r="198" spans="1:11" x14ac:dyDescent="0.25">
      <c r="A198" s="78">
        <v>46050</v>
      </c>
      <c r="B198" s="21" t="s">
        <v>30</v>
      </c>
      <c r="C198" s="21" t="s">
        <v>20</v>
      </c>
      <c r="D198" s="21" t="s">
        <v>13</v>
      </c>
      <c r="E198" s="21"/>
      <c r="F198" s="21"/>
      <c r="G198" s="24">
        <v>2076</v>
      </c>
      <c r="H198" s="24"/>
      <c r="J198" s="21" t="s">
        <v>461</v>
      </c>
      <c r="K198" s="24">
        <v>8452.3100000000013</v>
      </c>
    </row>
    <row r="199" spans="1:11" x14ac:dyDescent="0.25">
      <c r="A199" s="78">
        <v>46050</v>
      </c>
      <c r="B199" s="21" t="s">
        <v>44</v>
      </c>
      <c r="C199" s="21" t="s">
        <v>20</v>
      </c>
      <c r="D199" s="21" t="s">
        <v>22</v>
      </c>
      <c r="E199" s="21" t="s">
        <v>17</v>
      </c>
      <c r="F199" s="21"/>
      <c r="G199" s="24">
        <v>0</v>
      </c>
      <c r="H199" s="24"/>
      <c r="J199" s="21" t="s">
        <v>461</v>
      </c>
      <c r="K199" s="24">
        <v>8452.3100000000013</v>
      </c>
    </row>
    <row r="200" spans="1:11" x14ac:dyDescent="0.25">
      <c r="A200" s="78">
        <v>46050</v>
      </c>
      <c r="B200" s="21" t="s">
        <v>45</v>
      </c>
      <c r="C200" s="21" t="s">
        <v>12</v>
      </c>
      <c r="D200" s="21" t="s">
        <v>24</v>
      </c>
      <c r="E200" s="21" t="s">
        <v>17</v>
      </c>
      <c r="F200" s="21" t="s">
        <v>25</v>
      </c>
      <c r="G200" s="24">
        <v>0</v>
      </c>
      <c r="H200" s="24"/>
      <c r="J200" s="21" t="s">
        <v>461</v>
      </c>
      <c r="K200" s="24">
        <v>8452.3100000000013</v>
      </c>
    </row>
    <row r="201" spans="1:11" x14ac:dyDescent="0.25">
      <c r="A201" s="78">
        <v>46050</v>
      </c>
      <c r="B201" s="21" t="s">
        <v>401</v>
      </c>
      <c r="C201" s="21" t="s">
        <v>12</v>
      </c>
      <c r="D201" s="21" t="s">
        <v>19</v>
      </c>
      <c r="E201" s="21" t="s">
        <v>14</v>
      </c>
      <c r="F201" s="21" t="s">
        <v>15</v>
      </c>
      <c r="G201" s="24">
        <v>188</v>
      </c>
      <c r="H201" s="24"/>
      <c r="J201" s="21" t="s">
        <v>461</v>
      </c>
      <c r="K201" s="24">
        <v>8264.3100000000013</v>
      </c>
    </row>
    <row r="202" spans="1:11" x14ac:dyDescent="0.25">
      <c r="A202" s="78">
        <v>46051</v>
      </c>
      <c r="B202" s="21" t="s">
        <v>443</v>
      </c>
      <c r="C202" s="21" t="s">
        <v>12</v>
      </c>
      <c r="D202" s="21" t="s">
        <v>58</v>
      </c>
      <c r="E202" s="21" t="s">
        <v>17</v>
      </c>
      <c r="F202" s="21"/>
      <c r="G202" s="24">
        <v>869.4</v>
      </c>
      <c r="H202" s="24"/>
      <c r="J202" s="21" t="s">
        <v>461</v>
      </c>
      <c r="K202" s="24">
        <v>7394.9100000000017</v>
      </c>
    </row>
    <row r="203" spans="1:11" x14ac:dyDescent="0.25">
      <c r="A203" s="78">
        <v>46051</v>
      </c>
      <c r="B203" s="21" t="s">
        <v>519</v>
      </c>
      <c r="C203" s="21" t="s">
        <v>12</v>
      </c>
      <c r="D203" s="21" t="s">
        <v>39</v>
      </c>
      <c r="E203" s="21" t="s">
        <v>17</v>
      </c>
      <c r="F203" s="21"/>
      <c r="G203" s="24">
        <v>370</v>
      </c>
      <c r="H203" s="24"/>
      <c r="J203" s="21" t="s">
        <v>461</v>
      </c>
      <c r="K203" s="24">
        <v>7024.9100000000017</v>
      </c>
    </row>
    <row r="204" spans="1:11" x14ac:dyDescent="0.25">
      <c r="A204" s="78">
        <v>46051</v>
      </c>
      <c r="B204" s="21" t="s">
        <v>401</v>
      </c>
      <c r="C204" s="21" t="s">
        <v>12</v>
      </c>
      <c r="D204" s="21" t="s">
        <v>19</v>
      </c>
      <c r="E204" s="21" t="s">
        <v>14</v>
      </c>
      <c r="F204" s="21" t="s">
        <v>15</v>
      </c>
      <c r="G204" s="24">
        <v>141</v>
      </c>
      <c r="H204" s="24"/>
      <c r="J204" s="21" t="s">
        <v>461</v>
      </c>
      <c r="K204" s="24">
        <v>6883.9100000000017</v>
      </c>
    </row>
    <row r="205" spans="1:11" x14ac:dyDescent="0.25">
      <c r="A205" s="78">
        <v>46051</v>
      </c>
      <c r="B205" s="21" t="s">
        <v>45</v>
      </c>
      <c r="C205" s="21" t="s">
        <v>12</v>
      </c>
      <c r="D205" s="21" t="s">
        <v>24</v>
      </c>
      <c r="E205" s="21" t="s">
        <v>17</v>
      </c>
      <c r="F205" s="21" t="s">
        <v>25</v>
      </c>
      <c r="G205" s="24">
        <v>9</v>
      </c>
      <c r="H205" s="24"/>
      <c r="J205" s="21" t="s">
        <v>461</v>
      </c>
      <c r="K205" s="24">
        <v>6874.9100000000017</v>
      </c>
    </row>
    <row r="206" spans="1:11" x14ac:dyDescent="0.25">
      <c r="A206" s="78">
        <v>46051</v>
      </c>
      <c r="B206" s="21" t="s">
        <v>30</v>
      </c>
      <c r="C206" s="21" t="s">
        <v>20</v>
      </c>
      <c r="D206" s="21" t="s">
        <v>13</v>
      </c>
      <c r="E206" s="21"/>
      <c r="F206" s="21"/>
      <c r="G206" s="24">
        <v>2596</v>
      </c>
      <c r="H206" s="24"/>
      <c r="J206" s="21" t="s">
        <v>461</v>
      </c>
      <c r="K206" s="24">
        <v>9470.9100000000017</v>
      </c>
    </row>
    <row r="207" spans="1:11" x14ac:dyDescent="0.25">
      <c r="A207" s="78">
        <v>46051</v>
      </c>
      <c r="B207" s="21" t="s">
        <v>44</v>
      </c>
      <c r="C207" s="21" t="s">
        <v>20</v>
      </c>
      <c r="D207" s="21" t="s">
        <v>22</v>
      </c>
      <c r="E207" s="21" t="s">
        <v>17</v>
      </c>
      <c r="F207" s="21"/>
      <c r="G207" s="24">
        <v>40.24</v>
      </c>
      <c r="H207" s="24"/>
      <c r="J207" s="21" t="s">
        <v>461</v>
      </c>
      <c r="K207" s="24">
        <v>9511.1500000000015</v>
      </c>
    </row>
    <row r="208" spans="1:11" x14ac:dyDescent="0.25">
      <c r="A208" s="78">
        <v>46051</v>
      </c>
      <c r="B208" s="21" t="s">
        <v>520</v>
      </c>
      <c r="C208" s="21" t="s">
        <v>12</v>
      </c>
      <c r="D208" s="21" t="s">
        <v>27</v>
      </c>
      <c r="E208" s="21" t="s">
        <v>17</v>
      </c>
      <c r="F208" s="21" t="s">
        <v>25</v>
      </c>
      <c r="G208" s="24">
        <v>218</v>
      </c>
      <c r="H208" s="24"/>
      <c r="J208" s="21" t="s">
        <v>461</v>
      </c>
      <c r="K208" s="24">
        <v>9293.1500000000015</v>
      </c>
    </row>
    <row r="209" spans="1:11" x14ac:dyDescent="0.25">
      <c r="A209" s="78">
        <v>46052</v>
      </c>
      <c r="B209" s="21" t="s">
        <v>11</v>
      </c>
      <c r="C209" s="21" t="s">
        <v>12</v>
      </c>
      <c r="D209" s="21" t="s">
        <v>19</v>
      </c>
      <c r="E209" s="21" t="s">
        <v>14</v>
      </c>
      <c r="F209" s="21" t="s">
        <v>15</v>
      </c>
      <c r="G209" s="24">
        <v>282</v>
      </c>
      <c r="H209" s="24"/>
      <c r="J209" s="21" t="s">
        <v>461</v>
      </c>
      <c r="K209" s="24">
        <v>9011.1500000000015</v>
      </c>
    </row>
    <row r="210" spans="1:11" x14ac:dyDescent="0.25">
      <c r="A210" s="78">
        <v>46052</v>
      </c>
      <c r="B210" s="21" t="s">
        <v>13</v>
      </c>
      <c r="C210" s="21" t="s">
        <v>20</v>
      </c>
      <c r="D210" s="21" t="s">
        <v>13</v>
      </c>
      <c r="E210" s="21"/>
      <c r="F210" s="21"/>
      <c r="G210" s="24">
        <v>1925</v>
      </c>
      <c r="H210" s="24"/>
      <c r="J210" s="21" t="s">
        <v>461</v>
      </c>
      <c r="K210" s="24">
        <v>10936.15</v>
      </c>
    </row>
    <row r="211" spans="1:11" x14ac:dyDescent="0.25">
      <c r="A211" s="78">
        <v>46052</v>
      </c>
      <c r="B211" s="21" t="s">
        <v>21</v>
      </c>
      <c r="C211" s="21" t="s">
        <v>20</v>
      </c>
      <c r="D211" s="21" t="s">
        <v>22</v>
      </c>
      <c r="E211" s="21" t="s">
        <v>17</v>
      </c>
      <c r="F211" s="21"/>
      <c r="G211" s="24">
        <v>29.5</v>
      </c>
      <c r="H211" s="24"/>
      <c r="J211" s="21" t="s">
        <v>461</v>
      </c>
      <c r="K211" s="24">
        <v>10965.65</v>
      </c>
    </row>
    <row r="212" spans="1:11" x14ac:dyDescent="0.25">
      <c r="A212" s="78">
        <v>46052</v>
      </c>
      <c r="B212" s="21" t="s">
        <v>23</v>
      </c>
      <c r="C212" s="21" t="s">
        <v>12</v>
      </c>
      <c r="D212" s="21" t="s">
        <v>24</v>
      </c>
      <c r="E212" s="21" t="s">
        <v>17</v>
      </c>
      <c r="F212" s="21" t="s">
        <v>25</v>
      </c>
      <c r="G212" s="24">
        <v>21</v>
      </c>
      <c r="H212" s="24"/>
      <c r="J212" s="21" t="s">
        <v>461</v>
      </c>
      <c r="K212" s="24">
        <v>10944.65</v>
      </c>
    </row>
    <row r="213" spans="1:11" x14ac:dyDescent="0.25">
      <c r="A213" s="78">
        <v>46052</v>
      </c>
      <c r="B213" s="21" t="s">
        <v>521</v>
      </c>
      <c r="C213" s="21" t="s">
        <v>12</v>
      </c>
      <c r="D213" s="21" t="s">
        <v>68</v>
      </c>
      <c r="E213" s="21" t="s">
        <v>17</v>
      </c>
      <c r="F213" s="21" t="s">
        <v>25</v>
      </c>
      <c r="G213" s="24">
        <v>100</v>
      </c>
      <c r="H213" s="24"/>
      <c r="J213" s="21" t="s">
        <v>461</v>
      </c>
      <c r="K213" s="24">
        <v>10844.65</v>
      </c>
    </row>
    <row r="214" spans="1:11" x14ac:dyDescent="0.25">
      <c r="A214" s="78">
        <v>46053</v>
      </c>
      <c r="B214" s="21" t="s">
        <v>522</v>
      </c>
      <c r="C214" s="21" t="s">
        <v>12</v>
      </c>
      <c r="D214" s="21" t="s">
        <v>68</v>
      </c>
      <c r="E214" s="21" t="s">
        <v>17</v>
      </c>
      <c r="F214" s="21" t="s">
        <v>25</v>
      </c>
      <c r="G214" s="24">
        <v>600</v>
      </c>
      <c r="H214" s="24"/>
      <c r="J214" s="21" t="s">
        <v>461</v>
      </c>
      <c r="K214" s="24">
        <v>10244.65</v>
      </c>
    </row>
    <row r="215" spans="1:11" x14ac:dyDescent="0.25">
      <c r="A215" s="78">
        <v>46053</v>
      </c>
      <c r="B215" s="21" t="s">
        <v>315</v>
      </c>
      <c r="C215" s="21" t="s">
        <v>12</v>
      </c>
      <c r="D215" s="21" t="s">
        <v>27</v>
      </c>
      <c r="E215" s="21" t="s">
        <v>17</v>
      </c>
      <c r="F215" s="21"/>
      <c r="G215" s="24">
        <v>2000</v>
      </c>
      <c r="H215" s="24"/>
      <c r="J215" s="21" t="s">
        <v>461</v>
      </c>
      <c r="K215" s="24">
        <v>8244.6500000000015</v>
      </c>
    </row>
    <row r="216" spans="1:11" x14ac:dyDescent="0.25">
      <c r="A216" s="78">
        <v>46053</v>
      </c>
      <c r="B216" s="21" t="s">
        <v>30</v>
      </c>
      <c r="C216" s="21" t="s">
        <v>20</v>
      </c>
      <c r="D216" s="21" t="s">
        <v>13</v>
      </c>
      <c r="E216" s="21"/>
      <c r="F216" s="21"/>
      <c r="G216" s="24">
        <v>8313</v>
      </c>
      <c r="H216" s="24"/>
      <c r="J216" s="21" t="s">
        <v>461</v>
      </c>
      <c r="K216" s="24">
        <v>16557.650000000001</v>
      </c>
    </row>
    <row r="217" spans="1:11" x14ac:dyDescent="0.25">
      <c r="A217" s="78">
        <v>46053</v>
      </c>
      <c r="B217" s="21" t="s">
        <v>44</v>
      </c>
      <c r="C217" s="21" t="s">
        <v>20</v>
      </c>
      <c r="D217" s="21" t="s">
        <v>22</v>
      </c>
      <c r="E217" s="21" t="s">
        <v>17</v>
      </c>
      <c r="F217" s="21"/>
      <c r="G217" s="24">
        <v>194</v>
      </c>
      <c r="H217" s="24"/>
      <c r="J217" s="21" t="s">
        <v>461</v>
      </c>
      <c r="K217" s="24">
        <v>16751.650000000001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193"/>
  <sheetViews>
    <sheetView workbookViewId="0"/>
  </sheetViews>
  <sheetFormatPr defaultColWidth="14.42578125" defaultRowHeight="15" customHeight="1" x14ac:dyDescent="0.25"/>
  <cols>
    <col min="2" max="2" width="32.5703125" customWidth="1"/>
    <col min="3" max="3" width="7.7109375" customWidth="1"/>
    <col min="4" max="4" width="16.140625" customWidth="1"/>
    <col min="6" max="6" width="19.28515625" customWidth="1"/>
    <col min="11" max="11" width="15.7109375" customWidth="1"/>
  </cols>
  <sheetData>
    <row r="1" spans="1:1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/>
      <c r="I1" s="2" t="s">
        <v>8</v>
      </c>
      <c r="J1" s="2" t="s">
        <v>9</v>
      </c>
      <c r="K1" s="2" t="s">
        <v>10</v>
      </c>
    </row>
    <row r="2" spans="1:11" x14ac:dyDescent="0.25">
      <c r="A2" s="84">
        <v>46054</v>
      </c>
      <c r="B2" s="5" t="s">
        <v>523</v>
      </c>
      <c r="C2" s="5" t="s">
        <v>12</v>
      </c>
      <c r="D2" s="5" t="s">
        <v>33</v>
      </c>
      <c r="E2" s="5" t="s">
        <v>17</v>
      </c>
      <c r="F2" s="5" t="s">
        <v>25</v>
      </c>
      <c r="G2" s="26">
        <v>390</v>
      </c>
      <c r="H2" s="26"/>
      <c r="I2" s="5"/>
      <c r="J2" s="5" t="s">
        <v>464</v>
      </c>
      <c r="K2" s="26">
        <v>-390</v>
      </c>
    </row>
    <row r="3" spans="1:11" x14ac:dyDescent="0.25">
      <c r="A3" s="84">
        <v>46054</v>
      </c>
      <c r="B3" s="5" t="s">
        <v>30</v>
      </c>
      <c r="C3" s="5" t="s">
        <v>20</v>
      </c>
      <c r="D3" s="5" t="s">
        <v>13</v>
      </c>
      <c r="E3" s="5"/>
      <c r="F3" s="5"/>
      <c r="G3" s="26">
        <v>5836</v>
      </c>
      <c r="H3" s="26"/>
      <c r="I3" s="5"/>
      <c r="J3" s="5" t="s">
        <v>464</v>
      </c>
      <c r="K3" s="26">
        <v>5446</v>
      </c>
    </row>
    <row r="4" spans="1:11" x14ac:dyDescent="0.25">
      <c r="A4" s="84">
        <v>46054</v>
      </c>
      <c r="B4" s="5" t="s">
        <v>21</v>
      </c>
      <c r="C4" s="5" t="s">
        <v>20</v>
      </c>
      <c r="D4" s="5" t="s">
        <v>22</v>
      </c>
      <c r="E4" s="5" t="s">
        <v>17</v>
      </c>
      <c r="F4" s="5"/>
      <c r="G4" s="26">
        <v>387.11</v>
      </c>
      <c r="H4" s="26"/>
      <c r="I4" s="5"/>
      <c r="J4" s="5" t="s">
        <v>464</v>
      </c>
      <c r="K4" s="26">
        <v>5833.11</v>
      </c>
    </row>
    <row r="5" spans="1:11" x14ac:dyDescent="0.25">
      <c r="A5" s="84">
        <v>46054</v>
      </c>
      <c r="B5" s="5" t="s">
        <v>23</v>
      </c>
      <c r="C5" s="5" t="s">
        <v>12</v>
      </c>
      <c r="D5" s="5" t="s">
        <v>24</v>
      </c>
      <c r="E5" s="5" t="s">
        <v>17</v>
      </c>
      <c r="F5" s="5" t="s">
        <v>25</v>
      </c>
      <c r="G5" s="26">
        <v>54</v>
      </c>
      <c r="H5" s="26"/>
      <c r="I5" s="5"/>
      <c r="J5" s="5" t="s">
        <v>464</v>
      </c>
      <c r="K5" s="26">
        <v>5779.11</v>
      </c>
    </row>
    <row r="6" spans="1:11" x14ac:dyDescent="0.25">
      <c r="A6" s="84">
        <v>46055</v>
      </c>
      <c r="B6" s="5" t="s">
        <v>354</v>
      </c>
      <c r="C6" s="5" t="s">
        <v>12</v>
      </c>
      <c r="D6" s="5" t="s">
        <v>19</v>
      </c>
      <c r="E6" s="5" t="s">
        <v>17</v>
      </c>
      <c r="F6" s="5"/>
      <c r="G6" s="26">
        <v>464.11</v>
      </c>
      <c r="H6" s="26"/>
      <c r="I6" s="5"/>
      <c r="J6" s="5" t="s">
        <v>464</v>
      </c>
      <c r="K6" s="26">
        <v>5315</v>
      </c>
    </row>
    <row r="7" spans="1:11" x14ac:dyDescent="0.25">
      <c r="A7" s="84">
        <v>46055</v>
      </c>
      <c r="B7" s="5" t="s">
        <v>443</v>
      </c>
      <c r="C7" s="5" t="s">
        <v>12</v>
      </c>
      <c r="D7" s="5" t="s">
        <v>58</v>
      </c>
      <c r="E7" s="5" t="s">
        <v>17</v>
      </c>
      <c r="F7" s="5"/>
      <c r="G7" s="26">
        <v>263.86</v>
      </c>
      <c r="H7" s="26"/>
      <c r="I7" s="5"/>
      <c r="J7" s="5" t="s">
        <v>464</v>
      </c>
      <c r="K7" s="26">
        <v>5051.1400000000003</v>
      </c>
    </row>
    <row r="8" spans="1:11" x14ac:dyDescent="0.25">
      <c r="A8" s="84">
        <v>46055</v>
      </c>
      <c r="B8" s="5" t="s">
        <v>30</v>
      </c>
      <c r="C8" s="5" t="s">
        <v>20</v>
      </c>
      <c r="D8" s="5" t="s">
        <v>13</v>
      </c>
      <c r="E8" s="5"/>
      <c r="F8" s="5"/>
      <c r="G8" s="26">
        <v>1657</v>
      </c>
      <c r="H8" s="26"/>
      <c r="I8" s="5"/>
      <c r="J8" s="5" t="s">
        <v>464</v>
      </c>
      <c r="K8" s="26">
        <v>6708.14</v>
      </c>
    </row>
    <row r="9" spans="1:11" x14ac:dyDescent="0.25">
      <c r="A9" s="84">
        <v>46055</v>
      </c>
      <c r="B9" s="5" t="s">
        <v>44</v>
      </c>
      <c r="C9" s="5" t="s">
        <v>20</v>
      </c>
      <c r="D9" s="5" t="s">
        <v>22</v>
      </c>
      <c r="E9" s="5" t="s">
        <v>17</v>
      </c>
      <c r="F9" s="5"/>
      <c r="G9" s="26">
        <v>0</v>
      </c>
      <c r="H9" s="26"/>
      <c r="I9" s="5"/>
      <c r="J9" s="5" t="s">
        <v>464</v>
      </c>
      <c r="K9" s="26">
        <v>6708.14</v>
      </c>
    </row>
    <row r="10" spans="1:11" x14ac:dyDescent="0.25">
      <c r="A10" s="84">
        <v>46055</v>
      </c>
      <c r="B10" s="5" t="s">
        <v>45</v>
      </c>
      <c r="C10" s="5" t="s">
        <v>12</v>
      </c>
      <c r="D10" s="5" t="s">
        <v>24</v>
      </c>
      <c r="E10" s="5" t="s">
        <v>17</v>
      </c>
      <c r="F10" s="5" t="s">
        <v>25</v>
      </c>
      <c r="G10" s="26">
        <v>0</v>
      </c>
      <c r="H10" s="26"/>
      <c r="I10" s="5"/>
      <c r="J10" s="5" t="s">
        <v>464</v>
      </c>
      <c r="K10" s="26">
        <v>6708.14</v>
      </c>
    </row>
    <row r="11" spans="1:11" x14ac:dyDescent="0.25">
      <c r="A11" s="84">
        <v>46055</v>
      </c>
      <c r="B11" s="5" t="s">
        <v>401</v>
      </c>
      <c r="C11" s="5" t="s">
        <v>12</v>
      </c>
      <c r="D11" s="5" t="s">
        <v>19</v>
      </c>
      <c r="E11" s="5" t="s">
        <v>14</v>
      </c>
      <c r="F11" s="5" t="s">
        <v>15</v>
      </c>
      <c r="G11" s="26">
        <v>0</v>
      </c>
      <c r="H11" s="26"/>
      <c r="I11" s="5"/>
      <c r="J11" s="5" t="s">
        <v>464</v>
      </c>
      <c r="K11" s="26">
        <v>6708.14</v>
      </c>
    </row>
    <row r="12" spans="1:11" x14ac:dyDescent="0.25">
      <c r="A12" s="84">
        <v>46055</v>
      </c>
      <c r="B12" s="5" t="s">
        <v>524</v>
      </c>
      <c r="C12" s="5" t="s">
        <v>12</v>
      </c>
      <c r="D12" s="5" t="s">
        <v>64</v>
      </c>
      <c r="E12" s="5" t="s">
        <v>17</v>
      </c>
      <c r="F12" s="5" t="s">
        <v>25</v>
      </c>
      <c r="G12" s="26">
        <v>45</v>
      </c>
      <c r="H12" s="26"/>
      <c r="I12" s="5"/>
      <c r="J12" s="5" t="s">
        <v>464</v>
      </c>
      <c r="K12" s="26">
        <v>6663.14</v>
      </c>
    </row>
    <row r="13" spans="1:11" x14ac:dyDescent="0.25">
      <c r="A13" s="84">
        <v>46055</v>
      </c>
      <c r="B13" s="5" t="s">
        <v>525</v>
      </c>
      <c r="C13" s="5" t="s">
        <v>12</v>
      </c>
      <c r="D13" s="5" t="s">
        <v>68</v>
      </c>
      <c r="E13" s="5" t="s">
        <v>17</v>
      </c>
      <c r="F13" s="5" t="s">
        <v>25</v>
      </c>
      <c r="G13" s="26">
        <v>45</v>
      </c>
      <c r="H13" s="26"/>
      <c r="I13" s="5"/>
      <c r="J13" s="5" t="s">
        <v>464</v>
      </c>
      <c r="K13" s="26">
        <v>6618.14</v>
      </c>
    </row>
    <row r="14" spans="1:11" x14ac:dyDescent="0.25">
      <c r="A14" s="84">
        <v>46056</v>
      </c>
      <c r="B14" s="5" t="s">
        <v>13</v>
      </c>
      <c r="C14" s="5" t="s">
        <v>20</v>
      </c>
      <c r="D14" s="5" t="s">
        <v>13</v>
      </c>
      <c r="E14" s="5"/>
      <c r="F14" s="5"/>
      <c r="G14" s="26">
        <v>1296</v>
      </c>
      <c r="H14" s="26"/>
      <c r="I14" s="5"/>
      <c r="J14" s="5" t="s">
        <v>464</v>
      </c>
      <c r="K14" s="26">
        <v>7914.14</v>
      </c>
    </row>
    <row r="15" spans="1:11" x14ac:dyDescent="0.25">
      <c r="A15" s="84">
        <v>46056</v>
      </c>
      <c r="B15" s="5" t="s">
        <v>21</v>
      </c>
      <c r="C15" s="5" t="s">
        <v>20</v>
      </c>
      <c r="D15" s="5" t="s">
        <v>22</v>
      </c>
      <c r="E15" s="5" t="s">
        <v>17</v>
      </c>
      <c r="F15" s="5"/>
      <c r="G15" s="26">
        <v>151.79</v>
      </c>
      <c r="H15" s="26"/>
      <c r="I15" s="5"/>
      <c r="J15" s="5" t="s">
        <v>464</v>
      </c>
      <c r="K15" s="26">
        <v>8065.93</v>
      </c>
    </row>
    <row r="16" spans="1:11" x14ac:dyDescent="0.25">
      <c r="A16" s="84">
        <v>46056</v>
      </c>
      <c r="B16" s="5" t="s">
        <v>23</v>
      </c>
      <c r="C16" s="5" t="s">
        <v>12</v>
      </c>
      <c r="D16" s="5" t="s">
        <v>24</v>
      </c>
      <c r="E16" s="5" t="s">
        <v>17</v>
      </c>
      <c r="F16" s="5" t="s">
        <v>25</v>
      </c>
      <c r="G16" s="26">
        <v>36</v>
      </c>
      <c r="H16" s="26"/>
      <c r="I16" s="5"/>
      <c r="J16" s="5" t="s">
        <v>464</v>
      </c>
      <c r="K16" s="26">
        <v>8029.93</v>
      </c>
    </row>
    <row r="17" spans="1:11" x14ac:dyDescent="0.25">
      <c r="A17" s="84">
        <v>46056</v>
      </c>
      <c r="B17" s="5" t="s">
        <v>401</v>
      </c>
      <c r="C17" s="5" t="s">
        <v>12</v>
      </c>
      <c r="D17" s="5" t="s">
        <v>19</v>
      </c>
      <c r="E17" s="5" t="s">
        <v>14</v>
      </c>
      <c r="F17" s="5" t="s">
        <v>15</v>
      </c>
      <c r="G17" s="26">
        <v>0</v>
      </c>
      <c r="H17" s="26"/>
      <c r="I17" s="5"/>
      <c r="J17" s="5" t="s">
        <v>464</v>
      </c>
      <c r="K17" s="26">
        <v>8029.93</v>
      </c>
    </row>
    <row r="18" spans="1:11" x14ac:dyDescent="0.25">
      <c r="A18" s="84">
        <v>46056</v>
      </c>
      <c r="B18" s="5" t="s">
        <v>31</v>
      </c>
      <c r="C18" s="5" t="s">
        <v>12</v>
      </c>
      <c r="D18" s="5" t="s">
        <v>19</v>
      </c>
      <c r="E18" s="5" t="s">
        <v>17</v>
      </c>
      <c r="F18" s="5" t="s">
        <v>25</v>
      </c>
      <c r="G18" s="26">
        <v>455</v>
      </c>
      <c r="H18" s="26"/>
      <c r="I18" s="5"/>
      <c r="J18" s="5" t="s">
        <v>464</v>
      </c>
      <c r="K18" s="26">
        <v>7574.93</v>
      </c>
    </row>
    <row r="19" spans="1:11" x14ac:dyDescent="0.25">
      <c r="A19" s="84">
        <v>46056</v>
      </c>
      <c r="B19" s="5" t="s">
        <v>526</v>
      </c>
      <c r="C19" s="5" t="s">
        <v>12</v>
      </c>
      <c r="D19" s="5" t="s">
        <v>19</v>
      </c>
      <c r="E19" s="5" t="s">
        <v>17</v>
      </c>
      <c r="F19" s="5" t="s">
        <v>25</v>
      </c>
      <c r="G19" s="5">
        <v>203.5</v>
      </c>
      <c r="H19" s="26"/>
      <c r="I19" s="5"/>
      <c r="J19" s="5" t="s">
        <v>464</v>
      </c>
      <c r="K19" s="26">
        <v>7371.43</v>
      </c>
    </row>
    <row r="20" spans="1:11" x14ac:dyDescent="0.25">
      <c r="A20" s="84">
        <v>46056</v>
      </c>
      <c r="B20" s="5" t="s">
        <v>405</v>
      </c>
      <c r="C20" s="5" t="s">
        <v>12</v>
      </c>
      <c r="D20" s="5" t="s">
        <v>19</v>
      </c>
      <c r="E20" s="5" t="s">
        <v>17</v>
      </c>
      <c r="F20" s="5"/>
      <c r="G20" s="26">
        <v>708.88</v>
      </c>
      <c r="H20" s="26"/>
      <c r="I20" s="5"/>
      <c r="J20" s="5" t="s">
        <v>464</v>
      </c>
      <c r="K20" s="26">
        <v>6662.55</v>
      </c>
    </row>
    <row r="21" spans="1:11" x14ac:dyDescent="0.25">
      <c r="A21" s="84">
        <v>46056</v>
      </c>
      <c r="B21" s="5" t="s">
        <v>394</v>
      </c>
      <c r="C21" s="5" t="s">
        <v>12</v>
      </c>
      <c r="D21" s="5" t="s">
        <v>19</v>
      </c>
      <c r="E21" s="5" t="s">
        <v>17</v>
      </c>
      <c r="F21" s="5"/>
      <c r="G21" s="26">
        <v>1106.8</v>
      </c>
      <c r="H21" s="26"/>
      <c r="I21" s="5"/>
      <c r="J21" s="5" t="s">
        <v>464</v>
      </c>
      <c r="K21" s="26">
        <v>5555.75</v>
      </c>
    </row>
    <row r="22" spans="1:11" x14ac:dyDescent="0.25">
      <c r="A22" s="84">
        <v>46056</v>
      </c>
      <c r="B22" s="5" t="s">
        <v>393</v>
      </c>
      <c r="C22" s="5" t="s">
        <v>12</v>
      </c>
      <c r="D22" s="5" t="s">
        <v>19</v>
      </c>
      <c r="E22" s="5" t="s">
        <v>17</v>
      </c>
      <c r="F22" s="5"/>
      <c r="G22" s="26">
        <v>2822</v>
      </c>
      <c r="H22" s="26"/>
      <c r="I22" s="5"/>
      <c r="J22" s="5" t="s">
        <v>464</v>
      </c>
      <c r="K22" s="26">
        <v>2733.75</v>
      </c>
    </row>
    <row r="23" spans="1:11" x14ac:dyDescent="0.25">
      <c r="A23" s="84">
        <v>46056</v>
      </c>
      <c r="B23" s="5" t="s">
        <v>527</v>
      </c>
      <c r="C23" s="5" t="s">
        <v>12</v>
      </c>
      <c r="D23" s="5" t="s">
        <v>19</v>
      </c>
      <c r="E23" s="5" t="s">
        <v>17</v>
      </c>
      <c r="F23" s="5"/>
      <c r="G23" s="26">
        <v>2269.94</v>
      </c>
      <c r="H23" s="26"/>
      <c r="I23" s="5"/>
      <c r="J23" s="5" t="s">
        <v>464</v>
      </c>
      <c r="K23" s="26">
        <v>463.80999999999989</v>
      </c>
    </row>
    <row r="24" spans="1:11" x14ac:dyDescent="0.25">
      <c r="A24" s="84">
        <v>46056</v>
      </c>
      <c r="B24" s="5" t="s">
        <v>528</v>
      </c>
      <c r="C24" s="5" t="s">
        <v>12</v>
      </c>
      <c r="D24" s="5" t="s">
        <v>19</v>
      </c>
      <c r="E24" s="5" t="s">
        <v>14</v>
      </c>
      <c r="F24" s="5" t="s">
        <v>15</v>
      </c>
      <c r="G24" s="26">
        <v>53</v>
      </c>
      <c r="H24" s="26"/>
      <c r="I24" s="5"/>
      <c r="J24" s="5" t="s">
        <v>464</v>
      </c>
      <c r="K24" s="26">
        <v>410.80999999999989</v>
      </c>
    </row>
    <row r="25" spans="1:11" x14ac:dyDescent="0.25">
      <c r="A25" s="84">
        <v>46057</v>
      </c>
      <c r="B25" s="5" t="s">
        <v>30</v>
      </c>
      <c r="C25" s="5" t="s">
        <v>20</v>
      </c>
      <c r="D25" s="5" t="s">
        <v>13</v>
      </c>
      <c r="E25" s="5"/>
      <c r="F25" s="5"/>
      <c r="G25" s="26">
        <v>1846</v>
      </c>
      <c r="H25" s="26"/>
      <c r="I25" s="5"/>
      <c r="J25" s="5" t="s">
        <v>464</v>
      </c>
      <c r="K25" s="26">
        <v>2256.81</v>
      </c>
    </row>
    <row r="26" spans="1:11" x14ac:dyDescent="0.25">
      <c r="A26" s="84">
        <v>46057</v>
      </c>
      <c r="B26" s="5" t="s">
        <v>21</v>
      </c>
      <c r="C26" s="5" t="s">
        <v>20</v>
      </c>
      <c r="D26" s="5" t="s">
        <v>22</v>
      </c>
      <c r="E26" s="5" t="s">
        <v>17</v>
      </c>
      <c r="F26" s="5"/>
      <c r="G26" s="26">
        <v>226.89</v>
      </c>
      <c r="H26" s="26"/>
      <c r="I26" s="5"/>
      <c r="J26" s="5" t="s">
        <v>464</v>
      </c>
      <c r="K26" s="26">
        <v>2483.6999999999998</v>
      </c>
    </row>
    <row r="27" spans="1:11" x14ac:dyDescent="0.25">
      <c r="A27" s="84">
        <v>46057</v>
      </c>
      <c r="B27" s="5" t="s">
        <v>23</v>
      </c>
      <c r="C27" s="5" t="s">
        <v>12</v>
      </c>
      <c r="D27" s="5" t="s">
        <v>24</v>
      </c>
      <c r="E27" s="5" t="s">
        <v>17</v>
      </c>
      <c r="F27" s="5" t="s">
        <v>25</v>
      </c>
      <c r="G27" s="26">
        <v>27</v>
      </c>
      <c r="H27" s="26"/>
      <c r="I27" s="5"/>
      <c r="J27" s="5" t="s">
        <v>464</v>
      </c>
      <c r="K27" s="26">
        <v>2456.6999999999998</v>
      </c>
    </row>
    <row r="28" spans="1:11" x14ac:dyDescent="0.25">
      <c r="A28" s="84">
        <v>46057</v>
      </c>
      <c r="B28" s="5" t="s">
        <v>401</v>
      </c>
      <c r="C28" s="5" t="s">
        <v>12</v>
      </c>
      <c r="D28" s="5" t="s">
        <v>19</v>
      </c>
      <c r="E28" s="5" t="s">
        <v>14</v>
      </c>
      <c r="F28" s="5" t="s">
        <v>15</v>
      </c>
      <c r="G28" s="26">
        <v>235</v>
      </c>
      <c r="H28" s="26"/>
      <c r="I28" s="5"/>
      <c r="J28" s="5" t="s">
        <v>464</v>
      </c>
      <c r="K28" s="26">
        <v>2221.6999999999998</v>
      </c>
    </row>
    <row r="29" spans="1:11" x14ac:dyDescent="0.25">
      <c r="A29" s="84">
        <v>46057</v>
      </c>
      <c r="B29" s="5" t="s">
        <v>529</v>
      </c>
      <c r="C29" s="5" t="s">
        <v>12</v>
      </c>
      <c r="D29" s="5" t="s">
        <v>27</v>
      </c>
      <c r="E29" s="5" t="s">
        <v>17</v>
      </c>
      <c r="F29" s="5" t="s">
        <v>25</v>
      </c>
      <c r="G29" s="26">
        <v>6269.02</v>
      </c>
      <c r="H29" s="26"/>
      <c r="I29" s="5"/>
      <c r="J29" s="5" t="s">
        <v>464</v>
      </c>
      <c r="K29" s="26">
        <v>-4047.3200000000011</v>
      </c>
    </row>
    <row r="30" spans="1:11" x14ac:dyDescent="0.25">
      <c r="A30" s="84">
        <v>46057</v>
      </c>
      <c r="B30" s="5" t="s">
        <v>530</v>
      </c>
      <c r="C30" s="5" t="s">
        <v>12</v>
      </c>
      <c r="D30" s="5" t="s">
        <v>27</v>
      </c>
      <c r="E30" s="5" t="s">
        <v>17</v>
      </c>
      <c r="F30" s="5" t="s">
        <v>25</v>
      </c>
      <c r="G30" s="26">
        <v>4500</v>
      </c>
      <c r="H30" s="26"/>
      <c r="I30" s="5"/>
      <c r="J30" s="5" t="s">
        <v>464</v>
      </c>
      <c r="K30" s="26">
        <v>-8547.32</v>
      </c>
    </row>
    <row r="31" spans="1:11" x14ac:dyDescent="0.25">
      <c r="A31" s="84">
        <v>46058</v>
      </c>
      <c r="B31" s="5" t="s">
        <v>531</v>
      </c>
      <c r="C31" s="5" t="s">
        <v>12</v>
      </c>
      <c r="D31" s="5" t="s">
        <v>327</v>
      </c>
      <c r="E31" s="5" t="s">
        <v>17</v>
      </c>
      <c r="F31" s="5"/>
      <c r="G31" s="26">
        <v>4243.3900000000003</v>
      </c>
      <c r="H31" s="26"/>
      <c r="I31" s="5"/>
      <c r="J31" s="5" t="s">
        <v>464</v>
      </c>
      <c r="K31" s="26">
        <v>-12790.71</v>
      </c>
    </row>
    <row r="32" spans="1:11" x14ac:dyDescent="0.25">
      <c r="A32" s="84">
        <v>46058</v>
      </c>
      <c r="B32" s="5" t="s">
        <v>304</v>
      </c>
      <c r="C32" s="5" t="s">
        <v>12</v>
      </c>
      <c r="D32" s="5" t="s">
        <v>68</v>
      </c>
      <c r="E32" s="5" t="s">
        <v>17</v>
      </c>
      <c r="F32" s="5"/>
      <c r="G32" s="26">
        <v>1000</v>
      </c>
      <c r="H32" s="26"/>
      <c r="I32" s="5"/>
      <c r="J32" s="5" t="s">
        <v>464</v>
      </c>
      <c r="K32" s="26">
        <v>-13790.71</v>
      </c>
    </row>
    <row r="33" spans="1:11" x14ac:dyDescent="0.25">
      <c r="A33" s="84">
        <v>46058</v>
      </c>
      <c r="B33" s="5" t="s">
        <v>38</v>
      </c>
      <c r="C33" s="5" t="s">
        <v>12</v>
      </c>
      <c r="D33" s="5" t="s">
        <v>39</v>
      </c>
      <c r="E33" s="5" t="s">
        <v>17</v>
      </c>
      <c r="F33" s="5"/>
      <c r="G33" s="26">
        <v>9000</v>
      </c>
      <c r="H33" s="26"/>
      <c r="I33" s="5"/>
      <c r="J33" s="5" t="s">
        <v>464</v>
      </c>
      <c r="K33" s="26">
        <v>-22790.71</v>
      </c>
    </row>
    <row r="34" spans="1:11" x14ac:dyDescent="0.25">
      <c r="A34" s="84">
        <v>46058</v>
      </c>
      <c r="B34" s="5" t="s">
        <v>41</v>
      </c>
      <c r="C34" s="5" t="s">
        <v>12</v>
      </c>
      <c r="D34" s="5" t="s">
        <v>39</v>
      </c>
      <c r="E34" s="5" t="s">
        <v>17</v>
      </c>
      <c r="F34" s="5"/>
      <c r="G34" s="26">
        <v>100</v>
      </c>
      <c r="H34" s="26"/>
      <c r="I34" s="5"/>
      <c r="J34" s="5" t="s">
        <v>464</v>
      </c>
      <c r="K34" s="26">
        <v>-22890.71</v>
      </c>
    </row>
    <row r="35" spans="1:11" x14ac:dyDescent="0.25">
      <c r="A35" s="84">
        <v>46058</v>
      </c>
      <c r="B35" s="5" t="s">
        <v>11</v>
      </c>
      <c r="C35" s="5" t="s">
        <v>12</v>
      </c>
      <c r="D35" s="5" t="s">
        <v>19</v>
      </c>
      <c r="E35" s="5" t="s">
        <v>14</v>
      </c>
      <c r="F35" s="5" t="s">
        <v>15</v>
      </c>
      <c r="G35" s="26">
        <v>0</v>
      </c>
      <c r="H35" s="26"/>
      <c r="I35" s="5"/>
      <c r="J35" s="5" t="s">
        <v>464</v>
      </c>
      <c r="K35" s="26">
        <v>-22890.71</v>
      </c>
    </row>
    <row r="36" spans="1:11" x14ac:dyDescent="0.25">
      <c r="A36" s="84">
        <v>46058</v>
      </c>
      <c r="B36" s="5" t="s">
        <v>30</v>
      </c>
      <c r="C36" s="5" t="s">
        <v>20</v>
      </c>
      <c r="D36" s="5" t="s">
        <v>13</v>
      </c>
      <c r="E36" s="5"/>
      <c r="F36" s="5"/>
      <c r="G36" s="26">
        <v>1824</v>
      </c>
      <c r="H36" s="26"/>
      <c r="I36" s="5"/>
      <c r="J36" s="5" t="s">
        <v>464</v>
      </c>
      <c r="K36" s="26">
        <v>-21066.71</v>
      </c>
    </row>
    <row r="37" spans="1:11" x14ac:dyDescent="0.25">
      <c r="A37" s="84">
        <v>46058</v>
      </c>
      <c r="B37" s="5" t="s">
        <v>357</v>
      </c>
      <c r="C37" s="5" t="s">
        <v>20</v>
      </c>
      <c r="D37" s="5" t="s">
        <v>22</v>
      </c>
      <c r="E37" s="5" t="s">
        <v>17</v>
      </c>
      <c r="F37" s="5"/>
      <c r="G37" s="26">
        <v>0</v>
      </c>
      <c r="H37" s="26"/>
      <c r="I37" s="5"/>
      <c r="J37" s="5" t="s">
        <v>464</v>
      </c>
      <c r="K37" s="26">
        <v>-21066.71</v>
      </c>
    </row>
    <row r="38" spans="1:11" x14ac:dyDescent="0.25">
      <c r="A38" s="84">
        <v>46058</v>
      </c>
      <c r="B38" s="5" t="s">
        <v>45</v>
      </c>
      <c r="C38" s="5" t="s">
        <v>12</v>
      </c>
      <c r="D38" s="5" t="s">
        <v>24</v>
      </c>
      <c r="E38" s="5" t="s">
        <v>17</v>
      </c>
      <c r="F38" s="5" t="s">
        <v>25</v>
      </c>
      <c r="G38" s="26">
        <v>0</v>
      </c>
      <c r="H38" s="26"/>
      <c r="I38" s="5"/>
      <c r="J38" s="5" t="s">
        <v>464</v>
      </c>
      <c r="K38" s="26">
        <v>-21066.71</v>
      </c>
    </row>
    <row r="39" spans="1:11" x14ac:dyDescent="0.25">
      <c r="A39" s="84">
        <v>46058</v>
      </c>
      <c r="B39" s="5" t="s">
        <v>370</v>
      </c>
      <c r="C39" s="5" t="s">
        <v>12</v>
      </c>
      <c r="D39" s="5" t="s">
        <v>19</v>
      </c>
      <c r="E39" s="5" t="s">
        <v>17</v>
      </c>
      <c r="F39" s="5" t="s">
        <v>25</v>
      </c>
      <c r="G39" s="26">
        <v>594.5</v>
      </c>
      <c r="H39" s="26"/>
      <c r="I39" s="5"/>
      <c r="J39" s="5" t="s">
        <v>464</v>
      </c>
      <c r="K39" s="26">
        <v>-21661.21</v>
      </c>
    </row>
    <row r="40" spans="1:11" x14ac:dyDescent="0.25">
      <c r="A40" s="84">
        <v>46059</v>
      </c>
      <c r="B40" s="5" t="s">
        <v>11</v>
      </c>
      <c r="C40" s="5" t="s">
        <v>12</v>
      </c>
      <c r="D40" s="5" t="s">
        <v>19</v>
      </c>
      <c r="E40" s="5" t="s">
        <v>14</v>
      </c>
      <c r="F40" s="5" t="s">
        <v>15</v>
      </c>
      <c r="G40" s="26">
        <v>329</v>
      </c>
      <c r="H40" s="26"/>
      <c r="I40" s="5"/>
      <c r="J40" s="5" t="s">
        <v>464</v>
      </c>
      <c r="K40" s="26">
        <v>-21990.21</v>
      </c>
    </row>
    <row r="41" spans="1:11" x14ac:dyDescent="0.25">
      <c r="A41" s="84">
        <v>46059</v>
      </c>
      <c r="B41" s="5" t="s">
        <v>13</v>
      </c>
      <c r="C41" s="5" t="s">
        <v>20</v>
      </c>
      <c r="D41" s="5" t="s">
        <v>13</v>
      </c>
      <c r="E41" s="5"/>
      <c r="F41" s="5"/>
      <c r="G41" s="26">
        <v>1840</v>
      </c>
      <c r="H41" s="26"/>
      <c r="I41" s="5"/>
      <c r="J41" s="5" t="s">
        <v>464</v>
      </c>
      <c r="K41" s="26">
        <v>-20150.21</v>
      </c>
    </row>
    <row r="42" spans="1:11" x14ac:dyDescent="0.25">
      <c r="A42" s="84">
        <v>46059</v>
      </c>
      <c r="B42" s="5" t="s">
        <v>21</v>
      </c>
      <c r="C42" s="5" t="s">
        <v>20</v>
      </c>
      <c r="D42" s="5" t="s">
        <v>22</v>
      </c>
      <c r="E42" s="5" t="s">
        <v>17</v>
      </c>
      <c r="F42" s="5"/>
      <c r="G42" s="26">
        <v>157.84</v>
      </c>
      <c r="H42" s="26"/>
      <c r="I42" s="5"/>
      <c r="J42" s="5" t="s">
        <v>464</v>
      </c>
      <c r="K42" s="26">
        <v>-19992.37</v>
      </c>
    </row>
    <row r="43" spans="1:11" x14ac:dyDescent="0.25">
      <c r="A43" s="84">
        <v>46059</v>
      </c>
      <c r="B43" s="5" t="s">
        <v>23</v>
      </c>
      <c r="C43" s="5" t="s">
        <v>12</v>
      </c>
      <c r="D43" s="5" t="s">
        <v>24</v>
      </c>
      <c r="E43" s="5" t="s">
        <v>17</v>
      </c>
      <c r="F43" s="5" t="s">
        <v>25</v>
      </c>
      <c r="G43" s="26">
        <v>44</v>
      </c>
      <c r="H43" s="26"/>
      <c r="I43" s="5"/>
      <c r="J43" s="5" t="s">
        <v>464</v>
      </c>
      <c r="K43" s="26">
        <v>-20036.37</v>
      </c>
    </row>
    <row r="44" spans="1:11" x14ac:dyDescent="0.25">
      <c r="A44" s="84">
        <v>46060</v>
      </c>
      <c r="B44" s="5" t="s">
        <v>13</v>
      </c>
      <c r="C44" s="5" t="s">
        <v>20</v>
      </c>
      <c r="D44" s="5" t="s">
        <v>13</v>
      </c>
      <c r="E44" s="5"/>
      <c r="F44" s="5"/>
      <c r="G44" s="26">
        <v>4623</v>
      </c>
      <c r="H44" s="26"/>
      <c r="I44" s="5"/>
      <c r="J44" s="5" t="s">
        <v>464</v>
      </c>
      <c r="K44" s="26">
        <v>-15413.37</v>
      </c>
    </row>
    <row r="45" spans="1:11" x14ac:dyDescent="0.25">
      <c r="A45" s="84">
        <v>46060</v>
      </c>
      <c r="B45" s="5" t="s">
        <v>21</v>
      </c>
      <c r="C45" s="5" t="s">
        <v>20</v>
      </c>
      <c r="D45" s="5" t="s">
        <v>22</v>
      </c>
      <c r="E45" s="5" t="s">
        <v>17</v>
      </c>
      <c r="F45" s="5"/>
      <c r="G45" s="26">
        <v>108.95</v>
      </c>
      <c r="H45" s="26"/>
      <c r="I45" s="5"/>
      <c r="J45" s="5" t="s">
        <v>464</v>
      </c>
      <c r="K45" s="26">
        <v>-15304.42</v>
      </c>
    </row>
    <row r="46" spans="1:11" x14ac:dyDescent="0.25">
      <c r="A46" s="84">
        <v>46060</v>
      </c>
      <c r="B46" s="5" t="s">
        <v>23</v>
      </c>
      <c r="C46" s="5" t="s">
        <v>12</v>
      </c>
      <c r="D46" s="5" t="s">
        <v>24</v>
      </c>
      <c r="E46" s="5" t="s">
        <v>17</v>
      </c>
      <c r="F46" s="5" t="s">
        <v>25</v>
      </c>
      <c r="G46" s="26">
        <v>17</v>
      </c>
      <c r="H46" s="26"/>
      <c r="I46" s="5"/>
      <c r="J46" s="5" t="s">
        <v>464</v>
      </c>
      <c r="K46" s="26">
        <v>-15321.42</v>
      </c>
    </row>
    <row r="47" spans="1:11" x14ac:dyDescent="0.25">
      <c r="A47" s="84">
        <v>46060</v>
      </c>
      <c r="B47" s="5" t="s">
        <v>532</v>
      </c>
      <c r="C47" s="5" t="s">
        <v>12</v>
      </c>
      <c r="D47" s="5" t="s">
        <v>33</v>
      </c>
      <c r="E47" s="5" t="s">
        <v>17</v>
      </c>
      <c r="F47" s="5" t="s">
        <v>25</v>
      </c>
      <c r="G47" s="26">
        <v>330</v>
      </c>
      <c r="H47" s="26"/>
      <c r="I47" s="5"/>
      <c r="J47" s="5" t="s">
        <v>464</v>
      </c>
      <c r="K47" s="26">
        <v>-15651.42</v>
      </c>
    </row>
    <row r="48" spans="1:11" x14ac:dyDescent="0.25">
      <c r="A48" s="84">
        <v>46060</v>
      </c>
      <c r="B48" s="5" t="s">
        <v>533</v>
      </c>
      <c r="C48" s="5" t="s">
        <v>12</v>
      </c>
      <c r="D48" s="5" t="s">
        <v>29</v>
      </c>
      <c r="E48" s="5" t="s">
        <v>17</v>
      </c>
      <c r="F48" s="5" t="s">
        <v>25</v>
      </c>
      <c r="G48" s="26">
        <v>350</v>
      </c>
      <c r="H48" s="26"/>
      <c r="I48" s="5"/>
      <c r="J48" s="5" t="s">
        <v>464</v>
      </c>
      <c r="K48" s="26">
        <v>-16001.42</v>
      </c>
    </row>
    <row r="49" spans="1:11" x14ac:dyDescent="0.25">
      <c r="A49" s="84">
        <v>46060</v>
      </c>
      <c r="B49" s="5" t="s">
        <v>534</v>
      </c>
      <c r="C49" s="5" t="s">
        <v>12</v>
      </c>
      <c r="D49" s="5" t="s">
        <v>62</v>
      </c>
      <c r="E49" s="5" t="s">
        <v>14</v>
      </c>
      <c r="F49" s="5" t="s">
        <v>15</v>
      </c>
      <c r="G49" s="26">
        <v>50</v>
      </c>
      <c r="H49" s="26"/>
      <c r="I49" s="5"/>
      <c r="J49" s="5" t="s">
        <v>464</v>
      </c>
      <c r="K49" s="26">
        <v>-16051.42</v>
      </c>
    </row>
    <row r="50" spans="1:11" x14ac:dyDescent="0.25">
      <c r="A50" s="84">
        <v>46061</v>
      </c>
      <c r="B50" s="5" t="s">
        <v>13</v>
      </c>
      <c r="C50" s="5" t="s">
        <v>20</v>
      </c>
      <c r="D50" s="5" t="s">
        <v>13</v>
      </c>
      <c r="E50" s="5"/>
      <c r="F50" s="5"/>
      <c r="G50" s="26">
        <v>5426</v>
      </c>
      <c r="H50" s="26"/>
      <c r="I50" s="5"/>
      <c r="J50" s="5" t="s">
        <v>464</v>
      </c>
      <c r="K50" s="26">
        <v>-10625.42</v>
      </c>
    </row>
    <row r="51" spans="1:11" x14ac:dyDescent="0.25">
      <c r="A51" s="84">
        <v>46061</v>
      </c>
      <c r="B51" s="5" t="s">
        <v>21</v>
      </c>
      <c r="C51" s="5" t="s">
        <v>20</v>
      </c>
      <c r="D51" s="5" t="s">
        <v>22</v>
      </c>
      <c r="E51" s="5" t="s">
        <v>17</v>
      </c>
      <c r="F51" s="5"/>
      <c r="G51" s="26">
        <v>191.32</v>
      </c>
      <c r="H51" s="26"/>
      <c r="I51" s="5"/>
      <c r="J51" s="5" t="s">
        <v>464</v>
      </c>
      <c r="K51" s="26">
        <v>-10434.1</v>
      </c>
    </row>
    <row r="52" spans="1:11" x14ac:dyDescent="0.25">
      <c r="A52" s="84">
        <v>46061</v>
      </c>
      <c r="B52" s="5" t="s">
        <v>23</v>
      </c>
      <c r="C52" s="5" t="s">
        <v>12</v>
      </c>
      <c r="D52" s="5" t="s">
        <v>24</v>
      </c>
      <c r="E52" s="5" t="s">
        <v>17</v>
      </c>
      <c r="F52" s="5" t="s">
        <v>25</v>
      </c>
      <c r="G52" s="26">
        <v>17</v>
      </c>
      <c r="H52" s="26"/>
      <c r="I52" s="5"/>
      <c r="J52" s="5" t="s">
        <v>464</v>
      </c>
      <c r="K52" s="26">
        <v>-10451.1</v>
      </c>
    </row>
    <row r="53" spans="1:11" x14ac:dyDescent="0.25">
      <c r="A53" s="84">
        <v>46061</v>
      </c>
      <c r="B53" s="5" t="s">
        <v>384</v>
      </c>
      <c r="C53" s="5" t="s">
        <v>12</v>
      </c>
      <c r="D53" s="5" t="s">
        <v>62</v>
      </c>
      <c r="E53" s="5" t="s">
        <v>14</v>
      </c>
      <c r="F53" s="5" t="s">
        <v>15</v>
      </c>
      <c r="G53" s="26">
        <v>20</v>
      </c>
      <c r="H53" s="26"/>
      <c r="I53" s="5"/>
      <c r="J53" s="5" t="s">
        <v>464</v>
      </c>
      <c r="K53" s="26">
        <v>-10471.1</v>
      </c>
    </row>
    <row r="54" spans="1:11" x14ac:dyDescent="0.25">
      <c r="A54" s="84">
        <v>46062</v>
      </c>
      <c r="B54" s="5" t="s">
        <v>348</v>
      </c>
      <c r="C54" s="5" t="s">
        <v>12</v>
      </c>
      <c r="D54" s="5" t="s">
        <v>19</v>
      </c>
      <c r="E54" s="5" t="s">
        <v>17</v>
      </c>
      <c r="F54" s="5"/>
      <c r="G54" s="26">
        <v>2097.77</v>
      </c>
      <c r="H54" s="26"/>
      <c r="I54" s="5"/>
      <c r="J54" s="5" t="s">
        <v>464</v>
      </c>
      <c r="K54" s="26">
        <v>-12568.87</v>
      </c>
    </row>
    <row r="55" spans="1:11" x14ac:dyDescent="0.25">
      <c r="A55" s="84">
        <v>46062</v>
      </c>
      <c r="B55" s="5" t="s">
        <v>421</v>
      </c>
      <c r="C55" s="5" t="s">
        <v>12</v>
      </c>
      <c r="D55" s="5" t="s">
        <v>19</v>
      </c>
      <c r="E55" s="5" t="s">
        <v>17</v>
      </c>
      <c r="F55" s="5"/>
      <c r="G55" s="26">
        <v>382.5</v>
      </c>
      <c r="H55" s="26"/>
      <c r="I55" s="5"/>
      <c r="J55" s="5" t="s">
        <v>464</v>
      </c>
      <c r="K55" s="26">
        <v>-12951.37</v>
      </c>
    </row>
    <row r="56" spans="1:11" x14ac:dyDescent="0.25">
      <c r="A56" s="84">
        <v>46062</v>
      </c>
      <c r="B56" s="5" t="s">
        <v>30</v>
      </c>
      <c r="C56" s="5" t="s">
        <v>20</v>
      </c>
      <c r="D56" s="5" t="s">
        <v>13</v>
      </c>
      <c r="E56" s="5"/>
      <c r="F56" s="5"/>
      <c r="G56" s="26">
        <v>569</v>
      </c>
      <c r="H56" s="26"/>
      <c r="I56" s="5"/>
      <c r="J56" s="5" t="s">
        <v>464</v>
      </c>
      <c r="K56" s="26">
        <v>-12382.37</v>
      </c>
    </row>
    <row r="57" spans="1:11" x14ac:dyDescent="0.25">
      <c r="A57" s="84">
        <v>46062</v>
      </c>
      <c r="B57" s="5" t="s">
        <v>44</v>
      </c>
      <c r="C57" s="5" t="s">
        <v>20</v>
      </c>
      <c r="D57" s="5" t="s">
        <v>22</v>
      </c>
      <c r="E57" s="5" t="s">
        <v>17</v>
      </c>
      <c r="F57" s="5"/>
      <c r="G57" s="26">
        <v>10.9</v>
      </c>
      <c r="H57" s="26"/>
      <c r="I57" s="5"/>
      <c r="J57" s="5" t="s">
        <v>464</v>
      </c>
      <c r="K57" s="26">
        <v>-12371.47</v>
      </c>
    </row>
    <row r="58" spans="1:11" x14ac:dyDescent="0.25">
      <c r="A58" s="84">
        <v>46062</v>
      </c>
      <c r="B58" s="5" t="s">
        <v>45</v>
      </c>
      <c r="C58" s="5" t="s">
        <v>12</v>
      </c>
      <c r="D58" s="5" t="s">
        <v>24</v>
      </c>
      <c r="E58" s="5" t="s">
        <v>17</v>
      </c>
      <c r="F58" s="5" t="s">
        <v>25</v>
      </c>
      <c r="G58" s="26">
        <v>9</v>
      </c>
      <c r="H58" s="26"/>
      <c r="I58" s="5"/>
      <c r="J58" s="5" t="s">
        <v>464</v>
      </c>
      <c r="K58" s="26">
        <v>-12380.47</v>
      </c>
    </row>
    <row r="59" spans="1:11" x14ac:dyDescent="0.25">
      <c r="A59" s="84">
        <v>46063</v>
      </c>
      <c r="B59" s="5" t="s">
        <v>66</v>
      </c>
      <c r="C59" s="5" t="s">
        <v>12</v>
      </c>
      <c r="D59" s="5" t="s">
        <v>66</v>
      </c>
      <c r="E59" s="5" t="s">
        <v>17</v>
      </c>
      <c r="F59" s="5" t="s">
        <v>25</v>
      </c>
      <c r="G59" s="26">
        <v>10172.6</v>
      </c>
      <c r="H59" s="26"/>
      <c r="I59" s="5"/>
      <c r="J59" s="5" t="s">
        <v>464</v>
      </c>
      <c r="K59" s="26">
        <v>-22553.07</v>
      </c>
    </row>
    <row r="60" spans="1:11" x14ac:dyDescent="0.25">
      <c r="A60" s="84">
        <v>46063</v>
      </c>
      <c r="B60" s="5" t="s">
        <v>68</v>
      </c>
      <c r="C60" s="5" t="s">
        <v>12</v>
      </c>
      <c r="D60" s="5" t="s">
        <v>68</v>
      </c>
      <c r="E60" s="5" t="s">
        <v>17</v>
      </c>
      <c r="F60" s="5" t="s">
        <v>25</v>
      </c>
      <c r="G60" s="26">
        <v>450</v>
      </c>
      <c r="H60" s="26"/>
      <c r="I60" s="5"/>
      <c r="J60" s="5" t="s">
        <v>464</v>
      </c>
      <c r="K60" s="26">
        <v>-23003.07</v>
      </c>
    </row>
    <row r="61" spans="1:11" x14ac:dyDescent="0.25">
      <c r="A61" s="84">
        <v>46063</v>
      </c>
      <c r="B61" s="5" t="s">
        <v>535</v>
      </c>
      <c r="C61" s="5" t="s">
        <v>12</v>
      </c>
      <c r="D61" s="5" t="s">
        <v>27</v>
      </c>
      <c r="E61" s="5" t="s">
        <v>17</v>
      </c>
      <c r="F61" s="5"/>
      <c r="G61" s="26">
        <v>60</v>
      </c>
      <c r="H61" s="26"/>
      <c r="I61" s="5"/>
      <c r="J61" s="5" t="s">
        <v>464</v>
      </c>
      <c r="K61" s="26">
        <v>-23063.07</v>
      </c>
    </row>
    <row r="62" spans="1:11" x14ac:dyDescent="0.25">
      <c r="A62" s="84">
        <v>46063</v>
      </c>
      <c r="B62" s="5" t="s">
        <v>64</v>
      </c>
      <c r="C62" s="5" t="s">
        <v>12</v>
      </c>
      <c r="D62" s="5" t="s">
        <v>64</v>
      </c>
      <c r="E62" s="5" t="s">
        <v>17</v>
      </c>
      <c r="F62" s="5"/>
      <c r="G62" s="26">
        <v>732</v>
      </c>
      <c r="H62" s="26"/>
      <c r="I62" s="5"/>
      <c r="J62" s="5" t="s">
        <v>464</v>
      </c>
      <c r="K62" s="26">
        <v>-23795.07</v>
      </c>
    </row>
    <row r="63" spans="1:11" x14ac:dyDescent="0.25">
      <c r="A63" s="84">
        <v>46063</v>
      </c>
      <c r="B63" s="5" t="s">
        <v>13</v>
      </c>
      <c r="C63" s="5" t="s">
        <v>20</v>
      </c>
      <c r="D63" s="5" t="s">
        <v>13</v>
      </c>
      <c r="E63" s="5"/>
      <c r="F63" s="5"/>
      <c r="G63" s="26">
        <v>1826</v>
      </c>
      <c r="H63" s="26"/>
      <c r="I63" s="5"/>
      <c r="J63" s="5" t="s">
        <v>464</v>
      </c>
      <c r="K63" s="26">
        <v>-21969.07</v>
      </c>
    </row>
    <row r="64" spans="1:11" x14ac:dyDescent="0.25">
      <c r="A64" s="84">
        <v>46063</v>
      </c>
      <c r="B64" s="5" t="s">
        <v>357</v>
      </c>
      <c r="C64" s="5" t="s">
        <v>20</v>
      </c>
      <c r="D64" s="5" t="s">
        <v>22</v>
      </c>
      <c r="E64" s="5" t="s">
        <v>17</v>
      </c>
      <c r="F64" s="5"/>
      <c r="G64" s="26">
        <v>57.9</v>
      </c>
      <c r="H64" s="26"/>
      <c r="I64" s="5"/>
      <c r="J64" s="5" t="s">
        <v>464</v>
      </c>
      <c r="K64" s="26">
        <v>-21911.17</v>
      </c>
    </row>
    <row r="65" spans="1:11" x14ac:dyDescent="0.25">
      <c r="A65" s="84">
        <v>46063</v>
      </c>
      <c r="B65" s="5" t="s">
        <v>23</v>
      </c>
      <c r="C65" s="5" t="s">
        <v>12</v>
      </c>
      <c r="D65" s="5" t="s">
        <v>24</v>
      </c>
      <c r="E65" s="5" t="s">
        <v>17</v>
      </c>
      <c r="F65" s="5" t="s">
        <v>25</v>
      </c>
      <c r="G65" s="26">
        <v>9</v>
      </c>
      <c r="H65" s="26"/>
      <c r="I65" s="5"/>
      <c r="J65" s="5" t="s">
        <v>464</v>
      </c>
      <c r="K65" s="26">
        <v>-21920.17</v>
      </c>
    </row>
    <row r="66" spans="1:11" x14ac:dyDescent="0.25">
      <c r="A66" s="84">
        <v>46063</v>
      </c>
      <c r="B66" s="5" t="s">
        <v>352</v>
      </c>
      <c r="C66" s="5" t="s">
        <v>12</v>
      </c>
      <c r="D66" s="5" t="s">
        <v>19</v>
      </c>
      <c r="E66" s="5" t="s">
        <v>17</v>
      </c>
      <c r="F66" s="5"/>
      <c r="G66" s="26">
        <v>1105.4000000000001</v>
      </c>
      <c r="H66" s="26"/>
      <c r="I66" s="5"/>
      <c r="J66" s="5" t="s">
        <v>464</v>
      </c>
      <c r="K66" s="26">
        <v>-23025.57</v>
      </c>
    </row>
    <row r="67" spans="1:11" x14ac:dyDescent="0.25">
      <c r="A67" s="84">
        <v>46063</v>
      </c>
      <c r="B67" s="5" t="s">
        <v>352</v>
      </c>
      <c r="C67" s="5" t="s">
        <v>12</v>
      </c>
      <c r="D67" s="5" t="s">
        <v>19</v>
      </c>
      <c r="E67" s="5" t="s">
        <v>17</v>
      </c>
      <c r="F67" s="5"/>
      <c r="G67" s="26">
        <v>1107.5999999999999</v>
      </c>
      <c r="H67" s="26"/>
      <c r="I67" s="5"/>
      <c r="J67" s="5" t="s">
        <v>464</v>
      </c>
      <c r="K67" s="26">
        <v>-24133.17</v>
      </c>
    </row>
    <row r="68" spans="1:11" x14ac:dyDescent="0.25">
      <c r="A68" s="84">
        <v>46063</v>
      </c>
      <c r="B68" s="5" t="s">
        <v>31</v>
      </c>
      <c r="C68" s="5" t="s">
        <v>12</v>
      </c>
      <c r="D68" s="5" t="s">
        <v>19</v>
      </c>
      <c r="E68" s="5" t="s">
        <v>17</v>
      </c>
      <c r="F68" s="5" t="s">
        <v>25</v>
      </c>
      <c r="G68" s="26">
        <v>156</v>
      </c>
      <c r="H68" s="26"/>
      <c r="I68" s="5"/>
      <c r="J68" s="5" t="s">
        <v>464</v>
      </c>
      <c r="K68" s="26">
        <v>-24289.17</v>
      </c>
    </row>
    <row r="69" spans="1:11" x14ac:dyDescent="0.25">
      <c r="A69" s="84">
        <v>46063</v>
      </c>
      <c r="B69" s="5" t="s">
        <v>536</v>
      </c>
      <c r="C69" s="5" t="s">
        <v>12</v>
      </c>
      <c r="D69" s="5" t="s">
        <v>68</v>
      </c>
      <c r="E69" s="5" t="s">
        <v>17</v>
      </c>
      <c r="F69" s="5" t="s">
        <v>25</v>
      </c>
      <c r="G69" s="26">
        <v>500</v>
      </c>
      <c r="H69" s="26"/>
      <c r="I69" s="5"/>
      <c r="J69" s="5" t="s">
        <v>464</v>
      </c>
      <c r="K69" s="26">
        <v>-24789.17</v>
      </c>
    </row>
    <row r="70" spans="1:11" x14ac:dyDescent="0.25">
      <c r="A70" s="84">
        <v>46063</v>
      </c>
      <c r="B70" s="5" t="s">
        <v>537</v>
      </c>
      <c r="C70" s="5" t="s">
        <v>12</v>
      </c>
      <c r="D70" s="5" t="s">
        <v>62</v>
      </c>
      <c r="E70" s="5" t="s">
        <v>14</v>
      </c>
      <c r="F70" s="5" t="s">
        <v>15</v>
      </c>
      <c r="G70" s="26">
        <v>1533.4</v>
      </c>
      <c r="H70" s="26"/>
      <c r="I70" s="5"/>
      <c r="J70" s="5" t="s">
        <v>464</v>
      </c>
      <c r="K70" s="26">
        <v>-26322.57</v>
      </c>
    </row>
    <row r="71" spans="1:11" x14ac:dyDescent="0.25">
      <c r="A71" s="84">
        <v>46064</v>
      </c>
      <c r="B71" s="5" t="s">
        <v>538</v>
      </c>
      <c r="C71" s="5" t="s">
        <v>12</v>
      </c>
      <c r="D71" s="5" t="s">
        <v>19</v>
      </c>
      <c r="E71" s="5" t="s">
        <v>17</v>
      </c>
      <c r="F71" s="5"/>
      <c r="G71" s="26">
        <v>882.66</v>
      </c>
      <c r="H71" s="26"/>
      <c r="I71" s="5"/>
      <c r="J71" s="5" t="s">
        <v>464</v>
      </c>
      <c r="K71" s="26">
        <v>-27205.23</v>
      </c>
    </row>
    <row r="72" spans="1:11" x14ac:dyDescent="0.25">
      <c r="A72" s="84">
        <v>46064</v>
      </c>
      <c r="B72" s="5" t="s">
        <v>405</v>
      </c>
      <c r="C72" s="5" t="s">
        <v>12</v>
      </c>
      <c r="D72" s="5" t="s">
        <v>19</v>
      </c>
      <c r="E72" s="5" t="s">
        <v>17</v>
      </c>
      <c r="F72" s="5"/>
      <c r="G72" s="26">
        <v>116.97</v>
      </c>
      <c r="H72" s="26"/>
      <c r="I72" s="5"/>
      <c r="J72" s="5" t="s">
        <v>464</v>
      </c>
      <c r="K72" s="26">
        <v>-27322.2</v>
      </c>
    </row>
    <row r="73" spans="1:11" x14ac:dyDescent="0.25">
      <c r="A73" s="84">
        <v>46064</v>
      </c>
      <c r="B73" s="5" t="s">
        <v>406</v>
      </c>
      <c r="C73" s="5" t="s">
        <v>12</v>
      </c>
      <c r="D73" s="5" t="s">
        <v>19</v>
      </c>
      <c r="E73" s="5" t="s">
        <v>17</v>
      </c>
      <c r="F73" s="5"/>
      <c r="G73" s="26">
        <v>1831.59</v>
      </c>
      <c r="H73" s="26"/>
      <c r="I73" s="5"/>
      <c r="J73" s="5" t="s">
        <v>464</v>
      </c>
      <c r="K73" s="26">
        <v>-29153.79</v>
      </c>
    </row>
    <row r="74" spans="1:11" x14ac:dyDescent="0.25">
      <c r="A74" s="64">
        <v>46064</v>
      </c>
      <c r="B74" s="5" t="s">
        <v>11</v>
      </c>
      <c r="C74" s="5" t="s">
        <v>12</v>
      </c>
      <c r="D74" s="5" t="s">
        <v>19</v>
      </c>
      <c r="E74" s="5" t="s">
        <v>14</v>
      </c>
      <c r="F74" s="5" t="s">
        <v>15</v>
      </c>
      <c r="G74" s="26">
        <v>0</v>
      </c>
      <c r="H74" s="26"/>
      <c r="I74" s="5"/>
      <c r="J74" s="5" t="s">
        <v>464</v>
      </c>
      <c r="K74" s="26">
        <v>-29153.79</v>
      </c>
    </row>
    <row r="75" spans="1:11" x14ac:dyDescent="0.25">
      <c r="A75" s="84">
        <v>46064</v>
      </c>
      <c r="B75" s="5" t="s">
        <v>30</v>
      </c>
      <c r="C75" s="5" t="s">
        <v>20</v>
      </c>
      <c r="D75" s="5" t="s">
        <v>13</v>
      </c>
      <c r="E75" s="5"/>
      <c r="F75" s="5"/>
      <c r="G75" s="26">
        <v>1154.5999999999999</v>
      </c>
      <c r="H75" s="26"/>
      <c r="I75" s="5"/>
      <c r="J75" s="5" t="s">
        <v>464</v>
      </c>
      <c r="K75" s="26">
        <v>-27999.19</v>
      </c>
    </row>
    <row r="76" spans="1:11" x14ac:dyDescent="0.25">
      <c r="A76" s="84">
        <v>46064</v>
      </c>
      <c r="B76" s="5" t="s">
        <v>44</v>
      </c>
      <c r="C76" s="5" t="s">
        <v>20</v>
      </c>
      <c r="D76" s="5" t="s">
        <v>22</v>
      </c>
      <c r="E76" s="5" t="s">
        <v>17</v>
      </c>
      <c r="F76" s="5"/>
      <c r="G76" s="26">
        <v>24.3</v>
      </c>
      <c r="H76" s="26"/>
      <c r="I76" s="5"/>
      <c r="J76" s="5" t="s">
        <v>464</v>
      </c>
      <c r="K76" s="26">
        <v>-27974.89</v>
      </c>
    </row>
    <row r="77" spans="1:11" x14ac:dyDescent="0.25">
      <c r="A77" s="84">
        <v>46064</v>
      </c>
      <c r="B77" s="5" t="s">
        <v>45</v>
      </c>
      <c r="C77" s="5" t="s">
        <v>12</v>
      </c>
      <c r="D77" s="5" t="s">
        <v>24</v>
      </c>
      <c r="E77" s="5" t="s">
        <v>17</v>
      </c>
      <c r="F77" s="5" t="s">
        <v>25</v>
      </c>
      <c r="G77" s="26">
        <v>9</v>
      </c>
      <c r="H77" s="26"/>
      <c r="I77" s="5"/>
      <c r="J77" s="5" t="s">
        <v>464</v>
      </c>
      <c r="K77" s="26">
        <v>-27983.89</v>
      </c>
    </row>
    <row r="78" spans="1:11" x14ac:dyDescent="0.25">
      <c r="A78" s="84">
        <v>46064</v>
      </c>
      <c r="B78" s="5" t="s">
        <v>539</v>
      </c>
      <c r="C78" s="5" t="s">
        <v>12</v>
      </c>
      <c r="D78" s="5" t="s">
        <v>29</v>
      </c>
      <c r="E78" s="5" t="s">
        <v>17</v>
      </c>
      <c r="F78" s="5" t="s">
        <v>25</v>
      </c>
      <c r="G78" s="26">
        <v>1105</v>
      </c>
      <c r="H78" s="26"/>
      <c r="I78" s="5"/>
      <c r="J78" s="5" t="s">
        <v>464</v>
      </c>
      <c r="K78" s="26">
        <v>-29088.89</v>
      </c>
    </row>
    <row r="79" spans="1:11" x14ac:dyDescent="0.25">
      <c r="A79" s="84">
        <v>46065</v>
      </c>
      <c r="B79" s="5" t="s">
        <v>348</v>
      </c>
      <c r="C79" s="5" t="s">
        <v>12</v>
      </c>
      <c r="D79" s="5" t="s">
        <v>19</v>
      </c>
      <c r="E79" s="5" t="s">
        <v>17</v>
      </c>
      <c r="F79" s="5"/>
      <c r="G79" s="26">
        <v>5156.3</v>
      </c>
      <c r="H79" s="26"/>
      <c r="I79" s="5"/>
      <c r="J79" s="5" t="s">
        <v>464</v>
      </c>
      <c r="K79" s="26">
        <v>-34245.19</v>
      </c>
    </row>
    <row r="80" spans="1:11" x14ac:dyDescent="0.25">
      <c r="A80" s="64">
        <v>46065</v>
      </c>
      <c r="B80" s="5" t="s">
        <v>401</v>
      </c>
      <c r="C80" s="5" t="s">
        <v>12</v>
      </c>
      <c r="D80" s="5" t="s">
        <v>19</v>
      </c>
      <c r="E80" s="5" t="s">
        <v>14</v>
      </c>
      <c r="F80" s="5" t="s">
        <v>15</v>
      </c>
      <c r="G80" s="26">
        <v>576</v>
      </c>
      <c r="H80" s="26"/>
      <c r="I80" s="5"/>
      <c r="J80" s="5" t="s">
        <v>464</v>
      </c>
      <c r="K80" s="26">
        <v>-34821.19</v>
      </c>
    </row>
    <row r="81" spans="1:11" x14ac:dyDescent="0.25">
      <c r="A81" s="64">
        <v>46065</v>
      </c>
      <c r="B81" s="5" t="s">
        <v>30</v>
      </c>
      <c r="C81" s="5" t="s">
        <v>20</v>
      </c>
      <c r="D81" s="5" t="s">
        <v>13</v>
      </c>
      <c r="E81" s="5"/>
      <c r="F81" s="5"/>
      <c r="G81" s="26">
        <v>2113</v>
      </c>
      <c r="H81" s="26"/>
      <c r="I81" s="5"/>
      <c r="J81" s="5" t="s">
        <v>464</v>
      </c>
      <c r="K81" s="26">
        <v>-32708.19</v>
      </c>
    </row>
    <row r="82" spans="1:11" x14ac:dyDescent="0.25">
      <c r="A82" s="84">
        <v>46065</v>
      </c>
      <c r="B82" s="5" t="s">
        <v>44</v>
      </c>
      <c r="C82" s="5" t="s">
        <v>20</v>
      </c>
      <c r="D82" s="5" t="s">
        <v>22</v>
      </c>
      <c r="E82" s="5" t="s">
        <v>17</v>
      </c>
      <c r="F82" s="5"/>
      <c r="G82" s="26">
        <v>74.39</v>
      </c>
      <c r="H82" s="26"/>
      <c r="I82" s="5"/>
      <c r="J82" s="5" t="s">
        <v>464</v>
      </c>
      <c r="K82" s="26">
        <v>-32633.8</v>
      </c>
    </row>
    <row r="83" spans="1:11" x14ac:dyDescent="0.25">
      <c r="A83" s="84">
        <v>46065</v>
      </c>
      <c r="B83" s="5" t="s">
        <v>45</v>
      </c>
      <c r="C83" s="5" t="s">
        <v>12</v>
      </c>
      <c r="D83" s="5" t="s">
        <v>24</v>
      </c>
      <c r="E83" s="5" t="s">
        <v>17</v>
      </c>
      <c r="F83" s="5" t="s">
        <v>25</v>
      </c>
      <c r="G83" s="26">
        <v>18</v>
      </c>
      <c r="H83" s="26"/>
      <c r="I83" s="5"/>
      <c r="J83" s="5" t="s">
        <v>464</v>
      </c>
      <c r="K83" s="26">
        <v>-32651.8</v>
      </c>
    </row>
    <row r="84" spans="1:11" x14ac:dyDescent="0.25">
      <c r="A84" s="64">
        <v>46065</v>
      </c>
      <c r="B84" s="5" t="s">
        <v>540</v>
      </c>
      <c r="C84" s="5" t="s">
        <v>12</v>
      </c>
      <c r="D84" s="5" t="s">
        <v>33</v>
      </c>
      <c r="E84" s="5" t="s">
        <v>17</v>
      </c>
      <c r="F84" s="5" t="s">
        <v>25</v>
      </c>
      <c r="G84" s="26">
        <v>150</v>
      </c>
      <c r="H84" s="26"/>
      <c r="I84" s="5"/>
      <c r="J84" s="5" t="s">
        <v>464</v>
      </c>
      <c r="K84" s="26">
        <v>-32801.800000000003</v>
      </c>
    </row>
    <row r="85" spans="1:11" x14ac:dyDescent="0.25">
      <c r="A85" s="84">
        <v>46066</v>
      </c>
      <c r="B85" s="5" t="s">
        <v>11</v>
      </c>
      <c r="C85" s="5" t="s">
        <v>12</v>
      </c>
      <c r="D85" s="5" t="s">
        <v>19</v>
      </c>
      <c r="E85" s="5" t="s">
        <v>14</v>
      </c>
      <c r="F85" s="5" t="s">
        <v>15</v>
      </c>
      <c r="G85" s="26">
        <v>670</v>
      </c>
      <c r="H85" s="26"/>
      <c r="I85" s="5"/>
      <c r="J85" s="5" t="s">
        <v>464</v>
      </c>
      <c r="K85" s="26">
        <v>-33471.800000000003</v>
      </c>
    </row>
    <row r="86" spans="1:11" x14ac:dyDescent="0.25">
      <c r="A86" s="84">
        <v>46066</v>
      </c>
      <c r="B86" s="5" t="s">
        <v>13</v>
      </c>
      <c r="C86" s="5" t="s">
        <v>20</v>
      </c>
      <c r="D86" s="5" t="s">
        <v>13</v>
      </c>
      <c r="E86" s="5"/>
      <c r="F86" s="5"/>
      <c r="G86" s="26">
        <v>5289</v>
      </c>
      <c r="H86" s="26"/>
      <c r="I86" s="5"/>
      <c r="J86" s="5" t="s">
        <v>464</v>
      </c>
      <c r="K86" s="26">
        <v>-28182.799999999999</v>
      </c>
    </row>
    <row r="87" spans="1:11" x14ac:dyDescent="0.25">
      <c r="A87" s="84">
        <v>46066</v>
      </c>
      <c r="B87" s="5" t="s">
        <v>21</v>
      </c>
      <c r="C87" s="5" t="s">
        <v>20</v>
      </c>
      <c r="D87" s="5" t="s">
        <v>22</v>
      </c>
      <c r="E87" s="5" t="s">
        <v>17</v>
      </c>
      <c r="F87" s="5"/>
      <c r="G87" s="26">
        <v>99.78</v>
      </c>
      <c r="H87" s="26"/>
      <c r="I87" s="5"/>
      <c r="J87" s="5" t="s">
        <v>464</v>
      </c>
      <c r="K87" s="26">
        <v>-28083.02</v>
      </c>
    </row>
    <row r="88" spans="1:11" x14ac:dyDescent="0.25">
      <c r="A88" s="84">
        <v>46066</v>
      </c>
      <c r="B88" s="5" t="s">
        <v>23</v>
      </c>
      <c r="C88" s="5" t="s">
        <v>12</v>
      </c>
      <c r="D88" s="5" t="s">
        <v>24</v>
      </c>
      <c r="E88" s="5" t="s">
        <v>17</v>
      </c>
      <c r="F88" s="5" t="s">
        <v>25</v>
      </c>
      <c r="G88" s="26">
        <v>36</v>
      </c>
      <c r="H88" s="26"/>
      <c r="I88" s="5"/>
      <c r="J88" s="5" t="s">
        <v>464</v>
      </c>
      <c r="K88" s="26">
        <v>-28119.02</v>
      </c>
    </row>
    <row r="89" spans="1:11" x14ac:dyDescent="0.25">
      <c r="A89" s="84">
        <v>46067</v>
      </c>
      <c r="B89" s="5" t="s">
        <v>541</v>
      </c>
      <c r="C89" s="5" t="s">
        <v>12</v>
      </c>
      <c r="D89" s="5" t="s">
        <v>19</v>
      </c>
      <c r="E89" s="5" t="s">
        <v>14</v>
      </c>
      <c r="F89" s="5" t="s">
        <v>15</v>
      </c>
      <c r="G89" s="26">
        <v>50</v>
      </c>
      <c r="H89" s="26"/>
      <c r="I89" s="5"/>
      <c r="J89" s="5" t="s">
        <v>464</v>
      </c>
      <c r="K89" s="26">
        <v>-28169.02</v>
      </c>
    </row>
    <row r="90" spans="1:11" x14ac:dyDescent="0.25">
      <c r="A90" s="84">
        <v>46067</v>
      </c>
      <c r="B90" s="5" t="s">
        <v>13</v>
      </c>
      <c r="C90" s="5" t="s">
        <v>20</v>
      </c>
      <c r="D90" s="5" t="s">
        <v>13</v>
      </c>
      <c r="E90" s="5"/>
      <c r="F90" s="5"/>
      <c r="G90" s="26">
        <v>12357</v>
      </c>
      <c r="H90" s="26"/>
      <c r="I90" s="5"/>
      <c r="J90" s="5" t="s">
        <v>464</v>
      </c>
      <c r="K90" s="26">
        <v>-15812.02</v>
      </c>
    </row>
    <row r="91" spans="1:11" x14ac:dyDescent="0.25">
      <c r="A91" s="84">
        <v>46067</v>
      </c>
      <c r="B91" s="5" t="s">
        <v>21</v>
      </c>
      <c r="C91" s="5" t="s">
        <v>20</v>
      </c>
      <c r="D91" s="5" t="s">
        <v>22</v>
      </c>
      <c r="E91" s="5" t="s">
        <v>17</v>
      </c>
      <c r="F91" s="5"/>
      <c r="G91" s="26">
        <v>509.16</v>
      </c>
      <c r="H91" s="26"/>
      <c r="I91" s="5"/>
      <c r="J91" s="5" t="s">
        <v>464</v>
      </c>
      <c r="K91" s="26">
        <v>-15302.86</v>
      </c>
    </row>
    <row r="92" spans="1:11" x14ac:dyDescent="0.25">
      <c r="A92" s="84">
        <v>46067</v>
      </c>
      <c r="B92" s="5" t="s">
        <v>23</v>
      </c>
      <c r="C92" s="5" t="s">
        <v>12</v>
      </c>
      <c r="D92" s="5" t="s">
        <v>24</v>
      </c>
      <c r="E92" s="5" t="s">
        <v>17</v>
      </c>
      <c r="F92" s="5" t="s">
        <v>25</v>
      </c>
      <c r="G92" s="26">
        <v>79</v>
      </c>
      <c r="H92" s="26"/>
      <c r="I92" s="5"/>
      <c r="J92" s="5" t="s">
        <v>464</v>
      </c>
      <c r="K92" s="26">
        <v>-15381.86</v>
      </c>
    </row>
    <row r="93" spans="1:11" x14ac:dyDescent="0.25">
      <c r="A93" s="84">
        <v>46067</v>
      </c>
      <c r="B93" s="5" t="s">
        <v>33</v>
      </c>
      <c r="C93" s="5" t="s">
        <v>12</v>
      </c>
      <c r="D93" s="5" t="s">
        <v>33</v>
      </c>
      <c r="E93" s="5" t="s">
        <v>14</v>
      </c>
      <c r="F93" s="5" t="s">
        <v>15</v>
      </c>
      <c r="G93" s="26">
        <v>150</v>
      </c>
      <c r="H93" s="26"/>
      <c r="I93" s="5"/>
      <c r="J93" s="5" t="s">
        <v>464</v>
      </c>
      <c r="K93" s="26">
        <v>-15531.86</v>
      </c>
    </row>
    <row r="94" spans="1:11" x14ac:dyDescent="0.25">
      <c r="A94" s="84">
        <v>46067</v>
      </c>
      <c r="B94" s="5" t="s">
        <v>542</v>
      </c>
      <c r="C94" s="5" t="s">
        <v>12</v>
      </c>
      <c r="D94" s="5" t="s">
        <v>67</v>
      </c>
      <c r="E94" s="5" t="s">
        <v>14</v>
      </c>
      <c r="F94" s="5" t="s">
        <v>15</v>
      </c>
      <c r="G94" s="26">
        <v>33</v>
      </c>
      <c r="H94" s="26"/>
      <c r="I94" s="5"/>
      <c r="J94" s="5" t="s">
        <v>464</v>
      </c>
      <c r="K94" s="26">
        <v>-15564.86</v>
      </c>
    </row>
    <row r="95" spans="1:11" x14ac:dyDescent="0.25">
      <c r="A95" s="84">
        <v>46068</v>
      </c>
      <c r="B95" s="5" t="s">
        <v>33</v>
      </c>
      <c r="C95" s="5" t="s">
        <v>12</v>
      </c>
      <c r="D95" s="5" t="s">
        <v>33</v>
      </c>
      <c r="E95" s="5" t="s">
        <v>14</v>
      </c>
      <c r="F95" s="5" t="s">
        <v>15</v>
      </c>
      <c r="G95" s="26">
        <v>280</v>
      </c>
      <c r="H95" s="26"/>
      <c r="I95" s="5"/>
      <c r="J95" s="5" t="s">
        <v>464</v>
      </c>
      <c r="K95" s="26">
        <v>-15844.86</v>
      </c>
    </row>
    <row r="96" spans="1:11" x14ac:dyDescent="0.25">
      <c r="A96" s="84">
        <v>46068</v>
      </c>
      <c r="B96" s="5" t="s">
        <v>11</v>
      </c>
      <c r="C96" s="5" t="s">
        <v>12</v>
      </c>
      <c r="D96" s="5" t="s">
        <v>19</v>
      </c>
      <c r="E96" s="5" t="s">
        <v>14</v>
      </c>
      <c r="F96" s="5" t="s">
        <v>15</v>
      </c>
      <c r="G96" s="26">
        <v>482</v>
      </c>
      <c r="H96" s="26"/>
      <c r="I96" s="5"/>
      <c r="J96" s="5" t="s">
        <v>464</v>
      </c>
      <c r="K96" s="26">
        <v>-16326.86</v>
      </c>
    </row>
    <row r="97" spans="1:11" x14ac:dyDescent="0.25">
      <c r="A97" s="84">
        <v>46068</v>
      </c>
      <c r="B97" s="5" t="s">
        <v>13</v>
      </c>
      <c r="C97" s="5" t="s">
        <v>20</v>
      </c>
      <c r="D97" s="5" t="s">
        <v>13</v>
      </c>
      <c r="E97" s="5"/>
      <c r="F97" s="5"/>
      <c r="G97" s="26">
        <v>15317</v>
      </c>
      <c r="H97" s="26"/>
      <c r="I97" s="5"/>
      <c r="J97" s="5" t="s">
        <v>464</v>
      </c>
      <c r="K97" s="26">
        <v>-1009.860000000004</v>
      </c>
    </row>
    <row r="98" spans="1:11" x14ac:dyDescent="0.25">
      <c r="A98" s="84">
        <v>46068</v>
      </c>
      <c r="B98" s="5" t="s">
        <v>21</v>
      </c>
      <c r="C98" s="5" t="s">
        <v>20</v>
      </c>
      <c r="D98" s="5" t="s">
        <v>22</v>
      </c>
      <c r="E98" s="5" t="s">
        <v>17</v>
      </c>
      <c r="F98" s="5"/>
      <c r="G98" s="26">
        <v>661.44</v>
      </c>
      <c r="H98" s="26"/>
      <c r="I98" s="5"/>
      <c r="J98" s="5" t="s">
        <v>464</v>
      </c>
      <c r="K98" s="26">
        <v>-348.42000000000422</v>
      </c>
    </row>
    <row r="99" spans="1:11" x14ac:dyDescent="0.25">
      <c r="A99" s="84">
        <v>46068</v>
      </c>
      <c r="B99" s="5" t="s">
        <v>23</v>
      </c>
      <c r="C99" s="5" t="s">
        <v>12</v>
      </c>
      <c r="D99" s="5" t="s">
        <v>24</v>
      </c>
      <c r="E99" s="5" t="s">
        <v>17</v>
      </c>
      <c r="F99" s="5" t="s">
        <v>25</v>
      </c>
      <c r="G99" s="26">
        <v>107</v>
      </c>
      <c r="H99" s="26"/>
      <c r="I99" s="5"/>
      <c r="J99" s="5" t="s">
        <v>464</v>
      </c>
      <c r="K99" s="26">
        <v>-455.42000000000422</v>
      </c>
    </row>
    <row r="100" spans="1:11" x14ac:dyDescent="0.25">
      <c r="A100" s="84">
        <v>46069</v>
      </c>
      <c r="B100" s="5" t="s">
        <v>526</v>
      </c>
      <c r="C100" s="5" t="s">
        <v>12</v>
      </c>
      <c r="D100" s="5" t="s">
        <v>19</v>
      </c>
      <c r="E100" s="5" t="s">
        <v>17</v>
      </c>
      <c r="F100" s="5" t="s">
        <v>25</v>
      </c>
      <c r="G100" s="26">
        <v>203.5</v>
      </c>
      <c r="H100" s="26"/>
      <c r="I100" s="5"/>
      <c r="J100" s="5" t="s">
        <v>464</v>
      </c>
      <c r="K100" s="26">
        <v>-658.92000000000417</v>
      </c>
    </row>
    <row r="101" spans="1:11" x14ac:dyDescent="0.25">
      <c r="A101" s="84">
        <v>46069</v>
      </c>
      <c r="B101" s="5" t="s">
        <v>13</v>
      </c>
      <c r="C101" s="5" t="s">
        <v>20</v>
      </c>
      <c r="D101" s="5" t="s">
        <v>13</v>
      </c>
      <c r="E101" s="5"/>
      <c r="F101" s="5"/>
      <c r="G101" s="26">
        <v>15312</v>
      </c>
      <c r="H101" s="26"/>
      <c r="I101" s="5"/>
      <c r="J101" s="5" t="s">
        <v>464</v>
      </c>
      <c r="K101" s="26">
        <v>14653.08</v>
      </c>
    </row>
    <row r="102" spans="1:11" x14ac:dyDescent="0.25">
      <c r="A102" s="84">
        <v>46069</v>
      </c>
      <c r="B102" s="5" t="s">
        <v>21</v>
      </c>
      <c r="C102" s="5" t="s">
        <v>20</v>
      </c>
      <c r="D102" s="5" t="s">
        <v>22</v>
      </c>
      <c r="E102" s="5" t="s">
        <v>17</v>
      </c>
      <c r="F102" s="5"/>
      <c r="G102" s="26">
        <v>334.91</v>
      </c>
      <c r="H102" s="26"/>
      <c r="I102" s="5"/>
      <c r="J102" s="5" t="s">
        <v>464</v>
      </c>
      <c r="K102" s="26">
        <v>14987.99</v>
      </c>
    </row>
    <row r="103" spans="1:11" x14ac:dyDescent="0.25">
      <c r="A103" s="84">
        <v>46069</v>
      </c>
      <c r="B103" s="5" t="s">
        <v>23</v>
      </c>
      <c r="C103" s="5" t="s">
        <v>12</v>
      </c>
      <c r="D103" s="5" t="s">
        <v>24</v>
      </c>
      <c r="E103" s="5" t="s">
        <v>17</v>
      </c>
      <c r="F103" s="5" t="s">
        <v>25</v>
      </c>
      <c r="G103" s="26">
        <v>43</v>
      </c>
      <c r="H103" s="26"/>
      <c r="I103" s="5"/>
      <c r="J103" s="5" t="s">
        <v>464</v>
      </c>
      <c r="K103" s="26">
        <v>14944.99</v>
      </c>
    </row>
    <row r="104" spans="1:11" x14ac:dyDescent="0.25">
      <c r="A104" s="84">
        <v>46069</v>
      </c>
      <c r="B104" s="5" t="s">
        <v>33</v>
      </c>
      <c r="C104" s="5" t="s">
        <v>12</v>
      </c>
      <c r="D104" s="5" t="s">
        <v>33</v>
      </c>
      <c r="E104" s="5" t="s">
        <v>14</v>
      </c>
      <c r="F104" s="5" t="s">
        <v>15</v>
      </c>
      <c r="G104" s="26">
        <v>150</v>
      </c>
      <c r="H104" s="26"/>
      <c r="I104" s="5"/>
      <c r="J104" s="5" t="s">
        <v>464</v>
      </c>
      <c r="K104" s="26">
        <v>14794.99</v>
      </c>
    </row>
    <row r="105" spans="1:11" x14ac:dyDescent="0.25">
      <c r="A105" s="84">
        <v>46069</v>
      </c>
      <c r="B105" s="5" t="s">
        <v>348</v>
      </c>
      <c r="C105" s="5" t="s">
        <v>12</v>
      </c>
      <c r="D105" s="5" t="s">
        <v>19</v>
      </c>
      <c r="E105" s="5" t="s">
        <v>17</v>
      </c>
      <c r="F105" s="5"/>
      <c r="G105" s="26">
        <v>883.29</v>
      </c>
      <c r="H105" s="26"/>
      <c r="I105" s="5"/>
      <c r="J105" s="5" t="s">
        <v>464</v>
      </c>
      <c r="K105" s="26">
        <v>13911.7</v>
      </c>
    </row>
    <row r="106" spans="1:11" x14ac:dyDescent="0.25">
      <c r="A106" s="84">
        <v>46069</v>
      </c>
      <c r="B106" s="5" t="s">
        <v>390</v>
      </c>
      <c r="C106" s="5" t="s">
        <v>12</v>
      </c>
      <c r="D106" s="5" t="s">
        <v>19</v>
      </c>
      <c r="E106" s="5" t="s">
        <v>17</v>
      </c>
      <c r="F106" s="5"/>
      <c r="G106" s="26">
        <v>867.12</v>
      </c>
      <c r="H106" s="26"/>
      <c r="I106" s="5"/>
      <c r="J106" s="5" t="s">
        <v>464</v>
      </c>
      <c r="K106" s="26">
        <v>13044.58</v>
      </c>
    </row>
    <row r="107" spans="1:11" x14ac:dyDescent="0.25">
      <c r="A107" s="84">
        <v>46069</v>
      </c>
      <c r="B107" s="5" t="s">
        <v>390</v>
      </c>
      <c r="C107" s="5" t="s">
        <v>12</v>
      </c>
      <c r="D107" s="5" t="s">
        <v>19</v>
      </c>
      <c r="E107" s="5" t="s">
        <v>17</v>
      </c>
      <c r="F107" s="5"/>
      <c r="G107" s="26">
        <v>416.99</v>
      </c>
      <c r="H107" s="26"/>
      <c r="I107" s="5"/>
      <c r="J107" s="5" t="s">
        <v>464</v>
      </c>
      <c r="K107" s="26">
        <v>12627.59</v>
      </c>
    </row>
    <row r="108" spans="1:11" x14ac:dyDescent="0.25">
      <c r="A108" s="84">
        <v>46070</v>
      </c>
      <c r="B108" s="5" t="s">
        <v>354</v>
      </c>
      <c r="C108" s="5" t="s">
        <v>12</v>
      </c>
      <c r="D108" s="5" t="s">
        <v>19</v>
      </c>
      <c r="E108" s="5" t="s">
        <v>17</v>
      </c>
      <c r="F108" s="5"/>
      <c r="G108" s="26">
        <v>890.24</v>
      </c>
      <c r="H108" s="26"/>
      <c r="I108" s="5"/>
      <c r="J108" s="5" t="s">
        <v>464</v>
      </c>
      <c r="K108" s="26">
        <v>11737.35</v>
      </c>
    </row>
    <row r="109" spans="1:11" x14ac:dyDescent="0.25">
      <c r="A109" s="84">
        <v>46070</v>
      </c>
      <c r="B109" s="5" t="s">
        <v>401</v>
      </c>
      <c r="C109" s="5" t="s">
        <v>12</v>
      </c>
      <c r="D109" s="5" t="s">
        <v>19</v>
      </c>
      <c r="E109" s="5" t="s">
        <v>14</v>
      </c>
      <c r="F109" s="5" t="s">
        <v>15</v>
      </c>
      <c r="G109" s="26">
        <v>370</v>
      </c>
      <c r="H109" s="26"/>
      <c r="I109" s="5"/>
      <c r="J109" s="5" t="s">
        <v>464</v>
      </c>
      <c r="K109" s="26">
        <v>11367.35</v>
      </c>
    </row>
    <row r="110" spans="1:11" x14ac:dyDescent="0.25">
      <c r="A110" s="84">
        <v>46070</v>
      </c>
      <c r="B110" s="5" t="s">
        <v>30</v>
      </c>
      <c r="C110" s="5" t="s">
        <v>20</v>
      </c>
      <c r="D110" s="5" t="s">
        <v>13</v>
      </c>
      <c r="E110" s="5"/>
      <c r="F110" s="5"/>
      <c r="G110" s="26">
        <v>7224</v>
      </c>
      <c r="H110" s="26"/>
      <c r="I110" s="5"/>
      <c r="J110" s="5" t="s">
        <v>464</v>
      </c>
      <c r="K110" s="26">
        <v>18591.349999999999</v>
      </c>
    </row>
    <row r="111" spans="1:11" x14ac:dyDescent="0.25">
      <c r="A111" s="84">
        <v>46070</v>
      </c>
      <c r="B111" s="5" t="s">
        <v>44</v>
      </c>
      <c r="C111" s="5" t="s">
        <v>20</v>
      </c>
      <c r="D111" s="5" t="s">
        <v>22</v>
      </c>
      <c r="E111" s="5" t="s">
        <v>17</v>
      </c>
      <c r="F111" s="5"/>
      <c r="G111" s="26">
        <v>302.08999999999997</v>
      </c>
      <c r="H111" s="26"/>
      <c r="I111" s="5"/>
      <c r="J111" s="5" t="s">
        <v>464</v>
      </c>
      <c r="K111" s="26">
        <v>18893.439999999999</v>
      </c>
    </row>
    <row r="112" spans="1:11" x14ac:dyDescent="0.25">
      <c r="A112" s="84">
        <v>46070</v>
      </c>
      <c r="B112" s="5" t="s">
        <v>45</v>
      </c>
      <c r="C112" s="5" t="s">
        <v>12</v>
      </c>
      <c r="D112" s="5" t="s">
        <v>24</v>
      </c>
      <c r="E112" s="5" t="s">
        <v>17</v>
      </c>
      <c r="F112" s="5" t="s">
        <v>25</v>
      </c>
      <c r="G112" s="26">
        <v>45</v>
      </c>
      <c r="H112" s="26"/>
      <c r="I112" s="5"/>
      <c r="J112" s="5" t="s">
        <v>464</v>
      </c>
      <c r="K112" s="26">
        <v>18848.439999999999</v>
      </c>
    </row>
    <row r="113" spans="1:11" x14ac:dyDescent="0.25">
      <c r="A113" s="84">
        <v>46070</v>
      </c>
      <c r="B113" s="5" t="s">
        <v>495</v>
      </c>
      <c r="C113" s="5" t="s">
        <v>12</v>
      </c>
      <c r="D113" s="5" t="s">
        <v>33</v>
      </c>
      <c r="E113" s="5" t="s">
        <v>14</v>
      </c>
      <c r="F113" s="5" t="s">
        <v>15</v>
      </c>
      <c r="G113" s="26">
        <v>150</v>
      </c>
      <c r="H113" s="26"/>
      <c r="I113" s="5"/>
      <c r="J113" s="5" t="s">
        <v>464</v>
      </c>
      <c r="K113" s="26">
        <v>18698.439999999999</v>
      </c>
    </row>
    <row r="114" spans="1:11" x14ac:dyDescent="0.25">
      <c r="A114" s="84">
        <v>46070</v>
      </c>
      <c r="B114" s="5" t="s">
        <v>543</v>
      </c>
      <c r="C114" s="5" t="s">
        <v>12</v>
      </c>
      <c r="D114" s="5" t="s">
        <v>33</v>
      </c>
      <c r="E114" s="5" t="s">
        <v>14</v>
      </c>
      <c r="F114" s="5" t="s">
        <v>15</v>
      </c>
      <c r="G114" s="26">
        <v>50</v>
      </c>
      <c r="H114" s="26"/>
      <c r="I114" s="5"/>
      <c r="J114" s="5" t="s">
        <v>464</v>
      </c>
      <c r="K114" s="26">
        <v>18648.439999999999</v>
      </c>
    </row>
    <row r="115" spans="1:11" x14ac:dyDescent="0.25">
      <c r="A115" s="84">
        <v>46071</v>
      </c>
      <c r="B115" s="5" t="s">
        <v>31</v>
      </c>
      <c r="C115" s="5" t="s">
        <v>12</v>
      </c>
      <c r="D115" s="5" t="s">
        <v>19</v>
      </c>
      <c r="E115" s="5" t="s">
        <v>17</v>
      </c>
      <c r="F115" s="5" t="s">
        <v>25</v>
      </c>
      <c r="G115" s="26">
        <v>260</v>
      </c>
      <c r="H115" s="26"/>
      <c r="I115" s="5"/>
      <c r="J115" s="5" t="s">
        <v>464</v>
      </c>
      <c r="K115" s="26">
        <v>18388.439999999999</v>
      </c>
    </row>
    <row r="116" spans="1:11" x14ac:dyDescent="0.25">
      <c r="A116" s="84">
        <v>46071</v>
      </c>
      <c r="B116" s="5" t="s">
        <v>13</v>
      </c>
      <c r="C116" s="5" t="s">
        <v>20</v>
      </c>
      <c r="D116" s="5" t="s">
        <v>13</v>
      </c>
      <c r="E116" s="5"/>
      <c r="F116" s="5"/>
      <c r="G116" s="26">
        <v>3525</v>
      </c>
      <c r="H116" s="26"/>
      <c r="I116" s="5"/>
      <c r="J116" s="5" t="s">
        <v>464</v>
      </c>
      <c r="K116" s="26">
        <v>21913.439999999999</v>
      </c>
    </row>
    <row r="117" spans="1:11" x14ac:dyDescent="0.25">
      <c r="A117" s="84">
        <v>46071</v>
      </c>
      <c r="B117" s="5" t="s">
        <v>21</v>
      </c>
      <c r="C117" s="5" t="s">
        <v>20</v>
      </c>
      <c r="D117" s="5" t="s">
        <v>22</v>
      </c>
      <c r="E117" s="5" t="s">
        <v>17</v>
      </c>
      <c r="F117" s="5"/>
      <c r="G117" s="26">
        <v>0</v>
      </c>
      <c r="H117" s="26"/>
      <c r="I117" s="5"/>
      <c r="J117" s="5" t="s">
        <v>464</v>
      </c>
      <c r="K117" s="26">
        <v>21913.439999999999</v>
      </c>
    </row>
    <row r="118" spans="1:11" x14ac:dyDescent="0.25">
      <c r="A118" s="84">
        <v>46071</v>
      </c>
      <c r="B118" s="5" t="s">
        <v>23</v>
      </c>
      <c r="C118" s="5" t="s">
        <v>12</v>
      </c>
      <c r="D118" s="5" t="s">
        <v>24</v>
      </c>
      <c r="E118" s="5" t="s">
        <v>17</v>
      </c>
      <c r="F118" s="5" t="s">
        <v>25</v>
      </c>
      <c r="G118" s="26">
        <v>0</v>
      </c>
      <c r="H118" s="26"/>
      <c r="I118" s="5"/>
      <c r="J118" s="5" t="s">
        <v>464</v>
      </c>
      <c r="K118" s="26">
        <v>21913.439999999999</v>
      </c>
    </row>
    <row r="119" spans="1:11" x14ac:dyDescent="0.25">
      <c r="A119" s="84">
        <v>46071</v>
      </c>
      <c r="B119" s="5" t="s">
        <v>370</v>
      </c>
      <c r="C119" s="5" t="s">
        <v>12</v>
      </c>
      <c r="D119" s="5" t="s">
        <v>19</v>
      </c>
      <c r="E119" s="5" t="s">
        <v>17</v>
      </c>
      <c r="F119" s="5" t="s">
        <v>25</v>
      </c>
      <c r="G119" s="26">
        <v>657.75</v>
      </c>
      <c r="H119" s="26"/>
      <c r="I119" s="5"/>
      <c r="J119" s="5" t="s">
        <v>464</v>
      </c>
      <c r="K119" s="26">
        <v>21255.69</v>
      </c>
    </row>
    <row r="120" spans="1:11" x14ac:dyDescent="0.25">
      <c r="A120" s="84">
        <v>46071</v>
      </c>
      <c r="B120" s="5" t="s">
        <v>348</v>
      </c>
      <c r="C120" s="5" t="s">
        <v>12</v>
      </c>
      <c r="D120" s="5" t="s">
        <v>19</v>
      </c>
      <c r="E120" s="5" t="s">
        <v>17</v>
      </c>
      <c r="F120" s="5"/>
      <c r="G120" s="26">
        <v>817.21</v>
      </c>
      <c r="H120" s="26"/>
      <c r="I120" s="5"/>
      <c r="J120" s="5" t="s">
        <v>464</v>
      </c>
      <c r="K120" s="26">
        <v>20438.48</v>
      </c>
    </row>
    <row r="121" spans="1:11" x14ac:dyDescent="0.25">
      <c r="A121" s="84">
        <v>46071</v>
      </c>
      <c r="B121" s="5" t="s">
        <v>380</v>
      </c>
      <c r="C121" s="5" t="s">
        <v>12</v>
      </c>
      <c r="D121" s="5" t="s">
        <v>19</v>
      </c>
      <c r="E121" s="5" t="s">
        <v>17</v>
      </c>
      <c r="F121" s="5"/>
      <c r="G121" s="26">
        <v>882.66</v>
      </c>
      <c r="H121" s="26"/>
      <c r="I121" s="5"/>
      <c r="J121" s="5" t="s">
        <v>464</v>
      </c>
      <c r="K121" s="26">
        <v>19555.82</v>
      </c>
    </row>
    <row r="122" spans="1:11" x14ac:dyDescent="0.25">
      <c r="A122" s="84">
        <v>46071</v>
      </c>
      <c r="B122" s="5" t="s">
        <v>405</v>
      </c>
      <c r="C122" s="5" t="s">
        <v>12</v>
      </c>
      <c r="D122" s="5" t="s">
        <v>19</v>
      </c>
      <c r="E122" s="5" t="s">
        <v>17</v>
      </c>
      <c r="F122" s="5"/>
      <c r="G122" s="26">
        <v>708.88</v>
      </c>
      <c r="H122" s="26"/>
      <c r="I122" s="5"/>
      <c r="J122" s="5" t="s">
        <v>464</v>
      </c>
      <c r="K122" s="26">
        <v>18846.939999999999</v>
      </c>
    </row>
    <row r="123" spans="1:11" x14ac:dyDescent="0.25">
      <c r="A123" s="84">
        <v>46071</v>
      </c>
      <c r="B123" s="5" t="s">
        <v>544</v>
      </c>
      <c r="C123" s="5" t="s">
        <v>12</v>
      </c>
      <c r="D123" s="5" t="s">
        <v>39</v>
      </c>
      <c r="E123" s="5" t="s">
        <v>17</v>
      </c>
      <c r="F123" s="5"/>
      <c r="G123" s="26">
        <v>99.9</v>
      </c>
      <c r="H123" s="26"/>
      <c r="I123" s="5"/>
      <c r="J123" s="5" t="s">
        <v>464</v>
      </c>
      <c r="K123" s="26">
        <v>18747.04</v>
      </c>
    </row>
    <row r="124" spans="1:11" x14ac:dyDescent="0.25">
      <c r="A124" s="84">
        <v>46071</v>
      </c>
      <c r="B124" s="5" t="s">
        <v>545</v>
      </c>
      <c r="C124" s="5" t="s">
        <v>12</v>
      </c>
      <c r="D124" s="5" t="s">
        <v>58</v>
      </c>
      <c r="E124" s="5" t="s">
        <v>17</v>
      </c>
      <c r="F124" s="5"/>
      <c r="G124" s="26">
        <v>536.66999999999996</v>
      </c>
      <c r="H124" s="26"/>
      <c r="I124" s="5"/>
      <c r="J124" s="5" t="s">
        <v>464</v>
      </c>
      <c r="K124" s="26">
        <v>18210.37</v>
      </c>
    </row>
    <row r="125" spans="1:11" x14ac:dyDescent="0.25">
      <c r="A125" s="84">
        <v>46071</v>
      </c>
      <c r="B125" s="5" t="s">
        <v>506</v>
      </c>
      <c r="C125" s="5" t="s">
        <v>12</v>
      </c>
      <c r="D125" s="5" t="s">
        <v>19</v>
      </c>
      <c r="E125" s="5" t="s">
        <v>17</v>
      </c>
      <c r="F125" s="5"/>
      <c r="G125" s="26">
        <v>278</v>
      </c>
      <c r="H125" s="26"/>
      <c r="I125" s="5"/>
      <c r="J125" s="5" t="s">
        <v>464</v>
      </c>
      <c r="K125" s="26">
        <v>17932.37</v>
      </c>
    </row>
    <row r="126" spans="1:11" x14ac:dyDescent="0.25">
      <c r="A126" s="84">
        <v>46072</v>
      </c>
      <c r="B126" s="5" t="s">
        <v>401</v>
      </c>
      <c r="C126" s="5" t="s">
        <v>12</v>
      </c>
      <c r="D126" s="5" t="s">
        <v>19</v>
      </c>
      <c r="E126" s="5" t="s">
        <v>14</v>
      </c>
      <c r="F126" s="5" t="s">
        <v>15</v>
      </c>
      <c r="G126" s="26">
        <v>141</v>
      </c>
      <c r="H126" s="26"/>
      <c r="I126" s="5"/>
      <c r="J126" s="5" t="s">
        <v>464</v>
      </c>
      <c r="K126" s="26">
        <v>17791.37</v>
      </c>
    </row>
    <row r="127" spans="1:11" x14ac:dyDescent="0.25">
      <c r="A127" s="84">
        <v>46073</v>
      </c>
      <c r="B127" s="5" t="s">
        <v>415</v>
      </c>
      <c r="C127" s="5" t="s">
        <v>12</v>
      </c>
      <c r="D127" s="5" t="s">
        <v>19</v>
      </c>
      <c r="E127" s="5" t="s">
        <v>17</v>
      </c>
      <c r="F127" s="5" t="s">
        <v>25</v>
      </c>
      <c r="G127" s="26">
        <v>276</v>
      </c>
      <c r="H127" s="26"/>
      <c r="I127" s="5"/>
      <c r="J127" s="5" t="s">
        <v>464</v>
      </c>
      <c r="K127" s="26">
        <v>17515.37</v>
      </c>
    </row>
    <row r="128" spans="1:11" x14ac:dyDescent="0.25">
      <c r="A128" s="84">
        <v>46073</v>
      </c>
      <c r="B128" s="5" t="s">
        <v>546</v>
      </c>
      <c r="C128" s="5" t="s">
        <v>12</v>
      </c>
      <c r="D128" s="5" t="s">
        <v>27</v>
      </c>
      <c r="E128" s="5" t="s">
        <v>17</v>
      </c>
      <c r="F128" s="5" t="s">
        <v>25</v>
      </c>
      <c r="G128" s="26">
        <v>1151.45</v>
      </c>
      <c r="H128" s="26"/>
      <c r="I128" s="5"/>
      <c r="J128" s="5" t="s">
        <v>464</v>
      </c>
      <c r="K128" s="26">
        <v>16363.92</v>
      </c>
    </row>
    <row r="129" spans="1:11" x14ac:dyDescent="0.25">
      <c r="A129" s="84">
        <v>46073</v>
      </c>
      <c r="B129" s="5" t="s">
        <v>401</v>
      </c>
      <c r="C129" s="5" t="s">
        <v>12</v>
      </c>
      <c r="D129" s="5" t="s">
        <v>19</v>
      </c>
      <c r="E129" s="5" t="s">
        <v>14</v>
      </c>
      <c r="F129" s="5" t="s">
        <v>15</v>
      </c>
      <c r="G129" s="26">
        <v>376</v>
      </c>
      <c r="H129" s="26"/>
      <c r="I129" s="5"/>
      <c r="J129" s="5" t="s">
        <v>464</v>
      </c>
      <c r="K129" s="26">
        <v>15987.92</v>
      </c>
    </row>
    <row r="130" spans="1:11" x14ac:dyDescent="0.25">
      <c r="A130" s="84">
        <v>46073</v>
      </c>
      <c r="B130" s="5" t="s">
        <v>30</v>
      </c>
      <c r="C130" s="5" t="s">
        <v>20</v>
      </c>
      <c r="D130" s="5" t="s">
        <v>13</v>
      </c>
      <c r="E130" s="5"/>
      <c r="F130" s="5"/>
      <c r="G130" s="26">
        <v>3257</v>
      </c>
      <c r="H130" s="26"/>
      <c r="I130" s="5"/>
      <c r="J130" s="5" t="s">
        <v>464</v>
      </c>
      <c r="K130" s="26">
        <v>19244.919999999998</v>
      </c>
    </row>
    <row r="131" spans="1:11" x14ac:dyDescent="0.25">
      <c r="A131" s="84">
        <v>46073</v>
      </c>
      <c r="B131" s="5" t="s">
        <v>44</v>
      </c>
      <c r="C131" s="5" t="s">
        <v>20</v>
      </c>
      <c r="D131" s="5" t="s">
        <v>22</v>
      </c>
      <c r="E131" s="5" t="s">
        <v>17</v>
      </c>
      <c r="F131" s="5"/>
      <c r="G131" s="26">
        <v>0</v>
      </c>
      <c r="H131" s="26"/>
      <c r="I131" s="5"/>
      <c r="J131" s="5" t="s">
        <v>464</v>
      </c>
      <c r="K131" s="26">
        <v>19244.919999999998</v>
      </c>
    </row>
    <row r="132" spans="1:11" x14ac:dyDescent="0.25">
      <c r="A132" s="84">
        <v>46073</v>
      </c>
      <c r="B132" s="5" t="s">
        <v>45</v>
      </c>
      <c r="C132" s="5" t="s">
        <v>12</v>
      </c>
      <c r="D132" s="5" t="s">
        <v>24</v>
      </c>
      <c r="E132" s="5" t="s">
        <v>17</v>
      </c>
      <c r="F132" s="5" t="s">
        <v>25</v>
      </c>
      <c r="G132" s="26">
        <v>26</v>
      </c>
      <c r="H132" s="26"/>
      <c r="I132" s="5"/>
      <c r="J132" s="5" t="s">
        <v>464</v>
      </c>
      <c r="K132" s="26">
        <v>19218.919999999998</v>
      </c>
    </row>
    <row r="133" spans="1:11" x14ac:dyDescent="0.25">
      <c r="A133" s="84">
        <v>46073</v>
      </c>
      <c r="B133" s="5" t="s">
        <v>305</v>
      </c>
      <c r="C133" s="5" t="s">
        <v>12</v>
      </c>
      <c r="D133" s="5" t="s">
        <v>58</v>
      </c>
      <c r="E133" s="5" t="s">
        <v>17</v>
      </c>
      <c r="F133" s="5"/>
      <c r="G133" s="26">
        <v>742.53</v>
      </c>
      <c r="H133" s="26"/>
      <c r="I133" s="5"/>
      <c r="J133" s="5" t="s">
        <v>464</v>
      </c>
      <c r="K133" s="26">
        <v>18476.39</v>
      </c>
    </row>
    <row r="134" spans="1:11" x14ac:dyDescent="0.25">
      <c r="A134" s="84">
        <v>46073</v>
      </c>
      <c r="B134" s="5" t="s">
        <v>443</v>
      </c>
      <c r="C134" s="5" t="s">
        <v>12</v>
      </c>
      <c r="D134" s="5" t="s">
        <v>58</v>
      </c>
      <c r="E134" s="5" t="s">
        <v>17</v>
      </c>
      <c r="F134" s="5"/>
      <c r="G134" s="26">
        <v>2957.56</v>
      </c>
      <c r="H134" s="26"/>
      <c r="I134" s="5"/>
      <c r="J134" s="5" t="s">
        <v>464</v>
      </c>
      <c r="K134" s="26">
        <v>15518.83</v>
      </c>
    </row>
    <row r="135" spans="1:11" x14ac:dyDescent="0.25">
      <c r="A135" s="84">
        <v>46073</v>
      </c>
      <c r="B135" s="5" t="s">
        <v>547</v>
      </c>
      <c r="C135" s="5" t="s">
        <v>12</v>
      </c>
      <c r="D135" s="5" t="s">
        <v>58</v>
      </c>
      <c r="E135" s="5" t="s">
        <v>17</v>
      </c>
      <c r="F135" s="5"/>
      <c r="G135" s="26">
        <v>705.55</v>
      </c>
      <c r="H135" s="26"/>
      <c r="I135" s="5"/>
      <c r="J135" s="5" t="s">
        <v>464</v>
      </c>
      <c r="K135" s="26">
        <v>14813.28</v>
      </c>
    </row>
    <row r="136" spans="1:11" x14ac:dyDescent="0.25">
      <c r="A136" s="84">
        <v>46073</v>
      </c>
      <c r="B136" s="5" t="s">
        <v>548</v>
      </c>
      <c r="C136" s="5" t="s">
        <v>12</v>
      </c>
      <c r="D136" s="5" t="s">
        <v>29</v>
      </c>
      <c r="E136" s="5" t="s">
        <v>17</v>
      </c>
      <c r="F136" s="5" t="s">
        <v>25</v>
      </c>
      <c r="G136" s="26">
        <v>60</v>
      </c>
      <c r="H136" s="26"/>
      <c r="I136" s="5"/>
      <c r="J136" s="5" t="s">
        <v>464</v>
      </c>
      <c r="K136" s="26">
        <v>14753.28</v>
      </c>
    </row>
    <row r="137" spans="1:11" x14ac:dyDescent="0.25">
      <c r="A137" s="84">
        <v>46073</v>
      </c>
      <c r="B137" s="5" t="s">
        <v>549</v>
      </c>
      <c r="C137" s="5" t="s">
        <v>12</v>
      </c>
      <c r="D137" s="5" t="s">
        <v>62</v>
      </c>
      <c r="E137" s="5" t="s">
        <v>14</v>
      </c>
      <c r="F137" s="5" t="s">
        <v>15</v>
      </c>
      <c r="G137" s="26">
        <v>60</v>
      </c>
      <c r="H137" s="26"/>
      <c r="I137" s="5"/>
      <c r="J137" s="5" t="s">
        <v>464</v>
      </c>
      <c r="K137" s="26">
        <v>14693.28</v>
      </c>
    </row>
    <row r="138" spans="1:11" x14ac:dyDescent="0.25">
      <c r="A138" s="84">
        <v>46074</v>
      </c>
      <c r="B138" s="5" t="s">
        <v>30</v>
      </c>
      <c r="C138" s="5" t="s">
        <v>20</v>
      </c>
      <c r="D138" s="5" t="s">
        <v>13</v>
      </c>
      <c r="E138" s="5"/>
      <c r="F138" s="5"/>
      <c r="G138" s="26">
        <v>6026</v>
      </c>
      <c r="H138" s="26"/>
      <c r="I138" s="5"/>
      <c r="J138" s="5" t="s">
        <v>464</v>
      </c>
      <c r="K138" s="26">
        <v>20719.28</v>
      </c>
    </row>
    <row r="139" spans="1:11" x14ac:dyDescent="0.25">
      <c r="A139" s="84">
        <v>46074</v>
      </c>
      <c r="B139" s="5" t="s">
        <v>44</v>
      </c>
      <c r="C139" s="5" t="s">
        <v>20</v>
      </c>
      <c r="D139" s="5" t="s">
        <v>22</v>
      </c>
      <c r="E139" s="5" t="s">
        <v>17</v>
      </c>
      <c r="F139" s="5"/>
      <c r="G139" s="26">
        <v>205.79</v>
      </c>
      <c r="H139" s="26"/>
      <c r="I139" s="5"/>
      <c r="J139" s="5" t="s">
        <v>464</v>
      </c>
      <c r="K139" s="26">
        <v>20925.07</v>
      </c>
    </row>
    <row r="140" spans="1:11" x14ac:dyDescent="0.25">
      <c r="A140" s="84">
        <v>46074</v>
      </c>
      <c r="B140" s="5" t="s">
        <v>45</v>
      </c>
      <c r="C140" s="5" t="s">
        <v>12</v>
      </c>
      <c r="D140" s="5" t="s">
        <v>24</v>
      </c>
      <c r="E140" s="5" t="s">
        <v>17</v>
      </c>
      <c r="F140" s="5" t="s">
        <v>25</v>
      </c>
      <c r="G140" s="26">
        <v>45</v>
      </c>
      <c r="H140" s="26"/>
      <c r="I140" s="5"/>
      <c r="J140" s="5" t="s">
        <v>464</v>
      </c>
      <c r="K140" s="26">
        <v>20880.07</v>
      </c>
    </row>
    <row r="141" spans="1:11" x14ac:dyDescent="0.25">
      <c r="A141" s="84">
        <v>46075</v>
      </c>
      <c r="B141" s="5" t="s">
        <v>13</v>
      </c>
      <c r="C141" s="5" t="s">
        <v>20</v>
      </c>
      <c r="D141" s="5" t="s">
        <v>13</v>
      </c>
      <c r="E141" s="5"/>
      <c r="F141" s="5"/>
      <c r="G141" s="26">
        <v>5193</v>
      </c>
      <c r="H141" s="26"/>
      <c r="I141" s="5"/>
      <c r="J141" s="5" t="s">
        <v>464</v>
      </c>
      <c r="K141" s="26">
        <v>26073.07</v>
      </c>
    </row>
    <row r="142" spans="1:11" x14ac:dyDescent="0.25">
      <c r="A142" s="84">
        <v>46075</v>
      </c>
      <c r="B142" s="5" t="s">
        <v>21</v>
      </c>
      <c r="C142" s="5" t="s">
        <v>20</v>
      </c>
      <c r="D142" s="5" t="s">
        <v>22</v>
      </c>
      <c r="E142" s="5" t="s">
        <v>17</v>
      </c>
      <c r="F142" s="5"/>
      <c r="G142" s="26">
        <v>452.02</v>
      </c>
      <c r="H142" s="26"/>
      <c r="I142" s="5"/>
      <c r="J142" s="5" t="s">
        <v>464</v>
      </c>
      <c r="K142" s="26">
        <v>26525.09</v>
      </c>
    </row>
    <row r="143" spans="1:11" x14ac:dyDescent="0.25">
      <c r="A143" s="84">
        <v>46075</v>
      </c>
      <c r="B143" s="5" t="s">
        <v>23</v>
      </c>
      <c r="C143" s="5" t="s">
        <v>12</v>
      </c>
      <c r="D143" s="5" t="s">
        <v>24</v>
      </c>
      <c r="E143" s="5" t="s">
        <v>17</v>
      </c>
      <c r="F143" s="5" t="s">
        <v>25</v>
      </c>
      <c r="G143" s="26">
        <v>95</v>
      </c>
      <c r="H143" s="26"/>
      <c r="I143" s="5"/>
      <c r="J143" s="5" t="s">
        <v>464</v>
      </c>
      <c r="K143" s="26">
        <v>26430.09</v>
      </c>
    </row>
    <row r="144" spans="1:11" x14ac:dyDescent="0.25">
      <c r="A144" s="84">
        <v>46076</v>
      </c>
      <c r="B144" s="5" t="s">
        <v>366</v>
      </c>
      <c r="C144" s="5" t="s">
        <v>12</v>
      </c>
      <c r="D144" s="5" t="s">
        <v>19</v>
      </c>
      <c r="E144" s="5" t="s">
        <v>17</v>
      </c>
      <c r="F144" s="5" t="s">
        <v>25</v>
      </c>
      <c r="G144" s="26">
        <v>203.5</v>
      </c>
      <c r="H144" s="26"/>
      <c r="I144" s="5"/>
      <c r="J144" s="5" t="s">
        <v>464</v>
      </c>
      <c r="K144" s="26">
        <v>26226.59</v>
      </c>
    </row>
    <row r="145" spans="1:11" x14ac:dyDescent="0.25">
      <c r="A145" s="84">
        <v>46076</v>
      </c>
      <c r="B145" s="5" t="s">
        <v>550</v>
      </c>
      <c r="C145" s="5" t="s">
        <v>12</v>
      </c>
      <c r="D145" s="5" t="s">
        <v>29</v>
      </c>
      <c r="E145" s="5" t="s">
        <v>17</v>
      </c>
      <c r="F145" s="5" t="s">
        <v>25</v>
      </c>
      <c r="G145" s="26">
        <v>450</v>
      </c>
      <c r="H145" s="26"/>
      <c r="I145" s="5"/>
      <c r="J145" s="5" t="s">
        <v>464</v>
      </c>
      <c r="K145" s="26">
        <v>25776.59</v>
      </c>
    </row>
    <row r="146" spans="1:11" x14ac:dyDescent="0.25">
      <c r="A146" s="84">
        <v>46076</v>
      </c>
      <c r="B146" s="5" t="s">
        <v>551</v>
      </c>
      <c r="C146" s="5" t="s">
        <v>12</v>
      </c>
      <c r="D146" s="5" t="s">
        <v>29</v>
      </c>
      <c r="E146" s="5" t="s">
        <v>17</v>
      </c>
      <c r="F146" s="5" t="s">
        <v>25</v>
      </c>
      <c r="G146" s="26">
        <v>320</v>
      </c>
      <c r="H146" s="26"/>
      <c r="I146" s="5"/>
      <c r="J146" s="5" t="s">
        <v>464</v>
      </c>
      <c r="K146" s="26">
        <v>25456.59</v>
      </c>
    </row>
    <row r="147" spans="1:11" x14ac:dyDescent="0.25">
      <c r="A147" s="84">
        <v>46076</v>
      </c>
      <c r="B147" s="5" t="s">
        <v>348</v>
      </c>
      <c r="C147" s="5" t="s">
        <v>12</v>
      </c>
      <c r="D147" s="5" t="s">
        <v>19</v>
      </c>
      <c r="E147" s="5" t="s">
        <v>17</v>
      </c>
      <c r="F147" s="5"/>
      <c r="G147" s="26">
        <v>2675.45</v>
      </c>
      <c r="H147" s="26"/>
      <c r="I147" s="5"/>
      <c r="J147" s="5" t="s">
        <v>464</v>
      </c>
      <c r="K147" s="26">
        <v>22781.14</v>
      </c>
    </row>
    <row r="148" spans="1:11" x14ac:dyDescent="0.25">
      <c r="A148" s="84">
        <v>46076</v>
      </c>
      <c r="B148" s="5" t="s">
        <v>552</v>
      </c>
      <c r="C148" s="5" t="s">
        <v>12</v>
      </c>
      <c r="D148" s="5" t="s">
        <v>19</v>
      </c>
      <c r="E148" s="5" t="s">
        <v>17</v>
      </c>
      <c r="F148" s="5"/>
      <c r="G148" s="26">
        <v>1736.83</v>
      </c>
      <c r="H148" s="26"/>
      <c r="I148" s="5"/>
      <c r="J148" s="5" t="s">
        <v>464</v>
      </c>
      <c r="K148" s="26">
        <v>21044.31</v>
      </c>
    </row>
    <row r="149" spans="1:11" x14ac:dyDescent="0.25">
      <c r="A149" s="84">
        <v>46076</v>
      </c>
      <c r="B149" s="5" t="s">
        <v>30</v>
      </c>
      <c r="C149" s="5" t="s">
        <v>20</v>
      </c>
      <c r="D149" s="5" t="s">
        <v>13</v>
      </c>
      <c r="E149" s="5"/>
      <c r="F149" s="5"/>
      <c r="G149" s="26">
        <v>1530</v>
      </c>
      <c r="H149" s="26"/>
      <c r="I149" s="5"/>
      <c r="J149" s="5" t="s">
        <v>464</v>
      </c>
      <c r="K149" s="26">
        <v>22574.31</v>
      </c>
    </row>
    <row r="150" spans="1:11" x14ac:dyDescent="0.25">
      <c r="A150" s="84">
        <v>46076</v>
      </c>
      <c r="B150" s="5" t="s">
        <v>44</v>
      </c>
      <c r="C150" s="5" t="s">
        <v>20</v>
      </c>
      <c r="D150" s="5" t="s">
        <v>22</v>
      </c>
      <c r="E150" s="5" t="s">
        <v>17</v>
      </c>
      <c r="F150" s="5"/>
      <c r="G150" s="26">
        <v>164.3</v>
      </c>
      <c r="H150" s="26"/>
      <c r="I150" s="5"/>
      <c r="J150" s="5" t="s">
        <v>464</v>
      </c>
      <c r="K150" s="26">
        <v>22738.61</v>
      </c>
    </row>
    <row r="151" spans="1:11" x14ac:dyDescent="0.25">
      <c r="A151" s="84">
        <v>46076</v>
      </c>
      <c r="B151" s="5" t="s">
        <v>45</v>
      </c>
      <c r="C151" s="5" t="s">
        <v>12</v>
      </c>
      <c r="D151" s="5" t="s">
        <v>24</v>
      </c>
      <c r="E151" s="5" t="s">
        <v>17</v>
      </c>
      <c r="F151" s="5" t="s">
        <v>25</v>
      </c>
      <c r="G151" s="26">
        <v>17</v>
      </c>
      <c r="H151" s="26"/>
      <c r="I151" s="5"/>
      <c r="J151" s="5" t="s">
        <v>464</v>
      </c>
      <c r="K151" s="26">
        <v>22721.61</v>
      </c>
    </row>
    <row r="152" spans="1:11" x14ac:dyDescent="0.25">
      <c r="A152" s="84">
        <v>46077</v>
      </c>
      <c r="B152" s="5" t="s">
        <v>553</v>
      </c>
      <c r="C152" s="5" t="s">
        <v>12</v>
      </c>
      <c r="D152" s="5" t="s">
        <v>19</v>
      </c>
      <c r="E152" s="5" t="s">
        <v>17</v>
      </c>
      <c r="F152" s="5"/>
      <c r="G152" s="26">
        <v>1795.34</v>
      </c>
      <c r="H152" s="26"/>
      <c r="I152" s="5"/>
      <c r="J152" s="5" t="s">
        <v>464</v>
      </c>
      <c r="K152" s="26">
        <v>20926.27</v>
      </c>
    </row>
    <row r="153" spans="1:11" x14ac:dyDescent="0.25">
      <c r="A153" s="84">
        <v>46077</v>
      </c>
      <c r="B153" s="5" t="s">
        <v>352</v>
      </c>
      <c r="C153" s="5" t="s">
        <v>12</v>
      </c>
      <c r="D153" s="5" t="s">
        <v>19</v>
      </c>
      <c r="E153" s="5" t="s">
        <v>17</v>
      </c>
      <c r="F153" s="5"/>
      <c r="G153" s="26">
        <v>819.12</v>
      </c>
      <c r="H153" s="26"/>
      <c r="I153" s="5"/>
      <c r="J153" s="5" t="s">
        <v>464</v>
      </c>
      <c r="K153" s="26">
        <v>20107.150000000001</v>
      </c>
    </row>
    <row r="154" spans="1:11" x14ac:dyDescent="0.25">
      <c r="A154" s="84">
        <v>46077</v>
      </c>
      <c r="B154" s="5" t="s">
        <v>554</v>
      </c>
      <c r="C154" s="5" t="s">
        <v>12</v>
      </c>
      <c r="D154" s="5" t="s">
        <v>62</v>
      </c>
      <c r="E154" s="5" t="s">
        <v>14</v>
      </c>
      <c r="F154" s="5" t="s">
        <v>15</v>
      </c>
      <c r="G154" s="26">
        <v>95</v>
      </c>
      <c r="H154" s="26"/>
      <c r="I154" s="5"/>
      <c r="J154" s="5" t="s">
        <v>464</v>
      </c>
      <c r="K154" s="26">
        <v>20012.150000000001</v>
      </c>
    </row>
    <row r="155" spans="1:11" x14ac:dyDescent="0.25">
      <c r="A155" s="64">
        <v>46077</v>
      </c>
      <c r="B155" s="5" t="s">
        <v>30</v>
      </c>
      <c r="C155" s="5" t="s">
        <v>20</v>
      </c>
      <c r="D155" s="5" t="s">
        <v>13</v>
      </c>
      <c r="E155" s="5"/>
      <c r="F155" s="5"/>
      <c r="G155" s="26">
        <v>986</v>
      </c>
      <c r="H155" s="26"/>
      <c r="I155" s="5"/>
      <c r="J155" s="5" t="s">
        <v>464</v>
      </c>
      <c r="K155" s="26">
        <v>20998.15</v>
      </c>
    </row>
    <row r="156" spans="1:11" x14ac:dyDescent="0.25">
      <c r="A156" s="84">
        <v>46077</v>
      </c>
      <c r="B156" s="5" t="s">
        <v>477</v>
      </c>
      <c r="C156" s="5" t="s">
        <v>20</v>
      </c>
      <c r="D156" s="5" t="s">
        <v>22</v>
      </c>
      <c r="E156" s="5" t="s">
        <v>17</v>
      </c>
      <c r="F156" s="5"/>
      <c r="G156" s="26">
        <v>0</v>
      </c>
      <c r="H156" s="26"/>
      <c r="I156" s="5"/>
      <c r="J156" s="5" t="e">
        <v>#REF!</v>
      </c>
      <c r="K156" s="26">
        <v>20998.15</v>
      </c>
    </row>
    <row r="157" spans="1:11" x14ac:dyDescent="0.25">
      <c r="A157" s="84">
        <v>46077</v>
      </c>
      <c r="B157" s="5" t="s">
        <v>23</v>
      </c>
      <c r="C157" s="5" t="s">
        <v>12</v>
      </c>
      <c r="D157" s="5" t="s">
        <v>24</v>
      </c>
      <c r="E157" s="5" t="s">
        <v>17</v>
      </c>
      <c r="F157" s="5" t="s">
        <v>25</v>
      </c>
      <c r="G157" s="26">
        <v>0</v>
      </c>
      <c r="H157" s="26"/>
      <c r="I157" s="5"/>
      <c r="J157" s="5" t="s">
        <v>464</v>
      </c>
      <c r="K157" s="26">
        <v>20998.15</v>
      </c>
    </row>
    <row r="158" spans="1:11" x14ac:dyDescent="0.25">
      <c r="A158" s="84">
        <v>46077</v>
      </c>
      <c r="B158" s="5" t="s">
        <v>490</v>
      </c>
      <c r="C158" s="5" t="s">
        <v>12</v>
      </c>
      <c r="D158" s="5" t="s">
        <v>39</v>
      </c>
      <c r="E158" s="5" t="s">
        <v>17</v>
      </c>
      <c r="F158" s="5" t="s">
        <v>25</v>
      </c>
      <c r="G158" s="26">
        <v>150</v>
      </c>
      <c r="H158" s="26"/>
      <c r="I158" s="5"/>
      <c r="J158" s="5" t="s">
        <v>464</v>
      </c>
      <c r="K158" s="26">
        <v>20848.150000000001</v>
      </c>
    </row>
    <row r="159" spans="1:11" x14ac:dyDescent="0.25">
      <c r="A159" s="84">
        <v>46077</v>
      </c>
      <c r="B159" s="5" t="s">
        <v>555</v>
      </c>
      <c r="C159" s="5" t="s">
        <v>12</v>
      </c>
      <c r="D159" s="5" t="s">
        <v>68</v>
      </c>
      <c r="E159" s="5" t="s">
        <v>17</v>
      </c>
      <c r="F159" s="5" t="s">
        <v>25</v>
      </c>
      <c r="G159" s="26">
        <v>60</v>
      </c>
      <c r="H159" s="26"/>
      <c r="I159" s="5"/>
      <c r="J159" s="5" t="s">
        <v>464</v>
      </c>
      <c r="K159" s="26">
        <v>20788.150000000001</v>
      </c>
    </row>
    <row r="160" spans="1:11" x14ac:dyDescent="0.25">
      <c r="A160" s="84">
        <v>46077</v>
      </c>
      <c r="B160" s="5" t="s">
        <v>556</v>
      </c>
      <c r="C160" s="5" t="s">
        <v>12</v>
      </c>
      <c r="D160" s="5" t="s">
        <v>19</v>
      </c>
      <c r="E160" s="5" t="s">
        <v>17</v>
      </c>
      <c r="F160" s="5" t="s">
        <v>25</v>
      </c>
      <c r="G160" s="26">
        <v>587.15</v>
      </c>
      <c r="H160" s="26"/>
      <c r="I160" s="5"/>
      <c r="J160" s="5" t="s">
        <v>464</v>
      </c>
      <c r="K160" s="26">
        <v>20201</v>
      </c>
    </row>
    <row r="161" spans="1:11" x14ac:dyDescent="0.25">
      <c r="A161" s="84">
        <v>46077</v>
      </c>
      <c r="B161" s="5" t="s">
        <v>557</v>
      </c>
      <c r="C161" s="5" t="s">
        <v>12</v>
      </c>
      <c r="D161" s="5" t="s">
        <v>29</v>
      </c>
      <c r="E161" s="5" t="s">
        <v>17</v>
      </c>
      <c r="F161" s="5" t="s">
        <v>25</v>
      </c>
      <c r="G161" s="26">
        <v>180</v>
      </c>
      <c r="H161" s="26"/>
      <c r="I161" s="5"/>
      <c r="J161" s="5" t="s">
        <v>464</v>
      </c>
      <c r="K161" s="26">
        <v>20021</v>
      </c>
    </row>
    <row r="162" spans="1:11" x14ac:dyDescent="0.25">
      <c r="A162" s="84">
        <v>46078</v>
      </c>
      <c r="B162" s="5" t="s">
        <v>350</v>
      </c>
      <c r="C162" s="5" t="s">
        <v>12</v>
      </c>
      <c r="D162" s="5" t="s">
        <v>19</v>
      </c>
      <c r="E162" s="5" t="s">
        <v>17</v>
      </c>
      <c r="F162" s="5"/>
      <c r="G162" s="26">
        <v>233.94</v>
      </c>
      <c r="H162" s="26"/>
      <c r="I162" s="5"/>
      <c r="J162" s="5" t="s">
        <v>464</v>
      </c>
      <c r="K162" s="26">
        <v>19787.060000000001</v>
      </c>
    </row>
    <row r="163" spans="1:11" x14ac:dyDescent="0.25">
      <c r="A163" s="84">
        <v>46078</v>
      </c>
      <c r="B163" s="5" t="s">
        <v>353</v>
      </c>
      <c r="C163" s="5" t="s">
        <v>12</v>
      </c>
      <c r="D163" s="5" t="s">
        <v>19</v>
      </c>
      <c r="E163" s="5" t="s">
        <v>17</v>
      </c>
      <c r="F163" s="5"/>
      <c r="G163" s="26">
        <v>882.66</v>
      </c>
      <c r="H163" s="26"/>
      <c r="I163" s="5"/>
      <c r="J163" s="5" t="s">
        <v>464</v>
      </c>
      <c r="K163" s="26">
        <v>18904.400000000001</v>
      </c>
    </row>
    <row r="164" spans="1:11" x14ac:dyDescent="0.25">
      <c r="A164" s="84">
        <v>46078</v>
      </c>
      <c r="B164" s="5" t="s">
        <v>558</v>
      </c>
      <c r="C164" s="5" t="s">
        <v>12</v>
      </c>
      <c r="D164" s="5" t="s">
        <v>327</v>
      </c>
      <c r="E164" s="5" t="s">
        <v>17</v>
      </c>
      <c r="F164" s="5"/>
      <c r="G164" s="26">
        <v>1968.98</v>
      </c>
      <c r="H164" s="26"/>
      <c r="I164" s="5"/>
      <c r="J164" s="5" t="s">
        <v>464</v>
      </c>
      <c r="K164" s="26">
        <v>16935.419999999998</v>
      </c>
    </row>
    <row r="165" spans="1:11" x14ac:dyDescent="0.25">
      <c r="A165" s="84">
        <v>46078</v>
      </c>
      <c r="B165" s="5" t="s">
        <v>304</v>
      </c>
      <c r="C165" s="5" t="s">
        <v>12</v>
      </c>
      <c r="D165" s="5" t="s">
        <v>68</v>
      </c>
      <c r="E165" s="5" t="s">
        <v>17</v>
      </c>
      <c r="F165" s="5"/>
      <c r="G165" s="26"/>
      <c r="H165" s="26"/>
      <c r="I165" s="5"/>
      <c r="J165" s="5" t="s">
        <v>464</v>
      </c>
      <c r="K165" s="26">
        <v>16935.419999999998</v>
      </c>
    </row>
    <row r="166" spans="1:11" x14ac:dyDescent="0.25">
      <c r="A166" s="84">
        <v>46078</v>
      </c>
      <c r="B166" s="5" t="s">
        <v>30</v>
      </c>
      <c r="C166" s="5" t="s">
        <v>20</v>
      </c>
      <c r="D166" s="5" t="s">
        <v>13</v>
      </c>
      <c r="E166" s="5"/>
      <c r="F166" s="5"/>
      <c r="G166" s="26">
        <v>1996</v>
      </c>
      <c r="H166" s="26"/>
      <c r="I166" s="5"/>
      <c r="J166" s="5" t="s">
        <v>464</v>
      </c>
      <c r="K166" s="26">
        <v>18931.419999999998</v>
      </c>
    </row>
    <row r="167" spans="1:11" x14ac:dyDescent="0.25">
      <c r="A167" s="84">
        <v>46078</v>
      </c>
      <c r="B167" s="5" t="s">
        <v>44</v>
      </c>
      <c r="C167" s="5" t="s">
        <v>20</v>
      </c>
      <c r="D167" s="5" t="s">
        <v>22</v>
      </c>
      <c r="E167" s="5" t="s">
        <v>17</v>
      </c>
      <c r="F167" s="5"/>
      <c r="G167" s="26">
        <v>86</v>
      </c>
      <c r="H167" s="26"/>
      <c r="I167" s="5"/>
      <c r="J167" s="5" t="s">
        <v>464</v>
      </c>
      <c r="K167" s="26">
        <v>19017.419999999998</v>
      </c>
    </row>
    <row r="168" spans="1:11" x14ac:dyDescent="0.25">
      <c r="A168" s="84">
        <v>46078</v>
      </c>
      <c r="B168" s="5" t="s">
        <v>45</v>
      </c>
      <c r="C168" s="5" t="s">
        <v>12</v>
      </c>
      <c r="D168" s="5" t="s">
        <v>24</v>
      </c>
      <c r="E168" s="5" t="s">
        <v>17</v>
      </c>
      <c r="F168" s="5" t="s">
        <v>25</v>
      </c>
      <c r="G168" s="26">
        <v>18</v>
      </c>
      <c r="H168" s="26"/>
      <c r="I168" s="5"/>
      <c r="J168" s="5" t="s">
        <v>464</v>
      </c>
      <c r="K168" s="26">
        <v>18999.419999999998</v>
      </c>
    </row>
    <row r="169" spans="1:11" x14ac:dyDescent="0.25">
      <c r="A169" s="84">
        <v>46078</v>
      </c>
      <c r="B169" s="5" t="s">
        <v>401</v>
      </c>
      <c r="C169" s="5" t="s">
        <v>12</v>
      </c>
      <c r="D169" s="5" t="s">
        <v>19</v>
      </c>
      <c r="E169" s="5" t="s">
        <v>14</v>
      </c>
      <c r="F169" s="5" t="s">
        <v>15</v>
      </c>
      <c r="G169" s="26">
        <v>750</v>
      </c>
      <c r="H169" s="26"/>
      <c r="I169" s="5"/>
      <c r="J169" s="5" t="s">
        <v>464</v>
      </c>
      <c r="K169" s="26">
        <v>18249.419999999998</v>
      </c>
    </row>
    <row r="170" spans="1:11" x14ac:dyDescent="0.25">
      <c r="A170" s="84">
        <v>46078</v>
      </c>
      <c r="B170" s="5" t="s">
        <v>528</v>
      </c>
      <c r="C170" s="5" t="s">
        <v>12</v>
      </c>
      <c r="D170" s="5" t="s">
        <v>19</v>
      </c>
      <c r="E170" s="5" t="s">
        <v>14</v>
      </c>
      <c r="F170" s="5" t="s">
        <v>15</v>
      </c>
      <c r="G170" s="26">
        <v>54</v>
      </c>
      <c r="H170" s="26"/>
      <c r="I170" s="5"/>
      <c r="J170" s="5" t="s">
        <v>464</v>
      </c>
      <c r="K170" s="26">
        <v>18195.419999999998</v>
      </c>
    </row>
    <row r="171" spans="1:11" x14ac:dyDescent="0.25">
      <c r="A171" s="84">
        <v>46078</v>
      </c>
      <c r="B171" s="5" t="s">
        <v>559</v>
      </c>
      <c r="C171" s="5" t="s">
        <v>12</v>
      </c>
      <c r="D171" s="5" t="s">
        <v>27</v>
      </c>
      <c r="E171" s="5" t="s">
        <v>17</v>
      </c>
      <c r="F171" s="5" t="s">
        <v>25</v>
      </c>
      <c r="G171" s="26">
        <v>218</v>
      </c>
      <c r="H171" s="26"/>
      <c r="I171" s="5"/>
      <c r="J171" s="5" t="s">
        <v>464</v>
      </c>
      <c r="K171" s="26">
        <v>17977.419999999998</v>
      </c>
    </row>
    <row r="172" spans="1:11" x14ac:dyDescent="0.25">
      <c r="A172" s="84">
        <v>46079</v>
      </c>
      <c r="B172" s="5" t="s">
        <v>369</v>
      </c>
      <c r="C172" s="5" t="s">
        <v>12</v>
      </c>
      <c r="D172" s="5" t="s">
        <v>19</v>
      </c>
      <c r="E172" s="5" t="s">
        <v>17</v>
      </c>
      <c r="F172" s="5"/>
      <c r="G172" s="26">
        <v>1872.38</v>
      </c>
      <c r="H172" s="26"/>
      <c r="I172" s="5"/>
      <c r="J172" s="5" t="s">
        <v>464</v>
      </c>
      <c r="K172" s="26">
        <v>16105.04</v>
      </c>
    </row>
    <row r="173" spans="1:11" x14ac:dyDescent="0.25">
      <c r="A173" s="84">
        <v>46079</v>
      </c>
      <c r="B173" s="5" t="s">
        <v>11</v>
      </c>
      <c r="C173" s="5" t="s">
        <v>12</v>
      </c>
      <c r="D173" s="5" t="s">
        <v>19</v>
      </c>
      <c r="E173" s="5" t="s">
        <v>14</v>
      </c>
      <c r="F173" s="5" t="s">
        <v>15</v>
      </c>
      <c r="G173" s="26">
        <v>141</v>
      </c>
      <c r="H173" s="26"/>
      <c r="I173" s="5"/>
      <c r="J173" s="5" t="s">
        <v>464</v>
      </c>
      <c r="K173" s="26">
        <v>15964.04</v>
      </c>
    </row>
    <row r="174" spans="1:11" x14ac:dyDescent="0.25">
      <c r="A174" s="84">
        <v>46079</v>
      </c>
      <c r="B174" s="5" t="s">
        <v>13</v>
      </c>
      <c r="C174" s="5" t="s">
        <v>20</v>
      </c>
      <c r="D174" s="5" t="s">
        <v>13</v>
      </c>
      <c r="E174" s="5"/>
      <c r="F174" s="5"/>
      <c r="G174" s="26">
        <v>947</v>
      </c>
      <c r="H174" s="26"/>
      <c r="I174" s="5"/>
      <c r="J174" s="5" t="s">
        <v>464</v>
      </c>
      <c r="K174" s="26">
        <v>16911.04</v>
      </c>
    </row>
    <row r="175" spans="1:11" x14ac:dyDescent="0.25">
      <c r="A175" s="84">
        <v>46079</v>
      </c>
      <c r="B175" s="5" t="s">
        <v>21</v>
      </c>
      <c r="C175" s="5" t="s">
        <v>20</v>
      </c>
      <c r="D175" s="5" t="s">
        <v>22</v>
      </c>
      <c r="E175" s="5" t="s">
        <v>17</v>
      </c>
      <c r="F175" s="5"/>
      <c r="G175" s="26">
        <v>0</v>
      </c>
      <c r="H175" s="26"/>
      <c r="I175" s="5"/>
      <c r="J175" s="5" t="s">
        <v>464</v>
      </c>
      <c r="K175" s="26">
        <v>16911.04</v>
      </c>
    </row>
    <row r="176" spans="1:11" x14ac:dyDescent="0.25">
      <c r="A176" s="84">
        <v>46079</v>
      </c>
      <c r="B176" s="5" t="s">
        <v>23</v>
      </c>
      <c r="C176" s="5" t="s">
        <v>12</v>
      </c>
      <c r="D176" s="5" t="s">
        <v>24</v>
      </c>
      <c r="E176" s="5" t="s">
        <v>17</v>
      </c>
      <c r="F176" s="5" t="s">
        <v>25</v>
      </c>
      <c r="G176" s="26">
        <v>9</v>
      </c>
      <c r="H176" s="26"/>
      <c r="I176" s="5"/>
      <c r="J176" s="5" t="s">
        <v>464</v>
      </c>
      <c r="K176" s="26">
        <v>16902.04</v>
      </c>
    </row>
    <row r="177" spans="1:11" x14ac:dyDescent="0.25">
      <c r="A177" s="84">
        <v>46079</v>
      </c>
      <c r="B177" s="5" t="s">
        <v>560</v>
      </c>
      <c r="C177" s="5" t="s">
        <v>12</v>
      </c>
      <c r="D177" s="5" t="s">
        <v>19</v>
      </c>
      <c r="E177" s="5" t="s">
        <v>17</v>
      </c>
      <c r="F177" s="5" t="s">
        <v>25</v>
      </c>
      <c r="G177" s="26">
        <v>700</v>
      </c>
      <c r="H177" s="26"/>
      <c r="I177" s="5"/>
      <c r="J177" s="5" t="s">
        <v>464</v>
      </c>
      <c r="K177" s="26">
        <v>16202.04</v>
      </c>
    </row>
    <row r="178" spans="1:11" x14ac:dyDescent="0.25">
      <c r="A178" s="84">
        <v>46079</v>
      </c>
      <c r="B178" s="5" t="s">
        <v>561</v>
      </c>
      <c r="C178" s="5" t="s">
        <v>12</v>
      </c>
      <c r="D178" s="5" t="s">
        <v>29</v>
      </c>
      <c r="E178" s="5" t="s">
        <v>17</v>
      </c>
      <c r="F178" s="5" t="s">
        <v>25</v>
      </c>
      <c r="G178" s="26">
        <v>180</v>
      </c>
      <c r="H178" s="26"/>
      <c r="I178" s="5"/>
      <c r="J178" s="5" t="s">
        <v>464</v>
      </c>
      <c r="K178" s="26">
        <v>16022.04</v>
      </c>
    </row>
    <row r="179" spans="1:11" x14ac:dyDescent="0.25">
      <c r="A179" s="84">
        <v>46079</v>
      </c>
      <c r="B179" s="5" t="s">
        <v>562</v>
      </c>
      <c r="C179" s="5" t="s">
        <v>12</v>
      </c>
      <c r="D179" s="5" t="s">
        <v>68</v>
      </c>
      <c r="E179" s="5" t="s">
        <v>17</v>
      </c>
      <c r="F179" s="5" t="s">
        <v>25</v>
      </c>
      <c r="G179" s="26">
        <v>552.5</v>
      </c>
      <c r="H179" s="26"/>
      <c r="I179" s="5"/>
      <c r="J179" s="5" t="s">
        <v>464</v>
      </c>
      <c r="K179" s="26">
        <v>15469.54</v>
      </c>
    </row>
    <row r="180" spans="1:11" x14ac:dyDescent="0.25">
      <c r="A180" s="84">
        <v>46079</v>
      </c>
      <c r="B180" s="5" t="s">
        <v>563</v>
      </c>
      <c r="C180" s="5" t="s">
        <v>12</v>
      </c>
      <c r="D180" s="5" t="s">
        <v>29</v>
      </c>
      <c r="E180" s="5" t="s">
        <v>17</v>
      </c>
      <c r="F180" s="5" t="s">
        <v>25</v>
      </c>
      <c r="G180" s="26">
        <v>20</v>
      </c>
      <c r="H180" s="26"/>
      <c r="I180" s="5"/>
      <c r="J180" s="5" t="s">
        <v>464</v>
      </c>
      <c r="K180" s="26">
        <v>15449.54</v>
      </c>
    </row>
    <row r="181" spans="1:11" x14ac:dyDescent="0.25">
      <c r="A181" s="84">
        <v>46080</v>
      </c>
      <c r="B181" s="5" t="s">
        <v>13</v>
      </c>
      <c r="C181" s="5" t="s">
        <v>20</v>
      </c>
      <c r="D181" s="5" t="s">
        <v>13</v>
      </c>
      <c r="E181" s="5"/>
      <c r="F181" s="5"/>
      <c r="G181" s="26">
        <v>2643</v>
      </c>
      <c r="H181" s="26"/>
      <c r="I181" s="5"/>
      <c r="J181" s="5" t="s">
        <v>464</v>
      </c>
      <c r="K181" s="26">
        <v>18092.54</v>
      </c>
    </row>
    <row r="182" spans="1:11" x14ac:dyDescent="0.25">
      <c r="A182" s="84">
        <v>46080</v>
      </c>
      <c r="B182" s="5" t="s">
        <v>21</v>
      </c>
      <c r="C182" s="5" t="s">
        <v>20</v>
      </c>
      <c r="D182" s="5" t="s">
        <v>22</v>
      </c>
      <c r="E182" s="5" t="s">
        <v>17</v>
      </c>
      <c r="F182" s="5"/>
      <c r="G182" s="26">
        <v>78</v>
      </c>
      <c r="H182" s="26"/>
      <c r="I182" s="5"/>
      <c r="J182" s="5" t="s">
        <v>464</v>
      </c>
      <c r="K182" s="26">
        <v>18170.54</v>
      </c>
    </row>
    <row r="183" spans="1:11" x14ac:dyDescent="0.25">
      <c r="A183" s="84">
        <v>46080</v>
      </c>
      <c r="B183" s="5" t="s">
        <v>23</v>
      </c>
      <c r="C183" s="5" t="s">
        <v>12</v>
      </c>
      <c r="D183" s="5" t="s">
        <v>24</v>
      </c>
      <c r="E183" s="5" t="s">
        <v>17</v>
      </c>
      <c r="F183" s="5" t="s">
        <v>25</v>
      </c>
      <c r="G183" s="26">
        <v>26</v>
      </c>
      <c r="H183" s="26"/>
      <c r="I183" s="5"/>
      <c r="J183" s="5" t="s">
        <v>464</v>
      </c>
      <c r="K183" s="26">
        <v>18144.54</v>
      </c>
    </row>
    <row r="184" spans="1:11" x14ac:dyDescent="0.25">
      <c r="A184" s="84">
        <v>46080</v>
      </c>
      <c r="B184" s="5" t="s">
        <v>11</v>
      </c>
      <c r="C184" s="5" t="s">
        <v>12</v>
      </c>
      <c r="D184" s="5" t="s">
        <v>19</v>
      </c>
      <c r="E184" s="5" t="s">
        <v>14</v>
      </c>
      <c r="F184" s="5" t="s">
        <v>15</v>
      </c>
      <c r="G184" s="26">
        <v>282</v>
      </c>
      <c r="H184" s="26"/>
      <c r="I184" s="5"/>
      <c r="J184" s="5" t="s">
        <v>464</v>
      </c>
      <c r="K184" s="26">
        <v>17862.54</v>
      </c>
    </row>
    <row r="185" spans="1:11" x14ac:dyDescent="0.25">
      <c r="A185" s="84">
        <v>46080</v>
      </c>
      <c r="B185" s="5" t="s">
        <v>443</v>
      </c>
      <c r="C185" s="5" t="s">
        <v>12</v>
      </c>
      <c r="D185" s="5" t="s">
        <v>58</v>
      </c>
      <c r="E185" s="5" t="s">
        <v>17</v>
      </c>
      <c r="F185" s="5"/>
      <c r="G185" s="26">
        <v>652.84</v>
      </c>
      <c r="H185" s="26"/>
      <c r="I185" s="5"/>
      <c r="J185" s="5" t="s">
        <v>464</v>
      </c>
      <c r="K185" s="26">
        <v>17209.7</v>
      </c>
    </row>
    <row r="186" spans="1:11" x14ac:dyDescent="0.25">
      <c r="A186" s="84">
        <v>46080</v>
      </c>
      <c r="B186" s="5" t="s">
        <v>418</v>
      </c>
      <c r="C186" s="5" t="s">
        <v>12</v>
      </c>
      <c r="D186" s="5" t="s">
        <v>19</v>
      </c>
      <c r="E186" s="5" t="s">
        <v>17</v>
      </c>
      <c r="F186" s="5"/>
      <c r="G186" s="26">
        <v>614.15</v>
      </c>
      <c r="H186" s="26"/>
      <c r="I186" s="5"/>
      <c r="J186" s="5" t="s">
        <v>464</v>
      </c>
      <c r="K186" s="26">
        <v>16595.55</v>
      </c>
    </row>
    <row r="187" spans="1:11" x14ac:dyDescent="0.25">
      <c r="A187" s="84">
        <v>46080</v>
      </c>
      <c r="B187" s="5" t="s">
        <v>564</v>
      </c>
      <c r="C187" s="5" t="s">
        <v>12</v>
      </c>
      <c r="D187" s="5" t="s">
        <v>27</v>
      </c>
      <c r="E187" s="5" t="s">
        <v>17</v>
      </c>
      <c r="F187" s="5"/>
      <c r="G187" s="26">
        <v>2000</v>
      </c>
      <c r="H187" s="26"/>
      <c r="I187" s="5"/>
      <c r="J187" s="5" t="s">
        <v>464</v>
      </c>
      <c r="K187" s="26">
        <v>14595.55</v>
      </c>
    </row>
    <row r="188" spans="1:11" x14ac:dyDescent="0.25">
      <c r="A188" s="84">
        <v>46080</v>
      </c>
      <c r="B188" s="5" t="s">
        <v>519</v>
      </c>
      <c r="C188" s="5" t="s">
        <v>12</v>
      </c>
      <c r="D188" s="5" t="s">
        <v>39</v>
      </c>
      <c r="E188" s="5" t="s">
        <v>17</v>
      </c>
      <c r="F188" s="5"/>
      <c r="G188" s="26">
        <v>370</v>
      </c>
      <c r="H188" s="26"/>
      <c r="I188" s="5"/>
      <c r="J188" s="5" t="s">
        <v>464</v>
      </c>
      <c r="K188" s="26">
        <v>14225.55</v>
      </c>
    </row>
    <row r="189" spans="1:11" x14ac:dyDescent="0.25">
      <c r="A189" s="84">
        <v>46080</v>
      </c>
      <c r="B189" s="5" t="s">
        <v>304</v>
      </c>
      <c r="C189" s="5" t="s">
        <v>12</v>
      </c>
      <c r="D189" s="5" t="s">
        <v>68</v>
      </c>
      <c r="E189" s="5" t="s">
        <v>17</v>
      </c>
      <c r="F189" s="5" t="s">
        <v>25</v>
      </c>
      <c r="G189" s="26">
        <v>600</v>
      </c>
      <c r="H189" s="26"/>
      <c r="I189" s="5"/>
      <c r="J189" s="5" t="s">
        <v>464</v>
      </c>
      <c r="K189" s="26">
        <v>13625.55</v>
      </c>
    </row>
    <row r="190" spans="1:11" x14ac:dyDescent="0.25">
      <c r="A190" s="84">
        <v>44984</v>
      </c>
      <c r="B190" s="5" t="s">
        <v>404</v>
      </c>
      <c r="C190" s="5" t="s">
        <v>12</v>
      </c>
      <c r="D190" s="5" t="s">
        <v>16</v>
      </c>
      <c r="E190" s="5" t="s">
        <v>17</v>
      </c>
      <c r="F190" s="5"/>
      <c r="G190" s="26">
        <v>13185</v>
      </c>
      <c r="H190" s="26"/>
      <c r="I190" s="5"/>
      <c r="J190" s="5" t="s">
        <v>565</v>
      </c>
      <c r="K190" s="26">
        <v>440.54999999999558</v>
      </c>
    </row>
    <row r="191" spans="1:11" x14ac:dyDescent="0.25">
      <c r="A191" s="84">
        <v>46081</v>
      </c>
      <c r="B191" s="5" t="s">
        <v>30</v>
      </c>
      <c r="C191" s="5" t="s">
        <v>20</v>
      </c>
      <c r="D191" s="5" t="s">
        <v>13</v>
      </c>
      <c r="E191" s="5"/>
      <c r="F191" s="5"/>
      <c r="G191" s="26">
        <v>6464</v>
      </c>
      <c r="H191" s="26"/>
      <c r="I191" s="5"/>
      <c r="J191" s="5" t="s">
        <v>464</v>
      </c>
      <c r="K191" s="26">
        <v>6904.5499999999956</v>
      </c>
    </row>
    <row r="192" spans="1:11" x14ac:dyDescent="0.25">
      <c r="A192" s="84">
        <v>46081</v>
      </c>
      <c r="B192" s="5" t="s">
        <v>44</v>
      </c>
      <c r="C192" s="5" t="s">
        <v>20</v>
      </c>
      <c r="D192" s="5" t="s">
        <v>22</v>
      </c>
      <c r="E192" s="5" t="s">
        <v>17</v>
      </c>
      <c r="F192" s="5"/>
      <c r="G192" s="26">
        <v>189.9</v>
      </c>
      <c r="H192" s="26"/>
      <c r="I192" s="5"/>
      <c r="J192" s="5" t="s">
        <v>464</v>
      </c>
      <c r="K192" s="26">
        <v>7094.4499999999953</v>
      </c>
    </row>
    <row r="193" spans="1:11" x14ac:dyDescent="0.25">
      <c r="A193" s="84">
        <v>46081</v>
      </c>
      <c r="B193" s="5" t="s">
        <v>45</v>
      </c>
      <c r="C193" s="5" t="s">
        <v>12</v>
      </c>
      <c r="D193" s="5" t="s">
        <v>24</v>
      </c>
      <c r="E193" s="5" t="s">
        <v>17</v>
      </c>
      <c r="F193" s="5" t="s">
        <v>25</v>
      </c>
      <c r="G193" s="26">
        <v>27</v>
      </c>
      <c r="H193" s="26"/>
      <c r="I193" s="5"/>
      <c r="J193" s="5" t="s">
        <v>464</v>
      </c>
      <c r="K193" s="26">
        <v>7067.4499999999953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>
    <outlinePr summaryBelow="0" summaryRight="0"/>
  </sheetPr>
  <dimension ref="A1:K188"/>
  <sheetViews>
    <sheetView workbookViewId="0"/>
  </sheetViews>
  <sheetFormatPr defaultColWidth="14.42578125" defaultRowHeight="15" customHeight="1" x14ac:dyDescent="0.25"/>
  <cols>
    <col min="2" max="2" width="40.7109375" customWidth="1"/>
    <col min="6" max="6" width="19.28515625" customWidth="1"/>
  </cols>
  <sheetData>
    <row r="1" spans="1:11" x14ac:dyDescent="0.25">
      <c r="A1" s="85" t="s">
        <v>1</v>
      </c>
      <c r="B1" s="85" t="s">
        <v>2</v>
      </c>
      <c r="C1" s="85" t="s">
        <v>3</v>
      </c>
      <c r="D1" s="85" t="s">
        <v>4</v>
      </c>
      <c r="E1" s="85" t="s">
        <v>5</v>
      </c>
      <c r="F1" s="85" t="s">
        <v>6</v>
      </c>
      <c r="G1" s="85" t="s">
        <v>7</v>
      </c>
      <c r="H1" s="85"/>
      <c r="I1" s="85" t="s">
        <v>8</v>
      </c>
      <c r="J1" s="85" t="s">
        <v>9</v>
      </c>
      <c r="K1" s="85" t="s">
        <v>10</v>
      </c>
    </row>
    <row r="2" spans="1:11" x14ac:dyDescent="0.25">
      <c r="A2" s="86">
        <v>46082</v>
      </c>
      <c r="B2" s="15" t="s">
        <v>13</v>
      </c>
      <c r="C2" s="15" t="s">
        <v>20</v>
      </c>
      <c r="D2" s="15" t="s">
        <v>13</v>
      </c>
      <c r="E2" s="15"/>
      <c r="F2" s="15"/>
      <c r="G2" s="87">
        <v>6466</v>
      </c>
      <c r="H2" s="87"/>
      <c r="I2" s="15"/>
      <c r="J2" s="15" t="s">
        <v>566</v>
      </c>
      <c r="K2" s="87">
        <v>6466</v>
      </c>
    </row>
    <row r="3" spans="1:11" hidden="1" x14ac:dyDescent="0.25">
      <c r="A3" s="86">
        <v>46082</v>
      </c>
      <c r="B3" s="15" t="s">
        <v>21</v>
      </c>
      <c r="C3" s="15" t="s">
        <v>20</v>
      </c>
      <c r="D3" s="15" t="s">
        <v>22</v>
      </c>
      <c r="E3" s="15" t="s">
        <v>17</v>
      </c>
      <c r="F3" s="15"/>
      <c r="G3" s="87">
        <v>349.8</v>
      </c>
      <c r="H3" s="87"/>
      <c r="I3" s="15"/>
      <c r="J3" s="15" t="s">
        <v>566</v>
      </c>
      <c r="K3" s="87">
        <v>6815.8</v>
      </c>
    </row>
    <row r="4" spans="1:11" hidden="1" x14ac:dyDescent="0.25">
      <c r="A4" s="86">
        <v>46082</v>
      </c>
      <c r="B4" s="15" t="s">
        <v>23</v>
      </c>
      <c r="C4" s="15" t="s">
        <v>12</v>
      </c>
      <c r="D4" s="15" t="s">
        <v>24</v>
      </c>
      <c r="E4" s="15" t="s">
        <v>17</v>
      </c>
      <c r="F4" s="15" t="s">
        <v>25</v>
      </c>
      <c r="G4" s="87">
        <v>70</v>
      </c>
      <c r="H4" s="87"/>
      <c r="I4" s="15"/>
      <c r="J4" s="15" t="s">
        <v>566</v>
      </c>
      <c r="K4" s="87">
        <v>6745.8</v>
      </c>
    </row>
    <row r="5" spans="1:11" hidden="1" x14ac:dyDescent="0.25">
      <c r="A5" s="86">
        <v>46083</v>
      </c>
      <c r="B5" s="15" t="s">
        <v>567</v>
      </c>
      <c r="C5" s="15" t="s">
        <v>12</v>
      </c>
      <c r="D5" s="15" t="s">
        <v>27</v>
      </c>
      <c r="E5" s="15" t="s">
        <v>17</v>
      </c>
      <c r="F5" s="15" t="s">
        <v>25</v>
      </c>
      <c r="G5" s="87">
        <v>1100</v>
      </c>
      <c r="H5" s="87"/>
      <c r="I5" s="15"/>
      <c r="J5" s="15" t="s">
        <v>566</v>
      </c>
      <c r="K5" s="87">
        <v>5645.8</v>
      </c>
    </row>
    <row r="6" spans="1:11" hidden="1" x14ac:dyDescent="0.25">
      <c r="A6" s="86">
        <v>46083</v>
      </c>
      <c r="B6" s="15" t="s">
        <v>568</v>
      </c>
      <c r="C6" s="15" t="s">
        <v>12</v>
      </c>
      <c r="D6" s="15" t="s">
        <v>19</v>
      </c>
      <c r="E6" s="15" t="s">
        <v>17</v>
      </c>
      <c r="F6" s="15"/>
      <c r="G6" s="87">
        <v>822.66</v>
      </c>
      <c r="H6" s="87"/>
      <c r="I6" s="15"/>
      <c r="J6" s="15" t="s">
        <v>566</v>
      </c>
      <c r="K6" s="87">
        <v>4823.1400000000003</v>
      </c>
    </row>
    <row r="7" spans="1:11" x14ac:dyDescent="0.25">
      <c r="A7" s="86">
        <v>46083</v>
      </c>
      <c r="B7" s="15" t="s">
        <v>30</v>
      </c>
      <c r="C7" s="15" t="s">
        <v>20</v>
      </c>
      <c r="D7" s="15" t="s">
        <v>13</v>
      </c>
      <c r="E7" s="15"/>
      <c r="F7" s="15"/>
      <c r="G7" s="87">
        <v>961</v>
      </c>
      <c r="H7" s="87"/>
      <c r="I7" s="15"/>
      <c r="J7" s="15" t="s">
        <v>566</v>
      </c>
      <c r="K7" s="87">
        <v>5784.14</v>
      </c>
    </row>
    <row r="8" spans="1:11" hidden="1" x14ac:dyDescent="0.25">
      <c r="A8" s="86">
        <v>46083</v>
      </c>
      <c r="B8" s="15" t="s">
        <v>44</v>
      </c>
      <c r="C8" s="15" t="s">
        <v>20</v>
      </c>
      <c r="D8" s="15" t="s">
        <v>22</v>
      </c>
      <c r="E8" s="15" t="s">
        <v>17</v>
      </c>
      <c r="F8" s="15"/>
      <c r="G8" s="87">
        <v>84.7</v>
      </c>
      <c r="H8" s="87"/>
      <c r="I8" s="15"/>
      <c r="J8" s="15" t="s">
        <v>566</v>
      </c>
      <c r="K8" s="87">
        <v>5868.84</v>
      </c>
    </row>
    <row r="9" spans="1:11" hidden="1" x14ac:dyDescent="0.25">
      <c r="A9" s="86">
        <v>46083</v>
      </c>
      <c r="B9" s="15" t="s">
        <v>45</v>
      </c>
      <c r="C9" s="15" t="s">
        <v>12</v>
      </c>
      <c r="D9" s="15" t="s">
        <v>24</v>
      </c>
      <c r="E9" s="15" t="s">
        <v>17</v>
      </c>
      <c r="F9" s="15" t="s">
        <v>25</v>
      </c>
      <c r="G9" s="87">
        <v>18</v>
      </c>
      <c r="H9" s="87"/>
      <c r="I9" s="15"/>
      <c r="J9" s="15" t="s">
        <v>566</v>
      </c>
      <c r="K9" s="87">
        <v>5850.84</v>
      </c>
    </row>
    <row r="10" spans="1:11" x14ac:dyDescent="0.25">
      <c r="A10" s="86">
        <v>46084</v>
      </c>
      <c r="B10" s="15" t="s">
        <v>30</v>
      </c>
      <c r="C10" s="15" t="s">
        <v>20</v>
      </c>
      <c r="D10" s="15" t="s">
        <v>13</v>
      </c>
      <c r="E10" s="15"/>
      <c r="F10" s="15"/>
      <c r="G10" s="87">
        <v>1606</v>
      </c>
      <c r="H10" s="87"/>
      <c r="I10" s="15"/>
      <c r="J10" s="15" t="s">
        <v>566</v>
      </c>
      <c r="K10" s="87">
        <v>7456.84</v>
      </c>
    </row>
    <row r="11" spans="1:11" hidden="1" x14ac:dyDescent="0.25">
      <c r="A11" s="86">
        <v>46084</v>
      </c>
      <c r="B11" s="15" t="s">
        <v>21</v>
      </c>
      <c r="C11" s="15" t="s">
        <v>20</v>
      </c>
      <c r="D11" s="15" t="s">
        <v>22</v>
      </c>
      <c r="E11" s="15" t="s">
        <v>17</v>
      </c>
      <c r="F11" s="15"/>
      <c r="G11" s="87">
        <v>187.8</v>
      </c>
      <c r="H11" s="87"/>
      <c r="I11" s="15"/>
      <c r="J11" s="15" t="s">
        <v>566</v>
      </c>
      <c r="K11" s="87">
        <v>7644.64</v>
      </c>
    </row>
    <row r="12" spans="1:11" hidden="1" x14ac:dyDescent="0.25">
      <c r="A12" s="86">
        <v>46084</v>
      </c>
      <c r="B12" s="15" t="s">
        <v>23</v>
      </c>
      <c r="C12" s="15" t="s">
        <v>12</v>
      </c>
      <c r="D12" s="15" t="s">
        <v>24</v>
      </c>
      <c r="E12" s="15" t="s">
        <v>17</v>
      </c>
      <c r="F12" s="15" t="s">
        <v>25</v>
      </c>
      <c r="G12" s="87">
        <v>19</v>
      </c>
      <c r="H12" s="87"/>
      <c r="I12" s="15"/>
      <c r="J12" s="15" t="s">
        <v>566</v>
      </c>
      <c r="K12" s="87">
        <v>7625.64</v>
      </c>
    </row>
    <row r="13" spans="1:11" hidden="1" x14ac:dyDescent="0.25">
      <c r="A13" s="86">
        <v>46084</v>
      </c>
      <c r="B13" s="15" t="s">
        <v>11</v>
      </c>
      <c r="C13" s="15" t="s">
        <v>12</v>
      </c>
      <c r="D13" s="15" t="s">
        <v>19</v>
      </c>
      <c r="E13" s="15" t="s">
        <v>14</v>
      </c>
      <c r="F13" s="15" t="s">
        <v>15</v>
      </c>
      <c r="G13" s="87">
        <v>0</v>
      </c>
      <c r="H13" s="87"/>
      <c r="I13" s="15"/>
      <c r="J13" s="15" t="s">
        <v>566</v>
      </c>
      <c r="K13" s="87">
        <v>7625.64</v>
      </c>
    </row>
    <row r="14" spans="1:11" hidden="1" x14ac:dyDescent="0.25">
      <c r="A14" s="86">
        <v>46084</v>
      </c>
      <c r="B14" s="15" t="s">
        <v>569</v>
      </c>
      <c r="C14" s="15" t="s">
        <v>12</v>
      </c>
      <c r="D14" s="15" t="s">
        <v>39</v>
      </c>
      <c r="E14" s="15" t="s">
        <v>14</v>
      </c>
      <c r="F14" s="15" t="s">
        <v>15</v>
      </c>
      <c r="G14" s="87">
        <v>3435.1</v>
      </c>
      <c r="H14" s="87"/>
      <c r="I14" s="15"/>
      <c r="J14" s="15" t="s">
        <v>566</v>
      </c>
      <c r="K14" s="87">
        <v>4190.5400000000009</v>
      </c>
    </row>
    <row r="15" spans="1:11" hidden="1" x14ac:dyDescent="0.25">
      <c r="A15" s="86">
        <v>46084</v>
      </c>
      <c r="B15" s="15" t="s">
        <v>394</v>
      </c>
      <c r="C15" s="15" t="s">
        <v>12</v>
      </c>
      <c r="D15" s="15" t="s">
        <v>19</v>
      </c>
      <c r="E15" s="15" t="s">
        <v>17</v>
      </c>
      <c r="F15" s="15"/>
      <c r="G15" s="87">
        <v>4143.2</v>
      </c>
      <c r="H15" s="87"/>
      <c r="I15" s="15"/>
      <c r="J15" s="15" t="s">
        <v>566</v>
      </c>
      <c r="K15" s="87">
        <v>47.340000000001062</v>
      </c>
    </row>
    <row r="16" spans="1:11" hidden="1" x14ac:dyDescent="0.25">
      <c r="A16" s="86">
        <v>46084</v>
      </c>
      <c r="B16" s="15" t="s">
        <v>570</v>
      </c>
      <c r="C16" s="15" t="s">
        <v>12</v>
      </c>
      <c r="D16" s="15" t="s">
        <v>68</v>
      </c>
      <c r="E16" s="15" t="s">
        <v>14</v>
      </c>
      <c r="F16" s="15" t="s">
        <v>15</v>
      </c>
      <c r="G16" s="87">
        <v>15</v>
      </c>
      <c r="H16" s="87"/>
      <c r="I16" s="15"/>
      <c r="J16" s="15" t="s">
        <v>566</v>
      </c>
      <c r="K16" s="87">
        <v>32.340000000001062</v>
      </c>
    </row>
    <row r="17" spans="1:11" x14ac:dyDescent="0.25">
      <c r="A17" s="86">
        <v>46085</v>
      </c>
      <c r="B17" s="15" t="s">
        <v>30</v>
      </c>
      <c r="C17" s="15" t="s">
        <v>20</v>
      </c>
      <c r="D17" s="15" t="s">
        <v>13</v>
      </c>
      <c r="E17" s="15"/>
      <c r="F17" s="15"/>
      <c r="G17" s="87">
        <v>2354</v>
      </c>
      <c r="H17" s="87"/>
      <c r="I17" s="15"/>
      <c r="J17" s="15" t="s">
        <v>566</v>
      </c>
      <c r="K17" s="87">
        <v>2386.3400000000011</v>
      </c>
    </row>
    <row r="18" spans="1:11" hidden="1" x14ac:dyDescent="0.25">
      <c r="A18" s="86">
        <v>46085</v>
      </c>
      <c r="B18" s="15" t="s">
        <v>22</v>
      </c>
      <c r="C18" s="15" t="s">
        <v>20</v>
      </c>
      <c r="D18" s="15" t="s">
        <v>22</v>
      </c>
      <c r="E18" s="15" t="s">
        <v>17</v>
      </c>
      <c r="F18" s="15"/>
      <c r="G18" s="87">
        <v>68.099999999999994</v>
      </c>
      <c r="H18" s="87"/>
      <c r="I18" s="15"/>
      <c r="J18" s="15" t="s">
        <v>566</v>
      </c>
      <c r="K18" s="87">
        <v>2454.440000000001</v>
      </c>
    </row>
    <row r="19" spans="1:11" hidden="1" x14ac:dyDescent="0.25">
      <c r="A19" s="86">
        <v>46085</v>
      </c>
      <c r="B19" s="15" t="s">
        <v>45</v>
      </c>
      <c r="C19" s="15" t="s">
        <v>12</v>
      </c>
      <c r="D19" s="15" t="s">
        <v>24</v>
      </c>
      <c r="E19" s="15" t="s">
        <v>17</v>
      </c>
      <c r="F19" s="15" t="s">
        <v>25</v>
      </c>
      <c r="G19" s="87">
        <v>18</v>
      </c>
      <c r="H19" s="87"/>
      <c r="I19" s="15"/>
      <c r="J19" s="15" t="s">
        <v>566</v>
      </c>
      <c r="K19" s="87">
        <v>2436.440000000001</v>
      </c>
    </row>
    <row r="20" spans="1:11" hidden="1" x14ac:dyDescent="0.25">
      <c r="A20" s="86">
        <v>46085</v>
      </c>
      <c r="B20" s="15" t="s">
        <v>401</v>
      </c>
      <c r="C20" s="15" t="s">
        <v>12</v>
      </c>
      <c r="D20" s="15" t="s">
        <v>19</v>
      </c>
      <c r="E20" s="15" t="s">
        <v>14</v>
      </c>
      <c r="F20" s="15" t="s">
        <v>15</v>
      </c>
      <c r="G20" s="87">
        <v>235</v>
      </c>
      <c r="H20" s="87"/>
      <c r="I20" s="15"/>
      <c r="J20" s="15" t="s">
        <v>566</v>
      </c>
      <c r="K20" s="87">
        <v>2201.440000000001</v>
      </c>
    </row>
    <row r="21" spans="1:11" hidden="1" x14ac:dyDescent="0.25">
      <c r="A21" s="86">
        <v>46085</v>
      </c>
      <c r="B21" s="15" t="s">
        <v>571</v>
      </c>
      <c r="C21" s="15" t="s">
        <v>12</v>
      </c>
      <c r="D21" s="15" t="s">
        <v>39</v>
      </c>
      <c r="E21" s="15" t="s">
        <v>17</v>
      </c>
      <c r="F21" s="15" t="s">
        <v>25</v>
      </c>
      <c r="G21" s="87">
        <v>200</v>
      </c>
      <c r="H21" s="87"/>
      <c r="I21" s="15"/>
      <c r="J21" s="15" t="s">
        <v>566</v>
      </c>
      <c r="K21" s="87">
        <v>2001.440000000001</v>
      </c>
    </row>
    <row r="22" spans="1:11" hidden="1" x14ac:dyDescent="0.25">
      <c r="A22" s="86">
        <v>46086</v>
      </c>
      <c r="B22" s="15" t="s">
        <v>38</v>
      </c>
      <c r="C22" s="15" t="s">
        <v>12</v>
      </c>
      <c r="D22" s="15" t="s">
        <v>39</v>
      </c>
      <c r="E22" s="15" t="s">
        <v>17</v>
      </c>
      <c r="F22" s="15"/>
      <c r="G22" s="87">
        <v>8918.64</v>
      </c>
      <c r="H22" s="87"/>
      <c r="I22" s="15"/>
      <c r="J22" s="15" t="s">
        <v>566</v>
      </c>
      <c r="K22" s="87">
        <v>-6917.1999999999989</v>
      </c>
    </row>
    <row r="23" spans="1:11" hidden="1" x14ac:dyDescent="0.25">
      <c r="A23" s="86">
        <v>46086</v>
      </c>
      <c r="B23" s="15" t="s">
        <v>40</v>
      </c>
      <c r="C23" s="15" t="s">
        <v>12</v>
      </c>
      <c r="D23" s="15" t="s">
        <v>39</v>
      </c>
      <c r="E23" s="15" t="s">
        <v>17</v>
      </c>
      <c r="F23" s="15" t="s">
        <v>25</v>
      </c>
      <c r="G23" s="87">
        <v>94.9</v>
      </c>
      <c r="H23" s="87"/>
      <c r="I23" s="15"/>
      <c r="J23" s="15" t="s">
        <v>566</v>
      </c>
      <c r="K23" s="87">
        <v>-7012.0999999999995</v>
      </c>
    </row>
    <row r="24" spans="1:11" hidden="1" x14ac:dyDescent="0.25">
      <c r="A24" s="86">
        <v>46086</v>
      </c>
      <c r="B24" s="15" t="s">
        <v>41</v>
      </c>
      <c r="C24" s="15" t="s">
        <v>12</v>
      </c>
      <c r="D24" s="15" t="s">
        <v>39</v>
      </c>
      <c r="E24" s="15" t="s">
        <v>17</v>
      </c>
      <c r="F24" s="15"/>
      <c r="G24" s="87">
        <v>100</v>
      </c>
      <c r="H24" s="87"/>
      <c r="I24" s="15"/>
      <c r="J24" s="15" t="s">
        <v>566</v>
      </c>
      <c r="K24" s="87">
        <v>-7112.0999999999995</v>
      </c>
    </row>
    <row r="25" spans="1:11" hidden="1" x14ac:dyDescent="0.25">
      <c r="A25" s="86">
        <v>46086</v>
      </c>
      <c r="B25" s="15" t="s">
        <v>572</v>
      </c>
      <c r="C25" s="15" t="s">
        <v>12</v>
      </c>
      <c r="D25" s="15" t="s">
        <v>327</v>
      </c>
      <c r="E25" s="15" t="s">
        <v>17</v>
      </c>
      <c r="F25" s="15"/>
      <c r="G25" s="87">
        <v>566.91</v>
      </c>
      <c r="H25" s="87"/>
      <c r="I25" s="15"/>
      <c r="J25" s="15" t="s">
        <v>566</v>
      </c>
      <c r="K25" s="87">
        <v>-7679.0099999999984</v>
      </c>
    </row>
    <row r="26" spans="1:11" hidden="1" x14ac:dyDescent="0.25">
      <c r="A26" s="86">
        <v>46086</v>
      </c>
      <c r="B26" s="15" t="s">
        <v>337</v>
      </c>
      <c r="C26" s="15" t="s">
        <v>12</v>
      </c>
      <c r="D26" s="15" t="s">
        <v>27</v>
      </c>
      <c r="E26" s="15" t="s">
        <v>17</v>
      </c>
      <c r="F26" s="15" t="s">
        <v>25</v>
      </c>
      <c r="G26" s="87">
        <v>7720.45</v>
      </c>
      <c r="H26" s="87"/>
      <c r="I26" s="15"/>
      <c r="J26" s="15" t="s">
        <v>566</v>
      </c>
      <c r="K26" s="87">
        <v>-15399.46</v>
      </c>
    </row>
    <row r="27" spans="1:11" x14ac:dyDescent="0.25">
      <c r="A27" s="86">
        <v>46086</v>
      </c>
      <c r="B27" s="15" t="s">
        <v>30</v>
      </c>
      <c r="C27" s="15" t="s">
        <v>20</v>
      </c>
      <c r="D27" s="15" t="s">
        <v>13</v>
      </c>
      <c r="E27" s="15"/>
      <c r="F27" s="15"/>
      <c r="G27" s="87">
        <v>2009</v>
      </c>
      <c r="H27" s="87"/>
      <c r="I27" s="15"/>
      <c r="J27" s="15" t="s">
        <v>566</v>
      </c>
      <c r="K27" s="87">
        <v>-13390.46</v>
      </c>
    </row>
    <row r="28" spans="1:11" hidden="1" x14ac:dyDescent="0.25">
      <c r="A28" s="86">
        <v>46086</v>
      </c>
      <c r="B28" s="15" t="s">
        <v>44</v>
      </c>
      <c r="C28" s="15" t="s">
        <v>20</v>
      </c>
      <c r="D28" s="15" t="s">
        <v>22</v>
      </c>
      <c r="E28" s="15" t="s">
        <v>17</v>
      </c>
      <c r="F28" s="15"/>
      <c r="G28" s="87">
        <v>203.2</v>
      </c>
      <c r="H28" s="87"/>
      <c r="I28" s="15"/>
      <c r="J28" s="15" t="s">
        <v>566</v>
      </c>
      <c r="K28" s="87">
        <v>-13187.26</v>
      </c>
    </row>
    <row r="29" spans="1:11" hidden="1" x14ac:dyDescent="0.25">
      <c r="A29" s="86">
        <v>46086</v>
      </c>
      <c r="B29" s="15" t="s">
        <v>45</v>
      </c>
      <c r="C29" s="15" t="s">
        <v>12</v>
      </c>
      <c r="D29" s="15" t="s">
        <v>24</v>
      </c>
      <c r="E29" s="15" t="s">
        <v>17</v>
      </c>
      <c r="F29" s="15" t="s">
        <v>25</v>
      </c>
      <c r="G29" s="87">
        <v>27</v>
      </c>
      <c r="H29" s="87"/>
      <c r="I29" s="15"/>
      <c r="J29" s="15" t="s">
        <v>566</v>
      </c>
      <c r="K29" s="87">
        <v>-13214.26</v>
      </c>
    </row>
    <row r="30" spans="1:11" hidden="1" x14ac:dyDescent="0.25">
      <c r="A30" s="86">
        <v>46086</v>
      </c>
      <c r="B30" s="15" t="s">
        <v>401</v>
      </c>
      <c r="C30" s="15" t="s">
        <v>12</v>
      </c>
      <c r="D30" s="15" t="s">
        <v>19</v>
      </c>
      <c r="E30" s="15" t="s">
        <v>14</v>
      </c>
      <c r="F30" s="15" t="s">
        <v>15</v>
      </c>
      <c r="G30" s="87">
        <v>141</v>
      </c>
      <c r="H30" s="87"/>
      <c r="I30" s="15"/>
      <c r="J30" s="15" t="s">
        <v>566</v>
      </c>
      <c r="K30" s="87">
        <v>-13355.26</v>
      </c>
    </row>
    <row r="31" spans="1:11" hidden="1" x14ac:dyDescent="0.25">
      <c r="A31" s="86">
        <v>46086</v>
      </c>
      <c r="B31" s="15" t="s">
        <v>420</v>
      </c>
      <c r="C31" s="15" t="s">
        <v>12</v>
      </c>
      <c r="D31" s="15" t="s">
        <v>27</v>
      </c>
      <c r="E31" s="15" t="s">
        <v>17</v>
      </c>
      <c r="F31" s="15" t="s">
        <v>25</v>
      </c>
      <c r="G31" s="87">
        <v>5000</v>
      </c>
      <c r="H31" s="87"/>
      <c r="I31" s="15"/>
      <c r="J31" s="15" t="s">
        <v>566</v>
      </c>
      <c r="K31" s="87">
        <v>-18355.259999999998</v>
      </c>
    </row>
    <row r="32" spans="1:11" hidden="1" x14ac:dyDescent="0.25">
      <c r="A32" s="86">
        <v>46086</v>
      </c>
      <c r="B32" s="15" t="s">
        <v>573</v>
      </c>
      <c r="C32" s="15" t="s">
        <v>12</v>
      </c>
      <c r="D32" s="15" t="s">
        <v>27</v>
      </c>
      <c r="E32" s="15" t="s">
        <v>17</v>
      </c>
      <c r="F32" s="15" t="s">
        <v>25</v>
      </c>
      <c r="G32" s="87">
        <v>162</v>
      </c>
      <c r="H32" s="87"/>
      <c r="I32" s="15"/>
      <c r="J32" s="15" t="s">
        <v>566</v>
      </c>
      <c r="K32" s="87">
        <v>-18517.259999999998</v>
      </c>
    </row>
    <row r="33" spans="1:11" x14ac:dyDescent="0.25">
      <c r="A33" s="86">
        <v>46087</v>
      </c>
      <c r="B33" s="15" t="s">
        <v>13</v>
      </c>
      <c r="C33" s="15" t="s">
        <v>20</v>
      </c>
      <c r="D33" s="15" t="s">
        <v>13</v>
      </c>
      <c r="E33" s="15"/>
      <c r="F33" s="15"/>
      <c r="G33" s="87">
        <v>4333</v>
      </c>
      <c r="H33" s="87"/>
      <c r="I33" s="15"/>
      <c r="J33" s="15" t="s">
        <v>566</v>
      </c>
      <c r="K33" s="87">
        <v>-14184.26</v>
      </c>
    </row>
    <row r="34" spans="1:11" hidden="1" x14ac:dyDescent="0.25">
      <c r="A34" s="86">
        <v>46087</v>
      </c>
      <c r="B34" s="15" t="s">
        <v>21</v>
      </c>
      <c r="C34" s="15" t="s">
        <v>20</v>
      </c>
      <c r="D34" s="15" t="s">
        <v>22</v>
      </c>
      <c r="E34" s="15" t="s">
        <v>17</v>
      </c>
      <c r="F34" s="15"/>
      <c r="G34" s="87">
        <v>457.8</v>
      </c>
      <c r="H34" s="87"/>
      <c r="I34" s="15"/>
      <c r="J34" s="15" t="s">
        <v>566</v>
      </c>
      <c r="K34" s="87">
        <v>-13726.46</v>
      </c>
    </row>
    <row r="35" spans="1:11" hidden="1" x14ac:dyDescent="0.25">
      <c r="A35" s="86">
        <v>46087</v>
      </c>
      <c r="B35" s="15" t="s">
        <v>23</v>
      </c>
      <c r="C35" s="15" t="s">
        <v>12</v>
      </c>
      <c r="D35" s="15" t="s">
        <v>24</v>
      </c>
      <c r="E35" s="15" t="s">
        <v>17</v>
      </c>
      <c r="F35" s="15" t="s">
        <v>25</v>
      </c>
      <c r="G35" s="87">
        <v>65</v>
      </c>
      <c r="H35" s="87"/>
      <c r="I35" s="15"/>
      <c r="J35" s="15" t="s">
        <v>566</v>
      </c>
      <c r="K35" s="87">
        <v>-13791.46</v>
      </c>
    </row>
    <row r="36" spans="1:11" hidden="1" x14ac:dyDescent="0.25">
      <c r="A36" s="86">
        <v>46087</v>
      </c>
      <c r="B36" s="15" t="s">
        <v>11</v>
      </c>
      <c r="C36" s="15" t="s">
        <v>12</v>
      </c>
      <c r="D36" s="15" t="s">
        <v>19</v>
      </c>
      <c r="E36" s="15" t="s">
        <v>14</v>
      </c>
      <c r="F36" s="15" t="s">
        <v>15</v>
      </c>
      <c r="G36" s="87">
        <v>423</v>
      </c>
      <c r="H36" s="87"/>
      <c r="I36" s="15"/>
      <c r="J36" s="15" t="s">
        <v>566</v>
      </c>
      <c r="K36" s="87">
        <v>-14214.46</v>
      </c>
    </row>
    <row r="37" spans="1:11" x14ac:dyDescent="0.25">
      <c r="A37" s="86">
        <v>46088</v>
      </c>
      <c r="B37" s="15" t="s">
        <v>13</v>
      </c>
      <c r="C37" s="15" t="s">
        <v>20</v>
      </c>
      <c r="D37" s="15" t="s">
        <v>13</v>
      </c>
      <c r="E37" s="15"/>
      <c r="F37" s="15"/>
      <c r="G37" s="87">
        <v>6927</v>
      </c>
      <c r="H37" s="87"/>
      <c r="I37" s="15"/>
      <c r="J37" s="15" t="s">
        <v>566</v>
      </c>
      <c r="K37" s="87">
        <v>-7287.4599999999991</v>
      </c>
    </row>
    <row r="38" spans="1:11" hidden="1" x14ac:dyDescent="0.25">
      <c r="A38" s="86">
        <v>46088</v>
      </c>
      <c r="B38" s="15" t="s">
        <v>21</v>
      </c>
      <c r="C38" s="15" t="s">
        <v>20</v>
      </c>
      <c r="D38" s="15" t="s">
        <v>22</v>
      </c>
      <c r="E38" s="15" t="s">
        <v>17</v>
      </c>
      <c r="F38" s="15"/>
      <c r="G38" s="87">
        <v>393.5</v>
      </c>
      <c r="H38" s="87"/>
      <c r="I38" s="15"/>
      <c r="J38" s="15" t="s">
        <v>566</v>
      </c>
      <c r="K38" s="87">
        <v>-6893.9599999999991</v>
      </c>
    </row>
    <row r="39" spans="1:11" hidden="1" x14ac:dyDescent="0.25">
      <c r="A39" s="86">
        <v>46088</v>
      </c>
      <c r="B39" s="15" t="s">
        <v>23</v>
      </c>
      <c r="C39" s="15" t="s">
        <v>12</v>
      </c>
      <c r="D39" s="15" t="s">
        <v>24</v>
      </c>
      <c r="E39" s="15" t="s">
        <v>17</v>
      </c>
      <c r="F39" s="15" t="s">
        <v>25</v>
      </c>
      <c r="G39" s="87">
        <v>72</v>
      </c>
      <c r="H39" s="87"/>
      <c r="I39" s="15"/>
      <c r="J39" s="15" t="s">
        <v>566</v>
      </c>
      <c r="K39" s="87">
        <v>-6965.9599999999991</v>
      </c>
    </row>
    <row r="40" spans="1:11" x14ac:dyDescent="0.25">
      <c r="A40" s="86">
        <v>46089</v>
      </c>
      <c r="B40" s="15" t="s">
        <v>30</v>
      </c>
      <c r="C40" s="15" t="s">
        <v>20</v>
      </c>
      <c r="D40" s="15" t="s">
        <v>13</v>
      </c>
      <c r="E40" s="15"/>
      <c r="F40" s="15"/>
      <c r="G40" s="87">
        <v>8788</v>
      </c>
      <c r="H40" s="87"/>
      <c r="I40" s="15"/>
      <c r="J40" s="15" t="s">
        <v>566</v>
      </c>
      <c r="K40" s="87">
        <v>1822.0400000000011</v>
      </c>
    </row>
    <row r="41" spans="1:11" hidden="1" x14ac:dyDescent="0.25">
      <c r="A41" s="86">
        <v>46089</v>
      </c>
      <c r="B41" s="15" t="s">
        <v>44</v>
      </c>
      <c r="C41" s="15" t="s">
        <v>20</v>
      </c>
      <c r="D41" s="15" t="s">
        <v>22</v>
      </c>
      <c r="E41" s="15" t="s">
        <v>17</v>
      </c>
      <c r="F41" s="15"/>
      <c r="G41" s="87">
        <v>412.6</v>
      </c>
      <c r="H41" s="87"/>
      <c r="I41" s="15"/>
      <c r="J41" s="15" t="s">
        <v>566</v>
      </c>
      <c r="K41" s="87">
        <v>2234.6400000000008</v>
      </c>
    </row>
    <row r="42" spans="1:11" hidden="1" x14ac:dyDescent="0.25">
      <c r="A42" s="86">
        <v>46089</v>
      </c>
      <c r="B42" s="15" t="s">
        <v>45</v>
      </c>
      <c r="C42" s="15" t="s">
        <v>12</v>
      </c>
      <c r="D42" s="15" t="s">
        <v>24</v>
      </c>
      <c r="E42" s="15" t="s">
        <v>17</v>
      </c>
      <c r="F42" s="15" t="s">
        <v>25</v>
      </c>
      <c r="G42" s="87">
        <v>81</v>
      </c>
      <c r="H42" s="87"/>
      <c r="I42" s="15"/>
      <c r="J42" s="15" t="s">
        <v>566</v>
      </c>
      <c r="K42" s="87">
        <v>2153.6400000000008</v>
      </c>
    </row>
    <row r="43" spans="1:11" hidden="1" x14ac:dyDescent="0.25">
      <c r="A43" s="86">
        <v>46090</v>
      </c>
      <c r="B43" s="15" t="s">
        <v>552</v>
      </c>
      <c r="C43" s="15" t="s">
        <v>12</v>
      </c>
      <c r="D43" s="15" t="s">
        <v>19</v>
      </c>
      <c r="E43" s="15" t="s">
        <v>17</v>
      </c>
      <c r="F43" s="15"/>
      <c r="G43" s="87">
        <v>1736.83</v>
      </c>
      <c r="H43" s="87"/>
      <c r="I43" s="15"/>
      <c r="J43" s="15" t="s">
        <v>566</v>
      </c>
      <c r="K43" s="87">
        <v>416.81000000000091</v>
      </c>
    </row>
    <row r="44" spans="1:11" x14ac:dyDescent="0.25">
      <c r="A44" s="86">
        <v>46090</v>
      </c>
      <c r="B44" s="15" t="s">
        <v>30</v>
      </c>
      <c r="C44" s="15" t="s">
        <v>20</v>
      </c>
      <c r="D44" s="15" t="s">
        <v>13</v>
      </c>
      <c r="E44" s="15"/>
      <c r="F44" s="15"/>
      <c r="G44" s="87">
        <v>1332</v>
      </c>
      <c r="H44" s="87"/>
      <c r="I44" s="15"/>
      <c r="J44" s="15" t="s">
        <v>566</v>
      </c>
      <c r="K44" s="87">
        <v>1748.8100000000011</v>
      </c>
    </row>
    <row r="45" spans="1:11" hidden="1" x14ac:dyDescent="0.25">
      <c r="A45" s="86">
        <v>46090</v>
      </c>
      <c r="B45" s="15" t="s">
        <v>44</v>
      </c>
      <c r="C45" s="15" t="s">
        <v>20</v>
      </c>
      <c r="D45" s="15" t="s">
        <v>22</v>
      </c>
      <c r="E45" s="15" t="s">
        <v>17</v>
      </c>
      <c r="F45" s="15"/>
      <c r="G45" s="87">
        <v>39</v>
      </c>
      <c r="H45" s="87"/>
      <c r="I45" s="15"/>
      <c r="J45" s="15" t="s">
        <v>566</v>
      </c>
      <c r="K45" s="87">
        <v>1787.8100000000011</v>
      </c>
    </row>
    <row r="46" spans="1:11" hidden="1" x14ac:dyDescent="0.25">
      <c r="A46" s="86">
        <v>46090</v>
      </c>
      <c r="B46" s="15" t="s">
        <v>45</v>
      </c>
      <c r="C46" s="15" t="s">
        <v>12</v>
      </c>
      <c r="D46" s="15" t="s">
        <v>24</v>
      </c>
      <c r="E46" s="15" t="s">
        <v>17</v>
      </c>
      <c r="F46" s="15" t="s">
        <v>25</v>
      </c>
      <c r="G46" s="87">
        <v>0</v>
      </c>
      <c r="H46" s="87"/>
      <c r="I46" s="15"/>
      <c r="J46" s="15" t="s">
        <v>566</v>
      </c>
      <c r="K46" s="87">
        <v>1787.8100000000011</v>
      </c>
    </row>
    <row r="47" spans="1:11" hidden="1" x14ac:dyDescent="0.25">
      <c r="A47" s="86">
        <v>46090</v>
      </c>
      <c r="B47" s="15" t="s">
        <v>401</v>
      </c>
      <c r="C47" s="15" t="s">
        <v>12</v>
      </c>
      <c r="D47" s="15" t="s">
        <v>19</v>
      </c>
      <c r="E47" s="15" t="s">
        <v>14</v>
      </c>
      <c r="F47" s="15" t="s">
        <v>15</v>
      </c>
      <c r="G47" s="87">
        <v>0</v>
      </c>
      <c r="H47" s="87"/>
      <c r="I47" s="15"/>
      <c r="J47" s="15" t="s">
        <v>566</v>
      </c>
      <c r="K47" s="87">
        <v>1787.8100000000011</v>
      </c>
    </row>
    <row r="48" spans="1:11" hidden="1" x14ac:dyDescent="0.25">
      <c r="A48" s="86">
        <v>46091</v>
      </c>
      <c r="B48" s="15" t="s">
        <v>431</v>
      </c>
      <c r="C48" s="15" t="s">
        <v>12</v>
      </c>
      <c r="D48" s="15" t="s">
        <v>64</v>
      </c>
      <c r="E48" s="15" t="s">
        <v>17</v>
      </c>
      <c r="F48" s="15"/>
      <c r="G48" s="87">
        <v>732</v>
      </c>
      <c r="H48" s="87"/>
      <c r="I48" s="15"/>
      <c r="J48" s="15" t="s">
        <v>566</v>
      </c>
      <c r="K48" s="87">
        <v>1055.8100000000011</v>
      </c>
    </row>
    <row r="49" spans="1:11" hidden="1" x14ac:dyDescent="0.25">
      <c r="A49" s="86">
        <v>46091</v>
      </c>
      <c r="B49" s="15" t="s">
        <v>66</v>
      </c>
      <c r="C49" s="15" t="s">
        <v>12</v>
      </c>
      <c r="D49" s="15" t="s">
        <v>66</v>
      </c>
      <c r="E49" s="15" t="s">
        <v>17</v>
      </c>
      <c r="F49" s="15" t="s">
        <v>25</v>
      </c>
      <c r="G49" s="87">
        <v>7563.28</v>
      </c>
      <c r="H49" s="87"/>
      <c r="I49" s="15"/>
      <c r="J49" s="15" t="s">
        <v>566</v>
      </c>
      <c r="K49" s="87">
        <v>-6507.4699999999993</v>
      </c>
    </row>
    <row r="50" spans="1:11" hidden="1" x14ac:dyDescent="0.25">
      <c r="A50" s="86">
        <v>46091</v>
      </c>
      <c r="B50" s="15" t="s">
        <v>423</v>
      </c>
      <c r="C50" s="15" t="s">
        <v>12</v>
      </c>
      <c r="D50" s="15" t="s">
        <v>68</v>
      </c>
      <c r="E50" s="15" t="s">
        <v>17</v>
      </c>
      <c r="F50" s="15" t="s">
        <v>25</v>
      </c>
      <c r="G50" s="87">
        <v>450</v>
      </c>
      <c r="H50" s="87"/>
      <c r="I50" s="15"/>
      <c r="J50" s="15" t="s">
        <v>566</v>
      </c>
      <c r="K50" s="87">
        <v>-6957.4699999999993</v>
      </c>
    </row>
    <row r="51" spans="1:11" hidden="1" x14ac:dyDescent="0.25">
      <c r="A51" s="86">
        <v>46091</v>
      </c>
      <c r="B51" s="15" t="s">
        <v>354</v>
      </c>
      <c r="C51" s="15" t="s">
        <v>12</v>
      </c>
      <c r="D51" s="15" t="s">
        <v>19</v>
      </c>
      <c r="E51" s="15" t="s">
        <v>17</v>
      </c>
      <c r="F51" s="15"/>
      <c r="G51" s="87">
        <v>400.39</v>
      </c>
      <c r="H51" s="87"/>
      <c r="I51" s="15"/>
      <c r="J51" s="15" t="s">
        <v>566</v>
      </c>
      <c r="K51" s="87">
        <v>-7357.86</v>
      </c>
    </row>
    <row r="52" spans="1:11" hidden="1" x14ac:dyDescent="0.25">
      <c r="A52" s="86">
        <v>46091</v>
      </c>
      <c r="B52" s="15" t="s">
        <v>574</v>
      </c>
      <c r="C52" s="15" t="s">
        <v>12</v>
      </c>
      <c r="D52" s="15" t="s">
        <v>60</v>
      </c>
      <c r="E52" s="15" t="s">
        <v>17</v>
      </c>
      <c r="F52" s="15"/>
      <c r="G52" s="87">
        <v>432.89</v>
      </c>
      <c r="H52" s="87"/>
      <c r="I52" s="15"/>
      <c r="J52" s="15" t="s">
        <v>566</v>
      </c>
      <c r="K52" s="87">
        <v>-7790.75</v>
      </c>
    </row>
    <row r="53" spans="1:11" x14ac:dyDescent="0.25">
      <c r="A53" s="86">
        <v>46091</v>
      </c>
      <c r="B53" s="15" t="s">
        <v>30</v>
      </c>
      <c r="C53" s="15" t="s">
        <v>20</v>
      </c>
      <c r="D53" s="15" t="s">
        <v>13</v>
      </c>
      <c r="E53" s="15"/>
      <c r="F53" s="15"/>
      <c r="G53" s="87">
        <v>1319</v>
      </c>
      <c r="H53" s="87"/>
      <c r="I53" s="15"/>
      <c r="J53" s="15" t="s">
        <v>566</v>
      </c>
      <c r="K53" s="87">
        <v>-6471.75</v>
      </c>
    </row>
    <row r="54" spans="1:11" hidden="1" x14ac:dyDescent="0.25">
      <c r="A54" s="86">
        <v>46091</v>
      </c>
      <c r="B54" s="15" t="s">
        <v>22</v>
      </c>
      <c r="C54" s="15" t="s">
        <v>20</v>
      </c>
      <c r="D54" s="15" t="s">
        <v>22</v>
      </c>
      <c r="E54" s="15" t="s">
        <v>17</v>
      </c>
      <c r="F54" s="15"/>
      <c r="G54" s="87">
        <v>92.6</v>
      </c>
      <c r="H54" s="87"/>
      <c r="I54" s="15"/>
      <c r="J54" s="15" t="s">
        <v>566</v>
      </c>
      <c r="K54" s="87">
        <v>-6379.15</v>
      </c>
    </row>
    <row r="55" spans="1:11" hidden="1" x14ac:dyDescent="0.25">
      <c r="A55" s="86">
        <v>46091</v>
      </c>
      <c r="B55" s="15" t="s">
        <v>45</v>
      </c>
      <c r="C55" s="15" t="s">
        <v>12</v>
      </c>
      <c r="D55" s="15" t="s">
        <v>24</v>
      </c>
      <c r="E55" s="15" t="s">
        <v>17</v>
      </c>
      <c r="F55" s="15" t="s">
        <v>25</v>
      </c>
      <c r="G55" s="87">
        <v>26</v>
      </c>
      <c r="H55" s="87"/>
      <c r="I55" s="15"/>
      <c r="J55" s="15" t="s">
        <v>566</v>
      </c>
      <c r="K55" s="87">
        <v>-6405.15</v>
      </c>
    </row>
    <row r="56" spans="1:11" hidden="1" x14ac:dyDescent="0.25">
      <c r="A56" s="86">
        <v>46091</v>
      </c>
      <c r="B56" s="15" t="s">
        <v>370</v>
      </c>
      <c r="C56" s="15" t="s">
        <v>12</v>
      </c>
      <c r="D56" s="15" t="s">
        <v>19</v>
      </c>
      <c r="E56" s="15" t="s">
        <v>17</v>
      </c>
      <c r="F56" s="15" t="s">
        <v>25</v>
      </c>
      <c r="G56" s="87">
        <v>672.88</v>
      </c>
      <c r="H56" s="87"/>
      <c r="I56" s="15"/>
      <c r="J56" s="15" t="s">
        <v>566</v>
      </c>
      <c r="K56" s="87">
        <v>-7078.03</v>
      </c>
    </row>
    <row r="57" spans="1:11" hidden="1" x14ac:dyDescent="0.25">
      <c r="A57" s="86">
        <v>46091</v>
      </c>
      <c r="B57" s="15" t="s">
        <v>575</v>
      </c>
      <c r="C57" s="15" t="s">
        <v>12</v>
      </c>
      <c r="D57" s="15" t="s">
        <v>58</v>
      </c>
      <c r="E57" s="15" t="s">
        <v>17</v>
      </c>
      <c r="F57" s="15"/>
      <c r="G57" s="87">
        <v>10491.39</v>
      </c>
      <c r="H57" s="87"/>
      <c r="I57" s="15"/>
      <c r="J57" s="15" t="s">
        <v>566</v>
      </c>
      <c r="K57" s="87">
        <v>-17569.419999999998</v>
      </c>
    </row>
    <row r="58" spans="1:11" hidden="1" x14ac:dyDescent="0.25">
      <c r="A58" s="86">
        <v>46091</v>
      </c>
      <c r="B58" s="15" t="s">
        <v>401</v>
      </c>
      <c r="C58" s="15" t="s">
        <v>12</v>
      </c>
      <c r="D58" s="15" t="s">
        <v>19</v>
      </c>
      <c r="E58" s="15" t="s">
        <v>14</v>
      </c>
      <c r="F58" s="15" t="s">
        <v>15</v>
      </c>
      <c r="G58" s="87">
        <v>0</v>
      </c>
      <c r="H58" s="87"/>
      <c r="I58" s="15"/>
      <c r="J58" s="15" t="s">
        <v>566</v>
      </c>
      <c r="K58" s="87">
        <v>-17569.419999999998</v>
      </c>
    </row>
    <row r="59" spans="1:11" hidden="1" x14ac:dyDescent="0.25">
      <c r="A59" s="86">
        <v>46091</v>
      </c>
      <c r="B59" s="15" t="s">
        <v>576</v>
      </c>
      <c r="C59" s="15" t="s">
        <v>12</v>
      </c>
      <c r="D59" s="15" t="s">
        <v>19</v>
      </c>
      <c r="E59" s="15" t="s">
        <v>17</v>
      </c>
      <c r="F59" s="15" t="s">
        <v>25</v>
      </c>
      <c r="G59" s="87">
        <v>382.5</v>
      </c>
      <c r="H59" s="87"/>
      <c r="I59" s="15"/>
      <c r="J59" s="15" t="s">
        <v>566</v>
      </c>
      <c r="K59" s="87">
        <v>-17951.919999999998</v>
      </c>
    </row>
    <row r="60" spans="1:11" x14ac:dyDescent="0.25">
      <c r="A60" s="86">
        <v>46092</v>
      </c>
      <c r="B60" s="15" t="s">
        <v>30</v>
      </c>
      <c r="C60" s="15" t="s">
        <v>20</v>
      </c>
      <c r="D60" s="15" t="s">
        <v>13</v>
      </c>
      <c r="E60" s="15"/>
      <c r="F60" s="15"/>
      <c r="G60" s="87">
        <v>430</v>
      </c>
      <c r="H60" s="87"/>
      <c r="I60" s="15"/>
      <c r="J60" s="15" t="s">
        <v>566</v>
      </c>
      <c r="K60" s="87">
        <v>-17521.919999999998</v>
      </c>
    </row>
    <row r="61" spans="1:11" hidden="1" x14ac:dyDescent="0.25">
      <c r="A61" s="86">
        <v>46092</v>
      </c>
      <c r="B61" s="15" t="s">
        <v>44</v>
      </c>
      <c r="C61" s="15" t="s">
        <v>20</v>
      </c>
      <c r="D61" s="15" t="s">
        <v>22</v>
      </c>
      <c r="E61" s="15" t="s">
        <v>17</v>
      </c>
      <c r="F61" s="15"/>
      <c r="G61" s="87">
        <v>0</v>
      </c>
      <c r="H61" s="87"/>
      <c r="I61" s="15"/>
      <c r="J61" s="15" t="s">
        <v>566</v>
      </c>
      <c r="K61" s="87">
        <v>-17521.919999999998</v>
      </c>
    </row>
    <row r="62" spans="1:11" hidden="1" x14ac:dyDescent="0.25">
      <c r="A62" s="86">
        <v>46092</v>
      </c>
      <c r="B62" s="15" t="s">
        <v>45</v>
      </c>
      <c r="C62" s="15" t="s">
        <v>12</v>
      </c>
      <c r="D62" s="15" t="s">
        <v>24</v>
      </c>
      <c r="E62" s="15" t="s">
        <v>17</v>
      </c>
      <c r="F62" s="15" t="s">
        <v>25</v>
      </c>
      <c r="G62" s="87">
        <v>0</v>
      </c>
      <c r="H62" s="87"/>
      <c r="I62" s="15"/>
      <c r="J62" s="15" t="s">
        <v>566</v>
      </c>
      <c r="K62" s="87">
        <v>-17521.919999999998</v>
      </c>
    </row>
    <row r="63" spans="1:11" hidden="1" x14ac:dyDescent="0.25">
      <c r="A63" s="86">
        <v>46092</v>
      </c>
      <c r="B63" s="15" t="s">
        <v>401</v>
      </c>
      <c r="C63" s="15" t="s">
        <v>12</v>
      </c>
      <c r="D63" s="15" t="s">
        <v>19</v>
      </c>
      <c r="E63" s="15" t="s">
        <v>14</v>
      </c>
      <c r="F63" s="15" t="s">
        <v>15</v>
      </c>
      <c r="G63" s="87">
        <v>188</v>
      </c>
      <c r="H63" s="87"/>
      <c r="I63" s="15"/>
      <c r="J63" s="15" t="s">
        <v>566</v>
      </c>
      <c r="K63" s="87">
        <v>-17709.919999999998</v>
      </c>
    </row>
    <row r="64" spans="1:11" hidden="1" x14ac:dyDescent="0.25">
      <c r="A64" s="86">
        <v>46093</v>
      </c>
      <c r="B64" s="15" t="s">
        <v>577</v>
      </c>
      <c r="C64" s="15" t="s">
        <v>12</v>
      </c>
      <c r="D64" s="15" t="s">
        <v>62</v>
      </c>
      <c r="E64" s="15" t="s">
        <v>17</v>
      </c>
      <c r="F64" s="15" t="s">
        <v>25</v>
      </c>
      <c r="G64" s="87">
        <v>45</v>
      </c>
      <c r="H64" s="87"/>
      <c r="I64" s="15"/>
      <c r="J64" s="15" t="s">
        <v>566</v>
      </c>
      <c r="K64" s="87">
        <v>-17754.919999999998</v>
      </c>
    </row>
    <row r="65" spans="1:11" x14ac:dyDescent="0.25">
      <c r="A65" s="86">
        <v>46094</v>
      </c>
      <c r="B65" s="15" t="s">
        <v>13</v>
      </c>
      <c r="C65" s="15" t="s">
        <v>20</v>
      </c>
      <c r="D65" s="15" t="s">
        <v>13</v>
      </c>
      <c r="E65" s="15"/>
      <c r="F65" s="15"/>
      <c r="G65" s="87">
        <v>1029</v>
      </c>
      <c r="H65" s="87"/>
      <c r="I65" s="15"/>
      <c r="J65" s="15" t="s">
        <v>566</v>
      </c>
      <c r="K65" s="87">
        <v>-16680.919999999998</v>
      </c>
    </row>
    <row r="66" spans="1:11" hidden="1" x14ac:dyDescent="0.25">
      <c r="A66" s="86">
        <v>46093</v>
      </c>
      <c r="B66" s="15" t="s">
        <v>21</v>
      </c>
      <c r="C66" s="15" t="s">
        <v>20</v>
      </c>
      <c r="D66" s="15" t="s">
        <v>22</v>
      </c>
      <c r="E66" s="15" t="s">
        <v>17</v>
      </c>
      <c r="F66" s="15"/>
      <c r="G66" s="87">
        <v>101.5</v>
      </c>
      <c r="H66" s="87"/>
      <c r="I66" s="15"/>
      <c r="J66" s="15" t="s">
        <v>566</v>
      </c>
      <c r="K66" s="87">
        <v>-16579.419999999998</v>
      </c>
    </row>
    <row r="67" spans="1:11" hidden="1" x14ac:dyDescent="0.25">
      <c r="A67" s="86">
        <v>46093</v>
      </c>
      <c r="B67" s="15" t="s">
        <v>23</v>
      </c>
      <c r="C67" s="15" t="s">
        <v>12</v>
      </c>
      <c r="D67" s="15" t="s">
        <v>24</v>
      </c>
      <c r="E67" s="15" t="s">
        <v>17</v>
      </c>
      <c r="F67" s="15" t="s">
        <v>25</v>
      </c>
      <c r="G67" s="87">
        <v>25</v>
      </c>
      <c r="H67" s="87"/>
      <c r="I67" s="15"/>
      <c r="J67" s="15" t="s">
        <v>566</v>
      </c>
      <c r="K67" s="87">
        <v>-16604.419999999998</v>
      </c>
    </row>
    <row r="68" spans="1:11" hidden="1" x14ac:dyDescent="0.25">
      <c r="A68" s="86">
        <v>46093</v>
      </c>
      <c r="B68" s="15" t="s">
        <v>11</v>
      </c>
      <c r="C68" s="15" t="s">
        <v>12</v>
      </c>
      <c r="D68" s="15" t="s">
        <v>19</v>
      </c>
      <c r="E68" s="15" t="s">
        <v>14</v>
      </c>
      <c r="F68" s="15" t="s">
        <v>15</v>
      </c>
      <c r="G68" s="87">
        <v>0</v>
      </c>
      <c r="H68" s="87"/>
      <c r="I68" s="15"/>
      <c r="J68" s="15" t="s">
        <v>566</v>
      </c>
      <c r="K68" s="87">
        <v>-16604.419999999998</v>
      </c>
    </row>
    <row r="69" spans="1:11" hidden="1" x14ac:dyDescent="0.25">
      <c r="A69" s="86">
        <v>46093</v>
      </c>
      <c r="B69" s="15" t="s">
        <v>309</v>
      </c>
      <c r="C69" s="15" t="s">
        <v>12</v>
      </c>
      <c r="D69" s="15" t="s">
        <v>19</v>
      </c>
      <c r="E69" s="15" t="s">
        <v>17</v>
      </c>
      <c r="F69" s="15"/>
      <c r="G69" s="87">
        <v>1022.5</v>
      </c>
      <c r="H69" s="87"/>
      <c r="I69" s="15"/>
      <c r="J69" s="15" t="s">
        <v>566</v>
      </c>
      <c r="K69" s="87">
        <v>-17626.919999999998</v>
      </c>
    </row>
    <row r="70" spans="1:11" hidden="1" x14ac:dyDescent="0.25">
      <c r="A70" s="86">
        <v>46093</v>
      </c>
      <c r="B70" s="15" t="s">
        <v>535</v>
      </c>
      <c r="C70" s="15" t="s">
        <v>12</v>
      </c>
      <c r="D70" s="15" t="s">
        <v>27</v>
      </c>
      <c r="E70" s="15" t="s">
        <v>17</v>
      </c>
      <c r="F70" s="15"/>
      <c r="G70" s="87">
        <v>72</v>
      </c>
      <c r="H70" s="87"/>
      <c r="I70" s="15"/>
      <c r="J70" s="15" t="s">
        <v>566</v>
      </c>
      <c r="K70" s="87">
        <v>-17698.919999999998</v>
      </c>
    </row>
    <row r="71" spans="1:11" x14ac:dyDescent="0.25">
      <c r="A71" s="86">
        <v>46066</v>
      </c>
      <c r="B71" s="15" t="s">
        <v>13</v>
      </c>
      <c r="C71" s="15" t="s">
        <v>20</v>
      </c>
      <c r="D71" s="15" t="s">
        <v>13</v>
      </c>
      <c r="E71" s="15"/>
      <c r="F71" s="15"/>
      <c r="G71" s="87">
        <v>1413</v>
      </c>
      <c r="H71" s="87"/>
      <c r="I71" s="15"/>
      <c r="J71" s="15" t="s">
        <v>464</v>
      </c>
      <c r="K71" s="87">
        <v>-16285.92</v>
      </c>
    </row>
    <row r="72" spans="1:11" hidden="1" x14ac:dyDescent="0.25">
      <c r="A72" s="86">
        <v>46066</v>
      </c>
      <c r="B72" s="15" t="s">
        <v>21</v>
      </c>
      <c r="C72" s="15" t="s">
        <v>20</v>
      </c>
      <c r="D72" s="15" t="s">
        <v>22</v>
      </c>
      <c r="E72" s="15" t="s">
        <v>17</v>
      </c>
      <c r="F72" s="15"/>
      <c r="G72" s="87">
        <v>39</v>
      </c>
      <c r="H72" s="87"/>
      <c r="I72" s="15"/>
      <c r="J72" s="15" t="s">
        <v>464</v>
      </c>
      <c r="K72" s="87">
        <v>-16246.92</v>
      </c>
    </row>
    <row r="73" spans="1:11" hidden="1" x14ac:dyDescent="0.25">
      <c r="A73" s="86">
        <v>46066</v>
      </c>
      <c r="B73" s="15" t="s">
        <v>23</v>
      </c>
      <c r="C73" s="15" t="s">
        <v>12</v>
      </c>
      <c r="D73" s="15" t="s">
        <v>24</v>
      </c>
      <c r="E73" s="15" t="s">
        <v>17</v>
      </c>
      <c r="F73" s="15" t="s">
        <v>25</v>
      </c>
      <c r="G73" s="87">
        <v>18</v>
      </c>
      <c r="H73" s="87"/>
      <c r="I73" s="15"/>
      <c r="J73" s="15" t="s">
        <v>464</v>
      </c>
      <c r="K73" s="87">
        <v>-16264.92</v>
      </c>
    </row>
    <row r="74" spans="1:11" hidden="1" x14ac:dyDescent="0.25">
      <c r="A74" s="86">
        <v>46066</v>
      </c>
      <c r="B74" s="15" t="s">
        <v>11</v>
      </c>
      <c r="C74" s="15" t="s">
        <v>12</v>
      </c>
      <c r="D74" s="15" t="s">
        <v>19</v>
      </c>
      <c r="E74" s="15" t="s">
        <v>14</v>
      </c>
      <c r="F74" s="15" t="s">
        <v>15</v>
      </c>
      <c r="G74" s="87">
        <v>329</v>
      </c>
      <c r="H74" s="87"/>
      <c r="I74" s="15"/>
      <c r="J74" s="15" t="s">
        <v>464</v>
      </c>
      <c r="K74" s="87">
        <v>-16593.919999999998</v>
      </c>
    </row>
    <row r="75" spans="1:11" x14ac:dyDescent="0.25">
      <c r="A75" s="88">
        <v>46095</v>
      </c>
      <c r="B75" s="15" t="s">
        <v>30</v>
      </c>
      <c r="C75" s="15" t="s">
        <v>20</v>
      </c>
      <c r="D75" s="15" t="s">
        <v>13</v>
      </c>
      <c r="E75" s="15"/>
      <c r="F75" s="15"/>
      <c r="G75" s="87">
        <v>7378</v>
      </c>
      <c r="H75" s="87"/>
      <c r="I75" s="15"/>
      <c r="J75" s="15" t="s">
        <v>566</v>
      </c>
      <c r="K75" s="87">
        <v>-9215.9199999999983</v>
      </c>
    </row>
    <row r="76" spans="1:11" hidden="1" x14ac:dyDescent="0.25">
      <c r="A76" s="86">
        <v>46095</v>
      </c>
      <c r="B76" s="15" t="s">
        <v>21</v>
      </c>
      <c r="C76" s="15" t="s">
        <v>20</v>
      </c>
      <c r="D76" s="15" t="s">
        <v>22</v>
      </c>
      <c r="E76" s="15" t="s">
        <v>17</v>
      </c>
      <c r="F76" s="15"/>
      <c r="G76" s="87">
        <v>308.39999999999998</v>
      </c>
      <c r="H76" s="87"/>
      <c r="I76" s="15"/>
      <c r="J76" s="15" t="s">
        <v>566</v>
      </c>
      <c r="K76" s="87">
        <v>-8907.5199999999986</v>
      </c>
    </row>
    <row r="77" spans="1:11" hidden="1" x14ac:dyDescent="0.25">
      <c r="A77" s="86">
        <v>46095</v>
      </c>
      <c r="B77" s="15" t="s">
        <v>23</v>
      </c>
      <c r="C77" s="15" t="s">
        <v>12</v>
      </c>
      <c r="D77" s="15" t="s">
        <v>24</v>
      </c>
      <c r="E77" s="15" t="s">
        <v>17</v>
      </c>
      <c r="F77" s="15" t="s">
        <v>25</v>
      </c>
      <c r="G77" s="87">
        <v>35</v>
      </c>
      <c r="H77" s="87"/>
      <c r="I77" s="15"/>
      <c r="J77" s="15" t="s">
        <v>566</v>
      </c>
      <c r="K77" s="87">
        <v>-8942.5199999999986</v>
      </c>
    </row>
    <row r="78" spans="1:11" x14ac:dyDescent="0.25">
      <c r="A78" s="86">
        <v>46096</v>
      </c>
      <c r="B78" s="15" t="s">
        <v>30</v>
      </c>
      <c r="C78" s="15" t="s">
        <v>20</v>
      </c>
      <c r="D78" s="15" t="s">
        <v>13</v>
      </c>
      <c r="E78" s="15"/>
      <c r="F78" s="15"/>
      <c r="G78" s="87">
        <v>7131</v>
      </c>
      <c r="H78" s="87"/>
      <c r="I78" s="15"/>
      <c r="J78" s="15" t="s">
        <v>566</v>
      </c>
      <c r="K78" s="87">
        <v>-1811.5199999999991</v>
      </c>
    </row>
    <row r="79" spans="1:11" hidden="1" x14ac:dyDescent="0.25">
      <c r="A79" s="86">
        <v>46096</v>
      </c>
      <c r="B79" s="15" t="s">
        <v>477</v>
      </c>
      <c r="C79" s="15" t="s">
        <v>20</v>
      </c>
      <c r="D79" s="15" t="s">
        <v>22</v>
      </c>
      <c r="E79" s="15" t="s">
        <v>17</v>
      </c>
      <c r="F79" s="15"/>
      <c r="G79" s="87">
        <v>507.5</v>
      </c>
      <c r="H79" s="87"/>
      <c r="I79" s="15"/>
      <c r="J79" s="15" t="s">
        <v>566</v>
      </c>
      <c r="K79" s="87">
        <v>-1304.0199999999991</v>
      </c>
    </row>
    <row r="80" spans="1:11" hidden="1" x14ac:dyDescent="0.25">
      <c r="A80" s="86">
        <v>46096</v>
      </c>
      <c r="B80" s="15" t="s">
        <v>23</v>
      </c>
      <c r="C80" s="15" t="s">
        <v>12</v>
      </c>
      <c r="D80" s="15" t="s">
        <v>24</v>
      </c>
      <c r="E80" s="15" t="s">
        <v>17</v>
      </c>
      <c r="F80" s="15" t="s">
        <v>25</v>
      </c>
      <c r="G80" s="87">
        <v>89</v>
      </c>
      <c r="H80" s="87"/>
      <c r="I80" s="15"/>
      <c r="J80" s="15" t="s">
        <v>566</v>
      </c>
      <c r="K80" s="87">
        <v>-1393.0199999999991</v>
      </c>
    </row>
    <row r="81" spans="1:11" hidden="1" x14ac:dyDescent="0.25">
      <c r="A81" s="88">
        <v>46096</v>
      </c>
      <c r="B81" s="15" t="s">
        <v>11</v>
      </c>
      <c r="C81" s="15" t="s">
        <v>12</v>
      </c>
      <c r="D81" s="15" t="s">
        <v>19</v>
      </c>
      <c r="E81" s="15" t="s">
        <v>14</v>
      </c>
      <c r="F81" s="15" t="s">
        <v>15</v>
      </c>
      <c r="G81" s="87">
        <v>94</v>
      </c>
      <c r="H81" s="87"/>
      <c r="I81" s="15"/>
      <c r="J81" s="15" t="s">
        <v>566</v>
      </c>
      <c r="K81" s="87">
        <v>-1487.0199999999991</v>
      </c>
    </row>
    <row r="82" spans="1:11" hidden="1" x14ac:dyDescent="0.25">
      <c r="A82" s="88">
        <v>46097</v>
      </c>
      <c r="B82" s="15" t="s">
        <v>309</v>
      </c>
      <c r="C82" s="15" t="s">
        <v>12</v>
      </c>
      <c r="D82" s="15" t="s">
        <v>19</v>
      </c>
      <c r="E82" s="15" t="s">
        <v>17</v>
      </c>
      <c r="F82" s="15"/>
      <c r="G82" s="87">
        <v>5051.91</v>
      </c>
      <c r="H82" s="87"/>
      <c r="I82" s="15"/>
      <c r="J82" s="15" t="s">
        <v>566</v>
      </c>
      <c r="K82" s="87">
        <v>-6538.9299999999976</v>
      </c>
    </row>
    <row r="83" spans="1:11" hidden="1" x14ac:dyDescent="0.25">
      <c r="A83" s="86">
        <v>46097</v>
      </c>
      <c r="B83" s="15" t="s">
        <v>578</v>
      </c>
      <c r="C83" s="15" t="s">
        <v>12</v>
      </c>
      <c r="D83" s="15" t="s">
        <v>27</v>
      </c>
      <c r="E83" s="15" t="s">
        <v>17</v>
      </c>
      <c r="F83" s="15"/>
      <c r="G83" s="87">
        <v>202.8</v>
      </c>
      <c r="H83" s="87"/>
      <c r="I83" s="15"/>
      <c r="J83" s="15" t="s">
        <v>566</v>
      </c>
      <c r="K83" s="87">
        <v>-6741.7299999999987</v>
      </c>
    </row>
    <row r="84" spans="1:11" hidden="1" x14ac:dyDescent="0.25">
      <c r="A84" s="86">
        <v>46097</v>
      </c>
      <c r="B84" s="15" t="s">
        <v>367</v>
      </c>
      <c r="C84" s="15" t="s">
        <v>12</v>
      </c>
      <c r="D84" s="15" t="s">
        <v>39</v>
      </c>
      <c r="E84" s="15" t="s">
        <v>17</v>
      </c>
      <c r="F84" s="15" t="s">
        <v>25</v>
      </c>
      <c r="G84" s="87">
        <v>99.9</v>
      </c>
      <c r="H84" s="87"/>
      <c r="I84" s="15"/>
      <c r="J84" s="15" t="s">
        <v>566</v>
      </c>
      <c r="K84" s="87">
        <v>-6841.6299999999983</v>
      </c>
    </row>
    <row r="85" spans="1:11" hidden="1" x14ac:dyDescent="0.25">
      <c r="A85" s="88">
        <v>46097</v>
      </c>
      <c r="B85" s="15" t="s">
        <v>401</v>
      </c>
      <c r="C85" s="15" t="s">
        <v>12</v>
      </c>
      <c r="D85" s="15" t="s">
        <v>19</v>
      </c>
      <c r="E85" s="15" t="s">
        <v>14</v>
      </c>
      <c r="F85" s="15" t="s">
        <v>15</v>
      </c>
      <c r="G85" s="87">
        <v>194</v>
      </c>
      <c r="H85" s="87"/>
      <c r="I85" s="15"/>
      <c r="J85" s="15" t="s">
        <v>566</v>
      </c>
      <c r="K85" s="87">
        <v>-7035.6299999999983</v>
      </c>
    </row>
    <row r="86" spans="1:11" x14ac:dyDescent="0.25">
      <c r="A86" s="86">
        <v>46097</v>
      </c>
      <c r="B86" s="15" t="s">
        <v>30</v>
      </c>
      <c r="C86" s="15" t="s">
        <v>20</v>
      </c>
      <c r="D86" s="15" t="s">
        <v>13</v>
      </c>
      <c r="E86" s="15"/>
      <c r="F86" s="15"/>
      <c r="G86" s="87">
        <v>1352</v>
      </c>
      <c r="H86" s="87"/>
      <c r="I86" s="15"/>
      <c r="J86" s="15" t="s">
        <v>566</v>
      </c>
      <c r="K86" s="87">
        <v>-5683.6299999999983</v>
      </c>
    </row>
    <row r="87" spans="1:11" hidden="1" x14ac:dyDescent="0.25">
      <c r="A87" s="86">
        <v>46097</v>
      </c>
      <c r="B87" s="15" t="s">
        <v>44</v>
      </c>
      <c r="C87" s="15" t="s">
        <v>20</v>
      </c>
      <c r="D87" s="15" t="s">
        <v>22</v>
      </c>
      <c r="E87" s="15" t="s">
        <v>17</v>
      </c>
      <c r="F87" s="15"/>
      <c r="G87" s="87">
        <v>114.3</v>
      </c>
      <c r="H87" s="87"/>
      <c r="I87" s="15"/>
      <c r="J87" s="15" t="s">
        <v>566</v>
      </c>
      <c r="K87" s="87">
        <v>-5569.3299999999981</v>
      </c>
    </row>
    <row r="88" spans="1:11" hidden="1" x14ac:dyDescent="0.25">
      <c r="A88" s="86">
        <v>46097</v>
      </c>
      <c r="B88" s="15" t="s">
        <v>23</v>
      </c>
      <c r="C88" s="15" t="s">
        <v>12</v>
      </c>
      <c r="D88" s="15" t="s">
        <v>24</v>
      </c>
      <c r="E88" s="15" t="s">
        <v>17</v>
      </c>
      <c r="F88" s="15" t="s">
        <v>25</v>
      </c>
      <c r="G88" s="87">
        <v>27</v>
      </c>
      <c r="H88" s="87"/>
      <c r="I88" s="15"/>
      <c r="J88" s="15" t="s">
        <v>566</v>
      </c>
      <c r="K88" s="87">
        <v>-5596.3299999999981</v>
      </c>
    </row>
    <row r="89" spans="1:11" hidden="1" x14ac:dyDescent="0.25">
      <c r="A89" s="86">
        <v>46097</v>
      </c>
      <c r="B89" s="15" t="s">
        <v>579</v>
      </c>
      <c r="C89" s="15" t="s">
        <v>12</v>
      </c>
      <c r="D89" s="15" t="s">
        <v>62</v>
      </c>
      <c r="E89" s="15" t="s">
        <v>17</v>
      </c>
      <c r="F89" s="15" t="s">
        <v>25</v>
      </c>
      <c r="G89" s="87">
        <v>189.91</v>
      </c>
      <c r="H89" s="87"/>
      <c r="I89" s="15"/>
      <c r="J89" s="15" t="s">
        <v>566</v>
      </c>
      <c r="K89" s="87">
        <v>-5786.239999999998</v>
      </c>
    </row>
    <row r="90" spans="1:11" x14ac:dyDescent="0.25">
      <c r="A90" s="86">
        <v>46098</v>
      </c>
      <c r="B90" s="15" t="s">
        <v>13</v>
      </c>
      <c r="C90" s="15" t="s">
        <v>20</v>
      </c>
      <c r="D90" s="15" t="s">
        <v>13</v>
      </c>
      <c r="E90" s="15"/>
      <c r="F90" s="15"/>
      <c r="G90" s="87">
        <v>2049</v>
      </c>
      <c r="H90" s="87"/>
      <c r="I90" s="15"/>
      <c r="J90" s="15" t="s">
        <v>566</v>
      </c>
      <c r="K90" s="87">
        <v>-3737.239999999998</v>
      </c>
    </row>
    <row r="91" spans="1:11" hidden="1" x14ac:dyDescent="0.25">
      <c r="A91" s="86">
        <v>46098</v>
      </c>
      <c r="B91" s="15" t="s">
        <v>21</v>
      </c>
      <c r="C91" s="15" t="s">
        <v>20</v>
      </c>
      <c r="D91" s="15" t="s">
        <v>22</v>
      </c>
      <c r="E91" s="15" t="s">
        <v>17</v>
      </c>
      <c r="F91" s="15"/>
      <c r="G91" s="87">
        <v>73.099999999999994</v>
      </c>
      <c r="H91" s="87"/>
      <c r="I91" s="15"/>
      <c r="J91" s="15" t="s">
        <v>566</v>
      </c>
      <c r="K91" s="87">
        <v>-3664.1399999999981</v>
      </c>
    </row>
    <row r="92" spans="1:11" hidden="1" x14ac:dyDescent="0.25">
      <c r="A92" s="86">
        <v>46098</v>
      </c>
      <c r="B92" s="15" t="s">
        <v>23</v>
      </c>
      <c r="C92" s="15" t="s">
        <v>12</v>
      </c>
      <c r="D92" s="15" t="s">
        <v>24</v>
      </c>
      <c r="E92" s="15" t="s">
        <v>17</v>
      </c>
      <c r="F92" s="15" t="s">
        <v>25</v>
      </c>
      <c r="G92" s="87">
        <v>25</v>
      </c>
      <c r="H92" s="87"/>
      <c r="I92" s="15"/>
      <c r="J92" s="15" t="s">
        <v>566</v>
      </c>
      <c r="K92" s="87">
        <v>-3689.1399999999981</v>
      </c>
    </row>
    <row r="93" spans="1:11" hidden="1" x14ac:dyDescent="0.25">
      <c r="A93" s="86">
        <v>46098</v>
      </c>
      <c r="B93" s="15" t="s">
        <v>11</v>
      </c>
      <c r="C93" s="15" t="s">
        <v>12</v>
      </c>
      <c r="D93" s="15" t="s">
        <v>19</v>
      </c>
      <c r="E93" s="15" t="s">
        <v>14</v>
      </c>
      <c r="F93" s="15" t="s">
        <v>15</v>
      </c>
      <c r="G93" s="87">
        <v>94</v>
      </c>
      <c r="H93" s="87"/>
      <c r="I93" s="15"/>
      <c r="J93" s="15" t="s">
        <v>566</v>
      </c>
      <c r="K93" s="87">
        <v>-3783.1399999999981</v>
      </c>
    </row>
    <row r="94" spans="1:11" hidden="1" x14ac:dyDescent="0.25">
      <c r="A94" s="86">
        <v>46098</v>
      </c>
      <c r="B94" s="15" t="s">
        <v>309</v>
      </c>
      <c r="C94" s="15" t="s">
        <v>12</v>
      </c>
      <c r="D94" s="15" t="s">
        <v>19</v>
      </c>
      <c r="E94" s="15" t="s">
        <v>17</v>
      </c>
      <c r="F94" s="15"/>
      <c r="G94" s="87">
        <v>883.32</v>
      </c>
      <c r="H94" s="87"/>
      <c r="I94" s="15"/>
      <c r="J94" s="15" t="s">
        <v>566</v>
      </c>
      <c r="K94" s="87">
        <v>-4666.4599999999982</v>
      </c>
    </row>
    <row r="95" spans="1:11" hidden="1" x14ac:dyDescent="0.25">
      <c r="A95" s="86">
        <v>46098</v>
      </c>
      <c r="B95" s="15" t="s">
        <v>369</v>
      </c>
      <c r="C95" s="15" t="s">
        <v>12</v>
      </c>
      <c r="D95" s="15" t="s">
        <v>19</v>
      </c>
      <c r="E95" s="15" t="s">
        <v>17</v>
      </c>
      <c r="F95" s="15"/>
      <c r="G95" s="87">
        <v>2521.7399999999998</v>
      </c>
      <c r="H95" s="87"/>
      <c r="I95" s="15"/>
      <c r="J95" s="15" t="s">
        <v>566</v>
      </c>
      <c r="K95" s="87">
        <v>-7188.199999999998</v>
      </c>
    </row>
    <row r="96" spans="1:11" hidden="1" x14ac:dyDescent="0.25">
      <c r="A96" s="86">
        <v>46098</v>
      </c>
      <c r="B96" s="15" t="s">
        <v>580</v>
      </c>
      <c r="C96" s="15" t="s">
        <v>12</v>
      </c>
      <c r="D96" s="15" t="s">
        <v>29</v>
      </c>
      <c r="E96" s="15" t="s">
        <v>17</v>
      </c>
      <c r="F96" s="15" t="s">
        <v>25</v>
      </c>
      <c r="G96" s="87">
        <v>50</v>
      </c>
      <c r="H96" s="87"/>
      <c r="I96" s="15"/>
      <c r="J96" s="15" t="s">
        <v>566</v>
      </c>
      <c r="K96" s="87">
        <v>-7238.199999999998</v>
      </c>
    </row>
    <row r="97" spans="1:11" hidden="1" x14ac:dyDescent="0.25">
      <c r="A97" s="86">
        <v>46099</v>
      </c>
      <c r="B97" s="15" t="s">
        <v>405</v>
      </c>
      <c r="C97" s="15" t="s">
        <v>12</v>
      </c>
      <c r="D97" s="15" t="s">
        <v>19</v>
      </c>
      <c r="E97" s="15" t="s">
        <v>17</v>
      </c>
      <c r="F97" s="15"/>
      <c r="G97" s="87">
        <v>650</v>
      </c>
      <c r="H97" s="87"/>
      <c r="I97" s="15"/>
      <c r="J97" s="15" t="s">
        <v>566</v>
      </c>
      <c r="K97" s="87">
        <v>-7888.199999999998</v>
      </c>
    </row>
    <row r="98" spans="1:11" hidden="1" x14ac:dyDescent="0.25">
      <c r="A98" s="86">
        <v>46099</v>
      </c>
      <c r="B98" s="15" t="s">
        <v>581</v>
      </c>
      <c r="C98" s="15" t="s">
        <v>12</v>
      </c>
      <c r="D98" s="15" t="s">
        <v>19</v>
      </c>
      <c r="E98" s="15" t="s">
        <v>17</v>
      </c>
      <c r="F98" s="15"/>
      <c r="G98" s="87">
        <v>278</v>
      </c>
      <c r="H98" s="87"/>
      <c r="I98" s="15"/>
      <c r="J98" s="15" t="s">
        <v>566</v>
      </c>
      <c r="K98" s="87">
        <v>-8166.199999999998</v>
      </c>
    </row>
    <row r="99" spans="1:11" hidden="1" x14ac:dyDescent="0.25">
      <c r="A99" s="86">
        <v>46099</v>
      </c>
      <c r="B99" s="15" t="s">
        <v>401</v>
      </c>
      <c r="C99" s="15" t="s">
        <v>12</v>
      </c>
      <c r="D99" s="15" t="s">
        <v>19</v>
      </c>
      <c r="E99" s="15" t="s">
        <v>14</v>
      </c>
      <c r="F99" s="15" t="s">
        <v>15</v>
      </c>
      <c r="G99" s="87">
        <v>141</v>
      </c>
      <c r="H99" s="87"/>
      <c r="I99" s="15"/>
      <c r="J99" s="15" t="s">
        <v>566</v>
      </c>
      <c r="K99" s="87">
        <v>-8307.1999999999971</v>
      </c>
    </row>
    <row r="100" spans="1:11" x14ac:dyDescent="0.25">
      <c r="A100" s="86">
        <v>46099</v>
      </c>
      <c r="B100" s="15" t="s">
        <v>30</v>
      </c>
      <c r="C100" s="15" t="s">
        <v>20</v>
      </c>
      <c r="D100" s="15" t="s">
        <v>13</v>
      </c>
      <c r="E100" s="15"/>
      <c r="F100" s="15"/>
      <c r="G100" s="87">
        <v>1267</v>
      </c>
      <c r="H100" s="87"/>
      <c r="I100" s="15"/>
      <c r="J100" s="15" t="s">
        <v>566</v>
      </c>
      <c r="K100" s="87">
        <v>-7040.1999999999971</v>
      </c>
    </row>
    <row r="101" spans="1:11" hidden="1" x14ac:dyDescent="0.25">
      <c r="A101" s="86">
        <v>46099</v>
      </c>
      <c r="B101" s="15" t="s">
        <v>582</v>
      </c>
      <c r="C101" s="15" t="s">
        <v>20</v>
      </c>
      <c r="D101" s="15" t="s">
        <v>22</v>
      </c>
      <c r="E101" s="15" t="s">
        <v>17</v>
      </c>
      <c r="F101" s="15"/>
      <c r="G101" s="87">
        <v>380.4</v>
      </c>
      <c r="H101" s="87"/>
      <c r="I101" s="15"/>
      <c r="J101" s="15" t="s">
        <v>566</v>
      </c>
      <c r="K101" s="87">
        <v>-6659.7999999999975</v>
      </c>
    </row>
    <row r="102" spans="1:11" hidden="1" x14ac:dyDescent="0.25">
      <c r="A102" s="86">
        <v>46099</v>
      </c>
      <c r="B102" s="15" t="s">
        <v>45</v>
      </c>
      <c r="C102" s="15" t="s">
        <v>12</v>
      </c>
      <c r="D102" s="15" t="s">
        <v>24</v>
      </c>
      <c r="E102" s="15" t="s">
        <v>17</v>
      </c>
      <c r="F102" s="15" t="s">
        <v>25</v>
      </c>
      <c r="G102" s="87">
        <v>27</v>
      </c>
      <c r="H102" s="87"/>
      <c r="I102" s="15"/>
      <c r="J102" s="15" t="s">
        <v>566</v>
      </c>
      <c r="K102" s="87">
        <v>-6686.7999999999975</v>
      </c>
    </row>
    <row r="103" spans="1:11" hidden="1" x14ac:dyDescent="0.25">
      <c r="A103" s="86">
        <v>46100</v>
      </c>
      <c r="B103" s="15" t="s">
        <v>583</v>
      </c>
      <c r="C103" s="15" t="s">
        <v>12</v>
      </c>
      <c r="D103" s="15" t="s">
        <v>60</v>
      </c>
      <c r="E103" s="15" t="s">
        <v>14</v>
      </c>
      <c r="F103" s="15" t="s">
        <v>15</v>
      </c>
      <c r="G103" s="87">
        <v>270</v>
      </c>
      <c r="H103" s="87"/>
      <c r="I103" s="15"/>
      <c r="J103" s="15" t="s">
        <v>566</v>
      </c>
      <c r="K103" s="87">
        <v>-6956.7999999999975</v>
      </c>
    </row>
    <row r="104" spans="1:11" x14ac:dyDescent="0.25">
      <c r="A104" s="86">
        <v>46100</v>
      </c>
      <c r="B104" s="15" t="s">
        <v>13</v>
      </c>
      <c r="C104" s="15" t="s">
        <v>20</v>
      </c>
      <c r="D104" s="15" t="s">
        <v>13</v>
      </c>
      <c r="E104" s="15" t="s">
        <v>14</v>
      </c>
      <c r="F104" s="15"/>
      <c r="G104" s="87">
        <v>1885.3</v>
      </c>
      <c r="H104" s="87"/>
      <c r="I104" s="15"/>
      <c r="J104" s="15" t="s">
        <v>566</v>
      </c>
      <c r="K104" s="87">
        <v>-5071.4999999999973</v>
      </c>
    </row>
    <row r="105" spans="1:11" hidden="1" x14ac:dyDescent="0.25">
      <c r="A105" s="86">
        <v>46100</v>
      </c>
      <c r="B105" s="15" t="s">
        <v>21</v>
      </c>
      <c r="C105" s="15" t="s">
        <v>20</v>
      </c>
      <c r="D105" s="15" t="s">
        <v>22</v>
      </c>
      <c r="E105" s="15" t="s">
        <v>17</v>
      </c>
      <c r="F105" s="15"/>
      <c r="G105" s="87">
        <v>53.6</v>
      </c>
      <c r="H105" s="87"/>
      <c r="I105" s="15"/>
      <c r="J105" s="15" t="s">
        <v>566</v>
      </c>
      <c r="K105" s="87">
        <v>-5017.8999999999969</v>
      </c>
    </row>
    <row r="106" spans="1:11" hidden="1" x14ac:dyDescent="0.25">
      <c r="A106" s="86">
        <v>46100</v>
      </c>
      <c r="B106" s="15" t="s">
        <v>23</v>
      </c>
      <c r="C106" s="15" t="s">
        <v>12</v>
      </c>
      <c r="D106" s="15" t="s">
        <v>24</v>
      </c>
      <c r="E106" s="15" t="s">
        <v>17</v>
      </c>
      <c r="F106" s="15" t="s">
        <v>25</v>
      </c>
      <c r="G106" s="87">
        <v>18</v>
      </c>
      <c r="H106" s="87"/>
      <c r="I106" s="15"/>
      <c r="J106" s="15" t="s">
        <v>566</v>
      </c>
      <c r="K106" s="87">
        <v>-5035.8999999999969</v>
      </c>
    </row>
    <row r="107" spans="1:11" hidden="1" x14ac:dyDescent="0.25">
      <c r="A107" s="86">
        <v>46100</v>
      </c>
      <c r="B107" s="15" t="s">
        <v>11</v>
      </c>
      <c r="C107" s="15" t="s">
        <v>12</v>
      </c>
      <c r="D107" s="15" t="s">
        <v>19</v>
      </c>
      <c r="E107" s="15" t="s">
        <v>14</v>
      </c>
      <c r="F107" s="15" t="s">
        <v>15</v>
      </c>
      <c r="G107" s="87">
        <v>250</v>
      </c>
      <c r="H107" s="87"/>
      <c r="I107" s="15"/>
      <c r="J107" s="15" t="s">
        <v>566</v>
      </c>
      <c r="K107" s="87">
        <v>-5285.8999999999969</v>
      </c>
    </row>
    <row r="108" spans="1:11" hidden="1" x14ac:dyDescent="0.25">
      <c r="A108" s="86">
        <v>46100</v>
      </c>
      <c r="B108" s="15" t="s">
        <v>584</v>
      </c>
      <c r="C108" s="15" t="s">
        <v>12</v>
      </c>
      <c r="D108" s="15" t="s">
        <v>27</v>
      </c>
      <c r="E108" s="15" t="s">
        <v>17</v>
      </c>
      <c r="F108" s="15" t="s">
        <v>25</v>
      </c>
      <c r="G108" s="87">
        <v>3402.9</v>
      </c>
      <c r="H108" s="87"/>
      <c r="I108" s="15"/>
      <c r="J108" s="15" t="s">
        <v>566</v>
      </c>
      <c r="K108" s="87">
        <v>-8688.7999999999975</v>
      </c>
    </row>
    <row r="109" spans="1:11" hidden="1" x14ac:dyDescent="0.25">
      <c r="A109" s="86">
        <v>46101</v>
      </c>
      <c r="B109" s="15" t="s">
        <v>443</v>
      </c>
      <c r="C109" s="15" t="s">
        <v>12</v>
      </c>
      <c r="D109" s="15" t="s">
        <v>58</v>
      </c>
      <c r="E109" s="15" t="s">
        <v>17</v>
      </c>
      <c r="F109" s="15"/>
      <c r="G109" s="87">
        <v>1769.9</v>
      </c>
      <c r="H109" s="87"/>
      <c r="I109" s="15"/>
      <c r="J109" s="15" t="s">
        <v>566</v>
      </c>
      <c r="K109" s="87">
        <v>-10458.700000000001</v>
      </c>
    </row>
    <row r="110" spans="1:11" hidden="1" x14ac:dyDescent="0.25">
      <c r="A110" s="86">
        <v>46101</v>
      </c>
      <c r="B110" s="15" t="s">
        <v>300</v>
      </c>
      <c r="C110" s="15" t="s">
        <v>12</v>
      </c>
      <c r="D110" s="15" t="s">
        <v>58</v>
      </c>
      <c r="E110" s="15" t="s">
        <v>17</v>
      </c>
      <c r="F110" s="15"/>
      <c r="G110" s="87">
        <v>724.51</v>
      </c>
      <c r="H110" s="87"/>
      <c r="I110" s="15"/>
      <c r="J110" s="15" t="s">
        <v>566</v>
      </c>
      <c r="K110" s="87">
        <v>-11183.21</v>
      </c>
    </row>
    <row r="111" spans="1:11" hidden="1" x14ac:dyDescent="0.25">
      <c r="A111" s="86">
        <v>46101</v>
      </c>
      <c r="B111" s="15" t="s">
        <v>305</v>
      </c>
      <c r="C111" s="15" t="s">
        <v>12</v>
      </c>
      <c r="D111" s="15" t="s">
        <v>58</v>
      </c>
      <c r="E111" s="15" t="s">
        <v>17</v>
      </c>
      <c r="F111" s="15"/>
      <c r="G111" s="87">
        <v>767.67</v>
      </c>
      <c r="H111" s="87"/>
      <c r="I111" s="15"/>
      <c r="J111" s="15" t="s">
        <v>566</v>
      </c>
      <c r="K111" s="87">
        <v>-11950.88</v>
      </c>
    </row>
    <row r="112" spans="1:11" hidden="1" x14ac:dyDescent="0.25">
      <c r="A112" s="86">
        <v>46101</v>
      </c>
      <c r="B112" s="15" t="s">
        <v>306</v>
      </c>
      <c r="C112" s="15" t="s">
        <v>12</v>
      </c>
      <c r="D112" s="15" t="s">
        <v>58</v>
      </c>
      <c r="E112" s="15" t="s">
        <v>17</v>
      </c>
      <c r="F112" s="15"/>
      <c r="G112" s="87">
        <v>7323.66</v>
      </c>
      <c r="H112" s="87"/>
      <c r="I112" s="15"/>
      <c r="J112" s="15" t="s">
        <v>566</v>
      </c>
      <c r="K112" s="87">
        <v>-19274.54</v>
      </c>
    </row>
    <row r="113" spans="1:11" x14ac:dyDescent="0.25">
      <c r="A113" s="86">
        <v>46101</v>
      </c>
      <c r="B113" s="15" t="s">
        <v>30</v>
      </c>
      <c r="C113" s="15" t="s">
        <v>20</v>
      </c>
      <c r="D113" s="15" t="s">
        <v>13</v>
      </c>
      <c r="E113" s="15"/>
      <c r="F113" s="15"/>
      <c r="G113" s="87">
        <v>3970</v>
      </c>
      <c r="H113" s="87"/>
      <c r="I113" s="15"/>
      <c r="J113" s="15" t="s">
        <v>566</v>
      </c>
      <c r="K113" s="87">
        <v>-15304.54</v>
      </c>
    </row>
    <row r="114" spans="1:11" hidden="1" x14ac:dyDescent="0.25">
      <c r="A114" s="86">
        <v>46101</v>
      </c>
      <c r="B114" s="15" t="s">
        <v>44</v>
      </c>
      <c r="C114" s="15" t="s">
        <v>20</v>
      </c>
      <c r="D114" s="15" t="s">
        <v>22</v>
      </c>
      <c r="E114" s="15" t="s">
        <v>17</v>
      </c>
      <c r="F114" s="15"/>
      <c r="G114" s="87">
        <v>319.89999999999998</v>
      </c>
      <c r="H114" s="87"/>
      <c r="I114" s="15"/>
      <c r="J114" s="15" t="s">
        <v>566</v>
      </c>
      <c r="K114" s="87">
        <v>-14984.64</v>
      </c>
    </row>
    <row r="115" spans="1:11" hidden="1" x14ac:dyDescent="0.25">
      <c r="A115" s="86">
        <v>46101</v>
      </c>
      <c r="B115" s="15" t="s">
        <v>45</v>
      </c>
      <c r="C115" s="15" t="s">
        <v>12</v>
      </c>
      <c r="D115" s="15" t="s">
        <v>24</v>
      </c>
      <c r="E115" s="15" t="s">
        <v>17</v>
      </c>
      <c r="F115" s="15" t="s">
        <v>25</v>
      </c>
      <c r="G115" s="87">
        <v>63</v>
      </c>
      <c r="H115" s="87"/>
      <c r="I115" s="15"/>
      <c r="J115" s="15" t="s">
        <v>566</v>
      </c>
      <c r="K115" s="87">
        <v>-15047.64</v>
      </c>
    </row>
    <row r="116" spans="1:11" hidden="1" x14ac:dyDescent="0.25">
      <c r="A116" s="86">
        <v>46101</v>
      </c>
      <c r="B116" s="15" t="s">
        <v>401</v>
      </c>
      <c r="C116" s="15" t="s">
        <v>12</v>
      </c>
      <c r="D116" s="15" t="s">
        <v>19</v>
      </c>
      <c r="E116" s="15" t="s">
        <v>14</v>
      </c>
      <c r="F116" s="15" t="s">
        <v>15</v>
      </c>
      <c r="G116" s="87">
        <v>470</v>
      </c>
      <c r="H116" s="87"/>
      <c r="I116" s="15"/>
      <c r="J116" s="15" t="s">
        <v>566</v>
      </c>
      <c r="K116" s="87">
        <v>-15517.64</v>
      </c>
    </row>
    <row r="117" spans="1:11" x14ac:dyDescent="0.25">
      <c r="A117" s="86">
        <v>46102</v>
      </c>
      <c r="B117" s="15" t="s">
        <v>13</v>
      </c>
      <c r="C117" s="15" t="s">
        <v>20</v>
      </c>
      <c r="D117" s="15" t="s">
        <v>13</v>
      </c>
      <c r="E117" s="15"/>
      <c r="F117" s="15"/>
      <c r="G117" s="87">
        <v>9783</v>
      </c>
      <c r="H117" s="87"/>
      <c r="I117" s="15"/>
      <c r="J117" s="15" t="s">
        <v>566</v>
      </c>
      <c r="K117" s="87">
        <v>-5734.6399999999976</v>
      </c>
    </row>
    <row r="118" spans="1:11" hidden="1" x14ac:dyDescent="0.25">
      <c r="A118" s="86">
        <v>46102</v>
      </c>
      <c r="B118" s="15" t="s">
        <v>21</v>
      </c>
      <c r="C118" s="15" t="s">
        <v>20</v>
      </c>
      <c r="D118" s="15" t="s">
        <v>22</v>
      </c>
      <c r="E118" s="15" t="s">
        <v>17</v>
      </c>
      <c r="F118" s="15"/>
      <c r="G118" s="87">
        <v>294.89999999999998</v>
      </c>
      <c r="H118" s="87"/>
      <c r="I118" s="15"/>
      <c r="J118" s="15" t="s">
        <v>566</v>
      </c>
      <c r="K118" s="87">
        <v>-5439.739999999998</v>
      </c>
    </row>
    <row r="119" spans="1:11" hidden="1" x14ac:dyDescent="0.25">
      <c r="A119" s="86">
        <v>46102</v>
      </c>
      <c r="B119" s="15" t="s">
        <v>23</v>
      </c>
      <c r="C119" s="15" t="s">
        <v>12</v>
      </c>
      <c r="D119" s="15" t="s">
        <v>24</v>
      </c>
      <c r="E119" s="15" t="s">
        <v>17</v>
      </c>
      <c r="F119" s="15" t="s">
        <v>25</v>
      </c>
      <c r="G119" s="87">
        <v>36</v>
      </c>
      <c r="H119" s="87"/>
      <c r="I119" s="15"/>
      <c r="J119" s="15" t="s">
        <v>566</v>
      </c>
      <c r="K119" s="87">
        <v>-5475.739999999998</v>
      </c>
    </row>
    <row r="120" spans="1:11" x14ac:dyDescent="0.25">
      <c r="A120" s="86">
        <v>46103</v>
      </c>
      <c r="B120" s="15" t="s">
        <v>30</v>
      </c>
      <c r="C120" s="15" t="s">
        <v>20</v>
      </c>
      <c r="D120" s="15" t="s">
        <v>13</v>
      </c>
      <c r="E120" s="15"/>
      <c r="F120" s="15"/>
      <c r="G120" s="87">
        <v>7913</v>
      </c>
      <c r="H120" s="87"/>
      <c r="I120" s="15"/>
      <c r="J120" s="15" t="s">
        <v>566</v>
      </c>
      <c r="K120" s="87">
        <v>2437.260000000002</v>
      </c>
    </row>
    <row r="121" spans="1:11" hidden="1" x14ac:dyDescent="0.25">
      <c r="A121" s="86">
        <v>46103</v>
      </c>
      <c r="B121" s="15" t="s">
        <v>44</v>
      </c>
      <c r="C121" s="15" t="s">
        <v>20</v>
      </c>
      <c r="D121" s="15" t="s">
        <v>22</v>
      </c>
      <c r="E121" s="15" t="s">
        <v>17</v>
      </c>
      <c r="F121" s="15"/>
      <c r="G121" s="87">
        <v>243.8</v>
      </c>
      <c r="H121" s="87"/>
      <c r="I121" s="15"/>
      <c r="J121" s="15" t="s">
        <v>566</v>
      </c>
      <c r="K121" s="87">
        <v>2681.0600000000022</v>
      </c>
    </row>
    <row r="122" spans="1:11" hidden="1" x14ac:dyDescent="0.25">
      <c r="A122" s="86">
        <v>46103</v>
      </c>
      <c r="B122" s="15" t="s">
        <v>45</v>
      </c>
      <c r="C122" s="15" t="s">
        <v>12</v>
      </c>
      <c r="D122" s="15" t="s">
        <v>24</v>
      </c>
      <c r="E122" s="15" t="s">
        <v>17</v>
      </c>
      <c r="F122" s="15" t="s">
        <v>25</v>
      </c>
      <c r="G122" s="87">
        <v>54</v>
      </c>
      <c r="H122" s="87"/>
      <c r="I122" s="15"/>
      <c r="J122" s="15" t="s">
        <v>566</v>
      </c>
      <c r="K122" s="87">
        <v>2627.0600000000022</v>
      </c>
    </row>
    <row r="123" spans="1:11" hidden="1" x14ac:dyDescent="0.25">
      <c r="A123" s="86">
        <v>46103</v>
      </c>
      <c r="B123" s="15" t="s">
        <v>401</v>
      </c>
      <c r="C123" s="15" t="s">
        <v>12</v>
      </c>
      <c r="D123" s="15" t="s">
        <v>19</v>
      </c>
      <c r="E123" s="15" t="s">
        <v>14</v>
      </c>
      <c r="F123" s="15" t="s">
        <v>15</v>
      </c>
      <c r="G123" s="87">
        <v>235</v>
      </c>
      <c r="H123" s="87"/>
      <c r="I123" s="15"/>
      <c r="J123" s="15" t="s">
        <v>566</v>
      </c>
      <c r="K123" s="87">
        <v>2392.0600000000022</v>
      </c>
    </row>
    <row r="124" spans="1:11" hidden="1" x14ac:dyDescent="0.25">
      <c r="A124" s="86">
        <v>46104</v>
      </c>
      <c r="B124" s="15" t="s">
        <v>527</v>
      </c>
      <c r="C124" s="15" t="s">
        <v>12</v>
      </c>
      <c r="D124" s="15" t="s">
        <v>19</v>
      </c>
      <c r="E124" s="15" t="s">
        <v>17</v>
      </c>
      <c r="F124" s="15"/>
      <c r="G124" s="87">
        <v>1737.35</v>
      </c>
      <c r="H124" s="87"/>
      <c r="I124" s="15"/>
      <c r="J124" s="15" t="s">
        <v>566</v>
      </c>
      <c r="K124" s="87">
        <v>654.71000000000231</v>
      </c>
    </row>
    <row r="125" spans="1:11" hidden="1" x14ac:dyDescent="0.25">
      <c r="A125" s="86">
        <v>46104</v>
      </c>
      <c r="B125" s="15" t="s">
        <v>418</v>
      </c>
      <c r="C125" s="15" t="s">
        <v>12</v>
      </c>
      <c r="D125" s="15" t="s">
        <v>19</v>
      </c>
      <c r="E125" s="15" t="s">
        <v>17</v>
      </c>
      <c r="F125" s="15"/>
      <c r="G125" s="87">
        <v>323.39</v>
      </c>
      <c r="H125" s="87"/>
      <c r="I125" s="15"/>
      <c r="J125" s="15" t="s">
        <v>566</v>
      </c>
      <c r="K125" s="87">
        <v>331.32000000000232</v>
      </c>
    </row>
    <row r="126" spans="1:11" x14ac:dyDescent="0.25">
      <c r="A126" s="86">
        <v>46104</v>
      </c>
      <c r="B126" s="15" t="s">
        <v>30</v>
      </c>
      <c r="C126" s="15" t="s">
        <v>20</v>
      </c>
      <c r="D126" s="15" t="s">
        <v>13</v>
      </c>
      <c r="E126" s="15"/>
      <c r="F126" s="15"/>
      <c r="G126" s="87">
        <v>1436</v>
      </c>
      <c r="H126" s="87"/>
      <c r="I126" s="15"/>
      <c r="J126" s="15" t="s">
        <v>566</v>
      </c>
      <c r="K126" s="87">
        <v>1767.320000000002</v>
      </c>
    </row>
    <row r="127" spans="1:11" hidden="1" x14ac:dyDescent="0.25">
      <c r="A127" s="86">
        <v>46104</v>
      </c>
      <c r="B127" s="15" t="s">
        <v>44</v>
      </c>
      <c r="C127" s="15" t="s">
        <v>20</v>
      </c>
      <c r="D127" s="15" t="s">
        <v>22</v>
      </c>
      <c r="E127" s="15" t="s">
        <v>17</v>
      </c>
      <c r="F127" s="15"/>
      <c r="G127" s="87">
        <v>39</v>
      </c>
      <c r="H127" s="87"/>
      <c r="I127" s="15"/>
      <c r="J127" s="15" t="s">
        <v>566</v>
      </c>
      <c r="K127" s="87">
        <v>1806.320000000002</v>
      </c>
    </row>
    <row r="128" spans="1:11" hidden="1" x14ac:dyDescent="0.25">
      <c r="A128" s="86">
        <v>46104</v>
      </c>
      <c r="B128" s="15" t="s">
        <v>45</v>
      </c>
      <c r="C128" s="15" t="s">
        <v>12</v>
      </c>
      <c r="D128" s="15" t="s">
        <v>24</v>
      </c>
      <c r="E128" s="15" t="s">
        <v>17</v>
      </c>
      <c r="F128" s="15" t="s">
        <v>25</v>
      </c>
      <c r="G128" s="87">
        <v>9</v>
      </c>
      <c r="H128" s="87"/>
      <c r="I128" s="15"/>
      <c r="J128" s="15" t="s">
        <v>566</v>
      </c>
      <c r="K128" s="87">
        <v>1797.320000000002</v>
      </c>
    </row>
    <row r="129" spans="1:11" hidden="1" x14ac:dyDescent="0.25">
      <c r="A129" s="86">
        <v>46104</v>
      </c>
      <c r="B129" s="15" t="s">
        <v>585</v>
      </c>
      <c r="C129" s="15" t="s">
        <v>12</v>
      </c>
      <c r="D129" s="15" t="s">
        <v>62</v>
      </c>
      <c r="E129" s="15" t="s">
        <v>17</v>
      </c>
      <c r="F129" s="15" t="s">
        <v>25</v>
      </c>
      <c r="G129" s="87">
        <v>577.70000000000005</v>
      </c>
      <c r="H129" s="87"/>
      <c r="I129" s="15"/>
      <c r="J129" s="15" t="s">
        <v>566</v>
      </c>
      <c r="K129" s="87">
        <v>1219.6200000000019</v>
      </c>
    </row>
    <row r="130" spans="1:11" hidden="1" x14ac:dyDescent="0.25">
      <c r="A130" s="86">
        <v>46104</v>
      </c>
      <c r="B130" s="15" t="s">
        <v>472</v>
      </c>
      <c r="C130" s="15" t="s">
        <v>12</v>
      </c>
      <c r="D130" s="15" t="s">
        <v>60</v>
      </c>
      <c r="E130" s="15" t="s">
        <v>17</v>
      </c>
      <c r="F130" s="15" t="s">
        <v>25</v>
      </c>
      <c r="G130" s="87">
        <v>348</v>
      </c>
      <c r="H130" s="87"/>
      <c r="I130" s="15"/>
      <c r="J130" s="15" t="s">
        <v>566</v>
      </c>
      <c r="K130" s="87">
        <v>871.62000000000239</v>
      </c>
    </row>
    <row r="131" spans="1:11" x14ac:dyDescent="0.25">
      <c r="A131" s="86">
        <v>46105</v>
      </c>
      <c r="B131" s="15" t="s">
        <v>13</v>
      </c>
      <c r="C131" s="15" t="s">
        <v>20</v>
      </c>
      <c r="D131" s="15" t="s">
        <v>13</v>
      </c>
      <c r="E131" s="15"/>
      <c r="F131" s="15"/>
      <c r="G131" s="87">
        <v>1219</v>
      </c>
      <c r="H131" s="87"/>
      <c r="I131" s="15"/>
      <c r="J131" s="15" t="s">
        <v>566</v>
      </c>
      <c r="K131" s="87">
        <v>2090.6200000000031</v>
      </c>
    </row>
    <row r="132" spans="1:11" hidden="1" x14ac:dyDescent="0.25">
      <c r="A132" s="86">
        <v>46105</v>
      </c>
      <c r="B132" s="15" t="s">
        <v>477</v>
      </c>
      <c r="C132" s="15" t="s">
        <v>20</v>
      </c>
      <c r="D132" s="15" t="s">
        <v>22</v>
      </c>
      <c r="E132" s="15" t="s">
        <v>17</v>
      </c>
      <c r="F132" s="15"/>
      <c r="G132" s="87">
        <v>235.6</v>
      </c>
      <c r="H132" s="87"/>
      <c r="I132" s="15"/>
      <c r="J132" s="15" t="s">
        <v>566</v>
      </c>
      <c r="K132" s="87">
        <v>2326.220000000003</v>
      </c>
    </row>
    <row r="133" spans="1:11" hidden="1" x14ac:dyDescent="0.25">
      <c r="A133" s="86">
        <v>46105</v>
      </c>
      <c r="B133" s="15" t="s">
        <v>23</v>
      </c>
      <c r="C133" s="15" t="s">
        <v>12</v>
      </c>
      <c r="D133" s="15" t="s">
        <v>24</v>
      </c>
      <c r="E133" s="15" t="s">
        <v>14</v>
      </c>
      <c r="F133" s="15" t="s">
        <v>25</v>
      </c>
      <c r="G133" s="87">
        <v>18</v>
      </c>
      <c r="H133" s="87"/>
      <c r="I133" s="15"/>
      <c r="J133" s="15" t="s">
        <v>566</v>
      </c>
      <c r="K133" s="87">
        <v>2308.220000000003</v>
      </c>
    </row>
    <row r="134" spans="1:11" hidden="1" x14ac:dyDescent="0.25">
      <c r="A134" s="86">
        <v>46105</v>
      </c>
      <c r="B134" s="15" t="s">
        <v>571</v>
      </c>
      <c r="C134" s="15" t="s">
        <v>12</v>
      </c>
      <c r="D134" s="15" t="s">
        <v>62</v>
      </c>
      <c r="E134" s="15" t="s">
        <v>14</v>
      </c>
      <c r="F134" s="15" t="s">
        <v>15</v>
      </c>
      <c r="G134" s="87">
        <v>15</v>
      </c>
      <c r="H134" s="87"/>
      <c r="I134" s="15"/>
      <c r="J134" s="15" t="s">
        <v>566</v>
      </c>
      <c r="K134" s="87">
        <v>2293.220000000003</v>
      </c>
    </row>
    <row r="135" spans="1:11" hidden="1" x14ac:dyDescent="0.25">
      <c r="A135" s="86">
        <v>46105</v>
      </c>
      <c r="B135" s="15" t="s">
        <v>586</v>
      </c>
      <c r="C135" s="15" t="s">
        <v>12</v>
      </c>
      <c r="D135" s="15" t="s">
        <v>29</v>
      </c>
      <c r="E135" s="15" t="s">
        <v>17</v>
      </c>
      <c r="F135" s="15" t="s">
        <v>25</v>
      </c>
      <c r="G135" s="87">
        <v>70</v>
      </c>
      <c r="H135" s="87"/>
      <c r="I135" s="15"/>
      <c r="J135" s="15" t="s">
        <v>566</v>
      </c>
      <c r="K135" s="87">
        <v>2223.220000000003</v>
      </c>
    </row>
    <row r="136" spans="1:11" hidden="1" x14ac:dyDescent="0.25">
      <c r="A136" s="86">
        <v>46105</v>
      </c>
      <c r="B136" s="15" t="s">
        <v>587</v>
      </c>
      <c r="C136" s="15" t="s">
        <v>12</v>
      </c>
      <c r="D136" s="15" t="s">
        <v>19</v>
      </c>
      <c r="E136" s="15" t="s">
        <v>14</v>
      </c>
      <c r="F136" s="15" t="s">
        <v>15</v>
      </c>
      <c r="G136" s="87">
        <v>250</v>
      </c>
      <c r="H136" s="87"/>
      <c r="I136" s="15"/>
      <c r="J136" s="15" t="s">
        <v>566</v>
      </c>
      <c r="K136" s="87">
        <v>1973.220000000003</v>
      </c>
    </row>
    <row r="137" spans="1:11" hidden="1" x14ac:dyDescent="0.25">
      <c r="A137" s="86">
        <v>46105</v>
      </c>
      <c r="B137" s="15" t="s">
        <v>113</v>
      </c>
      <c r="C137" s="15" t="s">
        <v>12</v>
      </c>
      <c r="D137" s="15" t="s">
        <v>62</v>
      </c>
      <c r="E137" s="15" t="s">
        <v>17</v>
      </c>
      <c r="F137" s="15"/>
      <c r="G137" s="87">
        <v>571.9</v>
      </c>
      <c r="H137" s="87"/>
      <c r="I137" s="15"/>
      <c r="J137" s="15" t="s">
        <v>566</v>
      </c>
      <c r="K137" s="87">
        <v>1401.320000000002</v>
      </c>
    </row>
    <row r="138" spans="1:11" hidden="1" x14ac:dyDescent="0.25">
      <c r="A138" s="86">
        <v>46105</v>
      </c>
      <c r="B138" s="15" t="s">
        <v>576</v>
      </c>
      <c r="C138" s="15" t="s">
        <v>12</v>
      </c>
      <c r="D138" s="15" t="s">
        <v>19</v>
      </c>
      <c r="E138" s="15" t="s">
        <v>17</v>
      </c>
      <c r="F138" s="15" t="s">
        <v>25</v>
      </c>
      <c r="G138" s="87">
        <v>203.5</v>
      </c>
      <c r="H138" s="87"/>
      <c r="I138" s="15"/>
      <c r="J138" s="15" t="s">
        <v>566</v>
      </c>
      <c r="K138" s="87">
        <v>1197.820000000002</v>
      </c>
    </row>
    <row r="139" spans="1:11" hidden="1" x14ac:dyDescent="0.25">
      <c r="A139" s="86">
        <v>46106</v>
      </c>
      <c r="B139" s="15" t="s">
        <v>351</v>
      </c>
      <c r="C139" s="15" t="s">
        <v>12</v>
      </c>
      <c r="D139" s="15" t="s">
        <v>19</v>
      </c>
      <c r="E139" s="15" t="s">
        <v>17</v>
      </c>
      <c r="F139" s="15"/>
      <c r="G139" s="87">
        <v>1139.44</v>
      </c>
      <c r="H139" s="87"/>
      <c r="I139" s="15"/>
      <c r="J139" s="15" t="s">
        <v>566</v>
      </c>
      <c r="K139" s="87">
        <v>58.380000000002383</v>
      </c>
    </row>
    <row r="140" spans="1:11" hidden="1" x14ac:dyDescent="0.25">
      <c r="A140" s="86">
        <v>46106</v>
      </c>
      <c r="B140" s="15" t="s">
        <v>531</v>
      </c>
      <c r="C140" s="15" t="s">
        <v>12</v>
      </c>
      <c r="D140" s="15" t="s">
        <v>327</v>
      </c>
      <c r="E140" s="15" t="s">
        <v>17</v>
      </c>
      <c r="F140" s="15"/>
      <c r="G140" s="87">
        <v>2295.73</v>
      </c>
      <c r="H140" s="87"/>
      <c r="I140" s="15"/>
      <c r="J140" s="15" t="s">
        <v>566</v>
      </c>
      <c r="K140" s="87">
        <v>-2237.3499999999981</v>
      </c>
    </row>
    <row r="141" spans="1:11" hidden="1" x14ac:dyDescent="0.25">
      <c r="A141" s="86">
        <v>46106</v>
      </c>
      <c r="B141" s="15" t="s">
        <v>304</v>
      </c>
      <c r="C141" s="15" t="s">
        <v>12</v>
      </c>
      <c r="D141" s="15" t="s">
        <v>68</v>
      </c>
      <c r="E141" s="15" t="s">
        <v>17</v>
      </c>
      <c r="F141" s="15"/>
      <c r="G141" s="87">
        <v>1000</v>
      </c>
      <c r="H141" s="87"/>
      <c r="I141" s="15"/>
      <c r="J141" s="15" t="s">
        <v>566</v>
      </c>
      <c r="K141" s="87">
        <v>-3237.3499999999981</v>
      </c>
    </row>
    <row r="142" spans="1:11" x14ac:dyDescent="0.25">
      <c r="A142" s="86">
        <v>46106</v>
      </c>
      <c r="B142" s="15" t="s">
        <v>30</v>
      </c>
      <c r="C142" s="15" t="s">
        <v>20</v>
      </c>
      <c r="D142" s="15" t="s">
        <v>13</v>
      </c>
      <c r="E142" s="15"/>
      <c r="F142" s="15"/>
      <c r="G142" s="87">
        <v>1612</v>
      </c>
      <c r="H142" s="87"/>
      <c r="I142" s="15"/>
      <c r="J142" s="15" t="s">
        <v>566</v>
      </c>
      <c r="K142" s="87">
        <v>-1625.3499999999981</v>
      </c>
    </row>
    <row r="143" spans="1:11" hidden="1" x14ac:dyDescent="0.25">
      <c r="A143" s="86">
        <v>46106</v>
      </c>
      <c r="B143" s="15" t="s">
        <v>44</v>
      </c>
      <c r="C143" s="15" t="s">
        <v>20</v>
      </c>
      <c r="D143" s="15" t="s">
        <v>22</v>
      </c>
      <c r="E143" s="15" t="s">
        <v>17</v>
      </c>
      <c r="F143" s="15"/>
      <c r="G143" s="87">
        <v>0</v>
      </c>
      <c r="H143" s="87"/>
      <c r="I143" s="15"/>
      <c r="J143" s="15" t="s">
        <v>566</v>
      </c>
      <c r="K143" s="87">
        <v>-1625.3499999999981</v>
      </c>
    </row>
    <row r="144" spans="1:11" hidden="1" x14ac:dyDescent="0.25">
      <c r="A144" s="86">
        <v>46106</v>
      </c>
      <c r="B144" s="15" t="s">
        <v>45</v>
      </c>
      <c r="C144" s="15" t="s">
        <v>12</v>
      </c>
      <c r="D144" s="15" t="s">
        <v>24</v>
      </c>
      <c r="E144" s="15" t="s">
        <v>17</v>
      </c>
      <c r="F144" s="15" t="s">
        <v>25</v>
      </c>
      <c r="G144" s="87">
        <v>9</v>
      </c>
      <c r="H144" s="87"/>
      <c r="I144" s="15"/>
      <c r="J144" s="15" t="s">
        <v>566</v>
      </c>
      <c r="K144" s="87">
        <v>-1634.3499999999981</v>
      </c>
    </row>
    <row r="145" spans="1:11" hidden="1" x14ac:dyDescent="0.25">
      <c r="A145" s="86">
        <v>46106</v>
      </c>
      <c r="B145" s="15" t="s">
        <v>401</v>
      </c>
      <c r="C145" s="15" t="s">
        <v>12</v>
      </c>
      <c r="D145" s="15" t="s">
        <v>19</v>
      </c>
      <c r="E145" s="15" t="s">
        <v>14</v>
      </c>
      <c r="F145" s="15" t="s">
        <v>15</v>
      </c>
      <c r="G145" s="87">
        <v>150</v>
      </c>
      <c r="H145" s="87"/>
      <c r="I145" s="15"/>
      <c r="J145" s="15" t="s">
        <v>566</v>
      </c>
      <c r="K145" s="87">
        <v>-1784.3499999999981</v>
      </c>
    </row>
    <row r="146" spans="1:11" x14ac:dyDescent="0.25">
      <c r="A146" s="86">
        <v>46107</v>
      </c>
      <c r="B146" s="15" t="s">
        <v>13</v>
      </c>
      <c r="C146" s="15" t="s">
        <v>20</v>
      </c>
      <c r="D146" s="15" t="s">
        <v>13</v>
      </c>
      <c r="E146" s="15"/>
      <c r="F146" s="15"/>
      <c r="G146" s="87">
        <v>1525</v>
      </c>
      <c r="H146" s="87"/>
      <c r="I146" s="15"/>
      <c r="J146" s="15" t="s">
        <v>566</v>
      </c>
      <c r="K146" s="87">
        <v>-259.34999999999758</v>
      </c>
    </row>
    <row r="147" spans="1:11" hidden="1" x14ac:dyDescent="0.25">
      <c r="A147" s="86">
        <v>46107</v>
      </c>
      <c r="B147" s="15" t="s">
        <v>21</v>
      </c>
      <c r="C147" s="15" t="s">
        <v>20</v>
      </c>
      <c r="D147" s="15" t="s">
        <v>22</v>
      </c>
      <c r="E147" s="15" t="s">
        <v>17</v>
      </c>
      <c r="F147" s="15"/>
      <c r="G147" s="87">
        <v>0</v>
      </c>
      <c r="H147" s="87"/>
      <c r="I147" s="15"/>
      <c r="J147" s="15" t="s">
        <v>566</v>
      </c>
      <c r="K147" s="87">
        <v>-259.34999999999758</v>
      </c>
    </row>
    <row r="148" spans="1:11" hidden="1" x14ac:dyDescent="0.25">
      <c r="A148" s="86">
        <v>46107</v>
      </c>
      <c r="B148" s="15" t="s">
        <v>23</v>
      </c>
      <c r="C148" s="15" t="s">
        <v>12</v>
      </c>
      <c r="D148" s="15" t="s">
        <v>24</v>
      </c>
      <c r="E148" s="15" t="s">
        <v>17</v>
      </c>
      <c r="F148" s="15" t="s">
        <v>25</v>
      </c>
      <c r="G148" s="87">
        <v>9</v>
      </c>
      <c r="H148" s="87"/>
      <c r="I148" s="15"/>
      <c r="J148" s="15" t="s">
        <v>566</v>
      </c>
      <c r="K148" s="87">
        <v>-268.34999999999758</v>
      </c>
    </row>
    <row r="149" spans="1:11" hidden="1" x14ac:dyDescent="0.25">
      <c r="A149" s="86">
        <v>46107</v>
      </c>
      <c r="B149" s="15" t="s">
        <v>11</v>
      </c>
      <c r="C149" s="15" t="s">
        <v>12</v>
      </c>
      <c r="D149" s="15" t="s">
        <v>19</v>
      </c>
      <c r="E149" s="15" t="s">
        <v>14</v>
      </c>
      <c r="F149" s="15" t="s">
        <v>15</v>
      </c>
      <c r="G149" s="87">
        <v>150</v>
      </c>
      <c r="H149" s="87"/>
      <c r="I149" s="15"/>
      <c r="J149" s="15" t="s">
        <v>566</v>
      </c>
      <c r="K149" s="87">
        <v>-418.34999999999758</v>
      </c>
    </row>
    <row r="150" spans="1:11" x14ac:dyDescent="0.25">
      <c r="A150" s="86">
        <v>46108</v>
      </c>
      <c r="B150" s="15" t="s">
        <v>13</v>
      </c>
      <c r="C150" s="15" t="s">
        <v>20</v>
      </c>
      <c r="D150" s="15" t="s">
        <v>13</v>
      </c>
      <c r="E150" s="15"/>
      <c r="F150" s="15"/>
      <c r="G150" s="87">
        <v>3431</v>
      </c>
      <c r="H150" s="87"/>
      <c r="I150" s="15"/>
      <c r="J150" s="15" t="s">
        <v>566</v>
      </c>
      <c r="K150" s="87">
        <v>3012.6500000000019</v>
      </c>
    </row>
    <row r="151" spans="1:11" hidden="1" x14ac:dyDescent="0.25">
      <c r="A151" s="86">
        <v>46108</v>
      </c>
      <c r="B151" s="15" t="s">
        <v>21</v>
      </c>
      <c r="C151" s="15" t="s">
        <v>20</v>
      </c>
      <c r="D151" s="15" t="s">
        <v>22</v>
      </c>
      <c r="E151" s="15" t="s">
        <v>17</v>
      </c>
      <c r="F151" s="15"/>
      <c r="G151" s="87">
        <v>246.1</v>
      </c>
      <c r="H151" s="87"/>
      <c r="I151" s="15"/>
      <c r="J151" s="15" t="s">
        <v>566</v>
      </c>
      <c r="K151" s="87">
        <v>3258.7500000000018</v>
      </c>
    </row>
    <row r="152" spans="1:11" hidden="1" x14ac:dyDescent="0.25">
      <c r="A152" s="86">
        <v>46108</v>
      </c>
      <c r="B152" s="15" t="s">
        <v>23</v>
      </c>
      <c r="C152" s="15" t="s">
        <v>12</v>
      </c>
      <c r="D152" s="15" t="s">
        <v>24</v>
      </c>
      <c r="E152" s="15" t="s">
        <v>17</v>
      </c>
      <c r="F152" s="15" t="s">
        <v>25</v>
      </c>
      <c r="G152" s="87">
        <v>35</v>
      </c>
      <c r="H152" s="87"/>
      <c r="I152" s="15"/>
      <c r="J152" s="15" t="s">
        <v>566</v>
      </c>
      <c r="K152" s="87">
        <v>3223.7500000000018</v>
      </c>
    </row>
    <row r="153" spans="1:11" hidden="1" x14ac:dyDescent="0.25">
      <c r="A153" s="86">
        <v>46108</v>
      </c>
      <c r="B153" s="15" t="s">
        <v>11</v>
      </c>
      <c r="C153" s="15" t="s">
        <v>12</v>
      </c>
      <c r="D153" s="15" t="s">
        <v>19</v>
      </c>
      <c r="E153" s="15" t="s">
        <v>14</v>
      </c>
      <c r="F153" s="15" t="s">
        <v>15</v>
      </c>
      <c r="G153" s="87">
        <v>329</v>
      </c>
      <c r="H153" s="87"/>
      <c r="I153" s="15"/>
      <c r="J153" s="15" t="s">
        <v>566</v>
      </c>
      <c r="K153" s="87">
        <v>2894.7500000000018</v>
      </c>
    </row>
    <row r="154" spans="1:11" hidden="1" x14ac:dyDescent="0.25">
      <c r="A154" s="86">
        <v>46108</v>
      </c>
      <c r="B154" s="15" t="s">
        <v>559</v>
      </c>
      <c r="C154" s="15" t="s">
        <v>12</v>
      </c>
      <c r="D154" s="15" t="s">
        <v>27</v>
      </c>
      <c r="E154" s="15" t="s">
        <v>17</v>
      </c>
      <c r="F154" s="15" t="s">
        <v>25</v>
      </c>
      <c r="G154" s="87">
        <v>218</v>
      </c>
      <c r="H154" s="87"/>
      <c r="I154" s="15"/>
      <c r="J154" s="15" t="s">
        <v>566</v>
      </c>
      <c r="K154" s="87">
        <v>2676.7500000000018</v>
      </c>
    </row>
    <row r="155" spans="1:11" hidden="1" x14ac:dyDescent="0.25">
      <c r="A155" s="86">
        <v>46108</v>
      </c>
      <c r="B155" s="15" t="s">
        <v>588</v>
      </c>
      <c r="C155" s="15" t="s">
        <v>12</v>
      </c>
      <c r="D155" s="15" t="s">
        <v>19</v>
      </c>
      <c r="E155" s="15" t="s">
        <v>17</v>
      </c>
      <c r="F155" s="15" t="s">
        <v>25</v>
      </c>
      <c r="G155" s="87">
        <v>1582.8</v>
      </c>
      <c r="H155" s="87"/>
      <c r="I155" s="15"/>
      <c r="J155" s="15" t="s">
        <v>566</v>
      </c>
      <c r="K155" s="87">
        <v>1093.9500000000021</v>
      </c>
    </row>
    <row r="156" spans="1:11" x14ac:dyDescent="0.25">
      <c r="A156" s="88">
        <v>46109</v>
      </c>
      <c r="B156" s="15" t="s">
        <v>13</v>
      </c>
      <c r="C156" s="15" t="s">
        <v>20</v>
      </c>
      <c r="D156" s="15" t="s">
        <v>13</v>
      </c>
      <c r="E156" s="15"/>
      <c r="F156" s="15"/>
      <c r="G156" s="87">
        <v>7730</v>
      </c>
      <c r="H156" s="87"/>
      <c r="I156" s="15"/>
      <c r="J156" s="15" t="s">
        <v>566</v>
      </c>
      <c r="K156" s="87">
        <v>8823.9500000000025</v>
      </c>
    </row>
    <row r="157" spans="1:11" hidden="1" x14ac:dyDescent="0.25">
      <c r="A157" s="86">
        <v>46109</v>
      </c>
      <c r="B157" s="15" t="s">
        <v>44</v>
      </c>
      <c r="C157" s="15" t="s">
        <v>20</v>
      </c>
      <c r="D157" s="15" t="s">
        <v>22</v>
      </c>
      <c r="E157" s="15" t="s">
        <v>17</v>
      </c>
      <c r="F157" s="15"/>
      <c r="G157" s="87">
        <v>508.9</v>
      </c>
      <c r="H157" s="87"/>
      <c r="I157" s="15"/>
      <c r="J157" s="15" t="e">
        <v>#REF!</v>
      </c>
      <c r="K157" s="87">
        <v>9332.8500000000022</v>
      </c>
    </row>
    <row r="158" spans="1:11" hidden="1" x14ac:dyDescent="0.25">
      <c r="A158" s="86">
        <v>46109</v>
      </c>
      <c r="B158" s="15" t="s">
        <v>45</v>
      </c>
      <c r="C158" s="15" t="s">
        <v>12</v>
      </c>
      <c r="D158" s="15" t="s">
        <v>24</v>
      </c>
      <c r="E158" s="15" t="s">
        <v>17</v>
      </c>
      <c r="F158" s="15" t="s">
        <v>25</v>
      </c>
      <c r="G158" s="87">
        <v>54</v>
      </c>
      <c r="H158" s="87"/>
      <c r="I158" s="15"/>
      <c r="J158" s="15" t="s">
        <v>566</v>
      </c>
      <c r="K158" s="87">
        <v>9278.8500000000022</v>
      </c>
    </row>
    <row r="159" spans="1:11" hidden="1" x14ac:dyDescent="0.25">
      <c r="A159" s="86">
        <v>46109</v>
      </c>
      <c r="B159" s="15" t="s">
        <v>589</v>
      </c>
      <c r="C159" s="15" t="s">
        <v>12</v>
      </c>
      <c r="D159" s="15" t="s">
        <v>27</v>
      </c>
      <c r="E159" s="15" t="s">
        <v>17</v>
      </c>
      <c r="F159" s="15" t="s">
        <v>25</v>
      </c>
      <c r="G159" s="87">
        <v>120</v>
      </c>
      <c r="H159" s="87"/>
      <c r="I159" s="15"/>
      <c r="J159" s="15" t="s">
        <v>566</v>
      </c>
      <c r="K159" s="87">
        <v>9158.8500000000022</v>
      </c>
    </row>
    <row r="160" spans="1:11" x14ac:dyDescent="0.25">
      <c r="A160" s="86">
        <v>46110</v>
      </c>
      <c r="B160" s="15" t="s">
        <v>30</v>
      </c>
      <c r="C160" s="15" t="s">
        <v>20</v>
      </c>
      <c r="D160" s="15" t="s">
        <v>13</v>
      </c>
      <c r="E160" s="15"/>
      <c r="F160" s="15"/>
      <c r="G160" s="87">
        <v>7825</v>
      </c>
      <c r="H160" s="87"/>
      <c r="I160" s="15"/>
      <c r="J160" s="15" t="s">
        <v>566</v>
      </c>
      <c r="K160" s="87">
        <v>16983.849999999999</v>
      </c>
    </row>
    <row r="161" spans="1:11" hidden="1" x14ac:dyDescent="0.25">
      <c r="A161" s="86">
        <v>46110</v>
      </c>
      <c r="B161" s="15" t="s">
        <v>44</v>
      </c>
      <c r="C161" s="15" t="s">
        <v>20</v>
      </c>
      <c r="D161" s="15" t="s">
        <v>22</v>
      </c>
      <c r="E161" s="15" t="s">
        <v>17</v>
      </c>
      <c r="F161" s="15"/>
      <c r="G161" s="87">
        <v>619</v>
      </c>
      <c r="H161" s="87"/>
      <c r="I161" s="15"/>
      <c r="J161" s="15" t="s">
        <v>566</v>
      </c>
      <c r="K161" s="87">
        <v>17602.849999999999</v>
      </c>
    </row>
    <row r="162" spans="1:11" hidden="1" x14ac:dyDescent="0.25">
      <c r="A162" s="86">
        <v>46110</v>
      </c>
      <c r="B162" s="15" t="s">
        <v>45</v>
      </c>
      <c r="C162" s="15" t="s">
        <v>12</v>
      </c>
      <c r="D162" s="15" t="s">
        <v>24</v>
      </c>
      <c r="E162" s="15" t="s">
        <v>17</v>
      </c>
      <c r="F162" s="15" t="s">
        <v>25</v>
      </c>
      <c r="G162" s="87">
        <v>71</v>
      </c>
      <c r="H162" s="87"/>
      <c r="I162" s="15"/>
      <c r="J162" s="15" t="s">
        <v>566</v>
      </c>
      <c r="K162" s="87">
        <v>17531.849999999999</v>
      </c>
    </row>
    <row r="163" spans="1:11" hidden="1" x14ac:dyDescent="0.25">
      <c r="A163" s="86">
        <v>46110</v>
      </c>
      <c r="B163" s="15" t="s">
        <v>401</v>
      </c>
      <c r="C163" s="15" t="s">
        <v>12</v>
      </c>
      <c r="D163" s="15" t="s">
        <v>19</v>
      </c>
      <c r="E163" s="15" t="s">
        <v>14</v>
      </c>
      <c r="F163" s="15" t="s">
        <v>15</v>
      </c>
      <c r="G163" s="87">
        <v>94</v>
      </c>
      <c r="H163" s="87"/>
      <c r="I163" s="15"/>
      <c r="J163" s="15" t="s">
        <v>566</v>
      </c>
      <c r="K163" s="87">
        <v>17437.849999999999</v>
      </c>
    </row>
    <row r="164" spans="1:11" x14ac:dyDescent="0.25">
      <c r="A164" s="86">
        <v>46111</v>
      </c>
      <c r="B164" s="15" t="s">
        <v>13</v>
      </c>
      <c r="C164" s="15" t="s">
        <v>20</v>
      </c>
      <c r="D164" s="15" t="s">
        <v>13</v>
      </c>
      <c r="E164" s="15"/>
      <c r="F164" s="15"/>
      <c r="G164" s="87">
        <v>980</v>
      </c>
      <c r="H164" s="87"/>
      <c r="I164" s="15"/>
      <c r="J164" s="15" t="s">
        <v>566</v>
      </c>
      <c r="K164" s="87">
        <v>18417.849999999999</v>
      </c>
    </row>
    <row r="165" spans="1:11" hidden="1" x14ac:dyDescent="0.25">
      <c r="A165" s="86">
        <v>46111</v>
      </c>
      <c r="B165" s="15" t="s">
        <v>477</v>
      </c>
      <c r="C165" s="15" t="s">
        <v>20</v>
      </c>
      <c r="D165" s="15" t="s">
        <v>22</v>
      </c>
      <c r="E165" s="15" t="s">
        <v>17</v>
      </c>
      <c r="F165" s="15"/>
      <c r="G165" s="87">
        <v>0</v>
      </c>
      <c r="H165" s="87"/>
      <c r="I165" s="15"/>
      <c r="J165" s="15" t="s">
        <v>566</v>
      </c>
      <c r="K165" s="87">
        <v>18417.849999999999</v>
      </c>
    </row>
    <row r="166" spans="1:11" hidden="1" x14ac:dyDescent="0.25">
      <c r="A166" s="86">
        <v>46111</v>
      </c>
      <c r="B166" s="15" t="s">
        <v>23</v>
      </c>
      <c r="C166" s="15" t="s">
        <v>12</v>
      </c>
      <c r="D166" s="15" t="s">
        <v>24</v>
      </c>
      <c r="E166" s="15" t="s">
        <v>17</v>
      </c>
      <c r="F166" s="15" t="s">
        <v>25</v>
      </c>
      <c r="G166" s="87">
        <v>0</v>
      </c>
      <c r="H166" s="87"/>
      <c r="I166" s="15"/>
      <c r="J166" s="15" t="s">
        <v>566</v>
      </c>
      <c r="K166" s="87">
        <v>18417.849999999999</v>
      </c>
    </row>
    <row r="167" spans="1:11" hidden="1" x14ac:dyDescent="0.25">
      <c r="A167" s="86">
        <v>46111</v>
      </c>
      <c r="B167" s="15" t="s">
        <v>11</v>
      </c>
      <c r="C167" s="15" t="s">
        <v>12</v>
      </c>
      <c r="D167" s="15" t="s">
        <v>19</v>
      </c>
      <c r="E167" s="15" t="s">
        <v>14</v>
      </c>
      <c r="F167" s="15" t="s">
        <v>15</v>
      </c>
      <c r="G167" s="87">
        <v>329</v>
      </c>
      <c r="H167" s="87"/>
      <c r="I167" s="15"/>
      <c r="J167" s="15" t="s">
        <v>566</v>
      </c>
      <c r="K167" s="87">
        <v>18088.849999999999</v>
      </c>
    </row>
    <row r="168" spans="1:11" hidden="1" x14ac:dyDescent="0.25">
      <c r="A168" s="86">
        <v>46111</v>
      </c>
      <c r="B168" s="15" t="s">
        <v>370</v>
      </c>
      <c r="C168" s="15" t="s">
        <v>12</v>
      </c>
      <c r="D168" s="15" t="s">
        <v>19</v>
      </c>
      <c r="E168" s="15" t="s">
        <v>17</v>
      </c>
      <c r="F168" s="15" t="s">
        <v>25</v>
      </c>
      <c r="G168" s="87">
        <v>639</v>
      </c>
      <c r="H168" s="87"/>
      <c r="I168" s="15"/>
      <c r="J168" s="15" t="s">
        <v>566</v>
      </c>
      <c r="K168" s="87">
        <v>17449.849999999999</v>
      </c>
    </row>
    <row r="169" spans="1:11" hidden="1" x14ac:dyDescent="0.25">
      <c r="A169" s="86">
        <v>46111</v>
      </c>
      <c r="B169" s="15" t="s">
        <v>576</v>
      </c>
      <c r="C169" s="15" t="s">
        <v>12</v>
      </c>
      <c r="D169" s="15" t="s">
        <v>19</v>
      </c>
      <c r="E169" s="15" t="s">
        <v>17</v>
      </c>
      <c r="F169" s="15" t="s">
        <v>25</v>
      </c>
      <c r="G169" s="87">
        <v>382.5</v>
      </c>
      <c r="H169" s="87"/>
      <c r="I169" s="15"/>
      <c r="J169" s="15" t="s">
        <v>566</v>
      </c>
      <c r="K169" s="87">
        <v>17067.349999999999</v>
      </c>
    </row>
    <row r="170" spans="1:11" hidden="1" x14ac:dyDescent="0.25">
      <c r="A170" s="86">
        <v>46111</v>
      </c>
      <c r="B170" s="15" t="s">
        <v>590</v>
      </c>
      <c r="C170" s="15" t="s">
        <v>12</v>
      </c>
      <c r="D170" s="15" t="s">
        <v>64</v>
      </c>
      <c r="E170" s="15" t="s">
        <v>17</v>
      </c>
      <c r="F170" s="15" t="s">
        <v>25</v>
      </c>
      <c r="G170" s="87">
        <v>240</v>
      </c>
      <c r="H170" s="87"/>
      <c r="I170" s="15"/>
      <c r="J170" s="15" t="s">
        <v>566</v>
      </c>
      <c r="K170" s="87">
        <v>16827.349999999999</v>
      </c>
    </row>
    <row r="171" spans="1:11" hidden="1" x14ac:dyDescent="0.25">
      <c r="A171" s="86">
        <v>46111</v>
      </c>
      <c r="B171" s="15" t="s">
        <v>283</v>
      </c>
      <c r="C171" s="15" t="s">
        <v>12</v>
      </c>
      <c r="D171" s="15" t="s">
        <v>19</v>
      </c>
      <c r="E171" s="15" t="s">
        <v>17</v>
      </c>
      <c r="F171" s="15"/>
      <c r="G171" s="87">
        <v>211.23</v>
      </c>
      <c r="H171" s="87"/>
      <c r="I171" s="15"/>
      <c r="J171" s="15" t="s">
        <v>566</v>
      </c>
      <c r="K171" s="87">
        <v>16616.12</v>
      </c>
    </row>
    <row r="172" spans="1:11" hidden="1" x14ac:dyDescent="0.25">
      <c r="A172" s="86">
        <v>46111</v>
      </c>
      <c r="B172" s="15" t="s">
        <v>283</v>
      </c>
      <c r="C172" s="15" t="s">
        <v>12</v>
      </c>
      <c r="D172" s="15" t="s">
        <v>19</v>
      </c>
      <c r="E172" s="15" t="s">
        <v>17</v>
      </c>
      <c r="F172" s="15"/>
      <c r="G172" s="87">
        <v>416.99</v>
      </c>
      <c r="H172" s="87"/>
      <c r="I172" s="15"/>
      <c r="J172" s="15" t="s">
        <v>566</v>
      </c>
      <c r="K172" s="87">
        <v>16199.13</v>
      </c>
    </row>
    <row r="173" spans="1:11" hidden="1" x14ac:dyDescent="0.25">
      <c r="A173" s="86">
        <v>46112</v>
      </c>
      <c r="B173" s="15" t="s">
        <v>443</v>
      </c>
      <c r="C173" s="15" t="s">
        <v>12</v>
      </c>
      <c r="D173" s="15" t="s">
        <v>58</v>
      </c>
      <c r="E173" s="15" t="s">
        <v>17</v>
      </c>
      <c r="F173" s="15"/>
      <c r="G173" s="87">
        <v>67.62</v>
      </c>
      <c r="H173" s="87"/>
      <c r="I173" s="15"/>
      <c r="J173" s="15" t="s">
        <v>566</v>
      </c>
      <c r="K173" s="87">
        <v>16131.51</v>
      </c>
    </row>
    <row r="174" spans="1:11" hidden="1" x14ac:dyDescent="0.25">
      <c r="A174" s="86">
        <v>46112</v>
      </c>
      <c r="B174" s="15" t="s">
        <v>303</v>
      </c>
      <c r="C174" s="15" t="s">
        <v>12</v>
      </c>
      <c r="D174" s="15" t="s">
        <v>39</v>
      </c>
      <c r="E174" s="15" t="s">
        <v>17</v>
      </c>
      <c r="F174" s="15"/>
      <c r="G174" s="87">
        <v>374.92</v>
      </c>
      <c r="H174" s="87"/>
      <c r="I174" s="15"/>
      <c r="J174" s="15" t="s">
        <v>566</v>
      </c>
      <c r="K174" s="87">
        <v>15756.59</v>
      </c>
    </row>
    <row r="175" spans="1:11" hidden="1" x14ac:dyDescent="0.25">
      <c r="A175" s="86">
        <v>46112</v>
      </c>
      <c r="B175" s="15" t="s">
        <v>304</v>
      </c>
      <c r="C175" s="15" t="s">
        <v>12</v>
      </c>
      <c r="D175" s="15" t="s">
        <v>68</v>
      </c>
      <c r="E175" s="15" t="s">
        <v>17</v>
      </c>
      <c r="F175" s="15" t="s">
        <v>25</v>
      </c>
      <c r="G175" s="87">
        <v>600</v>
      </c>
      <c r="H175" s="87"/>
      <c r="I175" s="15"/>
      <c r="J175" s="15" t="s">
        <v>566</v>
      </c>
      <c r="K175" s="87">
        <v>15156.59</v>
      </c>
    </row>
    <row r="176" spans="1:11" hidden="1" x14ac:dyDescent="0.25">
      <c r="A176" s="86">
        <v>46112</v>
      </c>
      <c r="B176" s="15" t="s">
        <v>369</v>
      </c>
      <c r="C176" s="15" t="s">
        <v>12</v>
      </c>
      <c r="D176" s="15" t="s">
        <v>19</v>
      </c>
      <c r="E176" s="15" t="s">
        <v>17</v>
      </c>
      <c r="F176" s="15"/>
      <c r="G176" s="87">
        <v>2664</v>
      </c>
      <c r="H176" s="87"/>
      <c r="I176" s="15"/>
      <c r="J176" s="15" t="s">
        <v>566</v>
      </c>
      <c r="K176" s="87">
        <v>12492.59</v>
      </c>
    </row>
    <row r="177" spans="1:11" hidden="1" x14ac:dyDescent="0.25">
      <c r="A177" s="86">
        <v>46112</v>
      </c>
      <c r="B177" s="15" t="s">
        <v>369</v>
      </c>
      <c r="C177" s="15" t="s">
        <v>12</v>
      </c>
      <c r="D177" s="15" t="s">
        <v>19</v>
      </c>
      <c r="E177" s="15" t="s">
        <v>17</v>
      </c>
      <c r="F177" s="15"/>
      <c r="G177" s="87">
        <v>308.14999999999998</v>
      </c>
      <c r="H177" s="87"/>
      <c r="I177" s="15"/>
      <c r="J177" s="15" t="s">
        <v>566</v>
      </c>
      <c r="K177" s="87">
        <v>12184.44</v>
      </c>
    </row>
    <row r="178" spans="1:11" hidden="1" x14ac:dyDescent="0.25">
      <c r="A178" s="88">
        <v>46112</v>
      </c>
      <c r="B178" s="15" t="s">
        <v>569</v>
      </c>
      <c r="C178" s="15" t="s">
        <v>12</v>
      </c>
      <c r="D178" s="15" t="s">
        <v>39</v>
      </c>
      <c r="E178" s="15" t="s">
        <v>14</v>
      </c>
      <c r="F178" s="15" t="s">
        <v>15</v>
      </c>
      <c r="G178" s="87">
        <v>2976.15</v>
      </c>
      <c r="H178" s="87"/>
      <c r="I178" s="15"/>
      <c r="J178" s="15" t="s">
        <v>566</v>
      </c>
      <c r="K178" s="87">
        <v>9208.2900000000027</v>
      </c>
    </row>
    <row r="179" spans="1:11" hidden="1" x14ac:dyDescent="0.25">
      <c r="A179" s="86">
        <v>46112</v>
      </c>
      <c r="B179" s="15" t="s">
        <v>564</v>
      </c>
      <c r="C179" s="15" t="s">
        <v>12</v>
      </c>
      <c r="D179" s="15" t="s">
        <v>27</v>
      </c>
      <c r="E179" s="15" t="s">
        <v>17</v>
      </c>
      <c r="F179" s="15"/>
      <c r="G179" s="87">
        <v>2386.67</v>
      </c>
      <c r="H179" s="87"/>
      <c r="I179" s="15"/>
      <c r="J179" s="15" t="s">
        <v>566</v>
      </c>
      <c r="K179" s="87">
        <v>6821.6200000000026</v>
      </c>
    </row>
    <row r="180" spans="1:11" x14ac:dyDescent="0.25">
      <c r="A180" s="86">
        <v>46112</v>
      </c>
      <c r="B180" s="15" t="s">
        <v>13</v>
      </c>
      <c r="C180" s="15" t="s">
        <v>20</v>
      </c>
      <c r="D180" s="15" t="s">
        <v>13</v>
      </c>
      <c r="E180" s="15"/>
      <c r="F180" s="15"/>
      <c r="G180" s="87">
        <v>601</v>
      </c>
      <c r="H180" s="87"/>
      <c r="I180" s="15"/>
      <c r="J180" s="15" t="s">
        <v>566</v>
      </c>
      <c r="K180" s="87">
        <v>7422.6200000000026</v>
      </c>
    </row>
    <row r="181" spans="1:11" hidden="1" x14ac:dyDescent="0.25">
      <c r="A181" s="86">
        <v>46112</v>
      </c>
      <c r="B181" s="15" t="s">
        <v>21</v>
      </c>
      <c r="C181" s="15" t="s">
        <v>20</v>
      </c>
      <c r="D181" s="15" t="s">
        <v>22</v>
      </c>
      <c r="E181" s="15" t="s">
        <v>17</v>
      </c>
      <c r="F181" s="15"/>
      <c r="G181" s="87">
        <v>0</v>
      </c>
      <c r="H181" s="87"/>
      <c r="I181" s="15"/>
      <c r="J181" s="15" t="s">
        <v>566</v>
      </c>
      <c r="K181" s="87">
        <v>7422.6200000000026</v>
      </c>
    </row>
    <row r="182" spans="1:11" hidden="1" x14ac:dyDescent="0.25">
      <c r="A182" s="86">
        <v>46112</v>
      </c>
      <c r="B182" s="15" t="s">
        <v>23</v>
      </c>
      <c r="C182" s="15" t="s">
        <v>12</v>
      </c>
      <c r="D182" s="15" t="s">
        <v>24</v>
      </c>
      <c r="E182" s="15" t="s">
        <v>17</v>
      </c>
      <c r="F182" s="15" t="s">
        <v>25</v>
      </c>
      <c r="G182" s="87">
        <v>8</v>
      </c>
      <c r="H182" s="87"/>
      <c r="I182" s="15"/>
      <c r="J182" s="15" t="s">
        <v>566</v>
      </c>
      <c r="K182" s="87">
        <v>7414.6200000000026</v>
      </c>
    </row>
    <row r="183" spans="1:11" hidden="1" x14ac:dyDescent="0.25">
      <c r="A183" s="86">
        <v>46112</v>
      </c>
      <c r="B183" s="15" t="s">
        <v>119</v>
      </c>
      <c r="C183" s="15" t="s">
        <v>12</v>
      </c>
      <c r="D183" s="15" t="s">
        <v>19</v>
      </c>
      <c r="E183" s="15" t="s">
        <v>14</v>
      </c>
      <c r="F183" s="15" t="s">
        <v>25</v>
      </c>
      <c r="G183" s="87">
        <v>50</v>
      </c>
      <c r="H183" s="87"/>
      <c r="I183" s="15"/>
      <c r="J183" s="15" t="s">
        <v>566</v>
      </c>
      <c r="K183" s="87">
        <v>7364.6200000000026</v>
      </c>
    </row>
    <row r="184" spans="1:11" hidden="1" x14ac:dyDescent="0.25">
      <c r="A184" s="86">
        <v>46112</v>
      </c>
      <c r="B184" s="15" t="s">
        <v>490</v>
      </c>
      <c r="C184" s="15" t="s">
        <v>12</v>
      </c>
      <c r="D184" s="15" t="s">
        <v>39</v>
      </c>
      <c r="E184" s="15" t="s">
        <v>17</v>
      </c>
      <c r="F184" s="15" t="s">
        <v>25</v>
      </c>
      <c r="G184" s="87">
        <v>150</v>
      </c>
      <c r="H184" s="87"/>
      <c r="I184" s="15"/>
      <c r="J184" s="15" t="s">
        <v>566</v>
      </c>
      <c r="K184" s="87">
        <v>7214.6200000000026</v>
      </c>
    </row>
    <row r="185" spans="1:11" hidden="1" x14ac:dyDescent="0.25">
      <c r="A185" s="86">
        <v>46112</v>
      </c>
      <c r="B185" s="15" t="s">
        <v>591</v>
      </c>
      <c r="C185" s="15" t="s">
        <v>12</v>
      </c>
      <c r="D185" s="15" t="s">
        <v>29</v>
      </c>
      <c r="E185" s="15" t="s">
        <v>17</v>
      </c>
      <c r="F185" s="15" t="s">
        <v>25</v>
      </c>
      <c r="G185" s="87">
        <v>19</v>
      </c>
      <c r="H185" s="87"/>
      <c r="I185" s="15"/>
      <c r="J185" s="15" t="s">
        <v>566</v>
      </c>
      <c r="K185" s="87">
        <v>7195.6200000000026</v>
      </c>
    </row>
    <row r="186" spans="1:11" hidden="1" x14ac:dyDescent="0.25">
      <c r="A186" s="86">
        <v>46112</v>
      </c>
      <c r="B186" s="15" t="s">
        <v>592</v>
      </c>
      <c r="C186" s="15" t="s">
        <v>12</v>
      </c>
      <c r="D186" s="15" t="s">
        <v>29</v>
      </c>
      <c r="E186" s="15" t="s">
        <v>17</v>
      </c>
      <c r="F186" s="15" t="s">
        <v>25</v>
      </c>
      <c r="G186" s="87">
        <v>80</v>
      </c>
      <c r="H186" s="87"/>
      <c r="I186" s="15"/>
      <c r="J186" s="15" t="s">
        <v>566</v>
      </c>
      <c r="K186" s="87">
        <v>7115.6200000000026</v>
      </c>
    </row>
    <row r="187" spans="1:11" hidden="1" x14ac:dyDescent="0.25">
      <c r="A187" s="86">
        <v>46112</v>
      </c>
      <c r="B187" s="15" t="s">
        <v>593</v>
      </c>
      <c r="C187" s="15" t="s">
        <v>12</v>
      </c>
      <c r="D187" s="15" t="s">
        <v>19</v>
      </c>
      <c r="E187" s="15" t="s">
        <v>17</v>
      </c>
      <c r="F187" s="15" t="s">
        <v>25</v>
      </c>
      <c r="G187" s="87">
        <v>399.5</v>
      </c>
      <c r="H187" s="87"/>
      <c r="I187" s="15"/>
      <c r="J187" s="15" t="s">
        <v>566</v>
      </c>
      <c r="K187" s="87">
        <v>6716.1200000000026</v>
      </c>
    </row>
    <row r="188" spans="1:11" hidden="1" x14ac:dyDescent="0.25">
      <c r="A188" s="86">
        <v>46112</v>
      </c>
      <c r="B188" s="15" t="s">
        <v>16</v>
      </c>
      <c r="C188" s="15" t="s">
        <v>12</v>
      </c>
      <c r="D188" s="15" t="s">
        <v>16</v>
      </c>
      <c r="E188" s="15" t="s">
        <v>17</v>
      </c>
      <c r="F188" s="15"/>
      <c r="G188" s="87">
        <v>13185</v>
      </c>
      <c r="H188" s="87"/>
      <c r="I188" s="15"/>
      <c r="J188" s="15" t="s">
        <v>566</v>
      </c>
      <c r="K188" s="87">
        <v>-6468.8799999999974</v>
      </c>
    </row>
  </sheetData>
  <autoFilter ref="A1:K188" xr:uid="{00000000-0009-0000-0000-000009000000}">
    <filterColumn colId="2">
      <filters>
        <filter val="Entrada"/>
      </filters>
    </filterColumn>
    <filterColumn colId="3">
      <filters>
        <filter val="Cartao de Credito"/>
        <filter val="Contabilidade"/>
        <filter val="CustoFixo"/>
        <filter val="Frete"/>
        <filter val="iFood"/>
        <filter val="Impostos"/>
        <filter val="Manutenção"/>
        <filter val="Marketing"/>
        <filter val="Mat Consumo"/>
        <filter val="Matéria Prima"/>
        <filter val="Royalt"/>
        <filter val="Salário"/>
        <filter val="Tortelli"/>
        <filter val="Vendas"/>
      </filters>
    </filterColumn>
  </autoFilter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K182"/>
  <sheetViews>
    <sheetView workbookViewId="0"/>
  </sheetViews>
  <sheetFormatPr defaultColWidth="14.42578125" defaultRowHeight="15" customHeight="1" x14ac:dyDescent="0.25"/>
  <sheetData>
    <row r="1" spans="1:11" x14ac:dyDescent="0.25">
      <c r="A1" s="21" t="s">
        <v>1</v>
      </c>
      <c r="B1" s="21" t="s">
        <v>2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  <c r="H1" s="21"/>
      <c r="I1" s="21" t="s">
        <v>8</v>
      </c>
      <c r="J1" s="21" t="s">
        <v>9</v>
      </c>
      <c r="K1" s="21" t="s">
        <v>10</v>
      </c>
    </row>
    <row r="2" spans="1:11" x14ac:dyDescent="0.25">
      <c r="A2" s="78">
        <v>46113</v>
      </c>
      <c r="B2" s="21" t="s">
        <v>13</v>
      </c>
      <c r="C2" s="21" t="s">
        <v>20</v>
      </c>
      <c r="D2" s="21" t="s">
        <v>13</v>
      </c>
      <c r="E2" s="21"/>
      <c r="F2" s="21"/>
      <c r="G2" s="24">
        <v>3280</v>
      </c>
      <c r="H2" s="24"/>
      <c r="J2" s="21" t="s">
        <v>594</v>
      </c>
      <c r="K2" s="24">
        <v>3280</v>
      </c>
    </row>
    <row r="3" spans="1:11" x14ac:dyDescent="0.25">
      <c r="A3" s="78">
        <v>46113</v>
      </c>
      <c r="B3" s="21" t="s">
        <v>21</v>
      </c>
      <c r="C3" s="21" t="s">
        <v>20</v>
      </c>
      <c r="D3" s="21" t="s">
        <v>22</v>
      </c>
      <c r="E3" s="21" t="s">
        <v>17</v>
      </c>
      <c r="F3" s="21"/>
      <c r="G3" s="24">
        <v>173.6</v>
      </c>
      <c r="H3" s="24"/>
      <c r="J3" s="21" t="s">
        <v>594</v>
      </c>
      <c r="K3" s="24">
        <v>3453.6</v>
      </c>
    </row>
    <row r="4" spans="1:11" x14ac:dyDescent="0.25">
      <c r="A4" s="78">
        <v>46113</v>
      </c>
      <c r="B4" s="21" t="s">
        <v>23</v>
      </c>
      <c r="C4" s="21" t="s">
        <v>12</v>
      </c>
      <c r="D4" s="21" t="s">
        <v>24</v>
      </c>
      <c r="E4" s="21" t="s">
        <v>17</v>
      </c>
      <c r="F4" s="21" t="s">
        <v>25</v>
      </c>
      <c r="G4" s="24">
        <v>35</v>
      </c>
      <c r="H4" s="24"/>
      <c r="J4" s="21" t="s">
        <v>594</v>
      </c>
      <c r="K4" s="24">
        <v>3418.6</v>
      </c>
    </row>
    <row r="5" spans="1:11" x14ac:dyDescent="0.25">
      <c r="A5" s="78">
        <v>46113</v>
      </c>
      <c r="B5" s="21" t="s">
        <v>11</v>
      </c>
      <c r="C5" s="21" t="s">
        <v>12</v>
      </c>
      <c r="D5" s="21" t="s">
        <v>19</v>
      </c>
      <c r="E5" s="21" t="s">
        <v>14</v>
      </c>
      <c r="F5" s="21" t="s">
        <v>15</v>
      </c>
      <c r="G5" s="24">
        <v>188</v>
      </c>
      <c r="H5" s="24"/>
      <c r="J5" s="21" t="s">
        <v>594</v>
      </c>
      <c r="K5" s="24">
        <v>3230.6</v>
      </c>
    </row>
    <row r="6" spans="1:11" x14ac:dyDescent="0.25">
      <c r="A6" s="78">
        <v>46113</v>
      </c>
      <c r="B6" s="21" t="s">
        <v>595</v>
      </c>
      <c r="C6" s="21" t="s">
        <v>12</v>
      </c>
      <c r="D6" s="21" t="s">
        <v>33</v>
      </c>
      <c r="E6" s="21" t="s">
        <v>14</v>
      </c>
      <c r="F6" s="21" t="s">
        <v>15</v>
      </c>
      <c r="G6" s="24">
        <v>15</v>
      </c>
      <c r="H6" s="24"/>
      <c r="J6" s="21" t="s">
        <v>594</v>
      </c>
      <c r="K6" s="24">
        <v>3215.6</v>
      </c>
    </row>
    <row r="7" spans="1:11" x14ac:dyDescent="0.25">
      <c r="A7" s="78">
        <v>46114</v>
      </c>
      <c r="B7" s="21" t="s">
        <v>354</v>
      </c>
      <c r="C7" s="21" t="s">
        <v>12</v>
      </c>
      <c r="D7" s="21" t="s">
        <v>19</v>
      </c>
      <c r="E7" s="21" t="s">
        <v>17</v>
      </c>
      <c r="F7" s="21"/>
      <c r="G7" s="24">
        <v>484.05</v>
      </c>
      <c r="H7" s="24"/>
      <c r="J7" s="21" t="s">
        <v>594</v>
      </c>
      <c r="K7" s="24">
        <v>2731.55</v>
      </c>
    </row>
    <row r="8" spans="1:11" x14ac:dyDescent="0.25">
      <c r="A8" s="78">
        <v>46114</v>
      </c>
      <c r="B8" s="21" t="s">
        <v>13</v>
      </c>
      <c r="C8" s="21" t="s">
        <v>20</v>
      </c>
      <c r="D8" s="21" t="s">
        <v>13</v>
      </c>
      <c r="E8" s="21"/>
      <c r="F8" s="21"/>
      <c r="G8" s="24">
        <v>5110</v>
      </c>
      <c r="H8" s="24"/>
      <c r="J8" s="21" t="s">
        <v>594</v>
      </c>
      <c r="K8" s="24">
        <v>7841.5499999999993</v>
      </c>
    </row>
    <row r="9" spans="1:11" x14ac:dyDescent="0.25">
      <c r="A9" s="78">
        <v>46114</v>
      </c>
      <c r="B9" s="21" t="s">
        <v>21</v>
      </c>
      <c r="C9" s="21" t="s">
        <v>20</v>
      </c>
      <c r="D9" s="21" t="s">
        <v>22</v>
      </c>
      <c r="E9" s="21" t="s">
        <v>17</v>
      </c>
      <c r="F9" s="21"/>
      <c r="G9" s="24">
        <v>97.5</v>
      </c>
      <c r="H9" s="24"/>
      <c r="J9" s="21" t="s">
        <v>594</v>
      </c>
      <c r="K9" s="24">
        <v>7939.0499999999993</v>
      </c>
    </row>
    <row r="10" spans="1:11" x14ac:dyDescent="0.25">
      <c r="A10" s="78">
        <v>46114</v>
      </c>
      <c r="B10" s="21" t="s">
        <v>23</v>
      </c>
      <c r="C10" s="21" t="s">
        <v>12</v>
      </c>
      <c r="D10" s="21" t="s">
        <v>24</v>
      </c>
      <c r="E10" s="21" t="s">
        <v>17</v>
      </c>
      <c r="F10" s="21" t="s">
        <v>25</v>
      </c>
      <c r="G10" s="24">
        <v>27</v>
      </c>
      <c r="H10" s="24"/>
      <c r="J10" s="21" t="s">
        <v>594</v>
      </c>
      <c r="K10" s="24">
        <v>7912.0499999999993</v>
      </c>
    </row>
    <row r="11" spans="1:11" x14ac:dyDescent="0.25">
      <c r="A11" s="78">
        <v>46114</v>
      </c>
      <c r="B11" s="21" t="s">
        <v>11</v>
      </c>
      <c r="C11" s="21" t="s">
        <v>12</v>
      </c>
      <c r="D11" s="21" t="s">
        <v>19</v>
      </c>
      <c r="E11" s="21" t="s">
        <v>14</v>
      </c>
      <c r="F11" s="21" t="s">
        <v>15</v>
      </c>
      <c r="G11" s="24">
        <v>0</v>
      </c>
      <c r="H11" s="24"/>
      <c r="J11" s="21" t="s">
        <v>594</v>
      </c>
      <c r="K11" s="24">
        <v>7912.0499999999993</v>
      </c>
    </row>
    <row r="12" spans="1:11" x14ac:dyDescent="0.25">
      <c r="A12" s="78">
        <v>46115</v>
      </c>
      <c r="B12" s="21" t="s">
        <v>13</v>
      </c>
      <c r="C12" s="21" t="s">
        <v>20</v>
      </c>
      <c r="D12" s="21" t="s">
        <v>13</v>
      </c>
      <c r="E12" s="21"/>
      <c r="F12" s="21"/>
      <c r="G12" s="24">
        <v>7846</v>
      </c>
      <c r="H12" s="24"/>
      <c r="J12" s="21" t="s">
        <v>594</v>
      </c>
      <c r="K12" s="24">
        <v>15758.05</v>
      </c>
    </row>
    <row r="13" spans="1:11" x14ac:dyDescent="0.25">
      <c r="A13" s="78">
        <v>46115</v>
      </c>
      <c r="B13" s="21" t="s">
        <v>21</v>
      </c>
      <c r="C13" s="21" t="s">
        <v>20</v>
      </c>
      <c r="D13" s="21" t="s">
        <v>22</v>
      </c>
      <c r="E13" s="21" t="s">
        <v>17</v>
      </c>
      <c r="F13" s="21"/>
      <c r="G13" s="24">
        <v>219.1</v>
      </c>
      <c r="H13" s="24"/>
      <c r="J13" s="21" t="s">
        <v>594</v>
      </c>
      <c r="K13" s="24">
        <v>15977.15</v>
      </c>
    </row>
    <row r="14" spans="1:11" x14ac:dyDescent="0.25">
      <c r="A14" s="78">
        <v>46115</v>
      </c>
      <c r="B14" s="21" t="s">
        <v>23</v>
      </c>
      <c r="C14" s="21" t="s">
        <v>12</v>
      </c>
      <c r="D14" s="21" t="s">
        <v>24</v>
      </c>
      <c r="E14" s="21" t="s">
        <v>17</v>
      </c>
      <c r="F14" s="21" t="s">
        <v>25</v>
      </c>
      <c r="G14" s="24">
        <v>36</v>
      </c>
      <c r="H14" s="24"/>
      <c r="J14" s="21" t="s">
        <v>594</v>
      </c>
      <c r="K14" s="24">
        <v>15941.15</v>
      </c>
    </row>
    <row r="15" spans="1:11" x14ac:dyDescent="0.25">
      <c r="A15" s="78">
        <v>46115</v>
      </c>
      <c r="B15" s="21" t="s">
        <v>11</v>
      </c>
      <c r="C15" s="21" t="s">
        <v>12</v>
      </c>
      <c r="D15" s="21" t="s">
        <v>19</v>
      </c>
      <c r="E15" s="21" t="s">
        <v>14</v>
      </c>
      <c r="F15" s="21" t="s">
        <v>15</v>
      </c>
      <c r="G15" s="24">
        <v>376</v>
      </c>
      <c r="H15" s="24"/>
      <c r="J15" s="21" t="s">
        <v>594</v>
      </c>
      <c r="K15" s="24">
        <v>15565.15</v>
      </c>
    </row>
    <row r="16" spans="1:11" x14ac:dyDescent="0.25">
      <c r="A16" s="78">
        <v>46116</v>
      </c>
      <c r="B16" s="21" t="s">
        <v>13</v>
      </c>
      <c r="C16" s="21" t="s">
        <v>20</v>
      </c>
      <c r="D16" s="21" t="s">
        <v>13</v>
      </c>
      <c r="E16" s="21"/>
      <c r="F16" s="21"/>
      <c r="G16" s="24">
        <v>9776</v>
      </c>
      <c r="H16" s="24"/>
      <c r="J16" s="21" t="s">
        <v>594</v>
      </c>
      <c r="K16" s="24">
        <v>25341.15</v>
      </c>
    </row>
    <row r="17" spans="1:11" x14ac:dyDescent="0.25">
      <c r="A17" s="78">
        <v>46117</v>
      </c>
      <c r="B17" s="21" t="s">
        <v>21</v>
      </c>
      <c r="C17" s="21" t="s">
        <v>20</v>
      </c>
      <c r="D17" s="21" t="s">
        <v>22</v>
      </c>
      <c r="E17" s="21" t="s">
        <v>17</v>
      </c>
      <c r="F17" s="21"/>
      <c r="G17" s="24">
        <v>58.5</v>
      </c>
      <c r="H17" s="24"/>
      <c r="J17" s="21" t="s">
        <v>594</v>
      </c>
      <c r="K17" s="24">
        <v>25399.65</v>
      </c>
    </row>
    <row r="18" spans="1:11" x14ac:dyDescent="0.25">
      <c r="A18" s="78">
        <v>46118</v>
      </c>
      <c r="B18" s="21" t="s">
        <v>23</v>
      </c>
      <c r="C18" s="21" t="s">
        <v>12</v>
      </c>
      <c r="D18" s="21" t="s">
        <v>24</v>
      </c>
      <c r="E18" s="21" t="s">
        <v>17</v>
      </c>
      <c r="F18" s="21" t="s">
        <v>25</v>
      </c>
      <c r="G18" s="24">
        <v>9</v>
      </c>
      <c r="H18" s="24"/>
      <c r="J18" s="21" t="s">
        <v>594</v>
      </c>
      <c r="K18" s="24">
        <v>25390.65</v>
      </c>
    </row>
    <row r="19" spans="1:11" x14ac:dyDescent="0.25">
      <c r="A19" s="78">
        <v>46119</v>
      </c>
      <c r="B19" s="21" t="s">
        <v>596</v>
      </c>
      <c r="C19" s="21" t="s">
        <v>12</v>
      </c>
      <c r="D19" s="21" t="s">
        <v>62</v>
      </c>
      <c r="E19" s="21" t="s">
        <v>14</v>
      </c>
      <c r="F19" s="21" t="s">
        <v>15</v>
      </c>
      <c r="G19" s="24">
        <v>132</v>
      </c>
      <c r="H19" s="24"/>
      <c r="J19" s="21" t="s">
        <v>594</v>
      </c>
      <c r="K19" s="24">
        <v>25258.65</v>
      </c>
    </row>
    <row r="20" spans="1:11" x14ac:dyDescent="0.25">
      <c r="A20" s="78">
        <v>46117</v>
      </c>
      <c r="B20" s="21" t="s">
        <v>13</v>
      </c>
      <c r="C20" s="21" t="s">
        <v>20</v>
      </c>
      <c r="D20" s="21" t="s">
        <v>13</v>
      </c>
      <c r="E20" s="21"/>
      <c r="F20" s="21"/>
      <c r="G20" s="24">
        <v>5201</v>
      </c>
      <c r="H20" s="24"/>
      <c r="J20" s="21" t="s">
        <v>594</v>
      </c>
      <c r="K20" s="24">
        <v>30459.65</v>
      </c>
    </row>
    <row r="21" spans="1:11" x14ac:dyDescent="0.25">
      <c r="A21" s="78">
        <v>46117</v>
      </c>
      <c r="B21" s="21" t="s">
        <v>21</v>
      </c>
      <c r="C21" s="21" t="s">
        <v>20</v>
      </c>
      <c r="D21" s="21" t="s">
        <v>22</v>
      </c>
      <c r="E21" s="21" t="s">
        <v>17</v>
      </c>
      <c r="F21" s="21"/>
      <c r="G21" s="24">
        <v>123.3</v>
      </c>
      <c r="H21" s="24"/>
      <c r="J21" s="21" t="s">
        <v>594</v>
      </c>
      <c r="K21" s="24">
        <v>30582.95</v>
      </c>
    </row>
    <row r="22" spans="1:11" x14ac:dyDescent="0.25">
      <c r="A22" s="78">
        <v>46117</v>
      </c>
      <c r="B22" s="21" t="s">
        <v>23</v>
      </c>
      <c r="C22" s="21" t="s">
        <v>12</v>
      </c>
      <c r="D22" s="21" t="s">
        <v>24</v>
      </c>
      <c r="E22" s="21" t="s">
        <v>17</v>
      </c>
      <c r="F22" s="21" t="s">
        <v>25</v>
      </c>
      <c r="G22" s="24">
        <v>27</v>
      </c>
      <c r="H22" s="24"/>
      <c r="J22" s="21" t="s">
        <v>594</v>
      </c>
      <c r="K22" s="24">
        <v>30555.95</v>
      </c>
    </row>
    <row r="23" spans="1:11" x14ac:dyDescent="0.25">
      <c r="A23" s="78">
        <v>46117</v>
      </c>
      <c r="B23" s="21" t="s">
        <v>11</v>
      </c>
      <c r="C23" s="21" t="s">
        <v>12</v>
      </c>
      <c r="D23" s="21" t="s">
        <v>19</v>
      </c>
      <c r="E23" s="21" t="s">
        <v>14</v>
      </c>
      <c r="F23" s="21" t="s">
        <v>15</v>
      </c>
      <c r="G23" s="24">
        <v>94</v>
      </c>
      <c r="H23" s="24"/>
      <c r="J23" s="21" t="s">
        <v>594</v>
      </c>
      <c r="K23" s="24">
        <v>30461.95</v>
      </c>
    </row>
    <row r="24" spans="1:11" x14ac:dyDescent="0.25">
      <c r="A24" s="78">
        <v>46118</v>
      </c>
      <c r="B24" s="21" t="s">
        <v>13</v>
      </c>
      <c r="C24" s="21" t="s">
        <v>20</v>
      </c>
      <c r="D24" s="21" t="s">
        <v>13</v>
      </c>
      <c r="E24" s="21"/>
      <c r="F24" s="21"/>
      <c r="G24" s="24">
        <v>1472</v>
      </c>
      <c r="H24" s="24"/>
      <c r="J24" s="21" t="s">
        <v>594</v>
      </c>
      <c r="K24" s="24">
        <v>31933.95</v>
      </c>
    </row>
    <row r="25" spans="1:11" x14ac:dyDescent="0.25">
      <c r="A25" s="78">
        <v>46118</v>
      </c>
      <c r="B25" s="21" t="s">
        <v>21</v>
      </c>
      <c r="C25" s="21" t="s">
        <v>20</v>
      </c>
      <c r="D25" s="21" t="s">
        <v>22</v>
      </c>
      <c r="E25" s="21" t="s">
        <v>17</v>
      </c>
      <c r="F25" s="21"/>
      <c r="G25" s="24">
        <v>0</v>
      </c>
      <c r="H25" s="24"/>
      <c r="J25" s="21" t="s">
        <v>594</v>
      </c>
      <c r="K25" s="24">
        <v>31933.95</v>
      </c>
    </row>
    <row r="26" spans="1:11" x14ac:dyDescent="0.25">
      <c r="A26" s="78">
        <v>46118</v>
      </c>
      <c r="B26" s="21" t="s">
        <v>23</v>
      </c>
      <c r="C26" s="21" t="s">
        <v>12</v>
      </c>
      <c r="D26" s="21" t="s">
        <v>24</v>
      </c>
      <c r="E26" s="21" t="s">
        <v>17</v>
      </c>
      <c r="F26" s="21" t="s">
        <v>25</v>
      </c>
      <c r="G26" s="24">
        <v>0</v>
      </c>
      <c r="H26" s="24"/>
      <c r="J26" s="21" t="s">
        <v>594</v>
      </c>
      <c r="K26" s="24">
        <v>31933.95</v>
      </c>
    </row>
    <row r="27" spans="1:11" x14ac:dyDescent="0.25">
      <c r="A27" s="78">
        <v>46118</v>
      </c>
      <c r="B27" s="21" t="s">
        <v>11</v>
      </c>
      <c r="C27" s="21" t="s">
        <v>12</v>
      </c>
      <c r="D27" s="21" t="s">
        <v>19</v>
      </c>
      <c r="E27" s="21" t="s">
        <v>14</v>
      </c>
      <c r="F27" s="21" t="s">
        <v>15</v>
      </c>
      <c r="G27" s="24">
        <v>0</v>
      </c>
      <c r="H27" s="24"/>
      <c r="J27" s="21" t="s">
        <v>594</v>
      </c>
      <c r="K27" s="24">
        <v>31933.95</v>
      </c>
    </row>
    <row r="28" spans="1:11" x14ac:dyDescent="0.25">
      <c r="A28" s="78">
        <v>46118</v>
      </c>
      <c r="B28" s="21" t="s">
        <v>321</v>
      </c>
      <c r="C28" s="21" t="s">
        <v>12</v>
      </c>
      <c r="D28" s="21" t="s">
        <v>39</v>
      </c>
      <c r="E28" s="21" t="s">
        <v>17</v>
      </c>
      <c r="F28" s="21"/>
      <c r="G28" s="24">
        <v>8918.64</v>
      </c>
      <c r="H28" s="24"/>
      <c r="J28" s="21" t="s">
        <v>594</v>
      </c>
      <c r="K28" s="24">
        <v>23015.31</v>
      </c>
    </row>
    <row r="29" spans="1:11" x14ac:dyDescent="0.25">
      <c r="A29" s="78">
        <v>46118</v>
      </c>
      <c r="B29" s="21" t="s">
        <v>322</v>
      </c>
      <c r="C29" s="21" t="s">
        <v>12</v>
      </c>
      <c r="D29" s="21" t="s">
        <v>39</v>
      </c>
      <c r="E29" s="21" t="s">
        <v>17</v>
      </c>
      <c r="F29" s="21" t="s">
        <v>25</v>
      </c>
      <c r="G29" s="24">
        <v>94.6</v>
      </c>
      <c r="H29" s="24"/>
      <c r="J29" s="21" t="s">
        <v>594</v>
      </c>
      <c r="K29" s="24">
        <v>22920.71</v>
      </c>
    </row>
    <row r="30" spans="1:11" x14ac:dyDescent="0.25">
      <c r="A30" s="78">
        <v>46118</v>
      </c>
      <c r="B30" s="21" t="s">
        <v>41</v>
      </c>
      <c r="C30" s="21" t="s">
        <v>12</v>
      </c>
      <c r="D30" s="21" t="s">
        <v>39</v>
      </c>
      <c r="E30" s="21" t="s">
        <v>17</v>
      </c>
      <c r="F30" s="21"/>
      <c r="G30" s="24">
        <v>100</v>
      </c>
      <c r="H30" s="24"/>
      <c r="J30" s="21" t="s">
        <v>594</v>
      </c>
      <c r="K30" s="24">
        <v>22820.71</v>
      </c>
    </row>
    <row r="31" spans="1:11" x14ac:dyDescent="0.25">
      <c r="A31" s="78">
        <v>46118</v>
      </c>
      <c r="B31" s="21" t="s">
        <v>597</v>
      </c>
      <c r="C31" s="21" t="s">
        <v>12</v>
      </c>
      <c r="D31" s="21" t="s">
        <v>27</v>
      </c>
      <c r="E31" s="21" t="s">
        <v>17</v>
      </c>
      <c r="F31" s="21" t="s">
        <v>25</v>
      </c>
      <c r="G31" s="24">
        <v>4000</v>
      </c>
      <c r="H31" s="24"/>
      <c r="J31" s="21" t="s">
        <v>594</v>
      </c>
      <c r="K31" s="24">
        <v>18820.71</v>
      </c>
    </row>
    <row r="32" spans="1:11" x14ac:dyDescent="0.25">
      <c r="A32" s="78">
        <v>46118</v>
      </c>
      <c r="B32" s="21" t="s">
        <v>369</v>
      </c>
      <c r="C32" s="21" t="s">
        <v>12</v>
      </c>
      <c r="D32" s="21" t="s">
        <v>19</v>
      </c>
      <c r="E32" s="21" t="s">
        <v>17</v>
      </c>
      <c r="F32" s="21"/>
      <c r="G32" s="24">
        <v>1074</v>
      </c>
      <c r="H32" s="24"/>
      <c r="J32" s="21" t="s">
        <v>594</v>
      </c>
      <c r="K32" s="24">
        <v>17746.71</v>
      </c>
    </row>
    <row r="33" spans="1:11" x14ac:dyDescent="0.25">
      <c r="A33" s="78">
        <v>46118</v>
      </c>
      <c r="B33" s="21" t="s">
        <v>369</v>
      </c>
      <c r="C33" s="21" t="s">
        <v>12</v>
      </c>
      <c r="D33" s="21" t="s">
        <v>19</v>
      </c>
      <c r="E33" s="21" t="s">
        <v>17</v>
      </c>
      <c r="F33" s="21"/>
      <c r="G33" s="24">
        <v>1708.78</v>
      </c>
      <c r="H33" s="24"/>
      <c r="J33" s="21" t="s">
        <v>594</v>
      </c>
      <c r="K33" s="24">
        <v>16037.93</v>
      </c>
    </row>
    <row r="34" spans="1:11" x14ac:dyDescent="0.25">
      <c r="A34" s="78">
        <v>46118</v>
      </c>
      <c r="B34" s="21" t="s">
        <v>354</v>
      </c>
      <c r="C34" s="21" t="s">
        <v>12</v>
      </c>
      <c r="D34" s="21" t="s">
        <v>19</v>
      </c>
      <c r="E34" s="21" t="s">
        <v>17</v>
      </c>
      <c r="F34" s="21"/>
      <c r="G34" s="24">
        <v>399.72</v>
      </c>
      <c r="H34" s="24"/>
      <c r="J34" s="21" t="s">
        <v>594</v>
      </c>
      <c r="K34" s="24">
        <v>15638.21</v>
      </c>
    </row>
    <row r="35" spans="1:11" x14ac:dyDescent="0.25">
      <c r="A35" s="78">
        <v>46118</v>
      </c>
      <c r="B35" s="21" t="s">
        <v>598</v>
      </c>
      <c r="C35" s="21" t="s">
        <v>12</v>
      </c>
      <c r="D35" s="21" t="s">
        <v>62</v>
      </c>
      <c r="E35" s="21" t="s">
        <v>17</v>
      </c>
      <c r="F35" s="21"/>
      <c r="G35" s="24">
        <v>537</v>
      </c>
      <c r="H35" s="24"/>
      <c r="J35" s="21" t="s">
        <v>594</v>
      </c>
      <c r="K35" s="24">
        <v>15101.21</v>
      </c>
    </row>
    <row r="36" spans="1:11" x14ac:dyDescent="0.25">
      <c r="A36" s="78">
        <v>46118</v>
      </c>
      <c r="B36" s="21" t="s">
        <v>599</v>
      </c>
      <c r="C36" s="21" t="s">
        <v>12</v>
      </c>
      <c r="D36" s="21" t="s">
        <v>27</v>
      </c>
      <c r="E36" s="21" t="s">
        <v>17</v>
      </c>
      <c r="F36" s="21" t="s">
        <v>25</v>
      </c>
      <c r="G36" s="24">
        <v>7577.16</v>
      </c>
      <c r="H36" s="24"/>
      <c r="J36" s="21" t="s">
        <v>594</v>
      </c>
      <c r="K36" s="24">
        <v>7524.0500000000029</v>
      </c>
    </row>
    <row r="37" spans="1:11" x14ac:dyDescent="0.25">
      <c r="A37" s="78">
        <v>46119</v>
      </c>
      <c r="B37" s="21" t="s">
        <v>13</v>
      </c>
      <c r="C37" s="21" t="s">
        <v>20</v>
      </c>
      <c r="D37" s="21" t="s">
        <v>13</v>
      </c>
      <c r="E37" s="21"/>
      <c r="F37" s="21"/>
      <c r="G37" s="24">
        <v>1634</v>
      </c>
      <c r="H37" s="24"/>
      <c r="J37" s="21" t="s">
        <v>594</v>
      </c>
      <c r="K37" s="24">
        <v>9158.0500000000029</v>
      </c>
    </row>
    <row r="38" spans="1:11" x14ac:dyDescent="0.25">
      <c r="A38" s="78">
        <v>46119</v>
      </c>
      <c r="B38" s="21" t="s">
        <v>477</v>
      </c>
      <c r="C38" s="21" t="s">
        <v>20</v>
      </c>
      <c r="D38" s="21" t="s">
        <v>22</v>
      </c>
      <c r="E38" s="21" t="s">
        <v>17</v>
      </c>
      <c r="F38" s="21"/>
      <c r="G38" s="24">
        <v>0</v>
      </c>
      <c r="H38" s="24"/>
      <c r="J38" s="21" t="s">
        <v>594</v>
      </c>
      <c r="K38" s="24">
        <v>9158.0500000000029</v>
      </c>
    </row>
    <row r="39" spans="1:11" x14ac:dyDescent="0.25">
      <c r="A39" s="78">
        <v>46119</v>
      </c>
      <c r="B39" s="21" t="s">
        <v>23</v>
      </c>
      <c r="C39" s="21" t="s">
        <v>12</v>
      </c>
      <c r="D39" s="21" t="s">
        <v>24</v>
      </c>
      <c r="E39" s="21" t="s">
        <v>17</v>
      </c>
      <c r="F39" s="21" t="s">
        <v>25</v>
      </c>
      <c r="G39" s="24">
        <v>0</v>
      </c>
      <c r="H39" s="24"/>
      <c r="J39" s="21" t="s">
        <v>594</v>
      </c>
      <c r="K39" s="24">
        <v>9158.0500000000029</v>
      </c>
    </row>
    <row r="40" spans="1:11" x14ac:dyDescent="0.25">
      <c r="A40" s="78">
        <v>46120</v>
      </c>
      <c r="B40" s="21" t="s">
        <v>600</v>
      </c>
      <c r="C40" s="21" t="s">
        <v>12</v>
      </c>
      <c r="D40" s="21" t="s">
        <v>19</v>
      </c>
      <c r="E40" s="21" t="s">
        <v>17</v>
      </c>
      <c r="F40" s="21" t="s">
        <v>25</v>
      </c>
      <c r="G40" s="24">
        <v>689.25</v>
      </c>
      <c r="H40" s="24"/>
      <c r="J40" s="21" t="s">
        <v>594</v>
      </c>
      <c r="K40" s="24">
        <v>8468.8000000000029</v>
      </c>
    </row>
    <row r="41" spans="1:11" x14ac:dyDescent="0.25">
      <c r="A41" s="78">
        <v>46120</v>
      </c>
      <c r="B41" s="21" t="s">
        <v>405</v>
      </c>
      <c r="C41" s="21" t="s">
        <v>12</v>
      </c>
      <c r="D41" s="21" t="s">
        <v>19</v>
      </c>
      <c r="E41" s="21" t="s">
        <v>17</v>
      </c>
      <c r="F41" s="21"/>
      <c r="G41" s="24">
        <v>755</v>
      </c>
      <c r="H41" s="24"/>
      <c r="J41" s="21" t="s">
        <v>594</v>
      </c>
      <c r="K41" s="24">
        <v>7713.8000000000029</v>
      </c>
    </row>
    <row r="42" spans="1:11" x14ac:dyDescent="0.25">
      <c r="A42" s="78">
        <v>46120</v>
      </c>
      <c r="B42" s="21" t="s">
        <v>13</v>
      </c>
      <c r="C42" s="21" t="s">
        <v>20</v>
      </c>
      <c r="D42" s="21" t="s">
        <v>13</v>
      </c>
      <c r="E42" s="21"/>
      <c r="F42" s="21"/>
      <c r="G42" s="24">
        <v>901</v>
      </c>
      <c r="H42" s="24"/>
      <c r="J42" s="21" t="s">
        <v>594</v>
      </c>
      <c r="K42" s="24">
        <v>8614.8000000000029</v>
      </c>
    </row>
    <row r="43" spans="1:11" x14ac:dyDescent="0.25">
      <c r="A43" s="78">
        <v>46120</v>
      </c>
      <c r="B43" s="21" t="s">
        <v>477</v>
      </c>
      <c r="C43" s="21" t="s">
        <v>20</v>
      </c>
      <c r="D43" s="21" t="s">
        <v>22</v>
      </c>
      <c r="E43" s="21" t="s">
        <v>17</v>
      </c>
      <c r="F43" s="21"/>
      <c r="G43" s="24">
        <v>66.599999999999994</v>
      </c>
      <c r="H43" s="24"/>
      <c r="J43" s="21" t="s">
        <v>594</v>
      </c>
      <c r="K43" s="24">
        <v>8681.4000000000033</v>
      </c>
    </row>
    <row r="44" spans="1:11" x14ac:dyDescent="0.25">
      <c r="A44" s="78">
        <v>46120</v>
      </c>
      <c r="B44" s="21" t="s">
        <v>23</v>
      </c>
      <c r="C44" s="21" t="s">
        <v>12</v>
      </c>
      <c r="D44" s="21" t="s">
        <v>24</v>
      </c>
      <c r="E44" s="21" t="s">
        <v>17</v>
      </c>
      <c r="F44" s="21" t="s">
        <v>25</v>
      </c>
      <c r="G44" s="24">
        <v>9</v>
      </c>
      <c r="H44" s="24"/>
      <c r="J44" s="21" t="s">
        <v>594</v>
      </c>
      <c r="K44" s="24">
        <v>8672.4000000000033</v>
      </c>
    </row>
    <row r="45" spans="1:11" x14ac:dyDescent="0.25">
      <c r="A45" s="78">
        <v>46120</v>
      </c>
      <c r="B45" s="21" t="s">
        <v>11</v>
      </c>
      <c r="C45" s="21" t="s">
        <v>12</v>
      </c>
      <c r="D45" s="21" t="s">
        <v>19</v>
      </c>
      <c r="E45" s="21" t="s">
        <v>14</v>
      </c>
      <c r="F45" s="21" t="s">
        <v>15</v>
      </c>
      <c r="G45" s="24">
        <v>0</v>
      </c>
      <c r="H45" s="24"/>
      <c r="J45" s="21" t="s">
        <v>594</v>
      </c>
      <c r="K45" s="24">
        <v>8672.4000000000033</v>
      </c>
    </row>
    <row r="46" spans="1:11" x14ac:dyDescent="0.25">
      <c r="A46" s="78">
        <v>46121</v>
      </c>
      <c r="B46" s="21" t="s">
        <v>601</v>
      </c>
      <c r="C46" s="21" t="s">
        <v>12</v>
      </c>
      <c r="D46" s="21" t="s">
        <v>65</v>
      </c>
      <c r="E46" s="21" t="s">
        <v>17</v>
      </c>
      <c r="F46" s="21" t="s">
        <v>25</v>
      </c>
      <c r="G46" s="24">
        <v>45</v>
      </c>
      <c r="H46" s="24"/>
      <c r="J46" s="21" t="s">
        <v>594</v>
      </c>
      <c r="K46" s="24">
        <v>8627.4000000000033</v>
      </c>
    </row>
    <row r="47" spans="1:11" x14ac:dyDescent="0.25">
      <c r="A47" s="78">
        <v>46121</v>
      </c>
      <c r="B47" s="21" t="s">
        <v>13</v>
      </c>
      <c r="C47" s="21" t="s">
        <v>20</v>
      </c>
      <c r="D47" s="21" t="s">
        <v>13</v>
      </c>
      <c r="E47" s="21"/>
      <c r="F47" s="21"/>
      <c r="G47" s="24">
        <v>1609</v>
      </c>
      <c r="H47" s="24"/>
      <c r="J47" s="21" t="s">
        <v>594</v>
      </c>
      <c r="K47" s="24">
        <v>10236.4</v>
      </c>
    </row>
    <row r="48" spans="1:11" x14ac:dyDescent="0.25">
      <c r="A48" s="78">
        <v>46121</v>
      </c>
      <c r="B48" s="21" t="s">
        <v>477</v>
      </c>
      <c r="C48" s="21" t="s">
        <v>20</v>
      </c>
      <c r="D48" s="21" t="s">
        <v>22</v>
      </c>
      <c r="E48" s="21" t="s">
        <v>17</v>
      </c>
      <c r="F48" s="21"/>
      <c r="G48" s="24">
        <v>56.6</v>
      </c>
      <c r="H48" s="24"/>
      <c r="J48" s="21" t="s">
        <v>594</v>
      </c>
      <c r="K48" s="24">
        <v>10293</v>
      </c>
    </row>
    <row r="49" spans="1:11" x14ac:dyDescent="0.25">
      <c r="A49" s="78">
        <v>46121</v>
      </c>
      <c r="B49" s="21" t="s">
        <v>23</v>
      </c>
      <c r="C49" s="21" t="s">
        <v>12</v>
      </c>
      <c r="D49" s="21" t="s">
        <v>24</v>
      </c>
      <c r="E49" s="21" t="s">
        <v>17</v>
      </c>
      <c r="F49" s="21" t="s">
        <v>25</v>
      </c>
      <c r="G49" s="24">
        <v>17</v>
      </c>
      <c r="H49" s="24"/>
      <c r="J49" s="21" t="s">
        <v>594</v>
      </c>
      <c r="K49" s="24">
        <v>10276</v>
      </c>
    </row>
    <row r="50" spans="1:11" x14ac:dyDescent="0.25">
      <c r="A50" s="78">
        <v>46121</v>
      </c>
      <c r="B50" s="21" t="s">
        <v>11</v>
      </c>
      <c r="C50" s="21" t="s">
        <v>12</v>
      </c>
      <c r="D50" s="21" t="s">
        <v>19</v>
      </c>
      <c r="E50" s="21" t="s">
        <v>14</v>
      </c>
      <c r="F50" s="21" t="s">
        <v>15</v>
      </c>
      <c r="G50" s="24">
        <v>188</v>
      </c>
      <c r="H50" s="24"/>
      <c r="J50" s="21" t="s">
        <v>594</v>
      </c>
      <c r="K50" s="24">
        <v>10088</v>
      </c>
    </row>
    <row r="51" spans="1:11" x14ac:dyDescent="0.25">
      <c r="A51" s="78">
        <v>46121</v>
      </c>
      <c r="B51" s="21" t="s">
        <v>602</v>
      </c>
      <c r="C51" s="21" t="s">
        <v>12</v>
      </c>
      <c r="D51" s="21" t="s">
        <v>19</v>
      </c>
      <c r="E51" s="21" t="s">
        <v>17</v>
      </c>
      <c r="F51" s="21" t="s">
        <v>25</v>
      </c>
      <c r="G51" s="24">
        <v>76.5</v>
      </c>
      <c r="H51" s="24"/>
      <c r="J51" s="21" t="s">
        <v>594</v>
      </c>
      <c r="K51" s="24">
        <v>10011.5</v>
      </c>
    </row>
    <row r="52" spans="1:11" x14ac:dyDescent="0.25">
      <c r="A52" s="78">
        <v>46122</v>
      </c>
      <c r="B52" s="21" t="s">
        <v>66</v>
      </c>
      <c r="C52" s="21" t="s">
        <v>12</v>
      </c>
      <c r="D52" s="21" t="s">
        <v>66</v>
      </c>
      <c r="E52" s="21" t="s">
        <v>17</v>
      </c>
      <c r="F52" s="21" t="s">
        <v>25</v>
      </c>
      <c r="G52" s="24">
        <v>6853.92</v>
      </c>
      <c r="H52" s="24"/>
      <c r="J52" s="21" t="s">
        <v>594</v>
      </c>
      <c r="K52" s="24">
        <v>3157.580000000004</v>
      </c>
    </row>
    <row r="53" spans="1:11" x14ac:dyDescent="0.25">
      <c r="A53" s="78">
        <v>46122</v>
      </c>
      <c r="B53" s="21" t="s">
        <v>68</v>
      </c>
      <c r="C53" s="21" t="s">
        <v>12</v>
      </c>
      <c r="D53" s="21" t="s">
        <v>68</v>
      </c>
      <c r="E53" s="21" t="s">
        <v>17</v>
      </c>
      <c r="F53" s="21" t="s">
        <v>25</v>
      </c>
      <c r="G53" s="24">
        <v>450</v>
      </c>
      <c r="H53" s="24"/>
      <c r="J53" s="21" t="s">
        <v>594</v>
      </c>
      <c r="K53" s="24">
        <v>2707.580000000004</v>
      </c>
    </row>
    <row r="54" spans="1:11" x14ac:dyDescent="0.25">
      <c r="A54" s="78">
        <v>46122</v>
      </c>
      <c r="B54" s="21" t="s">
        <v>13</v>
      </c>
      <c r="C54" s="21" t="s">
        <v>20</v>
      </c>
      <c r="D54" s="21" t="s">
        <v>13</v>
      </c>
      <c r="E54" s="21"/>
      <c r="F54" s="21"/>
      <c r="G54" s="24">
        <v>2047</v>
      </c>
      <c r="H54" s="24"/>
      <c r="J54" s="21" t="s">
        <v>594</v>
      </c>
      <c r="K54" s="24">
        <v>4754.5800000000036</v>
      </c>
    </row>
    <row r="55" spans="1:11" x14ac:dyDescent="0.25">
      <c r="A55" s="78">
        <v>46122</v>
      </c>
      <c r="B55" s="21" t="s">
        <v>477</v>
      </c>
      <c r="C55" s="21" t="s">
        <v>20</v>
      </c>
      <c r="D55" s="21" t="s">
        <v>22</v>
      </c>
      <c r="E55" s="21" t="s">
        <v>17</v>
      </c>
      <c r="F55" s="21"/>
      <c r="G55" s="24">
        <v>0</v>
      </c>
      <c r="H55" s="24"/>
      <c r="J55" s="21" t="s">
        <v>594</v>
      </c>
      <c r="K55" s="24">
        <v>4754.5800000000036</v>
      </c>
    </row>
    <row r="56" spans="1:11" x14ac:dyDescent="0.25">
      <c r="A56" s="78">
        <v>46122</v>
      </c>
      <c r="B56" s="21" t="s">
        <v>23</v>
      </c>
      <c r="C56" s="21" t="s">
        <v>12</v>
      </c>
      <c r="D56" s="21" t="s">
        <v>24</v>
      </c>
      <c r="E56" s="21" t="s">
        <v>17</v>
      </c>
      <c r="F56" s="21" t="s">
        <v>25</v>
      </c>
      <c r="G56" s="24">
        <v>0</v>
      </c>
      <c r="H56" s="24"/>
      <c r="J56" s="21" t="s">
        <v>594</v>
      </c>
      <c r="K56" s="24">
        <v>4754.5800000000036</v>
      </c>
    </row>
    <row r="57" spans="1:11" x14ac:dyDescent="0.25">
      <c r="A57" s="78">
        <v>46122</v>
      </c>
      <c r="B57" s="21" t="s">
        <v>11</v>
      </c>
      <c r="C57" s="21" t="s">
        <v>12</v>
      </c>
      <c r="D57" s="21" t="s">
        <v>19</v>
      </c>
      <c r="E57" s="21" t="s">
        <v>17</v>
      </c>
      <c r="F57" s="21" t="s">
        <v>15</v>
      </c>
      <c r="G57" s="24">
        <v>376</v>
      </c>
      <c r="H57" s="24"/>
      <c r="J57" s="21" t="s">
        <v>594</v>
      </c>
      <c r="K57" s="24">
        <v>4378.5800000000036</v>
      </c>
    </row>
    <row r="58" spans="1:11" x14ac:dyDescent="0.25">
      <c r="A58" s="78">
        <v>46121</v>
      </c>
      <c r="B58" s="21" t="s">
        <v>603</v>
      </c>
      <c r="C58" s="21" t="s">
        <v>12</v>
      </c>
      <c r="D58" s="21" t="s">
        <v>19</v>
      </c>
      <c r="E58" s="21" t="s">
        <v>17</v>
      </c>
      <c r="F58" s="21" t="s">
        <v>25</v>
      </c>
      <c r="G58" s="24">
        <v>700</v>
      </c>
      <c r="H58" s="24"/>
      <c r="J58" s="21" t="s">
        <v>594</v>
      </c>
      <c r="K58" s="24">
        <v>3678.580000000004</v>
      </c>
    </row>
    <row r="59" spans="1:11" x14ac:dyDescent="0.25">
      <c r="A59" s="78">
        <v>46122</v>
      </c>
      <c r="B59" s="21" t="s">
        <v>604</v>
      </c>
      <c r="C59" s="21" t="s">
        <v>12</v>
      </c>
      <c r="D59" s="21" t="s">
        <v>27</v>
      </c>
      <c r="E59" s="21" t="s">
        <v>17</v>
      </c>
      <c r="F59" s="21"/>
      <c r="G59" s="24">
        <v>72</v>
      </c>
      <c r="H59" s="24"/>
      <c r="J59" s="21" t="s">
        <v>594</v>
      </c>
      <c r="K59" s="24">
        <v>3606.580000000004</v>
      </c>
    </row>
    <row r="60" spans="1:11" x14ac:dyDescent="0.25">
      <c r="A60" s="78">
        <v>46123</v>
      </c>
      <c r="B60" s="21" t="s">
        <v>30</v>
      </c>
      <c r="C60" s="21" t="s">
        <v>20</v>
      </c>
      <c r="D60" s="21" t="s">
        <v>13</v>
      </c>
      <c r="E60" s="21"/>
      <c r="F60" s="21"/>
      <c r="G60" s="24">
        <v>7406</v>
      </c>
      <c r="H60" s="24"/>
      <c r="J60" s="21" t="s">
        <v>594</v>
      </c>
      <c r="K60" s="24">
        <v>11012.58</v>
      </c>
    </row>
    <row r="61" spans="1:11" x14ac:dyDescent="0.25">
      <c r="A61" s="78">
        <v>46123</v>
      </c>
      <c r="B61" s="21" t="s">
        <v>44</v>
      </c>
      <c r="C61" s="21" t="s">
        <v>20</v>
      </c>
      <c r="D61" s="21" t="s">
        <v>22</v>
      </c>
      <c r="E61" s="21" t="s">
        <v>17</v>
      </c>
      <c r="F61" s="21"/>
      <c r="G61" s="24">
        <v>230.6</v>
      </c>
      <c r="H61" s="24"/>
      <c r="J61" s="21" t="s">
        <v>594</v>
      </c>
      <c r="K61" s="24">
        <v>11243.18</v>
      </c>
    </row>
    <row r="62" spans="1:11" x14ac:dyDescent="0.25">
      <c r="A62" s="78">
        <v>46123</v>
      </c>
      <c r="B62" s="21" t="s">
        <v>45</v>
      </c>
      <c r="C62" s="21" t="s">
        <v>12</v>
      </c>
      <c r="D62" s="21" t="s">
        <v>24</v>
      </c>
      <c r="E62" s="21" t="s">
        <v>17</v>
      </c>
      <c r="F62" s="21" t="s">
        <v>25</v>
      </c>
      <c r="G62" s="24">
        <v>0</v>
      </c>
      <c r="H62" s="24"/>
      <c r="J62" s="21" t="s">
        <v>594</v>
      </c>
      <c r="K62" s="24">
        <v>11243.18</v>
      </c>
    </row>
    <row r="63" spans="1:11" x14ac:dyDescent="0.25">
      <c r="A63" s="78">
        <v>46124</v>
      </c>
      <c r="B63" s="21" t="s">
        <v>30</v>
      </c>
      <c r="C63" s="21" t="s">
        <v>20</v>
      </c>
      <c r="D63" s="21" t="s">
        <v>13</v>
      </c>
      <c r="E63" s="21"/>
      <c r="F63" s="21"/>
      <c r="G63" s="24">
        <v>6658</v>
      </c>
      <c r="H63" s="24"/>
      <c r="J63" s="21" t="s">
        <v>594</v>
      </c>
      <c r="K63" s="24">
        <v>17901.18</v>
      </c>
    </row>
    <row r="64" spans="1:11" x14ac:dyDescent="0.25">
      <c r="A64" s="78">
        <v>46124</v>
      </c>
      <c r="B64" s="21" t="s">
        <v>44</v>
      </c>
      <c r="C64" s="21" t="s">
        <v>20</v>
      </c>
      <c r="D64" s="21" t="s">
        <v>22</v>
      </c>
      <c r="E64" s="21" t="s">
        <v>17</v>
      </c>
      <c r="F64" s="21"/>
      <c r="G64" s="24">
        <v>143.4</v>
      </c>
      <c r="H64" s="24"/>
      <c r="J64" s="21" t="s">
        <v>594</v>
      </c>
      <c r="K64" s="24">
        <v>18044.580000000009</v>
      </c>
    </row>
    <row r="65" spans="1:11" x14ac:dyDescent="0.25">
      <c r="A65" s="78">
        <v>46124</v>
      </c>
      <c r="B65" s="21" t="s">
        <v>45</v>
      </c>
      <c r="C65" s="21" t="s">
        <v>12</v>
      </c>
      <c r="D65" s="21" t="s">
        <v>24</v>
      </c>
      <c r="E65" s="21" t="s">
        <v>17</v>
      </c>
      <c r="F65" s="21" t="s">
        <v>25</v>
      </c>
      <c r="G65" s="24">
        <v>18</v>
      </c>
      <c r="H65" s="24"/>
      <c r="J65" s="21" t="s">
        <v>594</v>
      </c>
      <c r="K65" s="24">
        <v>18026.580000000009</v>
      </c>
    </row>
    <row r="66" spans="1:11" x14ac:dyDescent="0.25">
      <c r="A66" s="78">
        <v>46125</v>
      </c>
      <c r="B66" s="21" t="s">
        <v>13</v>
      </c>
      <c r="C66" s="21" t="s">
        <v>20</v>
      </c>
      <c r="D66" s="21" t="s">
        <v>13</v>
      </c>
      <c r="E66" s="21"/>
      <c r="F66" s="21"/>
      <c r="G66" s="24">
        <v>1315</v>
      </c>
      <c r="H66" s="24"/>
      <c r="J66" s="21" t="s">
        <v>594</v>
      </c>
      <c r="K66" s="24">
        <v>19341.580000000009</v>
      </c>
    </row>
    <row r="67" spans="1:11" x14ac:dyDescent="0.25">
      <c r="A67" s="78">
        <v>46125</v>
      </c>
      <c r="B67" s="21" t="s">
        <v>44</v>
      </c>
      <c r="C67" s="21" t="s">
        <v>20</v>
      </c>
      <c r="D67" s="21" t="s">
        <v>22</v>
      </c>
      <c r="E67" s="21" t="s">
        <v>17</v>
      </c>
      <c r="F67" s="21"/>
      <c r="G67" s="24">
        <v>19.5</v>
      </c>
      <c r="H67" s="24"/>
      <c r="J67" s="21" t="s">
        <v>594</v>
      </c>
      <c r="K67" s="24">
        <v>19361.080000000009</v>
      </c>
    </row>
    <row r="68" spans="1:11" x14ac:dyDescent="0.25">
      <c r="A68" s="78">
        <v>46125</v>
      </c>
      <c r="B68" s="21" t="s">
        <v>45</v>
      </c>
      <c r="C68" s="21" t="s">
        <v>12</v>
      </c>
      <c r="D68" s="21" t="s">
        <v>24</v>
      </c>
      <c r="E68" s="21" t="s">
        <v>17</v>
      </c>
      <c r="F68" s="21" t="s">
        <v>25</v>
      </c>
      <c r="G68" s="24">
        <v>0</v>
      </c>
      <c r="H68" s="24"/>
      <c r="J68" s="21" t="s">
        <v>594</v>
      </c>
      <c r="K68" s="24">
        <v>19361.080000000009</v>
      </c>
    </row>
    <row r="69" spans="1:11" x14ac:dyDescent="0.25">
      <c r="A69" s="78">
        <v>46125</v>
      </c>
      <c r="B69" s="21" t="s">
        <v>348</v>
      </c>
      <c r="C69" s="21" t="s">
        <v>12</v>
      </c>
      <c r="D69" s="21" t="s">
        <v>19</v>
      </c>
      <c r="E69" s="21" t="s">
        <v>17</v>
      </c>
      <c r="F69" s="21"/>
      <c r="G69" s="24">
        <v>1022.5</v>
      </c>
      <c r="H69" s="24"/>
      <c r="J69" s="21" t="s">
        <v>594</v>
      </c>
      <c r="K69" s="24">
        <v>18338.580000000009</v>
      </c>
    </row>
    <row r="70" spans="1:11" x14ac:dyDescent="0.25">
      <c r="A70" s="78">
        <v>46125</v>
      </c>
      <c r="B70" s="21" t="s">
        <v>309</v>
      </c>
      <c r="C70" s="21" t="s">
        <v>12</v>
      </c>
      <c r="D70" s="21" t="s">
        <v>19</v>
      </c>
      <c r="E70" s="21" t="s">
        <v>17</v>
      </c>
      <c r="F70" s="21"/>
      <c r="G70" s="24">
        <v>5052.07</v>
      </c>
      <c r="H70" s="24"/>
      <c r="J70" s="21" t="s">
        <v>594</v>
      </c>
      <c r="K70" s="24">
        <v>13286.510000000009</v>
      </c>
    </row>
    <row r="71" spans="1:11" x14ac:dyDescent="0.25">
      <c r="A71" s="78">
        <v>46125</v>
      </c>
      <c r="B71" s="21" t="s">
        <v>605</v>
      </c>
      <c r="C71" s="21" t="s">
        <v>12</v>
      </c>
      <c r="D71" s="21" t="s">
        <v>19</v>
      </c>
      <c r="E71" s="21" t="s">
        <v>17</v>
      </c>
      <c r="F71" s="21" t="s">
        <v>25</v>
      </c>
      <c r="G71" s="24">
        <v>213.84</v>
      </c>
      <c r="H71" s="24"/>
      <c r="J71" s="21" t="s">
        <v>594</v>
      </c>
      <c r="K71" s="24">
        <v>13072.670000000009</v>
      </c>
    </row>
    <row r="72" spans="1:11" x14ac:dyDescent="0.25">
      <c r="A72" s="78">
        <v>46125</v>
      </c>
      <c r="B72" s="21" t="s">
        <v>606</v>
      </c>
      <c r="C72" s="21" t="s">
        <v>12</v>
      </c>
      <c r="D72" s="21" t="s">
        <v>19</v>
      </c>
      <c r="E72" s="21" t="s">
        <v>17</v>
      </c>
      <c r="F72" s="21"/>
      <c r="G72" s="24">
        <v>850.5</v>
      </c>
      <c r="H72" s="24"/>
      <c r="J72" s="21" t="s">
        <v>594</v>
      </c>
      <c r="K72" s="24">
        <v>12222.170000000009</v>
      </c>
    </row>
    <row r="73" spans="1:11" x14ac:dyDescent="0.25">
      <c r="A73" s="78">
        <v>46125</v>
      </c>
      <c r="B73" s="21" t="s">
        <v>253</v>
      </c>
      <c r="C73" s="21" t="s">
        <v>12</v>
      </c>
      <c r="D73" s="21" t="s">
        <v>62</v>
      </c>
      <c r="E73" s="21" t="s">
        <v>17</v>
      </c>
      <c r="F73" s="21" t="s">
        <v>25</v>
      </c>
      <c r="G73" s="24">
        <v>183.87</v>
      </c>
      <c r="H73" s="24"/>
      <c r="J73" s="21" t="s">
        <v>594</v>
      </c>
      <c r="K73" s="24">
        <v>12038.3</v>
      </c>
    </row>
    <row r="74" spans="1:11" x14ac:dyDescent="0.25">
      <c r="A74" s="78">
        <v>46126</v>
      </c>
      <c r="B74" s="21" t="s">
        <v>365</v>
      </c>
      <c r="C74" s="21" t="s">
        <v>12</v>
      </c>
      <c r="D74" s="21" t="s">
        <v>62</v>
      </c>
      <c r="E74" s="21" t="s">
        <v>17</v>
      </c>
      <c r="F74" s="21" t="s">
        <v>25</v>
      </c>
      <c r="G74" s="24">
        <v>1800</v>
      </c>
      <c r="H74" s="24"/>
      <c r="J74" s="21" t="s">
        <v>594</v>
      </c>
      <c r="K74" s="24">
        <v>10238.299999999999</v>
      </c>
    </row>
    <row r="75" spans="1:11" x14ac:dyDescent="0.25">
      <c r="A75" s="82">
        <v>46126</v>
      </c>
      <c r="B75" s="21" t="s">
        <v>369</v>
      </c>
      <c r="C75" s="21" t="s">
        <v>12</v>
      </c>
      <c r="D75" s="21" t="s">
        <v>19</v>
      </c>
      <c r="E75" s="21" t="s">
        <v>17</v>
      </c>
      <c r="F75" s="21"/>
      <c r="G75" s="24">
        <v>1708.19</v>
      </c>
      <c r="H75" s="24"/>
      <c r="J75" s="21" t="s">
        <v>594</v>
      </c>
      <c r="K75" s="24">
        <v>8530.1100000000042</v>
      </c>
    </row>
    <row r="76" spans="1:11" x14ac:dyDescent="0.25">
      <c r="A76" s="78">
        <v>46126</v>
      </c>
      <c r="B76" s="21" t="s">
        <v>13</v>
      </c>
      <c r="C76" s="21" t="s">
        <v>20</v>
      </c>
      <c r="D76" s="21" t="s">
        <v>13</v>
      </c>
      <c r="E76" s="21"/>
      <c r="F76" s="21"/>
      <c r="G76" s="24">
        <v>1926</v>
      </c>
      <c r="H76" s="24"/>
      <c r="J76" s="21" t="s">
        <v>594</v>
      </c>
      <c r="K76" s="24">
        <v>10456.11</v>
      </c>
    </row>
    <row r="77" spans="1:11" x14ac:dyDescent="0.25">
      <c r="A77" s="78">
        <v>46126</v>
      </c>
      <c r="B77" s="21" t="s">
        <v>44</v>
      </c>
      <c r="C77" s="21" t="s">
        <v>20</v>
      </c>
      <c r="D77" s="21" t="s">
        <v>22</v>
      </c>
      <c r="E77" s="21" t="s">
        <v>17</v>
      </c>
      <c r="F77" s="21"/>
      <c r="G77" s="24">
        <v>39</v>
      </c>
      <c r="H77" s="24"/>
      <c r="J77" s="21" t="s">
        <v>594</v>
      </c>
      <c r="K77" s="24">
        <v>10495.11</v>
      </c>
    </row>
    <row r="78" spans="1:11" x14ac:dyDescent="0.25">
      <c r="A78" s="78">
        <v>46126</v>
      </c>
      <c r="B78" s="21" t="s">
        <v>45</v>
      </c>
      <c r="C78" s="21" t="s">
        <v>12</v>
      </c>
      <c r="D78" s="21" t="s">
        <v>24</v>
      </c>
      <c r="E78" s="21" t="s">
        <v>17</v>
      </c>
      <c r="F78" s="21" t="s">
        <v>25</v>
      </c>
      <c r="G78" s="24">
        <v>8</v>
      </c>
      <c r="H78" s="24"/>
      <c r="J78" s="21" t="s">
        <v>594</v>
      </c>
      <c r="K78" s="24">
        <v>10487.11</v>
      </c>
    </row>
    <row r="79" spans="1:11" x14ac:dyDescent="0.25">
      <c r="A79" s="78">
        <v>46126</v>
      </c>
      <c r="B79" s="21" t="s">
        <v>11</v>
      </c>
      <c r="C79" s="21" t="s">
        <v>20</v>
      </c>
      <c r="D79" s="21" t="s">
        <v>19</v>
      </c>
      <c r="E79" s="21" t="s">
        <v>14</v>
      </c>
      <c r="F79" s="21" t="s">
        <v>15</v>
      </c>
      <c r="G79" s="24">
        <v>0</v>
      </c>
      <c r="H79" s="24"/>
      <c r="J79" s="21" t="s">
        <v>594</v>
      </c>
      <c r="K79" s="24">
        <v>10487.11</v>
      </c>
    </row>
    <row r="80" spans="1:11" x14ac:dyDescent="0.25">
      <c r="A80" s="78">
        <v>46127</v>
      </c>
      <c r="B80" s="21" t="s">
        <v>607</v>
      </c>
      <c r="C80" s="21" t="s">
        <v>12</v>
      </c>
      <c r="D80" s="21" t="s">
        <v>27</v>
      </c>
      <c r="E80" s="21" t="s">
        <v>17</v>
      </c>
      <c r="F80" s="21"/>
      <c r="G80" s="24">
        <v>216</v>
      </c>
      <c r="H80" s="24"/>
      <c r="J80" s="21" t="s">
        <v>594</v>
      </c>
      <c r="K80" s="24">
        <v>10271.11</v>
      </c>
    </row>
    <row r="81" spans="1:11" x14ac:dyDescent="0.25">
      <c r="A81" s="82">
        <v>46127</v>
      </c>
      <c r="B81" s="21" t="s">
        <v>431</v>
      </c>
      <c r="C81" s="21" t="s">
        <v>12</v>
      </c>
      <c r="D81" s="21" t="s">
        <v>64</v>
      </c>
      <c r="E81" s="21" t="s">
        <v>17</v>
      </c>
      <c r="F81" s="21"/>
      <c r="G81" s="24">
        <v>800</v>
      </c>
      <c r="H81" s="24"/>
      <c r="J81" s="21" t="s">
        <v>594</v>
      </c>
      <c r="K81" s="24">
        <v>9471.1100000000042</v>
      </c>
    </row>
    <row r="82" spans="1:11" x14ac:dyDescent="0.25">
      <c r="A82" s="82">
        <v>46127</v>
      </c>
      <c r="B82" s="21" t="s">
        <v>354</v>
      </c>
      <c r="C82" s="21" t="s">
        <v>12</v>
      </c>
      <c r="D82" s="21" t="s">
        <v>19</v>
      </c>
      <c r="E82" s="21" t="s">
        <v>17</v>
      </c>
      <c r="F82" s="21"/>
      <c r="G82" s="24">
        <v>255.67</v>
      </c>
      <c r="H82" s="24"/>
      <c r="J82" s="21" t="s">
        <v>594</v>
      </c>
      <c r="K82" s="24">
        <v>9215.4400000000041</v>
      </c>
    </row>
    <row r="83" spans="1:11" x14ac:dyDescent="0.25">
      <c r="A83" s="78">
        <v>46127</v>
      </c>
      <c r="B83" s="21" t="s">
        <v>13</v>
      </c>
      <c r="C83" s="21" t="s">
        <v>20</v>
      </c>
      <c r="D83" s="21" t="s">
        <v>13</v>
      </c>
      <c r="E83" s="21"/>
      <c r="F83" s="21"/>
      <c r="G83" s="24">
        <v>1863</v>
      </c>
      <c r="H83" s="24"/>
      <c r="J83" s="21" t="s">
        <v>594</v>
      </c>
      <c r="K83" s="24">
        <v>11078.44</v>
      </c>
    </row>
    <row r="84" spans="1:11" x14ac:dyDescent="0.25">
      <c r="A84" s="78">
        <v>46127</v>
      </c>
      <c r="B84" s="21" t="s">
        <v>44</v>
      </c>
      <c r="C84" s="21" t="s">
        <v>20</v>
      </c>
      <c r="D84" s="21" t="s">
        <v>22</v>
      </c>
      <c r="E84" s="21" t="s">
        <v>17</v>
      </c>
      <c r="F84" s="21"/>
      <c r="G84" s="24">
        <v>0</v>
      </c>
      <c r="H84" s="24"/>
      <c r="J84" s="21" t="s">
        <v>594</v>
      </c>
      <c r="K84" s="24">
        <v>11078.44</v>
      </c>
    </row>
    <row r="85" spans="1:11" x14ac:dyDescent="0.25">
      <c r="A85" s="82">
        <v>46127</v>
      </c>
      <c r="B85" s="21" t="s">
        <v>45</v>
      </c>
      <c r="C85" s="21" t="s">
        <v>12</v>
      </c>
      <c r="D85" s="21" t="s">
        <v>24</v>
      </c>
      <c r="E85" s="21" t="s">
        <v>17</v>
      </c>
      <c r="F85" s="21" t="s">
        <v>25</v>
      </c>
      <c r="G85" s="24">
        <v>0</v>
      </c>
      <c r="H85" s="24"/>
      <c r="J85" s="21" t="s">
        <v>594</v>
      </c>
      <c r="K85" s="24">
        <v>11078.44</v>
      </c>
    </row>
    <row r="86" spans="1:11" x14ac:dyDescent="0.25">
      <c r="A86" s="78">
        <v>46127</v>
      </c>
      <c r="B86" s="21" t="s">
        <v>11</v>
      </c>
      <c r="C86" s="21" t="s">
        <v>12</v>
      </c>
      <c r="D86" s="21" t="s">
        <v>19</v>
      </c>
      <c r="E86" s="21" t="s">
        <v>14</v>
      </c>
      <c r="F86" s="21" t="s">
        <v>15</v>
      </c>
      <c r="G86" s="24">
        <v>188</v>
      </c>
      <c r="H86" s="24"/>
      <c r="J86" s="21" t="s">
        <v>594</v>
      </c>
      <c r="K86" s="24">
        <v>10890.44</v>
      </c>
    </row>
    <row r="87" spans="1:11" x14ac:dyDescent="0.25">
      <c r="A87" s="78">
        <v>46127</v>
      </c>
      <c r="B87" s="21" t="s">
        <v>608</v>
      </c>
      <c r="C87" s="21" t="s">
        <v>12</v>
      </c>
      <c r="D87" s="21" t="s">
        <v>19</v>
      </c>
      <c r="E87" s="21" t="s">
        <v>17</v>
      </c>
      <c r="F87" s="21" t="s">
        <v>25</v>
      </c>
      <c r="G87" s="24">
        <v>64.8</v>
      </c>
      <c r="H87" s="24"/>
      <c r="J87" s="21" t="s">
        <v>594</v>
      </c>
      <c r="K87" s="24">
        <v>10825.64</v>
      </c>
    </row>
    <row r="88" spans="1:11" x14ac:dyDescent="0.25">
      <c r="A88" s="78">
        <v>45763</v>
      </c>
      <c r="B88" s="21" t="s">
        <v>13</v>
      </c>
      <c r="C88" s="21" t="s">
        <v>20</v>
      </c>
      <c r="D88" s="21" t="s">
        <v>13</v>
      </c>
      <c r="E88" s="21"/>
      <c r="F88" s="21"/>
      <c r="G88" s="24">
        <v>1863</v>
      </c>
      <c r="H88" s="24"/>
      <c r="J88" s="21" t="s">
        <v>609</v>
      </c>
      <c r="K88" s="24">
        <v>12688.64</v>
      </c>
    </row>
    <row r="89" spans="1:11" x14ac:dyDescent="0.25">
      <c r="A89" s="78">
        <v>45763</v>
      </c>
      <c r="B89" s="21" t="s">
        <v>44</v>
      </c>
      <c r="C89" s="21" t="s">
        <v>20</v>
      </c>
      <c r="D89" s="21" t="s">
        <v>22</v>
      </c>
      <c r="E89" s="21" t="s">
        <v>17</v>
      </c>
      <c r="F89" s="21"/>
      <c r="G89" s="24">
        <v>0</v>
      </c>
      <c r="H89" s="24"/>
      <c r="J89" s="21" t="s">
        <v>609</v>
      </c>
      <c r="K89" s="24">
        <v>12688.64</v>
      </c>
    </row>
    <row r="90" spans="1:11" x14ac:dyDescent="0.25">
      <c r="A90" s="78">
        <v>45763</v>
      </c>
      <c r="B90" s="21" t="s">
        <v>45</v>
      </c>
      <c r="C90" s="21" t="s">
        <v>12</v>
      </c>
      <c r="D90" s="21" t="s">
        <v>24</v>
      </c>
      <c r="E90" s="21" t="s">
        <v>17</v>
      </c>
      <c r="F90" s="21" t="s">
        <v>25</v>
      </c>
      <c r="G90" s="24">
        <v>0</v>
      </c>
      <c r="H90" s="24"/>
      <c r="J90" s="21" t="s">
        <v>609</v>
      </c>
      <c r="K90" s="24">
        <v>12688.64</v>
      </c>
    </row>
    <row r="91" spans="1:11" x14ac:dyDescent="0.25">
      <c r="A91" s="78">
        <v>45763</v>
      </c>
      <c r="B91" s="21" t="s">
        <v>11</v>
      </c>
      <c r="C91" s="21" t="s">
        <v>12</v>
      </c>
      <c r="D91" s="21" t="s">
        <v>19</v>
      </c>
      <c r="E91" s="21" t="s">
        <v>14</v>
      </c>
      <c r="F91" s="21" t="s">
        <v>15</v>
      </c>
      <c r="G91" s="24">
        <v>235</v>
      </c>
      <c r="H91" s="24"/>
      <c r="J91" s="21" t="s">
        <v>609</v>
      </c>
      <c r="K91" s="24">
        <v>12453.64</v>
      </c>
    </row>
    <row r="92" spans="1:11" x14ac:dyDescent="0.25">
      <c r="A92" s="78">
        <v>45763</v>
      </c>
      <c r="B92" s="21" t="s">
        <v>432</v>
      </c>
      <c r="C92" s="21" t="s">
        <v>12</v>
      </c>
      <c r="D92" s="21" t="s">
        <v>39</v>
      </c>
      <c r="E92" s="21" t="s">
        <v>17</v>
      </c>
      <c r="F92" s="21" t="s">
        <v>25</v>
      </c>
      <c r="G92" s="24">
        <v>99.9</v>
      </c>
      <c r="H92" s="24"/>
      <c r="J92" s="21" t="s">
        <v>609</v>
      </c>
      <c r="K92" s="24">
        <v>12353.740000000011</v>
      </c>
    </row>
    <row r="93" spans="1:11" x14ac:dyDescent="0.25">
      <c r="A93" s="78">
        <v>45763</v>
      </c>
      <c r="B93" s="21" t="s">
        <v>610</v>
      </c>
      <c r="C93" s="21" t="s">
        <v>12</v>
      </c>
      <c r="D93" s="21" t="s">
        <v>65</v>
      </c>
      <c r="E93" s="21" t="s">
        <v>17</v>
      </c>
      <c r="F93" s="21" t="s">
        <v>25</v>
      </c>
      <c r="G93" s="24">
        <v>1140.28</v>
      </c>
      <c r="H93" s="24"/>
      <c r="J93" s="21" t="s">
        <v>609</v>
      </c>
      <c r="K93" s="24">
        <v>11213.46</v>
      </c>
    </row>
    <row r="94" spans="1:11" x14ac:dyDescent="0.25">
      <c r="A94" s="78">
        <v>45763</v>
      </c>
      <c r="B94" s="21" t="s">
        <v>366</v>
      </c>
      <c r="C94" s="21" t="s">
        <v>12</v>
      </c>
      <c r="D94" s="21" t="s">
        <v>19</v>
      </c>
      <c r="E94" s="21" t="s">
        <v>17</v>
      </c>
      <c r="F94" s="21" t="s">
        <v>25</v>
      </c>
      <c r="G94" s="24">
        <v>382.5</v>
      </c>
      <c r="H94" s="24"/>
      <c r="J94" s="21" t="s">
        <v>609</v>
      </c>
      <c r="K94" s="24">
        <v>10830.96</v>
      </c>
    </row>
    <row r="95" spans="1:11" x14ac:dyDescent="0.25">
      <c r="A95" s="78">
        <v>46128</v>
      </c>
      <c r="B95" s="21" t="s">
        <v>388</v>
      </c>
      <c r="C95" s="21" t="s">
        <v>12</v>
      </c>
      <c r="D95" s="21" t="s">
        <v>60</v>
      </c>
      <c r="E95" s="21" t="s">
        <v>17</v>
      </c>
      <c r="F95" s="21" t="s">
        <v>25</v>
      </c>
      <c r="G95" s="24">
        <v>218.41</v>
      </c>
      <c r="H95" s="24"/>
      <c r="J95" s="21" t="s">
        <v>594</v>
      </c>
      <c r="K95" s="24">
        <v>10612.55</v>
      </c>
    </row>
    <row r="96" spans="1:11" x14ac:dyDescent="0.25">
      <c r="A96" s="78">
        <v>46128</v>
      </c>
      <c r="B96" s="21" t="s">
        <v>611</v>
      </c>
      <c r="C96" s="21" t="s">
        <v>12</v>
      </c>
      <c r="D96" s="21" t="s">
        <v>33</v>
      </c>
      <c r="E96" s="21" t="s">
        <v>17</v>
      </c>
      <c r="F96" s="21" t="s">
        <v>25</v>
      </c>
      <c r="G96" s="24">
        <v>150</v>
      </c>
      <c r="H96" s="24"/>
      <c r="J96" s="21" t="s">
        <v>594</v>
      </c>
      <c r="K96" s="24">
        <v>10462.549999999999</v>
      </c>
    </row>
    <row r="97" spans="1:11" x14ac:dyDescent="0.25">
      <c r="A97" s="78">
        <v>46129</v>
      </c>
      <c r="B97" s="21" t="s">
        <v>13</v>
      </c>
      <c r="C97" s="21" t="s">
        <v>20</v>
      </c>
      <c r="D97" s="21" t="s">
        <v>13</v>
      </c>
      <c r="E97" s="21"/>
      <c r="F97" s="21"/>
      <c r="G97" s="24">
        <v>3477</v>
      </c>
      <c r="H97" s="24"/>
      <c r="J97" s="21" t="s">
        <v>594</v>
      </c>
      <c r="K97" s="24">
        <v>13939.55</v>
      </c>
    </row>
    <row r="98" spans="1:11" x14ac:dyDescent="0.25">
      <c r="A98" s="78">
        <v>46129</v>
      </c>
      <c r="B98" s="21" t="s">
        <v>44</v>
      </c>
      <c r="C98" s="21" t="s">
        <v>20</v>
      </c>
      <c r="D98" s="21" t="s">
        <v>22</v>
      </c>
      <c r="E98" s="21" t="s">
        <v>17</v>
      </c>
      <c r="F98" s="21"/>
      <c r="G98" s="24">
        <v>48.6</v>
      </c>
      <c r="H98" s="24"/>
      <c r="J98" s="21" t="s">
        <v>594</v>
      </c>
      <c r="K98" s="24">
        <v>13988.150000000011</v>
      </c>
    </row>
    <row r="99" spans="1:11" x14ac:dyDescent="0.25">
      <c r="A99" s="78">
        <v>46129</v>
      </c>
      <c r="B99" s="21" t="s">
        <v>45</v>
      </c>
      <c r="C99" s="21" t="s">
        <v>12</v>
      </c>
      <c r="D99" s="21" t="s">
        <v>24</v>
      </c>
      <c r="E99" s="21" t="s">
        <v>17</v>
      </c>
      <c r="F99" s="21" t="s">
        <v>25</v>
      </c>
      <c r="G99" s="24">
        <v>0</v>
      </c>
      <c r="H99" s="24"/>
      <c r="J99" s="21" t="s">
        <v>594</v>
      </c>
      <c r="K99" s="24">
        <v>13988.150000000011</v>
      </c>
    </row>
    <row r="100" spans="1:11" x14ac:dyDescent="0.25">
      <c r="A100" s="78">
        <v>46129</v>
      </c>
      <c r="B100" s="21" t="s">
        <v>11</v>
      </c>
      <c r="C100" s="21" t="s">
        <v>12</v>
      </c>
      <c r="D100" s="21" t="s">
        <v>19</v>
      </c>
      <c r="E100" s="21" t="s">
        <v>14</v>
      </c>
      <c r="F100" s="21" t="s">
        <v>15</v>
      </c>
      <c r="G100" s="24">
        <v>376</v>
      </c>
      <c r="H100" s="24"/>
      <c r="J100" s="21" t="s">
        <v>594</v>
      </c>
      <c r="K100" s="24">
        <v>13612.150000000011</v>
      </c>
    </row>
    <row r="101" spans="1:11" x14ac:dyDescent="0.25">
      <c r="A101" s="78">
        <v>46129</v>
      </c>
      <c r="B101" s="21" t="s">
        <v>584</v>
      </c>
      <c r="C101" s="21" t="s">
        <v>12</v>
      </c>
      <c r="D101" s="21" t="s">
        <v>27</v>
      </c>
      <c r="E101" s="21" t="s">
        <v>17</v>
      </c>
      <c r="F101" s="21" t="s">
        <v>25</v>
      </c>
      <c r="G101" s="24">
        <v>5104.3500000000004</v>
      </c>
      <c r="H101" s="24"/>
      <c r="J101" s="21" t="s">
        <v>594</v>
      </c>
      <c r="K101" s="24">
        <v>8507.8000000000047</v>
      </c>
    </row>
    <row r="102" spans="1:11" x14ac:dyDescent="0.25">
      <c r="A102" s="78">
        <v>46129</v>
      </c>
      <c r="B102" s="21" t="s">
        <v>31</v>
      </c>
      <c r="C102" s="21" t="s">
        <v>12</v>
      </c>
      <c r="D102" s="21" t="s">
        <v>19</v>
      </c>
      <c r="E102" s="21" t="s">
        <v>17</v>
      </c>
      <c r="F102" s="21" t="s">
        <v>25</v>
      </c>
      <c r="G102" s="24">
        <v>140</v>
      </c>
      <c r="H102" s="24"/>
      <c r="J102" s="21" t="s">
        <v>594</v>
      </c>
      <c r="K102" s="24">
        <v>8367.8000000000047</v>
      </c>
    </row>
    <row r="103" spans="1:11" x14ac:dyDescent="0.25">
      <c r="A103" s="78">
        <v>46130</v>
      </c>
      <c r="B103" s="21" t="s">
        <v>13</v>
      </c>
      <c r="C103" s="21" t="s">
        <v>20</v>
      </c>
      <c r="D103" s="21" t="s">
        <v>13</v>
      </c>
      <c r="E103" s="21"/>
      <c r="F103" s="21"/>
      <c r="G103" s="24">
        <v>9204</v>
      </c>
      <c r="H103" s="24"/>
      <c r="J103" s="21" t="s">
        <v>594</v>
      </c>
      <c r="K103" s="24">
        <v>17571.8</v>
      </c>
    </row>
    <row r="104" spans="1:11" x14ac:dyDescent="0.25">
      <c r="A104" s="78">
        <v>46130</v>
      </c>
      <c r="B104" s="21" t="s">
        <v>44</v>
      </c>
      <c r="C104" s="21" t="s">
        <v>20</v>
      </c>
      <c r="D104" s="21" t="s">
        <v>22</v>
      </c>
      <c r="E104" s="21" t="s">
        <v>17</v>
      </c>
      <c r="F104" s="21"/>
      <c r="G104" s="24">
        <v>149.6</v>
      </c>
      <c r="H104" s="24"/>
      <c r="J104" s="21" t="s">
        <v>594</v>
      </c>
      <c r="K104" s="24">
        <v>17721.400000000001</v>
      </c>
    </row>
    <row r="105" spans="1:11" x14ac:dyDescent="0.25">
      <c r="A105" s="78">
        <v>46130</v>
      </c>
      <c r="B105" s="21" t="s">
        <v>45</v>
      </c>
      <c r="C105" s="21" t="s">
        <v>12</v>
      </c>
      <c r="D105" s="21" t="s">
        <v>24</v>
      </c>
      <c r="E105" s="21" t="s">
        <v>17</v>
      </c>
      <c r="F105" s="21" t="s">
        <v>25</v>
      </c>
      <c r="G105" s="24">
        <v>17</v>
      </c>
      <c r="H105" s="24"/>
      <c r="J105" s="21" t="s">
        <v>594</v>
      </c>
      <c r="K105" s="24">
        <v>17704.400000000001</v>
      </c>
    </row>
    <row r="106" spans="1:11" x14ac:dyDescent="0.25">
      <c r="A106" s="78">
        <v>46131</v>
      </c>
      <c r="B106" s="21" t="s">
        <v>13</v>
      </c>
      <c r="C106" s="21" t="s">
        <v>20</v>
      </c>
      <c r="D106" s="21" t="s">
        <v>13</v>
      </c>
      <c r="E106" s="21"/>
      <c r="F106" s="21"/>
      <c r="G106" s="24">
        <v>12484</v>
      </c>
      <c r="H106" s="24"/>
      <c r="J106" s="21" t="s">
        <v>594</v>
      </c>
      <c r="K106" s="24">
        <v>30188.400000000001</v>
      </c>
    </row>
    <row r="107" spans="1:11" x14ac:dyDescent="0.25">
      <c r="A107" s="78">
        <v>46131</v>
      </c>
      <c r="B107" s="21" t="s">
        <v>44</v>
      </c>
      <c r="C107" s="21" t="s">
        <v>20</v>
      </c>
      <c r="D107" s="21" t="s">
        <v>22</v>
      </c>
      <c r="E107" s="21" t="s">
        <v>17</v>
      </c>
      <c r="F107" s="21"/>
      <c r="G107" s="24">
        <v>262.5</v>
      </c>
      <c r="H107" s="24"/>
      <c r="J107" s="21" t="s">
        <v>594</v>
      </c>
      <c r="K107" s="24">
        <v>30450.9</v>
      </c>
    </row>
    <row r="108" spans="1:11" x14ac:dyDescent="0.25">
      <c r="A108" s="78">
        <v>46131</v>
      </c>
      <c r="B108" s="21" t="s">
        <v>45</v>
      </c>
      <c r="C108" s="21" t="s">
        <v>12</v>
      </c>
      <c r="D108" s="21" t="s">
        <v>24</v>
      </c>
      <c r="E108" s="21" t="s">
        <v>17</v>
      </c>
      <c r="F108" s="21" t="s">
        <v>25</v>
      </c>
      <c r="G108" s="24">
        <v>45</v>
      </c>
      <c r="H108" s="24"/>
      <c r="J108" s="21" t="s">
        <v>594</v>
      </c>
      <c r="K108" s="24">
        <v>30405.9</v>
      </c>
    </row>
    <row r="109" spans="1:11" x14ac:dyDescent="0.25">
      <c r="A109" s="78">
        <v>46131</v>
      </c>
      <c r="B109" s="21" t="s">
        <v>11</v>
      </c>
      <c r="C109" s="21" t="s">
        <v>12</v>
      </c>
      <c r="D109" s="21" t="s">
        <v>19</v>
      </c>
      <c r="E109" s="21" t="s">
        <v>14</v>
      </c>
      <c r="F109" s="21" t="s">
        <v>15</v>
      </c>
      <c r="G109" s="24">
        <v>282</v>
      </c>
      <c r="H109" s="24"/>
      <c r="J109" s="21" t="s">
        <v>594</v>
      </c>
      <c r="K109" s="24">
        <v>30123.9</v>
      </c>
    </row>
    <row r="110" spans="1:11" x14ac:dyDescent="0.25">
      <c r="A110" s="78">
        <v>46131</v>
      </c>
      <c r="B110" s="21" t="s">
        <v>33</v>
      </c>
      <c r="C110" s="21" t="s">
        <v>12</v>
      </c>
      <c r="D110" s="21" t="s">
        <v>33</v>
      </c>
      <c r="E110" s="21" t="s">
        <v>14</v>
      </c>
      <c r="F110" s="21" t="s">
        <v>15</v>
      </c>
      <c r="G110" s="24">
        <v>150</v>
      </c>
      <c r="H110" s="24"/>
      <c r="J110" s="21" t="s">
        <v>594</v>
      </c>
      <c r="K110" s="24">
        <v>29973.9</v>
      </c>
    </row>
    <row r="111" spans="1:11" x14ac:dyDescent="0.25">
      <c r="A111" s="78">
        <v>46132</v>
      </c>
      <c r="B111" s="21" t="s">
        <v>13</v>
      </c>
      <c r="C111" s="21" t="s">
        <v>20</v>
      </c>
      <c r="D111" s="21" t="s">
        <v>13</v>
      </c>
      <c r="E111" s="21"/>
      <c r="F111" s="21"/>
      <c r="G111" s="24">
        <v>7516</v>
      </c>
      <c r="H111" s="24"/>
      <c r="J111" s="21" t="s">
        <v>594</v>
      </c>
      <c r="K111" s="24">
        <v>37489.9</v>
      </c>
    </row>
    <row r="112" spans="1:11" x14ac:dyDescent="0.25">
      <c r="A112" s="78">
        <v>46132</v>
      </c>
      <c r="B112" s="21" t="s">
        <v>44</v>
      </c>
      <c r="C112" s="21" t="s">
        <v>20</v>
      </c>
      <c r="D112" s="21" t="s">
        <v>22</v>
      </c>
      <c r="E112" s="21" t="s">
        <v>17</v>
      </c>
      <c r="F112" s="21"/>
      <c r="G112" s="24">
        <v>139.80000000000001</v>
      </c>
      <c r="H112" s="24"/>
      <c r="J112" s="21" t="s">
        <v>594</v>
      </c>
      <c r="K112" s="24">
        <v>37629.699999999997</v>
      </c>
    </row>
    <row r="113" spans="1:11" x14ac:dyDescent="0.25">
      <c r="A113" s="78">
        <v>46132</v>
      </c>
      <c r="B113" s="21" t="s">
        <v>45</v>
      </c>
      <c r="C113" s="21" t="s">
        <v>12</v>
      </c>
      <c r="D113" s="21" t="s">
        <v>24</v>
      </c>
      <c r="E113" s="21" t="s">
        <v>17</v>
      </c>
      <c r="F113" s="21" t="s">
        <v>25</v>
      </c>
      <c r="G113" s="24">
        <v>9</v>
      </c>
      <c r="H113" s="24"/>
      <c r="J113" s="21" t="s">
        <v>594</v>
      </c>
      <c r="K113" s="24">
        <v>37620.699999999997</v>
      </c>
    </row>
    <row r="114" spans="1:11" x14ac:dyDescent="0.25">
      <c r="A114" s="78">
        <v>46132</v>
      </c>
      <c r="B114" s="21" t="s">
        <v>389</v>
      </c>
      <c r="C114" s="21" t="s">
        <v>12</v>
      </c>
      <c r="D114" s="21" t="s">
        <v>19</v>
      </c>
      <c r="E114" s="21" t="s">
        <v>17</v>
      </c>
      <c r="F114" s="21"/>
      <c r="G114" s="24">
        <v>329.39</v>
      </c>
      <c r="H114" s="24"/>
      <c r="J114" s="21" t="s">
        <v>594</v>
      </c>
      <c r="K114" s="24">
        <v>37291.31</v>
      </c>
    </row>
    <row r="115" spans="1:11" x14ac:dyDescent="0.25">
      <c r="A115" s="78">
        <v>46132</v>
      </c>
      <c r="B115" s="21" t="s">
        <v>612</v>
      </c>
      <c r="C115" s="21" t="s">
        <v>12</v>
      </c>
      <c r="D115" s="21" t="s">
        <v>58</v>
      </c>
      <c r="E115" s="21" t="s">
        <v>17</v>
      </c>
      <c r="F115" s="21"/>
      <c r="G115" s="24">
        <v>6532.57</v>
      </c>
      <c r="H115" s="24"/>
      <c r="J115" s="21" t="s">
        <v>594</v>
      </c>
      <c r="K115" s="24">
        <v>30758.740000000009</v>
      </c>
    </row>
    <row r="116" spans="1:11" x14ac:dyDescent="0.25">
      <c r="A116" s="78">
        <v>46132</v>
      </c>
      <c r="B116" s="21" t="s">
        <v>369</v>
      </c>
      <c r="C116" s="21" t="s">
        <v>12</v>
      </c>
      <c r="D116" s="21" t="s">
        <v>19</v>
      </c>
      <c r="E116" s="21" t="s">
        <v>17</v>
      </c>
      <c r="F116" s="21"/>
      <c r="G116" s="24">
        <v>278.93</v>
      </c>
      <c r="H116" s="24"/>
      <c r="J116" s="21" t="s">
        <v>594</v>
      </c>
      <c r="K116" s="24">
        <v>30479.81</v>
      </c>
    </row>
    <row r="117" spans="1:11" x14ac:dyDescent="0.25">
      <c r="A117" s="78">
        <v>46132</v>
      </c>
      <c r="B117" s="21" t="s">
        <v>547</v>
      </c>
      <c r="C117" s="21" t="s">
        <v>12</v>
      </c>
      <c r="D117" s="21" t="s">
        <v>58</v>
      </c>
      <c r="E117" s="21" t="s">
        <v>17</v>
      </c>
      <c r="F117" s="21"/>
      <c r="G117" s="24">
        <v>772.51</v>
      </c>
      <c r="H117" s="24"/>
      <c r="J117" s="21" t="s">
        <v>594</v>
      </c>
      <c r="K117" s="24">
        <v>29707.30000000001</v>
      </c>
    </row>
    <row r="118" spans="1:11" x14ac:dyDescent="0.25">
      <c r="A118" s="78">
        <v>46132</v>
      </c>
      <c r="B118" s="21" t="s">
        <v>356</v>
      </c>
      <c r="C118" s="21" t="s">
        <v>12</v>
      </c>
      <c r="D118" s="21" t="s">
        <v>58</v>
      </c>
      <c r="E118" s="21" t="s">
        <v>17</v>
      </c>
      <c r="F118" s="21"/>
      <c r="G118" s="24">
        <v>815.94</v>
      </c>
      <c r="H118" s="24"/>
      <c r="J118" s="21" t="s">
        <v>594</v>
      </c>
      <c r="K118" s="24">
        <v>28891.360000000011</v>
      </c>
    </row>
    <row r="119" spans="1:11" x14ac:dyDescent="0.25">
      <c r="A119" s="78">
        <v>46132</v>
      </c>
      <c r="B119" s="21" t="s">
        <v>369</v>
      </c>
      <c r="C119" s="21" t="s">
        <v>12</v>
      </c>
      <c r="D119" s="21" t="s">
        <v>19</v>
      </c>
      <c r="E119" s="21" t="s">
        <v>17</v>
      </c>
      <c r="F119" s="21"/>
      <c r="G119" s="24">
        <v>1708.19</v>
      </c>
      <c r="H119" s="24"/>
      <c r="J119" s="21" t="s">
        <v>594</v>
      </c>
      <c r="K119" s="24">
        <v>27183.170000000009</v>
      </c>
    </row>
    <row r="120" spans="1:11" x14ac:dyDescent="0.25">
      <c r="A120" s="78">
        <v>46132</v>
      </c>
      <c r="B120" s="21" t="s">
        <v>370</v>
      </c>
      <c r="C120" s="21" t="s">
        <v>12</v>
      </c>
      <c r="D120" s="21" t="s">
        <v>19</v>
      </c>
      <c r="E120" s="21" t="s">
        <v>17</v>
      </c>
      <c r="F120" s="21" t="s">
        <v>25</v>
      </c>
      <c r="G120" s="24">
        <v>697.75</v>
      </c>
      <c r="H120" s="24"/>
      <c r="J120" s="21" t="s">
        <v>594</v>
      </c>
      <c r="K120" s="24">
        <v>26485.420000000009</v>
      </c>
    </row>
    <row r="121" spans="1:11" x14ac:dyDescent="0.25">
      <c r="A121" s="78">
        <v>46133</v>
      </c>
      <c r="B121" s="21" t="s">
        <v>13</v>
      </c>
      <c r="C121" s="21" t="s">
        <v>20</v>
      </c>
      <c r="D121" s="21" t="s">
        <v>13</v>
      </c>
      <c r="E121" s="21"/>
      <c r="F121" s="21"/>
      <c r="G121" s="24">
        <v>8331</v>
      </c>
      <c r="H121" s="24"/>
      <c r="J121" s="21" t="s">
        <v>594</v>
      </c>
      <c r="K121" s="24">
        <v>34816.420000000013</v>
      </c>
    </row>
    <row r="122" spans="1:11" x14ac:dyDescent="0.25">
      <c r="A122" s="78">
        <v>46133</v>
      </c>
      <c r="B122" s="21" t="s">
        <v>44</v>
      </c>
      <c r="C122" s="21" t="s">
        <v>20</v>
      </c>
      <c r="D122" s="21" t="s">
        <v>22</v>
      </c>
      <c r="E122" s="21" t="s">
        <v>17</v>
      </c>
      <c r="F122" s="21"/>
      <c r="G122" s="24">
        <v>135.30000000000001</v>
      </c>
      <c r="H122" s="24"/>
      <c r="J122" s="21" t="s">
        <v>594</v>
      </c>
      <c r="K122" s="24">
        <v>34951.720000000023</v>
      </c>
    </row>
    <row r="123" spans="1:11" x14ac:dyDescent="0.25">
      <c r="A123" s="78">
        <v>46133</v>
      </c>
      <c r="B123" s="21" t="s">
        <v>45</v>
      </c>
      <c r="C123" s="21" t="s">
        <v>12</v>
      </c>
      <c r="D123" s="21" t="s">
        <v>24</v>
      </c>
      <c r="E123" s="21" t="s">
        <v>17</v>
      </c>
      <c r="F123" s="21" t="s">
        <v>25</v>
      </c>
      <c r="G123" s="24">
        <v>18</v>
      </c>
      <c r="H123" s="24"/>
      <c r="J123" s="21" t="s">
        <v>594</v>
      </c>
      <c r="K123" s="24">
        <v>34933.720000000023</v>
      </c>
    </row>
    <row r="124" spans="1:11" x14ac:dyDescent="0.25">
      <c r="A124" s="78">
        <v>46133</v>
      </c>
      <c r="B124" s="21" t="s">
        <v>11</v>
      </c>
      <c r="C124" s="21" t="s">
        <v>12</v>
      </c>
      <c r="D124" s="21" t="s">
        <v>19</v>
      </c>
      <c r="E124" s="21" t="s">
        <v>14</v>
      </c>
      <c r="F124" s="21" t="s">
        <v>15</v>
      </c>
      <c r="G124" s="24">
        <v>188</v>
      </c>
      <c r="H124" s="24"/>
      <c r="J124" s="21" t="s">
        <v>594</v>
      </c>
      <c r="K124" s="24">
        <v>34745.720000000023</v>
      </c>
    </row>
    <row r="125" spans="1:11" x14ac:dyDescent="0.25">
      <c r="A125" s="78">
        <v>46132</v>
      </c>
      <c r="B125" s="21" t="s">
        <v>33</v>
      </c>
      <c r="C125" s="21" t="s">
        <v>12</v>
      </c>
      <c r="D125" s="21" t="s">
        <v>33</v>
      </c>
      <c r="E125" s="21" t="s">
        <v>14</v>
      </c>
      <c r="F125" s="21" t="s">
        <v>15</v>
      </c>
      <c r="G125" s="24">
        <v>100</v>
      </c>
      <c r="H125" s="24"/>
      <c r="J125" s="21" t="s">
        <v>594</v>
      </c>
      <c r="K125" s="24">
        <v>34645.720000000023</v>
      </c>
    </row>
    <row r="126" spans="1:11" x14ac:dyDescent="0.25">
      <c r="A126" s="78">
        <v>46133</v>
      </c>
      <c r="B126" s="21" t="s">
        <v>33</v>
      </c>
      <c r="C126" s="21" t="s">
        <v>12</v>
      </c>
      <c r="D126" s="21" t="s">
        <v>33</v>
      </c>
      <c r="E126" s="21" t="s">
        <v>14</v>
      </c>
      <c r="F126" s="21" t="s">
        <v>15</v>
      </c>
      <c r="G126" s="24">
        <v>100</v>
      </c>
      <c r="H126" s="24"/>
      <c r="J126" s="21" t="s">
        <v>594</v>
      </c>
      <c r="K126" s="24">
        <v>34545.720000000023</v>
      </c>
    </row>
    <row r="127" spans="1:11" x14ac:dyDescent="0.25">
      <c r="A127" s="78">
        <v>46134</v>
      </c>
      <c r="B127" s="21" t="s">
        <v>13</v>
      </c>
      <c r="C127" s="21" t="s">
        <v>20</v>
      </c>
      <c r="D127" s="21" t="s">
        <v>13</v>
      </c>
      <c r="E127" s="21"/>
      <c r="F127" s="21"/>
      <c r="G127" s="24">
        <v>1441</v>
      </c>
      <c r="H127" s="24"/>
      <c r="J127" s="21" t="s">
        <v>594</v>
      </c>
      <c r="K127" s="24">
        <v>35986.720000000023</v>
      </c>
    </row>
    <row r="128" spans="1:11" x14ac:dyDescent="0.25">
      <c r="A128" s="78">
        <v>46134</v>
      </c>
      <c r="B128" s="21" t="s">
        <v>44</v>
      </c>
      <c r="C128" s="21" t="s">
        <v>20</v>
      </c>
      <c r="D128" s="21" t="s">
        <v>22</v>
      </c>
      <c r="E128" s="21" t="s">
        <v>17</v>
      </c>
      <c r="F128" s="21"/>
      <c r="G128" s="24">
        <v>0</v>
      </c>
      <c r="H128" s="24"/>
      <c r="J128" s="21" t="s">
        <v>594</v>
      </c>
      <c r="K128" s="24">
        <v>35986.720000000023</v>
      </c>
    </row>
    <row r="129" spans="1:11" x14ac:dyDescent="0.25">
      <c r="A129" s="78">
        <v>46134</v>
      </c>
      <c r="B129" s="21" t="s">
        <v>45</v>
      </c>
      <c r="C129" s="21" t="s">
        <v>12</v>
      </c>
      <c r="D129" s="21" t="s">
        <v>24</v>
      </c>
      <c r="E129" s="21" t="s">
        <v>17</v>
      </c>
      <c r="F129" s="21" t="s">
        <v>25</v>
      </c>
      <c r="G129" s="24">
        <v>0</v>
      </c>
      <c r="H129" s="24"/>
      <c r="J129" s="21" t="s">
        <v>594</v>
      </c>
      <c r="K129" s="24">
        <v>35986.720000000023</v>
      </c>
    </row>
    <row r="130" spans="1:11" x14ac:dyDescent="0.25">
      <c r="A130" s="78">
        <v>46134</v>
      </c>
      <c r="B130" s="21" t="s">
        <v>11</v>
      </c>
      <c r="C130" s="21" t="s">
        <v>12</v>
      </c>
      <c r="D130" s="21" t="s">
        <v>19</v>
      </c>
      <c r="E130" s="21" t="s">
        <v>14</v>
      </c>
      <c r="F130" s="21" t="s">
        <v>15</v>
      </c>
      <c r="G130" s="24">
        <v>0</v>
      </c>
      <c r="H130" s="24"/>
      <c r="J130" s="21" t="s">
        <v>594</v>
      </c>
      <c r="K130" s="24">
        <v>35986.720000000023</v>
      </c>
    </row>
    <row r="131" spans="1:11" x14ac:dyDescent="0.25">
      <c r="A131" s="78">
        <v>46135</v>
      </c>
      <c r="B131" s="21" t="s">
        <v>13</v>
      </c>
      <c r="C131" s="21" t="s">
        <v>20</v>
      </c>
      <c r="D131" s="21" t="s">
        <v>13</v>
      </c>
      <c r="E131" s="21"/>
      <c r="F131" s="21"/>
      <c r="G131" s="24">
        <v>2442</v>
      </c>
      <c r="H131" s="24"/>
      <c r="J131" s="21" t="s">
        <v>594</v>
      </c>
      <c r="K131" s="24">
        <v>38428.720000000023</v>
      </c>
    </row>
    <row r="132" spans="1:11" x14ac:dyDescent="0.25">
      <c r="A132" s="78">
        <v>46135</v>
      </c>
      <c r="B132" s="21" t="s">
        <v>44</v>
      </c>
      <c r="C132" s="21" t="s">
        <v>20</v>
      </c>
      <c r="D132" s="21" t="s">
        <v>22</v>
      </c>
      <c r="E132" s="21" t="s">
        <v>17</v>
      </c>
      <c r="F132" s="21"/>
      <c r="G132" s="24">
        <v>139.30000000000001</v>
      </c>
      <c r="H132" s="24"/>
      <c r="J132" s="21" t="s">
        <v>594</v>
      </c>
      <c r="K132" s="24">
        <v>38568.020000000019</v>
      </c>
    </row>
    <row r="133" spans="1:11" x14ac:dyDescent="0.25">
      <c r="A133" s="78">
        <v>46135</v>
      </c>
      <c r="B133" s="21" t="s">
        <v>45</v>
      </c>
      <c r="C133" s="21" t="s">
        <v>12</v>
      </c>
      <c r="D133" s="21" t="s">
        <v>24</v>
      </c>
      <c r="E133" s="21" t="s">
        <v>17</v>
      </c>
      <c r="F133" s="21" t="s">
        <v>25</v>
      </c>
      <c r="G133" s="24">
        <v>60</v>
      </c>
      <c r="H133" s="24"/>
      <c r="J133" s="21" t="s">
        <v>594</v>
      </c>
      <c r="K133" s="24">
        <v>38508.020000000019</v>
      </c>
    </row>
    <row r="134" spans="1:11" x14ac:dyDescent="0.25">
      <c r="A134" s="78">
        <v>46135</v>
      </c>
      <c r="B134" s="21" t="s">
        <v>11</v>
      </c>
      <c r="C134" s="21" t="s">
        <v>12</v>
      </c>
      <c r="D134" s="21" t="s">
        <v>19</v>
      </c>
      <c r="E134" s="21" t="s">
        <v>14</v>
      </c>
      <c r="F134" s="21" t="s">
        <v>15</v>
      </c>
      <c r="G134" s="24">
        <v>0</v>
      </c>
      <c r="H134" s="24"/>
      <c r="J134" s="21" t="s">
        <v>594</v>
      </c>
      <c r="K134" s="24">
        <v>38508.020000000019</v>
      </c>
    </row>
    <row r="135" spans="1:11" x14ac:dyDescent="0.25">
      <c r="A135" s="78">
        <v>46136</v>
      </c>
      <c r="B135" s="21" t="s">
        <v>13</v>
      </c>
      <c r="C135" s="21" t="s">
        <v>20</v>
      </c>
      <c r="D135" s="21" t="s">
        <v>13</v>
      </c>
      <c r="E135" s="21"/>
      <c r="F135" s="21"/>
      <c r="G135" s="24">
        <v>3810</v>
      </c>
      <c r="H135" s="24"/>
      <c r="J135" s="21" t="s">
        <v>594</v>
      </c>
      <c r="K135" s="24">
        <v>42318.020000000019</v>
      </c>
    </row>
    <row r="136" spans="1:11" x14ac:dyDescent="0.25">
      <c r="A136" s="78">
        <v>46136</v>
      </c>
      <c r="B136" s="21" t="s">
        <v>44</v>
      </c>
      <c r="C136" s="21" t="s">
        <v>20</v>
      </c>
      <c r="D136" s="21" t="s">
        <v>22</v>
      </c>
      <c r="E136" s="21" t="s">
        <v>17</v>
      </c>
      <c r="F136" s="21"/>
      <c r="G136" s="24">
        <v>39</v>
      </c>
      <c r="H136" s="24"/>
      <c r="J136" s="21" t="s">
        <v>594</v>
      </c>
      <c r="K136" s="24">
        <v>42357.020000000019</v>
      </c>
    </row>
    <row r="137" spans="1:11" x14ac:dyDescent="0.25">
      <c r="A137" s="78">
        <v>46136</v>
      </c>
      <c r="B137" s="21" t="s">
        <v>45</v>
      </c>
      <c r="C137" s="21" t="s">
        <v>12</v>
      </c>
      <c r="D137" s="21" t="s">
        <v>24</v>
      </c>
      <c r="E137" s="21" t="s">
        <v>17</v>
      </c>
      <c r="F137" s="21"/>
      <c r="G137" s="24">
        <v>18</v>
      </c>
      <c r="H137" s="24"/>
      <c r="J137" s="21" t="s">
        <v>594</v>
      </c>
      <c r="K137" s="24">
        <v>42339.020000000019</v>
      </c>
    </row>
    <row r="138" spans="1:11" x14ac:dyDescent="0.25">
      <c r="A138" s="78">
        <v>46136</v>
      </c>
      <c r="B138" s="21" t="s">
        <v>11</v>
      </c>
      <c r="C138" s="21" t="s">
        <v>12</v>
      </c>
      <c r="D138" s="21" t="s">
        <v>19</v>
      </c>
      <c r="E138" s="21" t="s">
        <v>14</v>
      </c>
      <c r="F138" s="21" t="s">
        <v>15</v>
      </c>
      <c r="G138" s="24">
        <v>470</v>
      </c>
      <c r="H138" s="24"/>
      <c r="J138" s="21" t="s">
        <v>594</v>
      </c>
      <c r="K138" s="24">
        <v>41869.020000000019</v>
      </c>
    </row>
    <row r="139" spans="1:11" x14ac:dyDescent="0.25">
      <c r="A139" s="78">
        <v>46136</v>
      </c>
      <c r="B139" s="21" t="s">
        <v>613</v>
      </c>
      <c r="C139" s="21" t="s">
        <v>12</v>
      </c>
      <c r="D139" s="21" t="s">
        <v>19</v>
      </c>
      <c r="E139" s="21" t="s">
        <v>17</v>
      </c>
      <c r="F139" s="21" t="s">
        <v>25</v>
      </c>
      <c r="G139" s="24">
        <v>140</v>
      </c>
      <c r="H139" s="24"/>
      <c r="J139" s="21" t="s">
        <v>594</v>
      </c>
      <c r="K139" s="24">
        <v>41729.020000000019</v>
      </c>
    </row>
    <row r="140" spans="1:11" x14ac:dyDescent="0.25">
      <c r="A140" s="78">
        <v>46137</v>
      </c>
      <c r="B140" s="21" t="s">
        <v>614</v>
      </c>
      <c r="C140" s="21" t="s">
        <v>12</v>
      </c>
      <c r="D140" s="21" t="s">
        <v>33</v>
      </c>
      <c r="E140" s="21" t="s">
        <v>17</v>
      </c>
      <c r="F140" s="21" t="s">
        <v>25</v>
      </c>
      <c r="G140" s="24">
        <v>150</v>
      </c>
      <c r="H140" s="24"/>
      <c r="J140" s="21" t="s">
        <v>594</v>
      </c>
      <c r="K140" s="24">
        <v>41579.020000000019</v>
      </c>
    </row>
    <row r="141" spans="1:11" x14ac:dyDescent="0.25">
      <c r="A141" s="78">
        <v>46137</v>
      </c>
      <c r="B141" s="21" t="s">
        <v>13</v>
      </c>
      <c r="C141" s="21" t="s">
        <v>20</v>
      </c>
      <c r="D141" s="21" t="s">
        <v>13</v>
      </c>
      <c r="E141" s="21"/>
      <c r="F141" s="21"/>
      <c r="G141" s="24">
        <v>5980</v>
      </c>
      <c r="H141" s="24"/>
      <c r="J141" s="21" t="s">
        <v>594</v>
      </c>
      <c r="K141" s="24">
        <v>47559.020000000019</v>
      </c>
    </row>
    <row r="142" spans="1:11" x14ac:dyDescent="0.25">
      <c r="A142" s="78">
        <v>46137</v>
      </c>
      <c r="B142" s="21" t="s">
        <v>44</v>
      </c>
      <c r="C142" s="21" t="s">
        <v>20</v>
      </c>
      <c r="D142" s="21" t="s">
        <v>22</v>
      </c>
      <c r="E142" s="21" t="s">
        <v>17</v>
      </c>
      <c r="F142" s="21"/>
      <c r="G142" s="24">
        <v>112.1</v>
      </c>
      <c r="H142" s="24"/>
      <c r="J142" s="21" t="s">
        <v>594</v>
      </c>
      <c r="K142" s="24">
        <v>47671.120000000017</v>
      </c>
    </row>
    <row r="143" spans="1:11" x14ac:dyDescent="0.25">
      <c r="A143" s="78">
        <v>46137</v>
      </c>
      <c r="B143" s="21" t="s">
        <v>33</v>
      </c>
      <c r="C143" s="21" t="s">
        <v>12</v>
      </c>
      <c r="D143" s="21" t="s">
        <v>33</v>
      </c>
      <c r="E143" s="21" t="s">
        <v>14</v>
      </c>
      <c r="F143" s="21" t="s">
        <v>15</v>
      </c>
      <c r="G143" s="24">
        <v>150</v>
      </c>
      <c r="H143" s="24"/>
      <c r="J143" s="21" t="s">
        <v>594</v>
      </c>
      <c r="K143" s="24">
        <v>47521.120000000017</v>
      </c>
    </row>
    <row r="144" spans="1:11" x14ac:dyDescent="0.25">
      <c r="A144" s="78">
        <v>46137</v>
      </c>
      <c r="B144" s="21" t="s">
        <v>23</v>
      </c>
      <c r="C144" s="21" t="s">
        <v>12</v>
      </c>
      <c r="D144" s="21" t="s">
        <v>24</v>
      </c>
      <c r="E144" s="21" t="s">
        <v>17</v>
      </c>
      <c r="F144" s="21" t="s">
        <v>25</v>
      </c>
      <c r="G144" s="24">
        <v>27</v>
      </c>
      <c r="H144" s="24"/>
      <c r="J144" s="21" t="s">
        <v>594</v>
      </c>
      <c r="K144" s="24">
        <v>47494.120000000017</v>
      </c>
    </row>
    <row r="145" spans="1:11" x14ac:dyDescent="0.25">
      <c r="A145" s="78">
        <v>46138</v>
      </c>
      <c r="B145" s="21" t="s">
        <v>13</v>
      </c>
      <c r="C145" s="21" t="s">
        <v>20</v>
      </c>
      <c r="D145" s="21" t="s">
        <v>13</v>
      </c>
      <c r="E145" s="21"/>
      <c r="F145" s="21"/>
      <c r="G145" s="24">
        <v>7243</v>
      </c>
      <c r="H145" s="24"/>
      <c r="J145" s="21" t="s">
        <v>594</v>
      </c>
      <c r="K145" s="24">
        <v>54737.120000000017</v>
      </c>
    </row>
    <row r="146" spans="1:11" x14ac:dyDescent="0.25">
      <c r="A146" s="78">
        <v>46138</v>
      </c>
      <c r="B146" s="21" t="s">
        <v>44</v>
      </c>
      <c r="C146" s="21" t="s">
        <v>20</v>
      </c>
      <c r="D146" s="21" t="s">
        <v>22</v>
      </c>
      <c r="E146" s="21" t="s">
        <v>17</v>
      </c>
      <c r="F146" s="21"/>
      <c r="G146" s="24">
        <v>395.9</v>
      </c>
      <c r="H146" s="24"/>
      <c r="J146" s="21" t="s">
        <v>594</v>
      </c>
      <c r="K146" s="24">
        <v>55133.020000000019</v>
      </c>
    </row>
    <row r="147" spans="1:11" x14ac:dyDescent="0.25">
      <c r="A147" s="78">
        <v>46138</v>
      </c>
      <c r="B147" s="21" t="s">
        <v>45</v>
      </c>
      <c r="C147" s="21" t="s">
        <v>12</v>
      </c>
      <c r="D147" s="21" t="s">
        <v>24</v>
      </c>
      <c r="E147" s="21" t="s">
        <v>17</v>
      </c>
      <c r="F147" s="21" t="s">
        <v>25</v>
      </c>
      <c r="G147" s="24">
        <v>63</v>
      </c>
      <c r="H147" s="24"/>
      <c r="J147" s="21" t="s">
        <v>594</v>
      </c>
      <c r="K147" s="24">
        <v>55070.020000000019</v>
      </c>
    </row>
    <row r="148" spans="1:11" x14ac:dyDescent="0.25">
      <c r="A148" s="78">
        <v>46138</v>
      </c>
      <c r="B148" s="21" t="s">
        <v>33</v>
      </c>
      <c r="C148" s="21" t="s">
        <v>12</v>
      </c>
      <c r="D148" s="21" t="s">
        <v>33</v>
      </c>
      <c r="E148" s="21" t="s">
        <v>14</v>
      </c>
      <c r="F148" s="21" t="s">
        <v>15</v>
      </c>
      <c r="G148" s="24">
        <v>150</v>
      </c>
      <c r="H148" s="24"/>
      <c r="J148" s="21" t="s">
        <v>594</v>
      </c>
      <c r="K148" s="24">
        <v>54920.020000000019</v>
      </c>
    </row>
    <row r="149" spans="1:11" x14ac:dyDescent="0.25">
      <c r="A149" s="78">
        <v>46139</v>
      </c>
      <c r="B149" s="21" t="s">
        <v>13</v>
      </c>
      <c r="C149" s="21" t="s">
        <v>20</v>
      </c>
      <c r="D149" s="21" t="s">
        <v>13</v>
      </c>
      <c r="E149" s="21"/>
      <c r="F149" s="21"/>
      <c r="G149" s="24">
        <v>1233</v>
      </c>
      <c r="H149" s="24"/>
      <c r="J149" s="21" t="s">
        <v>594</v>
      </c>
      <c r="K149" s="24">
        <v>56153.020000000019</v>
      </c>
    </row>
    <row r="150" spans="1:11" x14ac:dyDescent="0.25">
      <c r="A150" s="78">
        <v>46139</v>
      </c>
      <c r="B150" s="21" t="s">
        <v>44</v>
      </c>
      <c r="C150" s="21" t="s">
        <v>20</v>
      </c>
      <c r="D150" s="21" t="s">
        <v>22</v>
      </c>
      <c r="E150" s="21" t="s">
        <v>17</v>
      </c>
      <c r="F150" s="21"/>
      <c r="G150" s="24">
        <v>0</v>
      </c>
      <c r="H150" s="24"/>
      <c r="J150" s="21" t="s">
        <v>594</v>
      </c>
      <c r="K150" s="24">
        <v>56153.020000000019</v>
      </c>
    </row>
    <row r="151" spans="1:11" x14ac:dyDescent="0.25">
      <c r="A151" s="78">
        <v>46139</v>
      </c>
      <c r="B151" s="21" t="s">
        <v>45</v>
      </c>
      <c r="C151" s="21" t="s">
        <v>12</v>
      </c>
      <c r="D151" s="21" t="s">
        <v>24</v>
      </c>
      <c r="E151" s="21" t="s">
        <v>17</v>
      </c>
      <c r="F151" s="21" t="s">
        <v>25</v>
      </c>
      <c r="G151" s="24">
        <v>9</v>
      </c>
      <c r="H151" s="24"/>
      <c r="J151" s="21" t="s">
        <v>594</v>
      </c>
      <c r="K151" s="24">
        <v>56144.020000000019</v>
      </c>
    </row>
    <row r="152" spans="1:11" x14ac:dyDescent="0.25">
      <c r="A152" s="78">
        <v>46139</v>
      </c>
      <c r="B152" s="21" t="s">
        <v>11</v>
      </c>
      <c r="C152" s="21" t="s">
        <v>12</v>
      </c>
      <c r="D152" s="21" t="s">
        <v>19</v>
      </c>
      <c r="E152" s="21" t="s">
        <v>14</v>
      </c>
      <c r="F152" s="21" t="s">
        <v>15</v>
      </c>
      <c r="G152" s="24">
        <v>0</v>
      </c>
      <c r="H152" s="24"/>
      <c r="J152" s="21" t="s">
        <v>594</v>
      </c>
      <c r="K152" s="24">
        <v>56144.020000000019</v>
      </c>
    </row>
    <row r="153" spans="1:11" x14ac:dyDescent="0.25">
      <c r="A153" s="78">
        <v>46139</v>
      </c>
      <c r="B153" s="21" t="s">
        <v>390</v>
      </c>
      <c r="C153" s="21" t="s">
        <v>12</v>
      </c>
      <c r="D153" s="21" t="s">
        <v>19</v>
      </c>
      <c r="E153" s="21" t="s">
        <v>17</v>
      </c>
      <c r="F153" s="21"/>
      <c r="G153" s="24">
        <v>422.46</v>
      </c>
      <c r="H153" s="24"/>
      <c r="J153" s="21" t="s">
        <v>594</v>
      </c>
      <c r="K153" s="24">
        <v>55721.560000000019</v>
      </c>
    </row>
    <row r="154" spans="1:11" x14ac:dyDescent="0.25">
      <c r="A154" s="78">
        <v>46139</v>
      </c>
      <c r="B154" s="21" t="s">
        <v>344</v>
      </c>
      <c r="C154" s="21" t="s">
        <v>12</v>
      </c>
      <c r="D154" s="21" t="s">
        <v>19</v>
      </c>
      <c r="E154" s="21" t="s">
        <v>17</v>
      </c>
      <c r="F154" s="21"/>
      <c r="G154" s="24">
        <v>1545.5</v>
      </c>
      <c r="H154" s="24"/>
      <c r="J154" s="21" t="s">
        <v>594</v>
      </c>
      <c r="K154" s="24">
        <v>54176.060000000019</v>
      </c>
    </row>
    <row r="155" spans="1:11" x14ac:dyDescent="0.25">
      <c r="A155" s="78">
        <v>46139</v>
      </c>
      <c r="B155" s="21" t="s">
        <v>531</v>
      </c>
      <c r="C155" s="21" t="s">
        <v>12</v>
      </c>
      <c r="D155" s="21" t="s">
        <v>327</v>
      </c>
      <c r="E155" s="21" t="s">
        <v>17</v>
      </c>
      <c r="F155" s="21"/>
      <c r="G155" s="24">
        <v>3016.13</v>
      </c>
      <c r="H155" s="24"/>
      <c r="J155" s="21" t="s">
        <v>594</v>
      </c>
      <c r="K155" s="24">
        <v>51159.930000000022</v>
      </c>
    </row>
    <row r="156" spans="1:11" x14ac:dyDescent="0.25">
      <c r="A156" s="78">
        <v>46140</v>
      </c>
      <c r="B156" s="21" t="s">
        <v>304</v>
      </c>
      <c r="C156" s="21" t="s">
        <v>12</v>
      </c>
      <c r="D156" s="21" t="s">
        <v>68</v>
      </c>
      <c r="E156" s="21" t="s">
        <v>17</v>
      </c>
      <c r="F156" s="21"/>
      <c r="G156" s="24">
        <v>1000</v>
      </c>
      <c r="H156" s="24"/>
      <c r="J156" s="21" t="s">
        <v>594</v>
      </c>
      <c r="K156" s="24">
        <v>50159.930000000022</v>
      </c>
    </row>
    <row r="157" spans="1:11" x14ac:dyDescent="0.25">
      <c r="A157" s="78">
        <v>46141</v>
      </c>
      <c r="B157" s="21" t="s">
        <v>369</v>
      </c>
      <c r="C157" s="21" t="s">
        <v>12</v>
      </c>
      <c r="D157" s="21" t="s">
        <v>19</v>
      </c>
      <c r="E157" s="21" t="s">
        <v>17</v>
      </c>
      <c r="F157" s="21"/>
      <c r="G157" s="24">
        <v>278.93</v>
      </c>
      <c r="H157" s="24"/>
      <c r="J157" s="21" t="s">
        <v>594</v>
      </c>
      <c r="K157" s="24">
        <v>49881.000000000022</v>
      </c>
    </row>
    <row r="158" spans="1:11" x14ac:dyDescent="0.25">
      <c r="A158" s="78">
        <v>46139</v>
      </c>
      <c r="B158" s="21" t="s">
        <v>351</v>
      </c>
      <c r="C158" s="21" t="s">
        <v>12</v>
      </c>
      <c r="D158" s="21" t="s">
        <v>19</v>
      </c>
      <c r="E158" s="21" t="s">
        <v>17</v>
      </c>
      <c r="F158" s="21"/>
      <c r="G158" s="24">
        <v>1734.28</v>
      </c>
      <c r="H158" s="24"/>
      <c r="J158" s="21" t="s">
        <v>594</v>
      </c>
      <c r="K158" s="24">
        <v>48146.720000000023</v>
      </c>
    </row>
    <row r="159" spans="1:11" x14ac:dyDescent="0.25">
      <c r="A159" s="78">
        <v>46139</v>
      </c>
      <c r="B159" s="21" t="s">
        <v>615</v>
      </c>
      <c r="C159" s="21" t="s">
        <v>12</v>
      </c>
      <c r="D159" s="21" t="s">
        <v>27</v>
      </c>
      <c r="E159" s="21" t="s">
        <v>17</v>
      </c>
      <c r="F159" s="21" t="s">
        <v>25</v>
      </c>
      <c r="G159" s="24">
        <v>218</v>
      </c>
      <c r="H159" s="24"/>
      <c r="J159" s="21" t="s">
        <v>594</v>
      </c>
      <c r="K159" s="24">
        <v>47928.720000000023</v>
      </c>
    </row>
    <row r="160" spans="1:11" x14ac:dyDescent="0.25">
      <c r="A160" s="78">
        <v>46140</v>
      </c>
      <c r="B160" s="21" t="s">
        <v>352</v>
      </c>
      <c r="C160" s="21" t="s">
        <v>12</v>
      </c>
      <c r="D160" s="21" t="s">
        <v>19</v>
      </c>
      <c r="E160" s="21" t="s">
        <v>17</v>
      </c>
      <c r="F160" s="21"/>
      <c r="G160" s="24">
        <v>1029.4000000000001</v>
      </c>
      <c r="H160" s="24"/>
      <c r="J160" s="21" t="s">
        <v>594</v>
      </c>
      <c r="K160" s="24">
        <v>46899.320000000022</v>
      </c>
    </row>
    <row r="161" spans="1:11" x14ac:dyDescent="0.25">
      <c r="A161" s="78">
        <v>46140</v>
      </c>
      <c r="B161" s="21" t="s">
        <v>354</v>
      </c>
      <c r="C161" s="21" t="s">
        <v>12</v>
      </c>
      <c r="D161" s="21" t="s">
        <v>19</v>
      </c>
      <c r="E161" s="21" t="s">
        <v>17</v>
      </c>
      <c r="F161" s="21"/>
      <c r="G161" s="24">
        <v>362.1</v>
      </c>
      <c r="H161" s="24"/>
      <c r="J161" s="21" t="s">
        <v>594</v>
      </c>
      <c r="K161" s="24">
        <v>46537.220000000023</v>
      </c>
    </row>
    <row r="162" spans="1:11" x14ac:dyDescent="0.25">
      <c r="A162" s="78">
        <v>46140</v>
      </c>
      <c r="B162" s="21" t="s">
        <v>30</v>
      </c>
      <c r="C162" s="21" t="s">
        <v>20</v>
      </c>
      <c r="D162" s="21" t="s">
        <v>13</v>
      </c>
      <c r="E162" s="21"/>
      <c r="F162" s="21"/>
      <c r="G162" s="24">
        <v>1339</v>
      </c>
      <c r="H162" s="24"/>
      <c r="J162" s="21" t="s">
        <v>594</v>
      </c>
      <c r="K162" s="24">
        <v>47876.220000000023</v>
      </c>
    </row>
    <row r="163" spans="1:11" x14ac:dyDescent="0.25">
      <c r="A163" s="78">
        <v>46140</v>
      </c>
      <c r="B163" s="21" t="s">
        <v>44</v>
      </c>
      <c r="C163" s="21" t="s">
        <v>20</v>
      </c>
      <c r="D163" s="21" t="s">
        <v>22</v>
      </c>
      <c r="E163" s="21" t="s">
        <v>17</v>
      </c>
      <c r="F163" s="21"/>
      <c r="G163" s="24">
        <v>92.3</v>
      </c>
      <c r="H163" s="24"/>
      <c r="J163" s="21" t="s">
        <v>594</v>
      </c>
      <c r="K163" s="24">
        <v>47968.520000000033</v>
      </c>
    </row>
    <row r="164" spans="1:11" x14ac:dyDescent="0.25">
      <c r="A164" s="78">
        <v>46140</v>
      </c>
      <c r="B164" s="21" t="s">
        <v>23</v>
      </c>
      <c r="C164" s="21" t="s">
        <v>12</v>
      </c>
      <c r="D164" s="21" t="s">
        <v>24</v>
      </c>
      <c r="E164" s="21" t="s">
        <v>17</v>
      </c>
      <c r="F164" s="21" t="s">
        <v>25</v>
      </c>
      <c r="G164" s="24">
        <v>9</v>
      </c>
      <c r="H164" s="24"/>
      <c r="J164" s="21" t="s">
        <v>594</v>
      </c>
      <c r="K164" s="24">
        <v>47959.520000000033</v>
      </c>
    </row>
    <row r="165" spans="1:11" x14ac:dyDescent="0.25">
      <c r="A165" s="78">
        <v>46140</v>
      </c>
      <c r="B165" s="21" t="s">
        <v>401</v>
      </c>
      <c r="C165" s="21" t="s">
        <v>12</v>
      </c>
      <c r="D165" s="21" t="s">
        <v>19</v>
      </c>
      <c r="E165" s="21" t="s">
        <v>14</v>
      </c>
      <c r="F165" s="21" t="s">
        <v>15</v>
      </c>
      <c r="G165" s="24">
        <v>0</v>
      </c>
      <c r="H165" s="24"/>
      <c r="J165" s="21" t="s">
        <v>594</v>
      </c>
      <c r="K165" s="24">
        <v>47959.520000000033</v>
      </c>
    </row>
    <row r="166" spans="1:11" x14ac:dyDescent="0.25">
      <c r="A166" s="78">
        <v>46140</v>
      </c>
      <c r="B166" s="21" t="s">
        <v>18</v>
      </c>
      <c r="C166" s="21" t="s">
        <v>12</v>
      </c>
      <c r="D166" s="21" t="s">
        <v>19</v>
      </c>
      <c r="E166" s="21" t="s">
        <v>17</v>
      </c>
      <c r="F166" s="21"/>
      <c r="G166" s="24">
        <v>1370</v>
      </c>
      <c r="H166" s="24"/>
      <c r="J166" s="21" t="s">
        <v>594</v>
      </c>
      <c r="K166" s="24">
        <v>46589.520000000033</v>
      </c>
    </row>
    <row r="167" spans="1:11" x14ac:dyDescent="0.25">
      <c r="A167" s="78">
        <v>46140</v>
      </c>
      <c r="B167" s="21" t="s">
        <v>315</v>
      </c>
      <c r="C167" s="21" t="s">
        <v>12</v>
      </c>
      <c r="D167" s="21" t="s">
        <v>27</v>
      </c>
      <c r="E167" s="21" t="s">
        <v>17</v>
      </c>
      <c r="F167" s="21"/>
      <c r="G167" s="24">
        <v>2000</v>
      </c>
      <c r="H167" s="24"/>
      <c r="J167" s="21" t="s">
        <v>594</v>
      </c>
      <c r="K167" s="24">
        <v>44589.520000000033</v>
      </c>
    </row>
    <row r="168" spans="1:11" x14ac:dyDescent="0.25">
      <c r="A168" s="78">
        <v>46140</v>
      </c>
      <c r="B168" s="21" t="s">
        <v>616</v>
      </c>
      <c r="C168" s="21" t="s">
        <v>12</v>
      </c>
      <c r="D168" s="21" t="s">
        <v>19</v>
      </c>
      <c r="E168" s="21" t="s">
        <v>14</v>
      </c>
      <c r="F168" s="21" t="s">
        <v>15</v>
      </c>
      <c r="G168" s="24">
        <v>16</v>
      </c>
      <c r="H168" s="24"/>
      <c r="J168" s="21" t="s">
        <v>594</v>
      </c>
      <c r="K168" s="24">
        <v>44573.520000000033</v>
      </c>
    </row>
    <row r="169" spans="1:11" x14ac:dyDescent="0.25">
      <c r="A169" s="78">
        <v>46141</v>
      </c>
      <c r="B169" s="21" t="s">
        <v>366</v>
      </c>
      <c r="C169" s="21" t="s">
        <v>12</v>
      </c>
      <c r="D169" s="21" t="s">
        <v>19</v>
      </c>
      <c r="E169" s="21" t="s">
        <v>17</v>
      </c>
      <c r="F169" s="21" t="s">
        <v>25</v>
      </c>
      <c r="G169" s="24">
        <v>382.5</v>
      </c>
      <c r="H169" s="24"/>
      <c r="J169" s="21" t="s">
        <v>594</v>
      </c>
      <c r="K169" s="24">
        <v>44191.020000000033</v>
      </c>
    </row>
    <row r="170" spans="1:11" x14ac:dyDescent="0.25">
      <c r="A170" s="78">
        <v>46141</v>
      </c>
      <c r="B170" s="21" t="s">
        <v>13</v>
      </c>
      <c r="C170" s="21" t="s">
        <v>20</v>
      </c>
      <c r="D170" s="21" t="s">
        <v>13</v>
      </c>
      <c r="E170" s="21"/>
      <c r="F170" s="21"/>
      <c r="G170" s="24">
        <v>1565</v>
      </c>
      <c r="H170" s="24"/>
      <c r="J170" s="21" t="s">
        <v>594</v>
      </c>
      <c r="K170" s="24">
        <v>45756.020000000033</v>
      </c>
    </row>
    <row r="171" spans="1:11" x14ac:dyDescent="0.25">
      <c r="A171" s="78">
        <v>46141</v>
      </c>
      <c r="B171" s="21" t="s">
        <v>21</v>
      </c>
      <c r="C171" s="21" t="s">
        <v>20</v>
      </c>
      <c r="D171" s="21" t="s">
        <v>22</v>
      </c>
      <c r="E171" s="21" t="s">
        <v>17</v>
      </c>
      <c r="F171" s="21"/>
      <c r="G171" s="24">
        <v>181.5</v>
      </c>
      <c r="H171" s="24"/>
      <c r="J171" s="21" t="s">
        <v>594</v>
      </c>
      <c r="K171" s="24">
        <v>45937.520000000033</v>
      </c>
    </row>
    <row r="172" spans="1:11" x14ac:dyDescent="0.25">
      <c r="A172" s="78">
        <v>46141</v>
      </c>
      <c r="B172" s="21" t="s">
        <v>23</v>
      </c>
      <c r="C172" s="21" t="s">
        <v>12</v>
      </c>
      <c r="D172" s="21" t="s">
        <v>24</v>
      </c>
      <c r="E172" s="21" t="s">
        <v>17</v>
      </c>
      <c r="F172" s="21" t="s">
        <v>25</v>
      </c>
      <c r="G172" s="24">
        <v>25</v>
      </c>
      <c r="H172" s="24"/>
      <c r="J172" s="21" t="s">
        <v>594</v>
      </c>
      <c r="K172" s="24">
        <v>45912.520000000033</v>
      </c>
    </row>
    <row r="173" spans="1:11" x14ac:dyDescent="0.25">
      <c r="A173" s="78">
        <v>46141</v>
      </c>
      <c r="B173" s="21" t="s">
        <v>11</v>
      </c>
      <c r="C173" s="21" t="s">
        <v>20</v>
      </c>
      <c r="D173" s="21" t="s">
        <v>19</v>
      </c>
      <c r="E173" s="21" t="s">
        <v>14</v>
      </c>
      <c r="F173" s="21" t="s">
        <v>15</v>
      </c>
      <c r="G173" s="24">
        <v>770</v>
      </c>
      <c r="H173" s="24">
        <v>300</v>
      </c>
      <c r="J173" s="21" t="s">
        <v>594</v>
      </c>
      <c r="K173" s="24">
        <v>46682.520000000033</v>
      </c>
    </row>
    <row r="174" spans="1:11" x14ac:dyDescent="0.25">
      <c r="A174" s="78">
        <v>46142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1858</v>
      </c>
      <c r="H174" s="24"/>
      <c r="J174" s="21" t="s">
        <v>594</v>
      </c>
      <c r="K174" s="24">
        <v>48540.520000000033</v>
      </c>
    </row>
    <row r="175" spans="1:11" x14ac:dyDescent="0.25">
      <c r="A175" s="78">
        <v>46142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82</v>
      </c>
      <c r="H175" s="24"/>
      <c r="J175" s="21" t="s">
        <v>594</v>
      </c>
      <c r="K175" s="24">
        <v>48622.520000000033</v>
      </c>
    </row>
    <row r="176" spans="1:11" x14ac:dyDescent="0.25">
      <c r="A176" s="78">
        <v>46142</v>
      </c>
      <c r="B176" s="21" t="s">
        <v>23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18</v>
      </c>
      <c r="H176" s="24"/>
      <c r="J176" s="21" t="s">
        <v>594</v>
      </c>
      <c r="K176" s="24">
        <v>48604.520000000033</v>
      </c>
    </row>
    <row r="177" spans="1:11" x14ac:dyDescent="0.25">
      <c r="A177" s="78">
        <v>46142</v>
      </c>
      <c r="B177" s="21" t="s">
        <v>296</v>
      </c>
      <c r="C177" s="21" t="s">
        <v>12</v>
      </c>
      <c r="D177" s="21" t="s">
        <v>58</v>
      </c>
      <c r="E177" s="21" t="s">
        <v>17</v>
      </c>
      <c r="F177" s="21"/>
      <c r="G177" s="24">
        <v>389.48</v>
      </c>
      <c r="H177" s="24"/>
      <c r="J177" s="21" t="s">
        <v>594</v>
      </c>
      <c r="K177" s="24">
        <v>48215.040000000023</v>
      </c>
    </row>
    <row r="178" spans="1:11" x14ac:dyDescent="0.25">
      <c r="A178" s="78">
        <v>46142</v>
      </c>
      <c r="B178" s="21" t="s">
        <v>303</v>
      </c>
      <c r="C178" s="21" t="s">
        <v>12</v>
      </c>
      <c r="D178" s="21" t="s">
        <v>39</v>
      </c>
      <c r="E178" s="21" t="s">
        <v>17</v>
      </c>
      <c r="F178" s="21"/>
      <c r="G178" s="24">
        <v>370</v>
      </c>
      <c r="H178" s="24"/>
      <c r="J178" s="21" t="s">
        <v>594</v>
      </c>
      <c r="K178" s="24">
        <v>47845.040000000023</v>
      </c>
    </row>
    <row r="179" spans="1:11" x14ac:dyDescent="0.25">
      <c r="A179" s="78">
        <v>46142</v>
      </c>
      <c r="B179" s="21" t="s">
        <v>617</v>
      </c>
      <c r="C179" s="21" t="s">
        <v>12</v>
      </c>
      <c r="D179" s="21" t="s">
        <v>16</v>
      </c>
      <c r="E179" s="21" t="s">
        <v>17</v>
      </c>
      <c r="F179" s="21"/>
      <c r="G179" s="24">
        <v>13185</v>
      </c>
      <c r="H179" s="24"/>
      <c r="J179" s="21" t="s">
        <v>594</v>
      </c>
      <c r="K179" s="24">
        <v>34660.040000000023</v>
      </c>
    </row>
    <row r="180" spans="1:11" x14ac:dyDescent="0.25">
      <c r="A180" s="78">
        <v>46142</v>
      </c>
      <c r="B180" s="21" t="s">
        <v>293</v>
      </c>
      <c r="C180" s="21" t="s">
        <v>12</v>
      </c>
      <c r="D180" s="21" t="s">
        <v>19</v>
      </c>
      <c r="E180" s="21" t="s">
        <v>17</v>
      </c>
      <c r="F180" s="21"/>
      <c r="G180" s="24">
        <v>4817.04</v>
      </c>
      <c r="H180" s="24"/>
      <c r="J180" s="21" t="s">
        <v>594</v>
      </c>
      <c r="K180" s="24">
        <v>29843.000000000018</v>
      </c>
    </row>
    <row r="181" spans="1:11" x14ac:dyDescent="0.25">
      <c r="A181" s="78">
        <v>46142</v>
      </c>
      <c r="B181" s="21" t="s">
        <v>304</v>
      </c>
      <c r="C181" s="21" t="s">
        <v>12</v>
      </c>
      <c r="D181" s="21" t="s">
        <v>68</v>
      </c>
      <c r="E181" s="21" t="s">
        <v>17</v>
      </c>
      <c r="F181" s="21" t="s">
        <v>25</v>
      </c>
      <c r="G181" s="24">
        <v>600</v>
      </c>
      <c r="H181" s="24"/>
      <c r="J181" s="21" t="s">
        <v>594</v>
      </c>
      <c r="K181" s="24">
        <v>29243.000000000018</v>
      </c>
    </row>
    <row r="182" spans="1:11" x14ac:dyDescent="0.25">
      <c r="A182" s="78">
        <v>46142</v>
      </c>
      <c r="B182" s="21" t="s">
        <v>618</v>
      </c>
      <c r="C182" s="21" t="s">
        <v>12</v>
      </c>
      <c r="D182" s="21" t="s">
        <v>19</v>
      </c>
      <c r="E182" s="21" t="s">
        <v>14</v>
      </c>
      <c r="F182" s="21" t="s">
        <v>15</v>
      </c>
      <c r="G182" s="24">
        <v>145</v>
      </c>
      <c r="H182" s="24"/>
      <c r="J182" s="21" t="s">
        <v>594</v>
      </c>
      <c r="K182" s="24">
        <v>29098.000000000018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K176"/>
  <sheetViews>
    <sheetView workbookViewId="0"/>
  </sheetViews>
  <sheetFormatPr defaultColWidth="14.42578125" defaultRowHeight="15" customHeight="1" x14ac:dyDescent="0.25"/>
  <sheetData>
    <row r="1" spans="1:1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/>
      <c r="I1" s="2" t="s">
        <v>8</v>
      </c>
      <c r="J1" s="2" t="s">
        <v>9</v>
      </c>
      <c r="K1" s="2" t="s">
        <v>10</v>
      </c>
    </row>
    <row r="2" spans="1:11" x14ac:dyDescent="0.25">
      <c r="A2" s="3">
        <v>46174</v>
      </c>
      <c r="B2" s="4" t="s">
        <v>11</v>
      </c>
      <c r="C2" s="5" t="s">
        <v>12</v>
      </c>
      <c r="D2" s="6" t="s">
        <v>19</v>
      </c>
      <c r="E2" s="6" t="s">
        <v>14</v>
      </c>
      <c r="F2" s="6" t="s">
        <v>15</v>
      </c>
      <c r="G2" s="7">
        <v>235</v>
      </c>
      <c r="H2" s="7"/>
      <c r="I2" s="5"/>
      <c r="J2" s="5" t="str">
        <f t="shared" ref="J2:J33" si="0">TEXT(A2,"yyyy-mm")</f>
        <v>yyyy-06</v>
      </c>
      <c r="K2" s="7">
        <f>G2</f>
        <v>235</v>
      </c>
    </row>
    <row r="3" spans="1:11" x14ac:dyDescent="0.25">
      <c r="A3" s="3">
        <v>46174</v>
      </c>
      <c r="B3" s="4" t="s">
        <v>16</v>
      </c>
      <c r="C3" s="5" t="s">
        <v>12</v>
      </c>
      <c r="D3" s="6" t="s">
        <v>16</v>
      </c>
      <c r="E3" s="6" t="s">
        <v>17</v>
      </c>
      <c r="F3" s="6"/>
      <c r="G3" s="7">
        <v>13185</v>
      </c>
      <c r="H3" s="7"/>
      <c r="I3" s="5"/>
      <c r="J3" s="5" t="str">
        <f t="shared" si="0"/>
        <v>yyyy-06</v>
      </c>
      <c r="K3" s="7">
        <f t="shared" ref="K3:K34" si="1">K2 + IF(C3="Entrada", G3, -G3)</f>
        <v>-12950</v>
      </c>
    </row>
    <row r="4" spans="1:11" x14ac:dyDescent="0.25">
      <c r="A4" s="3">
        <v>46174</v>
      </c>
      <c r="B4" s="4" t="s">
        <v>290</v>
      </c>
      <c r="C4" s="5" t="s">
        <v>12</v>
      </c>
      <c r="D4" s="6" t="s">
        <v>19</v>
      </c>
      <c r="E4" s="6" t="s">
        <v>17</v>
      </c>
      <c r="F4" s="6"/>
      <c r="G4" s="7">
        <v>4817.04</v>
      </c>
      <c r="H4" s="7"/>
      <c r="I4" s="5"/>
      <c r="J4" s="5" t="str">
        <f t="shared" si="0"/>
        <v>yyyy-06</v>
      </c>
      <c r="K4" s="7">
        <f t="shared" si="1"/>
        <v>-17767.04</v>
      </c>
    </row>
    <row r="5" spans="1:11" x14ac:dyDescent="0.25">
      <c r="A5" s="3">
        <v>46174</v>
      </c>
      <c r="B5" s="4" t="s">
        <v>519</v>
      </c>
      <c r="C5" s="5" t="s">
        <v>12</v>
      </c>
      <c r="D5" s="6" t="s">
        <v>39</v>
      </c>
      <c r="E5" s="6" t="s">
        <v>17</v>
      </c>
      <c r="F5" s="6"/>
      <c r="G5" s="7">
        <v>370</v>
      </c>
      <c r="H5" s="7"/>
      <c r="I5" s="5"/>
      <c r="J5" s="5" t="str">
        <f t="shared" si="0"/>
        <v>yyyy-06</v>
      </c>
      <c r="K5" s="7">
        <f t="shared" si="1"/>
        <v>-18137.04</v>
      </c>
    </row>
    <row r="6" spans="1:11" x14ac:dyDescent="0.25">
      <c r="A6" s="3">
        <v>46174</v>
      </c>
      <c r="B6" s="4" t="s">
        <v>304</v>
      </c>
      <c r="C6" s="5" t="s">
        <v>12</v>
      </c>
      <c r="D6" s="6" t="s">
        <v>68</v>
      </c>
      <c r="E6" s="6" t="s">
        <v>17</v>
      </c>
      <c r="F6" s="6" t="s">
        <v>25</v>
      </c>
      <c r="G6" s="7">
        <v>600</v>
      </c>
      <c r="H6" s="7"/>
      <c r="I6" s="5"/>
      <c r="J6" s="5" t="str">
        <f t="shared" si="0"/>
        <v>yyyy-06</v>
      </c>
      <c r="K6" s="7">
        <f t="shared" si="1"/>
        <v>-18737.04</v>
      </c>
    </row>
    <row r="7" spans="1:11" x14ac:dyDescent="0.25">
      <c r="A7" s="3">
        <v>46174</v>
      </c>
      <c r="B7" s="4" t="s">
        <v>30</v>
      </c>
      <c r="C7" s="5" t="s">
        <v>20</v>
      </c>
      <c r="D7" s="6" t="s">
        <v>13</v>
      </c>
      <c r="E7" s="6"/>
      <c r="F7" s="6"/>
      <c r="G7" s="7">
        <v>454</v>
      </c>
      <c r="H7" s="7"/>
      <c r="I7" s="5"/>
      <c r="J7" s="5" t="str">
        <f t="shared" si="0"/>
        <v>yyyy-06</v>
      </c>
      <c r="K7" s="7">
        <f t="shared" si="1"/>
        <v>-18283.04</v>
      </c>
    </row>
    <row r="8" spans="1:11" x14ac:dyDescent="0.25">
      <c r="A8" s="3">
        <v>46174</v>
      </c>
      <c r="B8" s="4" t="s">
        <v>44</v>
      </c>
      <c r="C8" s="5" t="s">
        <v>20</v>
      </c>
      <c r="D8" s="6" t="s">
        <v>22</v>
      </c>
      <c r="E8" s="6" t="s">
        <v>17</v>
      </c>
      <c r="F8" s="6"/>
      <c r="G8" s="7">
        <v>32</v>
      </c>
      <c r="H8" s="7"/>
      <c r="I8" s="5"/>
      <c r="J8" s="5" t="str">
        <f t="shared" si="0"/>
        <v>yyyy-06</v>
      </c>
      <c r="K8" s="7">
        <f t="shared" si="1"/>
        <v>-18251.04</v>
      </c>
    </row>
    <row r="9" spans="1:11" x14ac:dyDescent="0.25">
      <c r="A9" s="3">
        <v>46174</v>
      </c>
      <c r="B9" s="4" t="s">
        <v>45</v>
      </c>
      <c r="C9" s="5" t="s">
        <v>12</v>
      </c>
      <c r="D9" s="6" t="s">
        <v>24</v>
      </c>
      <c r="E9" s="6" t="s">
        <v>17</v>
      </c>
      <c r="F9" s="6" t="s">
        <v>25</v>
      </c>
      <c r="G9" s="7">
        <v>13</v>
      </c>
      <c r="H9" s="7"/>
      <c r="I9" s="5"/>
      <c r="J9" s="5" t="str">
        <f t="shared" si="0"/>
        <v>yyyy-06</v>
      </c>
      <c r="K9" s="7">
        <f t="shared" si="1"/>
        <v>-18264.04</v>
      </c>
    </row>
    <row r="10" spans="1:11" x14ac:dyDescent="0.25">
      <c r="A10" s="3">
        <v>46175</v>
      </c>
      <c r="B10" s="4" t="s">
        <v>13</v>
      </c>
      <c r="C10" s="5" t="s">
        <v>20</v>
      </c>
      <c r="D10" s="6" t="s">
        <v>13</v>
      </c>
      <c r="E10" s="6"/>
      <c r="F10" s="6"/>
      <c r="G10" s="7">
        <v>1001</v>
      </c>
      <c r="H10" s="7"/>
      <c r="I10" s="5"/>
      <c r="J10" s="5" t="str">
        <f t="shared" si="0"/>
        <v>yyyy-06</v>
      </c>
      <c r="K10" s="7">
        <f t="shared" si="1"/>
        <v>-17263.04</v>
      </c>
    </row>
    <row r="11" spans="1:11" x14ac:dyDescent="0.25">
      <c r="A11" s="3">
        <v>46175</v>
      </c>
      <c r="B11" s="4" t="s">
        <v>21</v>
      </c>
      <c r="C11" s="5" t="s">
        <v>20</v>
      </c>
      <c r="D11" s="6" t="s">
        <v>22</v>
      </c>
      <c r="E11" s="6" t="s">
        <v>17</v>
      </c>
      <c r="F11" s="6"/>
      <c r="G11" s="7">
        <v>0</v>
      </c>
      <c r="H11" s="7"/>
      <c r="I11" s="5"/>
      <c r="J11" s="5" t="str">
        <f t="shared" si="0"/>
        <v>yyyy-06</v>
      </c>
      <c r="K11" s="7">
        <f t="shared" si="1"/>
        <v>-17263.04</v>
      </c>
    </row>
    <row r="12" spans="1:11" x14ac:dyDescent="0.25">
      <c r="A12" s="3">
        <v>46175</v>
      </c>
      <c r="B12" s="4" t="s">
        <v>23</v>
      </c>
      <c r="C12" s="5" t="s">
        <v>12</v>
      </c>
      <c r="D12" s="6" t="s">
        <v>24</v>
      </c>
      <c r="E12" s="6" t="s">
        <v>17</v>
      </c>
      <c r="F12" s="6" t="s">
        <v>25</v>
      </c>
      <c r="G12" s="7">
        <v>0</v>
      </c>
      <c r="H12" s="7"/>
      <c r="I12" s="5"/>
      <c r="J12" s="5" t="str">
        <f t="shared" si="0"/>
        <v>yyyy-06</v>
      </c>
      <c r="K12" s="7">
        <f t="shared" si="1"/>
        <v>-17263.04</v>
      </c>
    </row>
    <row r="13" spans="1:11" x14ac:dyDescent="0.25">
      <c r="A13" s="3">
        <v>46175</v>
      </c>
      <c r="B13" s="4" t="s">
        <v>619</v>
      </c>
      <c r="C13" s="5" t="s">
        <v>12</v>
      </c>
      <c r="D13" s="6" t="s">
        <v>19</v>
      </c>
      <c r="E13" s="6" t="s">
        <v>17</v>
      </c>
      <c r="F13" s="6"/>
      <c r="G13" s="7">
        <v>182.54</v>
      </c>
      <c r="H13" s="7"/>
      <c r="I13" s="5"/>
      <c r="J13" s="5" t="str">
        <f t="shared" si="0"/>
        <v>yyyy-06</v>
      </c>
      <c r="K13" s="7">
        <f t="shared" si="1"/>
        <v>-17445.580000000002</v>
      </c>
    </row>
    <row r="14" spans="1:11" x14ac:dyDescent="0.25">
      <c r="A14" s="3">
        <v>46175</v>
      </c>
      <c r="B14" s="4" t="s">
        <v>352</v>
      </c>
      <c r="C14" s="5" t="s">
        <v>12</v>
      </c>
      <c r="D14" s="6" t="s">
        <v>19</v>
      </c>
      <c r="E14" s="6" t="s">
        <v>17</v>
      </c>
      <c r="F14" s="6"/>
      <c r="G14" s="7">
        <v>477.68</v>
      </c>
      <c r="H14" s="7"/>
      <c r="I14" s="5"/>
      <c r="J14" s="5" t="str">
        <f t="shared" si="0"/>
        <v>yyyy-06</v>
      </c>
      <c r="K14" s="7">
        <f t="shared" si="1"/>
        <v>-17923.260000000002</v>
      </c>
    </row>
    <row r="15" spans="1:11" x14ac:dyDescent="0.25">
      <c r="A15" s="3">
        <v>46175</v>
      </c>
      <c r="B15" s="4" t="s">
        <v>620</v>
      </c>
      <c r="C15" s="5" t="s">
        <v>12</v>
      </c>
      <c r="D15" s="6" t="s">
        <v>19</v>
      </c>
      <c r="E15" s="6" t="s">
        <v>17</v>
      </c>
      <c r="F15" s="6" t="s">
        <v>25</v>
      </c>
      <c r="G15" s="7">
        <v>130</v>
      </c>
      <c r="H15" s="7"/>
      <c r="I15" s="5"/>
      <c r="J15" s="5" t="str">
        <f t="shared" si="0"/>
        <v>yyyy-06</v>
      </c>
      <c r="K15" s="7">
        <f t="shared" si="1"/>
        <v>-18053.260000000002</v>
      </c>
    </row>
    <row r="16" spans="1:11" x14ac:dyDescent="0.25">
      <c r="A16" s="3">
        <v>46175</v>
      </c>
      <c r="B16" s="4" t="s">
        <v>621</v>
      </c>
      <c r="C16" s="5" t="s">
        <v>12</v>
      </c>
      <c r="D16" s="6" t="s">
        <v>29</v>
      </c>
      <c r="E16" s="6" t="s">
        <v>17</v>
      </c>
      <c r="F16" s="6" t="s">
        <v>25</v>
      </c>
      <c r="G16" s="7">
        <v>50.7</v>
      </c>
      <c r="H16" s="7"/>
      <c r="I16" s="5"/>
      <c r="J16" s="5" t="str">
        <f t="shared" si="0"/>
        <v>yyyy-06</v>
      </c>
      <c r="K16" s="7">
        <f t="shared" si="1"/>
        <v>-18103.960000000003</v>
      </c>
    </row>
    <row r="17" spans="1:11" x14ac:dyDescent="0.25">
      <c r="A17" s="3">
        <v>46175</v>
      </c>
      <c r="B17" s="4" t="s">
        <v>622</v>
      </c>
      <c r="C17" s="5" t="s">
        <v>12</v>
      </c>
      <c r="D17" s="6" t="s">
        <v>33</v>
      </c>
      <c r="E17" s="6" t="s">
        <v>17</v>
      </c>
      <c r="F17" s="6" t="s">
        <v>25</v>
      </c>
      <c r="G17" s="7">
        <v>150</v>
      </c>
      <c r="H17" s="7"/>
      <c r="I17" s="5"/>
      <c r="J17" s="5" t="str">
        <f t="shared" si="0"/>
        <v>yyyy-06</v>
      </c>
      <c r="K17" s="7">
        <f t="shared" si="1"/>
        <v>-18253.960000000003</v>
      </c>
    </row>
    <row r="18" spans="1:11" x14ac:dyDescent="0.25">
      <c r="A18" s="3">
        <v>46176</v>
      </c>
      <c r="B18" s="4" t="s">
        <v>420</v>
      </c>
      <c r="C18" s="5" t="s">
        <v>12</v>
      </c>
      <c r="D18" s="6" t="s">
        <v>27</v>
      </c>
      <c r="E18" s="6" t="s">
        <v>17</v>
      </c>
      <c r="F18" s="6" t="s">
        <v>25</v>
      </c>
      <c r="G18" s="7">
        <v>5000</v>
      </c>
      <c r="H18" s="7"/>
      <c r="I18" s="5"/>
      <c r="J18" s="5" t="str">
        <f t="shared" si="0"/>
        <v>yyyy-06</v>
      </c>
      <c r="K18" s="7">
        <f t="shared" si="1"/>
        <v>-23253.960000000003</v>
      </c>
    </row>
    <row r="19" spans="1:11" x14ac:dyDescent="0.25">
      <c r="A19" s="3">
        <v>46176</v>
      </c>
      <c r="B19" s="4" t="s">
        <v>350</v>
      </c>
      <c r="C19" s="5" t="s">
        <v>12</v>
      </c>
      <c r="D19" s="6" t="s">
        <v>19</v>
      </c>
      <c r="E19" s="6" t="s">
        <v>17</v>
      </c>
      <c r="F19" s="6"/>
      <c r="G19" s="7">
        <v>115.8</v>
      </c>
      <c r="H19" s="7"/>
      <c r="I19" s="5"/>
      <c r="J19" s="5" t="str">
        <f t="shared" si="0"/>
        <v>yyyy-06</v>
      </c>
      <c r="K19" s="7">
        <f t="shared" si="1"/>
        <v>-23369.760000000002</v>
      </c>
    </row>
    <row r="20" spans="1:11" x14ac:dyDescent="0.25">
      <c r="A20" s="3">
        <v>46176</v>
      </c>
      <c r="B20" s="4" t="s">
        <v>30</v>
      </c>
      <c r="C20" s="5" t="s">
        <v>20</v>
      </c>
      <c r="D20" s="6" t="s">
        <v>13</v>
      </c>
      <c r="E20" s="6"/>
      <c r="F20" s="6"/>
      <c r="G20" s="7">
        <v>1413</v>
      </c>
      <c r="H20" s="7"/>
      <c r="I20" s="5"/>
      <c r="J20" s="5" t="str">
        <f t="shared" si="0"/>
        <v>yyyy-06</v>
      </c>
      <c r="K20" s="7">
        <f t="shared" si="1"/>
        <v>-21956.760000000002</v>
      </c>
    </row>
    <row r="21" spans="1:11" x14ac:dyDescent="0.25">
      <c r="A21" s="3">
        <v>46176</v>
      </c>
      <c r="B21" s="4" t="s">
        <v>44</v>
      </c>
      <c r="C21" s="5" t="s">
        <v>20</v>
      </c>
      <c r="D21" s="6" t="s">
        <v>22</v>
      </c>
      <c r="E21" s="6" t="s">
        <v>17</v>
      </c>
      <c r="F21" s="6"/>
      <c r="G21" s="7">
        <v>0</v>
      </c>
      <c r="H21" s="7"/>
      <c r="I21" s="5"/>
      <c r="J21" s="5" t="str">
        <f t="shared" si="0"/>
        <v>yyyy-06</v>
      </c>
      <c r="K21" s="7">
        <f t="shared" si="1"/>
        <v>-21956.760000000002</v>
      </c>
    </row>
    <row r="22" spans="1:11" x14ac:dyDescent="0.25">
      <c r="A22" s="3">
        <v>46176</v>
      </c>
      <c r="B22" s="4" t="s">
        <v>45</v>
      </c>
      <c r="C22" s="5" t="s">
        <v>12</v>
      </c>
      <c r="D22" s="6" t="s">
        <v>24</v>
      </c>
      <c r="E22" s="6" t="s">
        <v>17</v>
      </c>
      <c r="F22" s="6" t="s">
        <v>25</v>
      </c>
      <c r="G22" s="7">
        <v>0</v>
      </c>
      <c r="H22" s="7"/>
      <c r="I22" s="5"/>
      <c r="J22" s="5" t="str">
        <f t="shared" si="0"/>
        <v>yyyy-06</v>
      </c>
      <c r="K22" s="7">
        <f t="shared" si="1"/>
        <v>-21956.760000000002</v>
      </c>
    </row>
    <row r="23" spans="1:11" x14ac:dyDescent="0.25">
      <c r="A23" s="3">
        <v>46177</v>
      </c>
      <c r="B23" s="4" t="s">
        <v>13</v>
      </c>
      <c r="C23" s="5" t="s">
        <v>20</v>
      </c>
      <c r="D23" s="6" t="s">
        <v>13</v>
      </c>
      <c r="E23" s="6"/>
      <c r="F23" s="6"/>
      <c r="G23" s="7">
        <v>5165</v>
      </c>
      <c r="H23" s="7"/>
      <c r="I23" s="5"/>
      <c r="J23" s="5" t="str">
        <f t="shared" si="0"/>
        <v>yyyy-06</v>
      </c>
      <c r="K23" s="7">
        <f t="shared" si="1"/>
        <v>-16791.760000000002</v>
      </c>
    </row>
    <row r="24" spans="1:11" x14ac:dyDescent="0.25">
      <c r="A24" s="3">
        <v>46177</v>
      </c>
      <c r="B24" s="4" t="s">
        <v>21</v>
      </c>
      <c r="C24" s="5" t="s">
        <v>20</v>
      </c>
      <c r="D24" s="6" t="s">
        <v>22</v>
      </c>
      <c r="E24" s="6" t="s">
        <v>17</v>
      </c>
      <c r="F24" s="6"/>
      <c r="G24" s="7">
        <v>0</v>
      </c>
      <c r="H24" s="7"/>
      <c r="I24" s="5"/>
      <c r="J24" s="5" t="str">
        <f t="shared" si="0"/>
        <v>yyyy-06</v>
      </c>
      <c r="K24" s="7">
        <f t="shared" si="1"/>
        <v>-16791.760000000002</v>
      </c>
    </row>
    <row r="25" spans="1:11" x14ac:dyDescent="0.25">
      <c r="A25" s="3">
        <v>46177</v>
      </c>
      <c r="B25" s="4" t="s">
        <v>23</v>
      </c>
      <c r="C25" s="5" t="s">
        <v>12</v>
      </c>
      <c r="D25" s="6" t="s">
        <v>24</v>
      </c>
      <c r="E25" s="6" t="s">
        <v>17</v>
      </c>
      <c r="F25" s="6" t="s">
        <v>25</v>
      </c>
      <c r="G25" s="7">
        <v>0</v>
      </c>
      <c r="H25" s="7"/>
      <c r="I25" s="5"/>
      <c r="J25" s="5" t="str">
        <f t="shared" si="0"/>
        <v>yyyy-06</v>
      </c>
      <c r="K25" s="7">
        <f t="shared" si="1"/>
        <v>-16791.760000000002</v>
      </c>
    </row>
    <row r="26" spans="1:11" x14ac:dyDescent="0.25">
      <c r="A26" s="3">
        <v>46177</v>
      </c>
      <c r="B26" s="4" t="s">
        <v>11</v>
      </c>
      <c r="C26" s="5" t="s">
        <v>12</v>
      </c>
      <c r="D26" s="6" t="s">
        <v>19</v>
      </c>
      <c r="E26" s="6" t="s">
        <v>14</v>
      </c>
      <c r="F26" s="6" t="s">
        <v>15</v>
      </c>
      <c r="G26" s="7">
        <v>235</v>
      </c>
      <c r="H26" s="7"/>
      <c r="I26" s="5"/>
      <c r="J26" s="5" t="str">
        <f t="shared" si="0"/>
        <v>yyyy-06</v>
      </c>
      <c r="K26" s="7">
        <f t="shared" si="1"/>
        <v>-17026.760000000002</v>
      </c>
    </row>
    <row r="27" spans="1:11" x14ac:dyDescent="0.25">
      <c r="A27" s="3">
        <v>46178</v>
      </c>
      <c r="B27" s="4" t="s">
        <v>13</v>
      </c>
      <c r="C27" s="5" t="s">
        <v>20</v>
      </c>
      <c r="D27" s="6" t="s">
        <v>13</v>
      </c>
      <c r="E27" s="6"/>
      <c r="F27" s="6"/>
      <c r="G27" s="7">
        <v>6234</v>
      </c>
      <c r="H27" s="7"/>
      <c r="I27" s="5"/>
      <c r="J27" s="5" t="str">
        <f t="shared" si="0"/>
        <v>yyyy-06</v>
      </c>
      <c r="K27" s="7">
        <f t="shared" si="1"/>
        <v>-10792.760000000002</v>
      </c>
    </row>
    <row r="28" spans="1:11" x14ac:dyDescent="0.25">
      <c r="A28" s="3">
        <v>46178</v>
      </c>
      <c r="B28" s="4" t="s">
        <v>21</v>
      </c>
      <c r="C28" s="5" t="s">
        <v>20</v>
      </c>
      <c r="D28" s="6" t="s">
        <v>22</v>
      </c>
      <c r="E28" s="6" t="s">
        <v>17</v>
      </c>
      <c r="F28" s="6"/>
      <c r="G28" s="7">
        <v>168</v>
      </c>
      <c r="H28" s="7"/>
      <c r="I28" s="5"/>
      <c r="J28" s="5" t="str">
        <f t="shared" si="0"/>
        <v>yyyy-06</v>
      </c>
      <c r="K28" s="7">
        <f t="shared" si="1"/>
        <v>-10624.760000000002</v>
      </c>
    </row>
    <row r="29" spans="1:11" x14ac:dyDescent="0.25">
      <c r="A29" s="3">
        <v>46178</v>
      </c>
      <c r="B29" s="4" t="s">
        <v>23</v>
      </c>
      <c r="C29" s="5" t="s">
        <v>12</v>
      </c>
      <c r="D29" s="6" t="s">
        <v>24</v>
      </c>
      <c r="E29" s="6" t="s">
        <v>17</v>
      </c>
      <c r="F29" s="6" t="s">
        <v>25</v>
      </c>
      <c r="G29" s="7">
        <v>35</v>
      </c>
      <c r="H29" s="7"/>
      <c r="I29" s="5"/>
      <c r="J29" s="5" t="str">
        <f t="shared" si="0"/>
        <v>yyyy-06</v>
      </c>
      <c r="K29" s="7">
        <f t="shared" si="1"/>
        <v>-10659.760000000002</v>
      </c>
    </row>
    <row r="30" spans="1:11" x14ac:dyDescent="0.25">
      <c r="A30" s="3">
        <v>46178</v>
      </c>
      <c r="B30" s="4" t="s">
        <v>529</v>
      </c>
      <c r="C30" s="5" t="s">
        <v>12</v>
      </c>
      <c r="D30" s="6" t="s">
        <v>27</v>
      </c>
      <c r="E30" s="6" t="s">
        <v>17</v>
      </c>
      <c r="F30" s="6" t="s">
        <v>25</v>
      </c>
      <c r="G30" s="7">
        <v>6890.33</v>
      </c>
      <c r="H30" s="7"/>
      <c r="I30" s="5"/>
      <c r="J30" s="5" t="str">
        <f t="shared" si="0"/>
        <v>yyyy-06</v>
      </c>
      <c r="K30" s="7">
        <f t="shared" si="1"/>
        <v>-17550.090000000004</v>
      </c>
    </row>
    <row r="31" spans="1:11" x14ac:dyDescent="0.25">
      <c r="A31" s="3">
        <v>46178</v>
      </c>
      <c r="B31" s="4" t="s">
        <v>321</v>
      </c>
      <c r="C31" s="5" t="s">
        <v>12</v>
      </c>
      <c r="D31" s="6" t="s">
        <v>39</v>
      </c>
      <c r="E31" s="6" t="s">
        <v>17</v>
      </c>
      <c r="F31" s="6"/>
      <c r="G31" s="7">
        <v>8918.64</v>
      </c>
      <c r="H31" s="7"/>
      <c r="I31" s="5"/>
      <c r="J31" s="5" t="str">
        <f t="shared" si="0"/>
        <v>yyyy-06</v>
      </c>
      <c r="K31" s="7">
        <f t="shared" si="1"/>
        <v>-26468.730000000003</v>
      </c>
    </row>
    <row r="32" spans="1:11" x14ac:dyDescent="0.25">
      <c r="A32" s="3">
        <v>46178</v>
      </c>
      <c r="B32" s="4" t="s">
        <v>322</v>
      </c>
      <c r="C32" s="5" t="s">
        <v>12</v>
      </c>
      <c r="D32" s="6" t="s">
        <v>39</v>
      </c>
      <c r="E32" s="6" t="s">
        <v>17</v>
      </c>
      <c r="F32" s="6" t="s">
        <v>25</v>
      </c>
      <c r="G32" s="7">
        <v>94.9</v>
      </c>
      <c r="H32" s="7"/>
      <c r="I32" s="5"/>
      <c r="J32" s="5" t="str">
        <f t="shared" si="0"/>
        <v>yyyy-06</v>
      </c>
      <c r="K32" s="7">
        <f t="shared" si="1"/>
        <v>-26563.630000000005</v>
      </c>
    </row>
    <row r="33" spans="1:11" x14ac:dyDescent="0.25">
      <c r="A33" s="3">
        <v>46178</v>
      </c>
      <c r="B33" s="4" t="s">
        <v>623</v>
      </c>
      <c r="C33" s="5" t="s">
        <v>12</v>
      </c>
      <c r="D33" s="6" t="s">
        <v>39</v>
      </c>
      <c r="E33" s="6" t="s">
        <v>17</v>
      </c>
      <c r="F33" s="6"/>
      <c r="G33" s="7">
        <v>100</v>
      </c>
      <c r="H33" s="7"/>
      <c r="I33" s="5"/>
      <c r="J33" s="5" t="str">
        <f t="shared" si="0"/>
        <v>yyyy-06</v>
      </c>
      <c r="K33" s="7">
        <f t="shared" si="1"/>
        <v>-26663.630000000005</v>
      </c>
    </row>
    <row r="34" spans="1:11" x14ac:dyDescent="0.25">
      <c r="A34" s="3">
        <v>46178</v>
      </c>
      <c r="B34" s="4" t="s">
        <v>11</v>
      </c>
      <c r="C34" s="5" t="s">
        <v>12</v>
      </c>
      <c r="D34" s="6" t="s">
        <v>19</v>
      </c>
      <c r="E34" s="6" t="s">
        <v>14</v>
      </c>
      <c r="F34" s="6" t="s">
        <v>15</v>
      </c>
      <c r="G34" s="7">
        <v>329</v>
      </c>
      <c r="H34" s="7"/>
      <c r="I34" s="5"/>
      <c r="J34" s="5" t="str">
        <f t="shared" ref="J34:J69" si="2">TEXT(A34,"yyyy-mm")</f>
        <v>yyyy-06</v>
      </c>
      <c r="K34" s="7">
        <f t="shared" si="1"/>
        <v>-26992.630000000005</v>
      </c>
    </row>
    <row r="35" spans="1:11" x14ac:dyDescent="0.25">
      <c r="A35" s="3">
        <v>46178</v>
      </c>
      <c r="B35" s="4" t="s">
        <v>526</v>
      </c>
      <c r="C35" s="5" t="s">
        <v>12</v>
      </c>
      <c r="D35" s="6" t="s">
        <v>19</v>
      </c>
      <c r="E35" s="6" t="s">
        <v>17</v>
      </c>
      <c r="F35" s="6" t="s">
        <v>25</v>
      </c>
      <c r="G35" s="7">
        <v>203.5</v>
      </c>
      <c r="H35" s="7"/>
      <c r="I35" s="5"/>
      <c r="J35" s="5" t="str">
        <f t="shared" si="2"/>
        <v>yyyy-06</v>
      </c>
      <c r="K35" s="7">
        <f t="shared" ref="K35:K66" si="3">K34 + IF(C35="Entrada", G35, -G35)</f>
        <v>-27196.130000000005</v>
      </c>
    </row>
    <row r="36" spans="1:11" x14ac:dyDescent="0.25">
      <c r="A36" s="3">
        <v>46179</v>
      </c>
      <c r="B36" s="4" t="s">
        <v>13</v>
      </c>
      <c r="C36" s="5" t="s">
        <v>20</v>
      </c>
      <c r="D36" s="6" t="s">
        <v>13</v>
      </c>
      <c r="E36" s="6"/>
      <c r="F36" s="6"/>
      <c r="G36" s="7">
        <v>6129</v>
      </c>
      <c r="H36" s="7"/>
      <c r="I36" s="5"/>
      <c r="J36" s="5" t="str">
        <f t="shared" si="2"/>
        <v>yyyy-06</v>
      </c>
      <c r="K36" s="7">
        <f t="shared" si="3"/>
        <v>-21067.130000000005</v>
      </c>
    </row>
    <row r="37" spans="1:11" x14ac:dyDescent="0.25">
      <c r="A37" s="3">
        <v>46179</v>
      </c>
      <c r="B37" s="4" t="s">
        <v>21</v>
      </c>
      <c r="C37" s="5" t="s">
        <v>20</v>
      </c>
      <c r="D37" s="6" t="s">
        <v>22</v>
      </c>
      <c r="E37" s="6" t="s">
        <v>17</v>
      </c>
      <c r="F37" s="6"/>
      <c r="G37" s="7">
        <v>114</v>
      </c>
      <c r="H37" s="7"/>
      <c r="I37" s="5"/>
      <c r="J37" s="5" t="str">
        <f t="shared" si="2"/>
        <v>yyyy-06</v>
      </c>
      <c r="K37" s="7">
        <f t="shared" si="3"/>
        <v>-20953.130000000005</v>
      </c>
    </row>
    <row r="38" spans="1:11" x14ac:dyDescent="0.25">
      <c r="A38" s="3">
        <v>46179</v>
      </c>
      <c r="B38" s="4" t="s">
        <v>23</v>
      </c>
      <c r="C38" s="5" t="s">
        <v>12</v>
      </c>
      <c r="D38" s="6" t="s">
        <v>24</v>
      </c>
      <c r="E38" s="6" t="s">
        <v>17</v>
      </c>
      <c r="F38" s="6" t="s">
        <v>25</v>
      </c>
      <c r="G38" s="7">
        <v>9</v>
      </c>
      <c r="H38" s="7"/>
      <c r="I38" s="5"/>
      <c r="J38" s="5" t="str">
        <f t="shared" si="2"/>
        <v>yyyy-06</v>
      </c>
      <c r="K38" s="7">
        <f t="shared" si="3"/>
        <v>-20962.130000000005</v>
      </c>
    </row>
    <row r="39" spans="1:11" x14ac:dyDescent="0.25">
      <c r="A39" s="3">
        <v>46179</v>
      </c>
      <c r="B39" s="4" t="s">
        <v>33</v>
      </c>
      <c r="C39" s="5" t="s">
        <v>12</v>
      </c>
      <c r="D39" s="6" t="s">
        <v>33</v>
      </c>
      <c r="E39" s="6" t="s">
        <v>14</v>
      </c>
      <c r="F39" s="6" t="s">
        <v>15</v>
      </c>
      <c r="G39" s="7">
        <v>150</v>
      </c>
      <c r="H39" s="7"/>
      <c r="I39" s="5"/>
      <c r="J39" s="5" t="str">
        <f t="shared" si="2"/>
        <v>yyyy-06</v>
      </c>
      <c r="K39" s="7">
        <f t="shared" si="3"/>
        <v>-21112.130000000005</v>
      </c>
    </row>
    <row r="40" spans="1:11" x14ac:dyDescent="0.25">
      <c r="A40" s="3">
        <v>46180</v>
      </c>
      <c r="B40" s="4" t="s">
        <v>13</v>
      </c>
      <c r="C40" s="5" t="s">
        <v>20</v>
      </c>
      <c r="D40" s="6" t="s">
        <v>13</v>
      </c>
      <c r="E40" s="6"/>
      <c r="F40" s="6"/>
      <c r="G40" s="7">
        <v>4783</v>
      </c>
      <c r="H40" s="7"/>
      <c r="I40" s="5"/>
      <c r="J40" s="5" t="str">
        <f t="shared" si="2"/>
        <v>yyyy-06</v>
      </c>
      <c r="K40" s="7">
        <f t="shared" si="3"/>
        <v>-16329.130000000005</v>
      </c>
    </row>
    <row r="41" spans="1:11" x14ac:dyDescent="0.25">
      <c r="A41" s="3">
        <v>46180</v>
      </c>
      <c r="B41" s="4" t="s">
        <v>21</v>
      </c>
      <c r="C41" s="5" t="s">
        <v>20</v>
      </c>
      <c r="D41" s="6" t="s">
        <v>22</v>
      </c>
      <c r="E41" s="6" t="s">
        <v>17</v>
      </c>
      <c r="F41" s="6"/>
      <c r="G41" s="7">
        <v>99</v>
      </c>
      <c r="H41" s="7"/>
      <c r="I41" s="5"/>
      <c r="J41" s="5" t="str">
        <f t="shared" si="2"/>
        <v>yyyy-06</v>
      </c>
      <c r="K41" s="7">
        <f t="shared" si="3"/>
        <v>-16230.130000000005</v>
      </c>
    </row>
    <row r="42" spans="1:11" x14ac:dyDescent="0.25">
      <c r="A42" s="3">
        <v>46180</v>
      </c>
      <c r="B42" s="4" t="s">
        <v>23</v>
      </c>
      <c r="C42" s="5" t="s">
        <v>12</v>
      </c>
      <c r="D42" s="6" t="s">
        <v>24</v>
      </c>
      <c r="E42" s="6" t="s">
        <v>17</v>
      </c>
      <c r="F42" s="6" t="s">
        <v>25</v>
      </c>
      <c r="G42" s="7">
        <v>17</v>
      </c>
      <c r="H42" s="7"/>
      <c r="I42" s="5"/>
      <c r="J42" s="5" t="str">
        <f t="shared" si="2"/>
        <v>yyyy-06</v>
      </c>
      <c r="K42" s="7">
        <f t="shared" si="3"/>
        <v>-16247.130000000005</v>
      </c>
    </row>
    <row r="43" spans="1:11" x14ac:dyDescent="0.25">
      <c r="A43" s="3">
        <v>46180</v>
      </c>
      <c r="B43" s="4" t="s">
        <v>33</v>
      </c>
      <c r="C43" s="5" t="s">
        <v>12</v>
      </c>
      <c r="D43" s="6" t="s">
        <v>33</v>
      </c>
      <c r="E43" s="6" t="s">
        <v>14</v>
      </c>
      <c r="F43" s="6" t="s">
        <v>15</v>
      </c>
      <c r="G43" s="7">
        <v>150</v>
      </c>
      <c r="H43" s="7"/>
      <c r="I43" s="5"/>
      <c r="J43" s="5" t="str">
        <f t="shared" si="2"/>
        <v>yyyy-06</v>
      </c>
      <c r="K43" s="7">
        <f t="shared" si="3"/>
        <v>-16397.130000000005</v>
      </c>
    </row>
    <row r="44" spans="1:11" x14ac:dyDescent="0.25">
      <c r="A44" s="3">
        <v>46181</v>
      </c>
      <c r="B44" s="4" t="s">
        <v>13</v>
      </c>
      <c r="C44" s="5" t="s">
        <v>20</v>
      </c>
      <c r="D44" s="6" t="s">
        <v>13</v>
      </c>
      <c r="E44" s="6"/>
      <c r="F44" s="6"/>
      <c r="G44" s="7">
        <v>924</v>
      </c>
      <c r="H44" s="7"/>
      <c r="I44" s="5"/>
      <c r="J44" s="5" t="str">
        <f t="shared" si="2"/>
        <v>yyyy-06</v>
      </c>
      <c r="K44" s="7">
        <f t="shared" si="3"/>
        <v>-15473.130000000005</v>
      </c>
    </row>
    <row r="45" spans="1:11" x14ac:dyDescent="0.25">
      <c r="A45" s="3">
        <v>46181</v>
      </c>
      <c r="B45" s="4" t="s">
        <v>21</v>
      </c>
      <c r="C45" s="5" t="s">
        <v>20</v>
      </c>
      <c r="D45" s="6" t="s">
        <v>22</v>
      </c>
      <c r="E45" s="6" t="s">
        <v>17</v>
      </c>
      <c r="F45" s="6"/>
      <c r="G45" s="7">
        <v>0</v>
      </c>
      <c r="H45" s="7"/>
      <c r="I45" s="5"/>
      <c r="J45" s="5" t="str">
        <f t="shared" si="2"/>
        <v>yyyy-06</v>
      </c>
      <c r="K45" s="7">
        <f t="shared" si="3"/>
        <v>-15473.130000000005</v>
      </c>
    </row>
    <row r="46" spans="1:11" x14ac:dyDescent="0.25">
      <c r="A46" s="3">
        <v>46181</v>
      </c>
      <c r="B46" s="4" t="s">
        <v>23</v>
      </c>
      <c r="C46" s="5" t="s">
        <v>12</v>
      </c>
      <c r="D46" s="6" t="s">
        <v>24</v>
      </c>
      <c r="E46" s="6" t="s">
        <v>17</v>
      </c>
      <c r="F46" s="6" t="s">
        <v>25</v>
      </c>
      <c r="G46" s="7">
        <v>0</v>
      </c>
      <c r="H46" s="7"/>
      <c r="I46" s="5"/>
      <c r="J46" s="5" t="str">
        <f t="shared" si="2"/>
        <v>yyyy-06</v>
      </c>
      <c r="K46" s="7">
        <f t="shared" si="3"/>
        <v>-15473.130000000005</v>
      </c>
    </row>
    <row r="47" spans="1:11" x14ac:dyDescent="0.25">
      <c r="A47" s="3">
        <v>46181</v>
      </c>
      <c r="B47" s="9" t="s">
        <v>413</v>
      </c>
      <c r="C47" s="7" t="s">
        <v>12</v>
      </c>
      <c r="D47" s="6" t="s">
        <v>327</v>
      </c>
      <c r="E47" s="6" t="s">
        <v>17</v>
      </c>
      <c r="F47" s="6"/>
      <c r="G47" s="7">
        <v>2570.7600000000002</v>
      </c>
      <c r="H47" s="7"/>
      <c r="I47" s="5"/>
      <c r="J47" s="5" t="str">
        <f t="shared" si="2"/>
        <v>yyyy-06</v>
      </c>
      <c r="K47" s="7">
        <f t="shared" si="3"/>
        <v>-18043.890000000007</v>
      </c>
    </row>
    <row r="48" spans="1:11" x14ac:dyDescent="0.25">
      <c r="A48" s="3">
        <v>46181</v>
      </c>
      <c r="B48" s="4" t="s">
        <v>624</v>
      </c>
      <c r="C48" s="5" t="s">
        <v>12</v>
      </c>
      <c r="D48" s="6" t="s">
        <v>68</v>
      </c>
      <c r="E48" s="6" t="s">
        <v>17</v>
      </c>
      <c r="F48" s="6"/>
      <c r="G48" s="7">
        <v>1500</v>
      </c>
      <c r="H48" s="7"/>
      <c r="I48" s="5"/>
      <c r="J48" s="5" t="str">
        <f t="shared" si="2"/>
        <v>yyyy-06</v>
      </c>
      <c r="K48" s="7">
        <f t="shared" si="3"/>
        <v>-19543.890000000007</v>
      </c>
    </row>
    <row r="49" spans="1:11" x14ac:dyDescent="0.25">
      <c r="A49" s="3">
        <v>46181</v>
      </c>
      <c r="B49" s="4" t="s">
        <v>351</v>
      </c>
      <c r="C49" s="5" t="s">
        <v>12</v>
      </c>
      <c r="D49" s="6" t="s">
        <v>19</v>
      </c>
      <c r="E49" s="6" t="s">
        <v>17</v>
      </c>
      <c r="F49" s="6"/>
      <c r="G49" s="7">
        <v>1486.49</v>
      </c>
      <c r="H49" s="7"/>
      <c r="I49" s="5"/>
      <c r="J49" s="5" t="str">
        <f t="shared" si="2"/>
        <v>yyyy-06</v>
      </c>
      <c r="K49" s="7">
        <f t="shared" si="3"/>
        <v>-21030.380000000008</v>
      </c>
    </row>
    <row r="50" spans="1:11" x14ac:dyDescent="0.25">
      <c r="A50" s="3">
        <v>46181</v>
      </c>
      <c r="B50" s="4" t="s">
        <v>344</v>
      </c>
      <c r="C50" s="5" t="s">
        <v>12</v>
      </c>
      <c r="D50" s="6" t="s">
        <v>19</v>
      </c>
      <c r="E50" s="6" t="s">
        <v>17</v>
      </c>
      <c r="F50" s="6"/>
      <c r="G50" s="7">
        <v>772.73</v>
      </c>
      <c r="H50" s="7"/>
      <c r="I50" s="5"/>
      <c r="J50" s="5" t="str">
        <f t="shared" si="2"/>
        <v>yyyy-06</v>
      </c>
      <c r="K50" s="7">
        <f t="shared" si="3"/>
        <v>-21803.110000000008</v>
      </c>
    </row>
    <row r="51" spans="1:11" x14ac:dyDescent="0.25">
      <c r="A51" s="3">
        <v>46181</v>
      </c>
      <c r="B51" s="4" t="s">
        <v>344</v>
      </c>
      <c r="C51" s="5" t="s">
        <v>12</v>
      </c>
      <c r="D51" s="6" t="s">
        <v>19</v>
      </c>
      <c r="E51" s="6" t="s">
        <v>17</v>
      </c>
      <c r="F51" s="6"/>
      <c r="G51" s="7">
        <v>444.67</v>
      </c>
      <c r="H51" s="7"/>
      <c r="I51" s="5"/>
      <c r="J51" s="5" t="str">
        <f t="shared" si="2"/>
        <v>yyyy-06</v>
      </c>
      <c r="K51" s="7">
        <f t="shared" si="3"/>
        <v>-22247.780000000006</v>
      </c>
    </row>
    <row r="52" spans="1:11" x14ac:dyDescent="0.25">
      <c r="A52" s="3">
        <v>46181</v>
      </c>
      <c r="B52" s="4" t="s">
        <v>598</v>
      </c>
      <c r="C52" s="5" t="s">
        <v>12</v>
      </c>
      <c r="D52" s="6" t="s">
        <v>62</v>
      </c>
      <c r="E52" s="6" t="s">
        <v>17</v>
      </c>
      <c r="F52" s="6"/>
      <c r="G52" s="7">
        <v>571.9</v>
      </c>
      <c r="H52" s="7"/>
      <c r="I52" s="5"/>
      <c r="J52" s="5" t="str">
        <f t="shared" si="2"/>
        <v>yyyy-06</v>
      </c>
      <c r="K52" s="7">
        <f t="shared" si="3"/>
        <v>-22819.680000000008</v>
      </c>
    </row>
    <row r="53" spans="1:11" x14ac:dyDescent="0.25">
      <c r="A53" s="3">
        <v>46182</v>
      </c>
      <c r="B53" s="4" t="s">
        <v>417</v>
      </c>
      <c r="C53" s="5" t="s">
        <v>12</v>
      </c>
      <c r="D53" s="6" t="s">
        <v>39</v>
      </c>
      <c r="E53" s="6" t="s">
        <v>14</v>
      </c>
      <c r="F53" s="6" t="s">
        <v>15</v>
      </c>
      <c r="G53" s="7">
        <v>2440.75</v>
      </c>
      <c r="H53" s="7"/>
      <c r="I53" s="5"/>
      <c r="J53" s="5" t="str">
        <f t="shared" si="2"/>
        <v>yyyy-06</v>
      </c>
      <c r="K53" s="7">
        <f t="shared" si="3"/>
        <v>-25260.430000000008</v>
      </c>
    </row>
    <row r="54" spans="1:11" x14ac:dyDescent="0.25">
      <c r="A54" s="3">
        <v>46182</v>
      </c>
      <c r="B54" s="4" t="s">
        <v>354</v>
      </c>
      <c r="C54" s="5" t="s">
        <v>12</v>
      </c>
      <c r="D54" s="6" t="s">
        <v>19</v>
      </c>
      <c r="E54" s="6" t="s">
        <v>17</v>
      </c>
      <c r="F54" s="6"/>
      <c r="G54" s="7">
        <v>182.55</v>
      </c>
      <c r="H54" s="7"/>
      <c r="I54" s="5"/>
      <c r="J54" s="5" t="str">
        <f t="shared" si="2"/>
        <v>yyyy-06</v>
      </c>
      <c r="K54" s="7">
        <f t="shared" si="3"/>
        <v>-25442.980000000007</v>
      </c>
    </row>
    <row r="55" spans="1:11" x14ac:dyDescent="0.25">
      <c r="A55" s="3">
        <v>46182</v>
      </c>
      <c r="B55" s="4" t="s">
        <v>394</v>
      </c>
      <c r="C55" s="5" t="s">
        <v>12</v>
      </c>
      <c r="D55" s="6" t="s">
        <v>19</v>
      </c>
      <c r="E55" s="6" t="s">
        <v>17</v>
      </c>
      <c r="F55" s="6"/>
      <c r="G55" s="7">
        <v>1084.28</v>
      </c>
      <c r="H55" s="7"/>
      <c r="I55" s="5"/>
      <c r="J55" s="5" t="str">
        <f t="shared" si="2"/>
        <v>yyyy-06</v>
      </c>
      <c r="K55" s="7">
        <f t="shared" si="3"/>
        <v>-26527.260000000006</v>
      </c>
    </row>
    <row r="56" spans="1:11" x14ac:dyDescent="0.25">
      <c r="A56" s="3">
        <v>46182</v>
      </c>
      <c r="B56" s="4" t="s">
        <v>394</v>
      </c>
      <c r="C56" s="5" t="s">
        <v>12</v>
      </c>
      <c r="D56" s="6" t="s">
        <v>19</v>
      </c>
      <c r="E56" s="6" t="s">
        <v>17</v>
      </c>
      <c r="F56" s="6"/>
      <c r="G56" s="7">
        <v>578</v>
      </c>
      <c r="H56" s="7"/>
      <c r="I56" s="5"/>
      <c r="J56" s="5" t="str">
        <f t="shared" si="2"/>
        <v>yyyy-06</v>
      </c>
      <c r="K56" s="7">
        <f t="shared" si="3"/>
        <v>-27105.260000000006</v>
      </c>
    </row>
    <row r="57" spans="1:11" x14ac:dyDescent="0.25">
      <c r="A57" s="3">
        <v>46182</v>
      </c>
      <c r="B57" s="4" t="s">
        <v>625</v>
      </c>
      <c r="C57" s="5" t="s">
        <v>12</v>
      </c>
      <c r="D57" s="6" t="s">
        <v>39</v>
      </c>
      <c r="E57" s="6" t="s">
        <v>17</v>
      </c>
      <c r="F57" s="6"/>
      <c r="G57" s="7">
        <v>304.92</v>
      </c>
      <c r="H57" s="7"/>
      <c r="I57" s="5"/>
      <c r="J57" s="5" t="str">
        <f t="shared" si="2"/>
        <v>yyyy-06</v>
      </c>
      <c r="K57" s="7">
        <f t="shared" si="3"/>
        <v>-27410.180000000004</v>
      </c>
    </row>
    <row r="58" spans="1:11" x14ac:dyDescent="0.25">
      <c r="A58" s="3">
        <v>46182</v>
      </c>
      <c r="B58" s="4" t="s">
        <v>30</v>
      </c>
      <c r="C58" s="5" t="s">
        <v>20</v>
      </c>
      <c r="D58" s="6" t="s">
        <v>13</v>
      </c>
      <c r="E58" s="6"/>
      <c r="F58" s="6"/>
      <c r="G58" s="7">
        <v>1097</v>
      </c>
      <c r="H58" s="7"/>
      <c r="I58" s="5"/>
      <c r="J58" s="5" t="str">
        <f t="shared" si="2"/>
        <v>yyyy-06</v>
      </c>
      <c r="K58" s="7">
        <f t="shared" si="3"/>
        <v>-26313.180000000004</v>
      </c>
    </row>
    <row r="59" spans="1:11" x14ac:dyDescent="0.25">
      <c r="A59" s="3">
        <v>46182</v>
      </c>
      <c r="B59" s="4" t="s">
        <v>44</v>
      </c>
      <c r="C59" s="5" t="s">
        <v>20</v>
      </c>
      <c r="D59" s="6" t="s">
        <v>22</v>
      </c>
      <c r="E59" s="6" t="s">
        <v>17</v>
      </c>
      <c r="F59" s="6"/>
      <c r="G59" s="7">
        <v>0</v>
      </c>
      <c r="H59" s="7"/>
      <c r="I59" s="5"/>
      <c r="J59" s="5" t="str">
        <f t="shared" si="2"/>
        <v>yyyy-06</v>
      </c>
      <c r="K59" s="7">
        <f t="shared" si="3"/>
        <v>-26313.180000000004</v>
      </c>
    </row>
    <row r="60" spans="1:11" x14ac:dyDescent="0.25">
      <c r="A60" s="3">
        <v>46182</v>
      </c>
      <c r="B60" s="4" t="s">
        <v>45</v>
      </c>
      <c r="C60" s="5" t="s">
        <v>12</v>
      </c>
      <c r="D60" s="6" t="s">
        <v>24</v>
      </c>
      <c r="E60" s="6" t="s">
        <v>17</v>
      </c>
      <c r="F60" s="6" t="s">
        <v>25</v>
      </c>
      <c r="G60" s="7">
        <v>0</v>
      </c>
      <c r="H60" s="7"/>
      <c r="I60" s="5"/>
      <c r="J60" s="5" t="str">
        <f t="shared" si="2"/>
        <v>yyyy-06</v>
      </c>
      <c r="K60" s="7">
        <f t="shared" si="3"/>
        <v>-26313.180000000004</v>
      </c>
    </row>
    <row r="61" spans="1:11" x14ac:dyDescent="0.25">
      <c r="A61" s="3">
        <v>46182</v>
      </c>
      <c r="B61" s="4" t="s">
        <v>626</v>
      </c>
      <c r="C61" s="5" t="s">
        <v>12</v>
      </c>
      <c r="D61" s="6" t="s">
        <v>29</v>
      </c>
      <c r="E61" s="6" t="s">
        <v>17</v>
      </c>
      <c r="F61" s="6" t="s">
        <v>25</v>
      </c>
      <c r="G61" s="7">
        <v>500</v>
      </c>
      <c r="H61" s="7"/>
      <c r="I61" s="5"/>
      <c r="J61" s="5" t="str">
        <f t="shared" si="2"/>
        <v>yyyy-06</v>
      </c>
      <c r="K61" s="7">
        <f t="shared" si="3"/>
        <v>-26813.180000000004</v>
      </c>
    </row>
    <row r="62" spans="1:11" x14ac:dyDescent="0.25">
      <c r="A62" s="3">
        <v>46183</v>
      </c>
      <c r="B62" s="4" t="s">
        <v>13</v>
      </c>
      <c r="C62" s="5" t="s">
        <v>20</v>
      </c>
      <c r="D62" s="6" t="s">
        <v>13</v>
      </c>
      <c r="E62" s="6"/>
      <c r="F62" s="6"/>
      <c r="G62" s="7">
        <v>912</v>
      </c>
      <c r="H62" s="7"/>
      <c r="I62" s="5"/>
      <c r="J62" s="5" t="str">
        <f t="shared" si="2"/>
        <v>yyyy-06</v>
      </c>
      <c r="K62" s="7">
        <f t="shared" si="3"/>
        <v>-25901.180000000004</v>
      </c>
    </row>
    <row r="63" spans="1:11" x14ac:dyDescent="0.25">
      <c r="A63" s="3">
        <v>46183</v>
      </c>
      <c r="B63" s="4" t="s">
        <v>21</v>
      </c>
      <c r="C63" s="5" t="s">
        <v>20</v>
      </c>
      <c r="D63" s="6" t="s">
        <v>22</v>
      </c>
      <c r="E63" s="6" t="s">
        <v>17</v>
      </c>
      <c r="F63" s="6"/>
      <c r="G63" s="7">
        <v>0</v>
      </c>
      <c r="H63" s="7"/>
      <c r="I63" s="5"/>
      <c r="J63" s="5" t="str">
        <f t="shared" si="2"/>
        <v>yyyy-06</v>
      </c>
      <c r="K63" s="7">
        <f t="shared" si="3"/>
        <v>-25901.180000000004</v>
      </c>
    </row>
    <row r="64" spans="1:11" x14ac:dyDescent="0.25">
      <c r="A64" s="3">
        <v>46183</v>
      </c>
      <c r="B64" s="4" t="s">
        <v>23</v>
      </c>
      <c r="C64" s="5" t="s">
        <v>12</v>
      </c>
      <c r="D64" s="6" t="s">
        <v>24</v>
      </c>
      <c r="E64" s="6" t="s">
        <v>17</v>
      </c>
      <c r="F64" s="6" t="s">
        <v>25</v>
      </c>
      <c r="G64" s="7">
        <v>0</v>
      </c>
      <c r="H64" s="7"/>
      <c r="I64" s="5"/>
      <c r="J64" s="5" t="str">
        <f t="shared" si="2"/>
        <v>yyyy-06</v>
      </c>
      <c r="K64" s="7">
        <f t="shared" si="3"/>
        <v>-25901.180000000004</v>
      </c>
    </row>
    <row r="65" spans="1:11" x14ac:dyDescent="0.25">
      <c r="A65" s="3">
        <v>46183</v>
      </c>
      <c r="B65" s="4" t="s">
        <v>627</v>
      </c>
      <c r="C65" s="5" t="s">
        <v>12</v>
      </c>
      <c r="D65" s="6" t="s">
        <v>66</v>
      </c>
      <c r="E65" s="6" t="s">
        <v>17</v>
      </c>
      <c r="F65" s="6" t="s">
        <v>25</v>
      </c>
      <c r="G65" s="7">
        <v>7228.96</v>
      </c>
      <c r="H65" s="7"/>
      <c r="I65" s="5"/>
      <c r="J65" s="5" t="str">
        <f t="shared" si="2"/>
        <v>yyyy-06</v>
      </c>
      <c r="K65" s="7">
        <f t="shared" si="3"/>
        <v>-33130.140000000007</v>
      </c>
    </row>
    <row r="66" spans="1:11" x14ac:dyDescent="0.25">
      <c r="A66" s="3">
        <v>46183</v>
      </c>
      <c r="B66" s="4" t="s">
        <v>68</v>
      </c>
      <c r="C66" s="5" t="s">
        <v>12</v>
      </c>
      <c r="D66" s="6" t="s">
        <v>68</v>
      </c>
      <c r="E66" s="6" t="s">
        <v>17</v>
      </c>
      <c r="F66" s="6" t="s">
        <v>25</v>
      </c>
      <c r="G66" s="7">
        <v>450</v>
      </c>
      <c r="H66" s="7"/>
      <c r="I66" s="5"/>
      <c r="J66" s="5" t="str">
        <f t="shared" si="2"/>
        <v>yyyy-06</v>
      </c>
      <c r="K66" s="7">
        <f t="shared" si="3"/>
        <v>-33580.140000000007</v>
      </c>
    </row>
    <row r="67" spans="1:11" x14ac:dyDescent="0.25">
      <c r="A67" s="3">
        <v>46183</v>
      </c>
      <c r="B67" s="4" t="s">
        <v>290</v>
      </c>
      <c r="C67" s="5" t="s">
        <v>12</v>
      </c>
      <c r="D67" s="6" t="s">
        <v>19</v>
      </c>
      <c r="E67" s="6" t="s">
        <v>17</v>
      </c>
      <c r="F67" s="6"/>
      <c r="G67" s="7">
        <v>1085.93</v>
      </c>
      <c r="H67" s="7"/>
      <c r="I67" s="5"/>
      <c r="J67" s="5" t="str">
        <f t="shared" si="2"/>
        <v>yyyy-06</v>
      </c>
      <c r="K67" s="7">
        <f t="shared" ref="K67:K83" si="4">K66 + IF(C67="Entrada", G67, -G67)</f>
        <v>-34666.070000000007</v>
      </c>
    </row>
    <row r="68" spans="1:11" x14ac:dyDescent="0.25">
      <c r="A68" s="3">
        <v>46183</v>
      </c>
      <c r="B68" s="4" t="s">
        <v>481</v>
      </c>
      <c r="C68" s="5" t="s">
        <v>12</v>
      </c>
      <c r="D68" s="6" t="s">
        <v>27</v>
      </c>
      <c r="E68" s="6" t="s">
        <v>17</v>
      </c>
      <c r="F68" s="6"/>
      <c r="G68" s="7">
        <v>60</v>
      </c>
      <c r="H68" s="7"/>
      <c r="I68" s="5"/>
      <c r="J68" s="5" t="str">
        <f t="shared" si="2"/>
        <v>yyyy-06</v>
      </c>
      <c r="K68" s="7">
        <f t="shared" si="4"/>
        <v>-34726.070000000007</v>
      </c>
    </row>
    <row r="69" spans="1:11" x14ac:dyDescent="0.25">
      <c r="A69" s="3">
        <v>46183</v>
      </c>
      <c r="B69" s="4" t="s">
        <v>628</v>
      </c>
      <c r="C69" s="5" t="s">
        <v>12</v>
      </c>
      <c r="D69" s="6" t="s">
        <v>27</v>
      </c>
      <c r="E69" s="6" t="s">
        <v>17</v>
      </c>
      <c r="F69" s="6"/>
      <c r="G69" s="7">
        <v>204.5</v>
      </c>
      <c r="H69" s="7"/>
      <c r="I69" s="5"/>
      <c r="J69" s="5" t="str">
        <f t="shared" si="2"/>
        <v>yyyy-06</v>
      </c>
      <c r="K69" s="7">
        <f t="shared" si="4"/>
        <v>-34930.570000000007</v>
      </c>
    </row>
    <row r="70" spans="1:11" x14ac:dyDescent="0.25">
      <c r="A70" s="3">
        <v>46184</v>
      </c>
      <c r="B70" s="4" t="s">
        <v>629</v>
      </c>
      <c r="C70" s="5" t="s">
        <v>12</v>
      </c>
      <c r="D70" s="6" t="s">
        <v>27</v>
      </c>
      <c r="E70" s="6" t="s">
        <v>17</v>
      </c>
      <c r="F70" s="6" t="s">
        <v>25</v>
      </c>
      <c r="G70" s="7">
        <v>0</v>
      </c>
      <c r="H70" s="7"/>
      <c r="I70" s="5"/>
      <c r="J70" s="5"/>
      <c r="K70" s="7">
        <f t="shared" si="4"/>
        <v>-34930.570000000007</v>
      </c>
    </row>
    <row r="71" spans="1:11" x14ac:dyDescent="0.25">
      <c r="A71" s="3">
        <v>46184</v>
      </c>
      <c r="B71" s="4" t="s">
        <v>13</v>
      </c>
      <c r="C71" s="5" t="s">
        <v>20</v>
      </c>
      <c r="D71" s="6" t="s">
        <v>13</v>
      </c>
      <c r="E71" s="6"/>
      <c r="F71" s="6"/>
      <c r="G71" s="7">
        <v>939</v>
      </c>
      <c r="H71" s="7"/>
      <c r="I71" s="5"/>
      <c r="J71" s="5" t="str">
        <f t="shared" ref="J71:J102" si="5">TEXT(A71,"yyyy-mm")</f>
        <v>yyyy-06</v>
      </c>
      <c r="K71" s="7">
        <f t="shared" si="4"/>
        <v>-33991.570000000007</v>
      </c>
    </row>
    <row r="72" spans="1:11" x14ac:dyDescent="0.25">
      <c r="A72" s="3">
        <v>46184</v>
      </c>
      <c r="B72" s="4" t="s">
        <v>21</v>
      </c>
      <c r="C72" s="5" t="s">
        <v>20</v>
      </c>
      <c r="D72" s="6" t="s">
        <v>22</v>
      </c>
      <c r="E72" s="6" t="s">
        <v>17</v>
      </c>
      <c r="F72" s="6"/>
      <c r="G72" s="7">
        <v>54</v>
      </c>
      <c r="H72" s="7"/>
      <c r="I72" s="5"/>
      <c r="J72" s="5" t="str">
        <f t="shared" si="5"/>
        <v>yyyy-06</v>
      </c>
      <c r="K72" s="7">
        <f t="shared" si="4"/>
        <v>-33937.570000000007</v>
      </c>
    </row>
    <row r="73" spans="1:11" x14ac:dyDescent="0.25">
      <c r="A73" s="3">
        <v>46184</v>
      </c>
      <c r="B73" s="4" t="s">
        <v>23</v>
      </c>
      <c r="C73" s="5" t="s">
        <v>12</v>
      </c>
      <c r="D73" s="6" t="s">
        <v>24</v>
      </c>
      <c r="E73" s="6" t="s">
        <v>17</v>
      </c>
      <c r="F73" s="6" t="s">
        <v>25</v>
      </c>
      <c r="G73" s="7">
        <v>9</v>
      </c>
      <c r="H73" s="7"/>
      <c r="I73" s="5"/>
      <c r="J73" s="5" t="str">
        <f t="shared" si="5"/>
        <v>yyyy-06</v>
      </c>
      <c r="K73" s="7">
        <f t="shared" si="4"/>
        <v>-33946.570000000007</v>
      </c>
    </row>
    <row r="74" spans="1:11" x14ac:dyDescent="0.25">
      <c r="A74" s="12">
        <v>46185</v>
      </c>
      <c r="B74" s="4" t="s">
        <v>30</v>
      </c>
      <c r="C74" s="5" t="s">
        <v>20</v>
      </c>
      <c r="D74" s="6" t="s">
        <v>13</v>
      </c>
      <c r="E74" s="6"/>
      <c r="F74" s="6"/>
      <c r="G74" s="7">
        <v>1802</v>
      </c>
      <c r="H74" s="7"/>
      <c r="I74" s="5"/>
      <c r="J74" s="5" t="str">
        <f t="shared" si="5"/>
        <v>yyyy-06</v>
      </c>
      <c r="K74" s="7">
        <f t="shared" si="4"/>
        <v>-32144.570000000007</v>
      </c>
    </row>
    <row r="75" spans="1:11" x14ac:dyDescent="0.25">
      <c r="A75" s="3">
        <v>46185</v>
      </c>
      <c r="B75" s="4" t="s">
        <v>21</v>
      </c>
      <c r="C75" s="5" t="s">
        <v>20</v>
      </c>
      <c r="D75" s="6" t="s">
        <v>22</v>
      </c>
      <c r="E75" s="6" t="s">
        <v>17</v>
      </c>
      <c r="F75" s="6"/>
      <c r="G75" s="7">
        <v>103</v>
      </c>
      <c r="H75" s="7"/>
      <c r="I75" s="5"/>
      <c r="J75" s="5" t="str">
        <f t="shared" si="5"/>
        <v>yyyy-06</v>
      </c>
      <c r="K75" s="7">
        <f t="shared" si="4"/>
        <v>-32041.570000000007</v>
      </c>
    </row>
    <row r="76" spans="1:11" x14ac:dyDescent="0.25">
      <c r="A76" s="3">
        <v>46185</v>
      </c>
      <c r="B76" s="4" t="s">
        <v>23</v>
      </c>
      <c r="C76" s="5" t="s">
        <v>12</v>
      </c>
      <c r="D76" s="6" t="s">
        <v>24</v>
      </c>
      <c r="E76" s="6" t="s">
        <v>17</v>
      </c>
      <c r="F76" s="6" t="s">
        <v>25</v>
      </c>
      <c r="G76" s="7">
        <v>17</v>
      </c>
      <c r="H76" s="7"/>
      <c r="I76" s="5"/>
      <c r="J76" s="5" t="str">
        <f t="shared" si="5"/>
        <v>yyyy-06</v>
      </c>
      <c r="K76" s="7">
        <f t="shared" si="4"/>
        <v>-32058.570000000007</v>
      </c>
    </row>
    <row r="77" spans="1:11" x14ac:dyDescent="0.25">
      <c r="A77" s="3">
        <v>46185</v>
      </c>
      <c r="B77" s="4" t="s">
        <v>11</v>
      </c>
      <c r="C77" s="5" t="s">
        <v>12</v>
      </c>
      <c r="D77" s="6" t="s">
        <v>19</v>
      </c>
      <c r="E77" s="6" t="s">
        <v>14</v>
      </c>
      <c r="F77" s="6" t="s">
        <v>15</v>
      </c>
      <c r="G77" s="7">
        <v>376</v>
      </c>
      <c r="H77" s="7"/>
      <c r="I77" s="5"/>
      <c r="J77" s="5" t="str">
        <f t="shared" si="5"/>
        <v>yyyy-06</v>
      </c>
      <c r="K77" s="7">
        <f t="shared" si="4"/>
        <v>-32434.570000000007</v>
      </c>
    </row>
    <row r="78" spans="1:11" x14ac:dyDescent="0.25">
      <c r="A78" s="3">
        <v>46186</v>
      </c>
      <c r="B78" s="4" t="s">
        <v>13</v>
      </c>
      <c r="C78" s="5" t="s">
        <v>20</v>
      </c>
      <c r="D78" s="6" t="s">
        <v>13</v>
      </c>
      <c r="E78" s="6"/>
      <c r="F78" s="6"/>
      <c r="G78" s="7">
        <v>3938</v>
      </c>
      <c r="H78" s="7"/>
      <c r="I78" s="5"/>
      <c r="J78" s="5" t="str">
        <f t="shared" si="5"/>
        <v>yyyy-06</v>
      </c>
      <c r="K78" s="7">
        <f t="shared" si="4"/>
        <v>-28496.570000000007</v>
      </c>
    </row>
    <row r="79" spans="1:11" x14ac:dyDescent="0.25">
      <c r="A79" s="3">
        <v>46186</v>
      </c>
      <c r="B79" s="4" t="s">
        <v>21</v>
      </c>
      <c r="C79" s="5" t="s">
        <v>20</v>
      </c>
      <c r="D79" s="6" t="s">
        <v>22</v>
      </c>
      <c r="E79" s="6" t="s">
        <v>17</v>
      </c>
      <c r="F79" s="6"/>
      <c r="G79" s="7">
        <v>0</v>
      </c>
      <c r="H79" s="7"/>
      <c r="I79" s="5"/>
      <c r="J79" s="5" t="str">
        <f t="shared" si="5"/>
        <v>yyyy-06</v>
      </c>
      <c r="K79" s="7">
        <f t="shared" si="4"/>
        <v>-28496.570000000007</v>
      </c>
    </row>
    <row r="80" spans="1:11" x14ac:dyDescent="0.25">
      <c r="A80" s="3">
        <v>46186</v>
      </c>
      <c r="B80" s="4" t="s">
        <v>630</v>
      </c>
      <c r="C80" s="5" t="s">
        <v>12</v>
      </c>
      <c r="D80" s="6" t="s">
        <v>22</v>
      </c>
      <c r="E80" s="6" t="s">
        <v>17</v>
      </c>
      <c r="F80" s="6" t="s">
        <v>25</v>
      </c>
      <c r="G80" s="7">
        <v>9</v>
      </c>
      <c r="H80" s="7"/>
      <c r="I80" s="5"/>
      <c r="J80" s="5" t="str">
        <f t="shared" si="5"/>
        <v>yyyy-06</v>
      </c>
      <c r="K80" s="7">
        <f t="shared" si="4"/>
        <v>-28505.570000000007</v>
      </c>
    </row>
    <row r="81" spans="1:11" x14ac:dyDescent="0.25">
      <c r="A81" s="12">
        <v>46187</v>
      </c>
      <c r="B81" s="4" t="s">
        <v>30</v>
      </c>
      <c r="C81" s="5" t="s">
        <v>20</v>
      </c>
      <c r="D81" s="6" t="s">
        <v>13</v>
      </c>
      <c r="E81" s="6"/>
      <c r="F81" s="6"/>
      <c r="G81" s="7">
        <v>4218</v>
      </c>
      <c r="H81" s="7"/>
      <c r="I81" s="5"/>
      <c r="J81" s="5" t="str">
        <f t="shared" si="5"/>
        <v>yyyy-06</v>
      </c>
      <c r="K81" s="7">
        <f t="shared" si="4"/>
        <v>-24287.570000000007</v>
      </c>
    </row>
    <row r="82" spans="1:11" x14ac:dyDescent="0.25">
      <c r="A82" s="12">
        <v>46187</v>
      </c>
      <c r="B82" s="4" t="s">
        <v>631</v>
      </c>
      <c r="C82" s="5" t="s">
        <v>20</v>
      </c>
      <c r="D82" s="6" t="s">
        <v>22</v>
      </c>
      <c r="E82" s="6" t="s">
        <v>17</v>
      </c>
      <c r="F82" s="6"/>
      <c r="G82" s="7">
        <v>252</v>
      </c>
      <c r="H82" s="7"/>
      <c r="I82" s="5"/>
      <c r="J82" s="5" t="str">
        <f t="shared" si="5"/>
        <v>yyyy-06</v>
      </c>
      <c r="K82" s="7">
        <f t="shared" si="4"/>
        <v>-24035.570000000007</v>
      </c>
    </row>
    <row r="83" spans="1:11" x14ac:dyDescent="0.25">
      <c r="A83" s="3">
        <v>46187</v>
      </c>
      <c r="B83" s="4" t="s">
        <v>428</v>
      </c>
      <c r="C83" s="5" t="s">
        <v>12</v>
      </c>
      <c r="D83" s="6" t="s">
        <v>27</v>
      </c>
      <c r="E83" s="6" t="s">
        <v>14</v>
      </c>
      <c r="F83" s="6" t="s">
        <v>15</v>
      </c>
      <c r="G83" s="7">
        <v>10</v>
      </c>
      <c r="H83" s="7"/>
      <c r="I83" s="5"/>
      <c r="J83" s="5" t="str">
        <f t="shared" si="5"/>
        <v>yyyy-06</v>
      </c>
      <c r="K83" s="7">
        <f t="shared" si="4"/>
        <v>-24045.570000000007</v>
      </c>
    </row>
    <row r="84" spans="1:11" x14ac:dyDescent="0.25">
      <c r="A84" s="3">
        <v>46187</v>
      </c>
      <c r="B84" s="4" t="s">
        <v>23</v>
      </c>
      <c r="C84" s="5" t="s">
        <v>12</v>
      </c>
      <c r="D84" s="6" t="s">
        <v>24</v>
      </c>
      <c r="E84" s="6" t="s">
        <v>17</v>
      </c>
      <c r="F84" s="6" t="s">
        <v>25</v>
      </c>
      <c r="G84" s="7">
        <v>27</v>
      </c>
      <c r="H84" s="7"/>
      <c r="I84" s="5"/>
      <c r="J84" s="5" t="str">
        <f t="shared" si="5"/>
        <v>yyyy-06</v>
      </c>
      <c r="K84" s="7">
        <f>K82 + IF(C84="Entrada", G84, -G84)</f>
        <v>-24062.570000000007</v>
      </c>
    </row>
    <row r="85" spans="1:11" x14ac:dyDescent="0.25">
      <c r="A85" s="3">
        <v>46188</v>
      </c>
      <c r="B85" s="4" t="s">
        <v>13</v>
      </c>
      <c r="C85" s="5" t="s">
        <v>20</v>
      </c>
      <c r="D85" s="6" t="s">
        <v>13</v>
      </c>
      <c r="E85" s="6"/>
      <c r="F85" s="6"/>
      <c r="G85" s="7">
        <v>764</v>
      </c>
      <c r="H85" s="7"/>
      <c r="I85" s="5"/>
      <c r="J85" s="5" t="str">
        <f t="shared" si="5"/>
        <v>yyyy-06</v>
      </c>
      <c r="K85" s="7">
        <f t="shared" ref="K85:K116" si="6">K84 + IF(C85="Entrada", G85, -G85)</f>
        <v>-23298.570000000007</v>
      </c>
    </row>
    <row r="86" spans="1:11" x14ac:dyDescent="0.25">
      <c r="A86" s="12">
        <v>46188</v>
      </c>
      <c r="B86" s="4" t="s">
        <v>21</v>
      </c>
      <c r="C86" s="5" t="s">
        <v>20</v>
      </c>
      <c r="D86" s="6" t="s">
        <v>22</v>
      </c>
      <c r="E86" s="6" t="s">
        <v>17</v>
      </c>
      <c r="F86" s="6"/>
      <c r="G86" s="7">
        <v>0</v>
      </c>
      <c r="H86" s="7"/>
      <c r="I86" s="5"/>
      <c r="J86" s="5" t="str">
        <f t="shared" si="5"/>
        <v>yyyy-06</v>
      </c>
      <c r="K86" s="7">
        <f t="shared" si="6"/>
        <v>-23298.570000000007</v>
      </c>
    </row>
    <row r="87" spans="1:11" x14ac:dyDescent="0.25">
      <c r="A87" s="3">
        <v>46188</v>
      </c>
      <c r="B87" s="4" t="s">
        <v>23</v>
      </c>
      <c r="C87" s="5" t="s">
        <v>12</v>
      </c>
      <c r="D87" s="6" t="s">
        <v>24</v>
      </c>
      <c r="E87" s="6" t="s">
        <v>17</v>
      </c>
      <c r="F87" s="6" t="s">
        <v>25</v>
      </c>
      <c r="G87" s="7">
        <v>0</v>
      </c>
      <c r="H87" s="7"/>
      <c r="I87" s="5"/>
      <c r="J87" s="5" t="str">
        <f t="shared" si="5"/>
        <v>yyyy-06</v>
      </c>
      <c r="K87" s="7">
        <f t="shared" si="6"/>
        <v>-23298.570000000007</v>
      </c>
    </row>
    <row r="88" spans="1:11" x14ac:dyDescent="0.25">
      <c r="A88" s="3">
        <v>46188</v>
      </c>
      <c r="B88" s="4" t="s">
        <v>632</v>
      </c>
      <c r="C88" s="5" t="s">
        <v>12</v>
      </c>
      <c r="D88" s="6" t="s">
        <v>27</v>
      </c>
      <c r="E88" s="6" t="s">
        <v>17</v>
      </c>
      <c r="F88" s="6"/>
      <c r="G88" s="7">
        <v>180</v>
      </c>
      <c r="H88" s="7"/>
      <c r="I88" s="5"/>
      <c r="J88" s="5" t="str">
        <f t="shared" si="5"/>
        <v>yyyy-06</v>
      </c>
      <c r="K88" s="7">
        <f t="shared" si="6"/>
        <v>-23478.570000000007</v>
      </c>
    </row>
    <row r="89" spans="1:11" x14ac:dyDescent="0.25">
      <c r="A89" s="3">
        <v>46188</v>
      </c>
      <c r="B89" s="4" t="s">
        <v>64</v>
      </c>
      <c r="C89" s="5" t="s">
        <v>12</v>
      </c>
      <c r="D89" s="6" t="s">
        <v>64</v>
      </c>
      <c r="E89" s="6" t="s">
        <v>17</v>
      </c>
      <c r="F89" s="6"/>
      <c r="G89" s="7">
        <v>800</v>
      </c>
      <c r="H89" s="7"/>
      <c r="I89" s="5"/>
      <c r="J89" s="5" t="str">
        <f t="shared" si="5"/>
        <v>yyyy-06</v>
      </c>
      <c r="K89" s="7">
        <f t="shared" si="6"/>
        <v>-24278.570000000007</v>
      </c>
    </row>
    <row r="90" spans="1:11" x14ac:dyDescent="0.25">
      <c r="A90" s="3">
        <v>46188</v>
      </c>
      <c r="B90" s="4" t="s">
        <v>281</v>
      </c>
      <c r="C90" s="5" t="s">
        <v>12</v>
      </c>
      <c r="D90" s="6" t="s">
        <v>19</v>
      </c>
      <c r="E90" s="6" t="s">
        <v>17</v>
      </c>
      <c r="F90" s="6"/>
      <c r="G90" s="7">
        <v>231.55</v>
      </c>
      <c r="H90" s="7"/>
      <c r="I90" s="5"/>
      <c r="J90" s="5" t="str">
        <f t="shared" si="5"/>
        <v>yyyy-06</v>
      </c>
      <c r="K90" s="7">
        <f t="shared" si="6"/>
        <v>-24510.120000000006</v>
      </c>
    </row>
    <row r="91" spans="1:11" x14ac:dyDescent="0.25">
      <c r="A91" s="3">
        <v>46188</v>
      </c>
      <c r="B91" s="4" t="s">
        <v>633</v>
      </c>
      <c r="C91" s="5" t="s">
        <v>12</v>
      </c>
      <c r="D91" s="6" t="s">
        <v>19</v>
      </c>
      <c r="E91" s="6" t="s">
        <v>17</v>
      </c>
      <c r="F91" s="6" t="s">
        <v>25</v>
      </c>
      <c r="G91" s="7">
        <v>225</v>
      </c>
      <c r="H91" s="7"/>
      <c r="I91" s="5"/>
      <c r="J91" s="5" t="str">
        <f t="shared" si="5"/>
        <v>yyyy-06</v>
      </c>
      <c r="K91" s="7">
        <f t="shared" si="6"/>
        <v>-24735.120000000006</v>
      </c>
    </row>
    <row r="92" spans="1:11" x14ac:dyDescent="0.25">
      <c r="A92" s="3">
        <v>46188</v>
      </c>
      <c r="B92" s="4" t="s">
        <v>634</v>
      </c>
      <c r="C92" s="5" t="s">
        <v>12</v>
      </c>
      <c r="D92" s="6" t="s">
        <v>58</v>
      </c>
      <c r="E92" s="6" t="s">
        <v>17</v>
      </c>
      <c r="F92" s="6"/>
      <c r="G92" s="7">
        <v>606.58000000000004</v>
      </c>
      <c r="H92" s="7"/>
      <c r="I92" s="5"/>
      <c r="J92" s="5" t="str">
        <f t="shared" si="5"/>
        <v>yyyy-06</v>
      </c>
      <c r="K92" s="7">
        <f t="shared" si="6"/>
        <v>-25341.700000000008</v>
      </c>
    </row>
    <row r="93" spans="1:11" x14ac:dyDescent="0.25">
      <c r="A93" s="3">
        <v>46189</v>
      </c>
      <c r="B93" s="4" t="s">
        <v>13</v>
      </c>
      <c r="C93" s="5" t="s">
        <v>20</v>
      </c>
      <c r="D93" s="6" t="s">
        <v>13</v>
      </c>
      <c r="E93" s="6"/>
      <c r="F93" s="6"/>
      <c r="G93" s="7">
        <v>1249</v>
      </c>
      <c r="H93" s="7"/>
      <c r="I93" s="5"/>
      <c r="J93" s="5" t="str">
        <f t="shared" si="5"/>
        <v>yyyy-06</v>
      </c>
      <c r="K93" s="7">
        <f t="shared" si="6"/>
        <v>-24092.700000000008</v>
      </c>
    </row>
    <row r="94" spans="1:11" x14ac:dyDescent="0.25">
      <c r="A94" s="3">
        <v>46189</v>
      </c>
      <c r="B94" s="4" t="s">
        <v>21</v>
      </c>
      <c r="C94" s="5" t="s">
        <v>20</v>
      </c>
      <c r="D94" s="6" t="s">
        <v>22</v>
      </c>
      <c r="E94" s="6" t="s">
        <v>17</v>
      </c>
      <c r="F94" s="6"/>
      <c r="G94" s="7">
        <v>254</v>
      </c>
      <c r="H94" s="7"/>
      <c r="I94" s="5"/>
      <c r="J94" s="5" t="str">
        <f t="shared" si="5"/>
        <v>yyyy-06</v>
      </c>
      <c r="K94" s="7">
        <f t="shared" si="6"/>
        <v>-23838.700000000008</v>
      </c>
    </row>
    <row r="95" spans="1:11" x14ac:dyDescent="0.25">
      <c r="A95" s="3">
        <v>46189</v>
      </c>
      <c r="B95" s="4" t="s">
        <v>23</v>
      </c>
      <c r="C95" s="5" t="s">
        <v>12</v>
      </c>
      <c r="D95" s="6" t="s">
        <v>24</v>
      </c>
      <c r="E95" s="6" t="s">
        <v>17</v>
      </c>
      <c r="F95" s="6" t="s">
        <v>25</v>
      </c>
      <c r="G95" s="7">
        <v>35</v>
      </c>
      <c r="H95" s="7"/>
      <c r="I95" s="5"/>
      <c r="J95" s="5" t="str">
        <f t="shared" si="5"/>
        <v>yyyy-06</v>
      </c>
      <c r="K95" s="7">
        <f t="shared" si="6"/>
        <v>-23873.700000000008</v>
      </c>
    </row>
    <row r="96" spans="1:11" x14ac:dyDescent="0.25">
      <c r="A96" s="3">
        <v>46189</v>
      </c>
      <c r="B96" s="4" t="s">
        <v>352</v>
      </c>
      <c r="C96" s="5" t="s">
        <v>12</v>
      </c>
      <c r="D96" s="6" t="s">
        <v>19</v>
      </c>
      <c r="E96" s="6" t="s">
        <v>17</v>
      </c>
      <c r="F96" s="6"/>
      <c r="G96" s="7">
        <v>1084.28</v>
      </c>
      <c r="H96" s="7"/>
      <c r="I96" s="5"/>
      <c r="J96" s="5" t="str">
        <f t="shared" si="5"/>
        <v>yyyy-06</v>
      </c>
      <c r="K96" s="7">
        <f t="shared" si="6"/>
        <v>-24957.980000000007</v>
      </c>
    </row>
    <row r="97" spans="1:11" x14ac:dyDescent="0.25">
      <c r="A97" s="3">
        <v>46189</v>
      </c>
      <c r="B97" s="4" t="s">
        <v>352</v>
      </c>
      <c r="C97" s="5" t="s">
        <v>12</v>
      </c>
      <c r="D97" s="6" t="s">
        <v>19</v>
      </c>
      <c r="E97" s="6" t="s">
        <v>14</v>
      </c>
      <c r="F97" s="6"/>
      <c r="G97" s="7">
        <v>578</v>
      </c>
      <c r="H97" s="7"/>
      <c r="I97" s="5"/>
      <c r="J97" s="5" t="str">
        <f t="shared" si="5"/>
        <v>yyyy-06</v>
      </c>
      <c r="K97" s="7">
        <f t="shared" si="6"/>
        <v>-25535.980000000007</v>
      </c>
    </row>
    <row r="98" spans="1:11" x14ac:dyDescent="0.25">
      <c r="A98" s="3">
        <v>46189</v>
      </c>
      <c r="B98" s="4" t="s">
        <v>619</v>
      </c>
      <c r="C98" s="5" t="s">
        <v>12</v>
      </c>
      <c r="D98" s="6" t="s">
        <v>19</v>
      </c>
      <c r="E98" s="6" t="s">
        <v>17</v>
      </c>
      <c r="F98" s="6"/>
      <c r="G98" s="7">
        <v>136.51</v>
      </c>
      <c r="H98" s="7"/>
      <c r="I98" s="5"/>
      <c r="J98" s="5" t="str">
        <f t="shared" si="5"/>
        <v>yyyy-06</v>
      </c>
      <c r="K98" s="7">
        <f t="shared" si="6"/>
        <v>-25672.490000000005</v>
      </c>
    </row>
    <row r="99" spans="1:11" x14ac:dyDescent="0.25">
      <c r="A99" s="3">
        <v>46189</v>
      </c>
      <c r="B99" s="4" t="s">
        <v>635</v>
      </c>
      <c r="C99" s="5" t="s">
        <v>12</v>
      </c>
      <c r="D99" s="6" t="s">
        <v>68</v>
      </c>
      <c r="E99" s="6" t="s">
        <v>17</v>
      </c>
      <c r="F99" s="6" t="s">
        <v>25</v>
      </c>
      <c r="G99" s="7">
        <v>45</v>
      </c>
      <c r="H99" s="7"/>
      <c r="I99" s="5"/>
      <c r="J99" s="5" t="str">
        <f t="shared" si="5"/>
        <v>yyyy-06</v>
      </c>
      <c r="K99" s="7">
        <f t="shared" si="6"/>
        <v>-25717.490000000005</v>
      </c>
    </row>
    <row r="100" spans="1:11" x14ac:dyDescent="0.25">
      <c r="A100" s="3">
        <v>46189</v>
      </c>
      <c r="B100" s="4" t="s">
        <v>67</v>
      </c>
      <c r="C100" s="5" t="s">
        <v>12</v>
      </c>
      <c r="D100" s="6" t="s">
        <v>67</v>
      </c>
      <c r="E100" s="6" t="s">
        <v>14</v>
      </c>
      <c r="F100" s="6" t="s">
        <v>15</v>
      </c>
      <c r="G100" s="7">
        <v>20</v>
      </c>
      <c r="H100" s="7"/>
      <c r="I100" s="5"/>
      <c r="J100" s="5" t="str">
        <f t="shared" si="5"/>
        <v>yyyy-06</v>
      </c>
      <c r="K100" s="7">
        <f t="shared" si="6"/>
        <v>-25737.490000000005</v>
      </c>
    </row>
    <row r="101" spans="1:11" x14ac:dyDescent="0.25">
      <c r="A101" s="3">
        <v>46189</v>
      </c>
      <c r="B101" s="4" t="s">
        <v>367</v>
      </c>
      <c r="C101" s="5" t="s">
        <v>12</v>
      </c>
      <c r="D101" s="6" t="s">
        <v>39</v>
      </c>
      <c r="E101" s="6" t="s">
        <v>17</v>
      </c>
      <c r="F101" s="6"/>
      <c r="G101" s="7">
        <v>99.9</v>
      </c>
      <c r="H101" s="7"/>
      <c r="I101" s="5"/>
      <c r="J101" s="5" t="str">
        <f t="shared" si="5"/>
        <v>yyyy-06</v>
      </c>
      <c r="K101" s="7">
        <f t="shared" si="6"/>
        <v>-25837.390000000007</v>
      </c>
    </row>
    <row r="102" spans="1:11" x14ac:dyDescent="0.25">
      <c r="A102" s="3">
        <v>46190</v>
      </c>
      <c r="B102" s="4" t="s">
        <v>13</v>
      </c>
      <c r="C102" s="5" t="s">
        <v>20</v>
      </c>
      <c r="D102" s="6" t="s">
        <v>13</v>
      </c>
      <c r="E102" s="6"/>
      <c r="F102" s="6"/>
      <c r="G102" s="7">
        <v>1106</v>
      </c>
      <c r="H102" s="7"/>
      <c r="I102" s="5"/>
      <c r="J102" s="5" t="str">
        <f t="shared" si="5"/>
        <v>yyyy-06</v>
      </c>
      <c r="K102" s="7">
        <f t="shared" si="6"/>
        <v>-24731.390000000007</v>
      </c>
    </row>
    <row r="103" spans="1:11" x14ac:dyDescent="0.25">
      <c r="A103" s="3">
        <v>46190</v>
      </c>
      <c r="B103" s="4" t="s">
        <v>21</v>
      </c>
      <c r="C103" s="5" t="s">
        <v>20</v>
      </c>
      <c r="D103" s="6" t="s">
        <v>22</v>
      </c>
      <c r="E103" s="6" t="s">
        <v>17</v>
      </c>
      <c r="F103" s="6"/>
      <c r="G103" s="7">
        <v>67</v>
      </c>
      <c r="H103" s="7"/>
      <c r="I103" s="5"/>
      <c r="J103" s="5" t="str">
        <f t="shared" ref="J103:J134" si="7">TEXT(A103,"yyyy-mm")</f>
        <v>yyyy-06</v>
      </c>
      <c r="K103" s="7">
        <f t="shared" si="6"/>
        <v>-24664.390000000007</v>
      </c>
    </row>
    <row r="104" spans="1:11" x14ac:dyDescent="0.25">
      <c r="A104" s="3">
        <v>46190</v>
      </c>
      <c r="B104" s="4" t="s">
        <v>23</v>
      </c>
      <c r="C104" s="5" t="s">
        <v>12</v>
      </c>
      <c r="D104" s="6" t="s">
        <v>24</v>
      </c>
      <c r="E104" s="6" t="s">
        <v>17</v>
      </c>
      <c r="F104" s="6" t="s">
        <v>25</v>
      </c>
      <c r="G104" s="7">
        <v>9</v>
      </c>
      <c r="H104" s="7"/>
      <c r="I104" s="5"/>
      <c r="J104" s="5" t="str">
        <f t="shared" si="7"/>
        <v>yyyy-06</v>
      </c>
      <c r="K104" s="7">
        <f t="shared" si="6"/>
        <v>-24673.390000000007</v>
      </c>
    </row>
    <row r="105" spans="1:11" x14ac:dyDescent="0.25">
      <c r="A105" s="3">
        <v>46191</v>
      </c>
      <c r="B105" s="4" t="s">
        <v>30</v>
      </c>
      <c r="C105" s="5" t="s">
        <v>20</v>
      </c>
      <c r="D105" s="6" t="s">
        <v>13</v>
      </c>
      <c r="E105" s="6"/>
      <c r="F105" s="6"/>
      <c r="G105" s="7">
        <v>1241.4000000000001</v>
      </c>
      <c r="H105" s="7"/>
      <c r="I105" s="5"/>
      <c r="J105" s="5" t="str">
        <f t="shared" si="7"/>
        <v>yyyy-06</v>
      </c>
      <c r="K105" s="7">
        <f t="shared" si="6"/>
        <v>-23431.990000000005</v>
      </c>
    </row>
    <row r="106" spans="1:11" x14ac:dyDescent="0.25">
      <c r="A106" s="3">
        <v>46191</v>
      </c>
      <c r="B106" s="4" t="s">
        <v>21</v>
      </c>
      <c r="C106" s="5" t="s">
        <v>20</v>
      </c>
      <c r="D106" s="6" t="s">
        <v>22</v>
      </c>
      <c r="E106" s="6" t="s">
        <v>17</v>
      </c>
      <c r="F106" s="6"/>
      <c r="G106" s="7">
        <v>32</v>
      </c>
      <c r="H106" s="7"/>
      <c r="I106" s="5"/>
      <c r="J106" s="5" t="str">
        <f t="shared" si="7"/>
        <v>yyyy-06</v>
      </c>
      <c r="K106" s="7">
        <f t="shared" si="6"/>
        <v>-23399.990000000005</v>
      </c>
    </row>
    <row r="107" spans="1:11" x14ac:dyDescent="0.25">
      <c r="A107" s="3">
        <v>46191</v>
      </c>
      <c r="B107" s="4" t="s">
        <v>23</v>
      </c>
      <c r="C107" s="5" t="s">
        <v>12</v>
      </c>
      <c r="D107" s="6" t="s">
        <v>24</v>
      </c>
      <c r="E107" s="6" t="s">
        <v>17</v>
      </c>
      <c r="F107" s="6" t="s">
        <v>25</v>
      </c>
      <c r="G107" s="7">
        <v>17</v>
      </c>
      <c r="H107" s="7"/>
      <c r="I107" s="5"/>
      <c r="J107" s="5" t="str">
        <f t="shared" si="7"/>
        <v>yyyy-06</v>
      </c>
      <c r="K107" s="7">
        <f t="shared" si="6"/>
        <v>-23416.990000000005</v>
      </c>
    </row>
    <row r="108" spans="1:11" x14ac:dyDescent="0.25">
      <c r="A108" s="3">
        <v>46192</v>
      </c>
      <c r="B108" s="4" t="s">
        <v>13</v>
      </c>
      <c r="C108" s="5" t="s">
        <v>20</v>
      </c>
      <c r="D108" s="6" t="s">
        <v>13</v>
      </c>
      <c r="E108" s="6"/>
      <c r="F108" s="6"/>
      <c r="G108" s="7">
        <v>1829</v>
      </c>
      <c r="H108" s="7"/>
      <c r="I108" s="5"/>
      <c r="J108" s="5" t="str">
        <f t="shared" si="7"/>
        <v>yyyy-06</v>
      </c>
      <c r="K108" s="7">
        <f t="shared" si="6"/>
        <v>-21587.990000000005</v>
      </c>
    </row>
    <row r="109" spans="1:11" x14ac:dyDescent="0.25">
      <c r="A109" s="3">
        <v>46192</v>
      </c>
      <c r="B109" s="4" t="s">
        <v>44</v>
      </c>
      <c r="C109" s="5" t="s">
        <v>20</v>
      </c>
      <c r="D109" s="6" t="s">
        <v>22</v>
      </c>
      <c r="E109" s="6" t="s">
        <v>17</v>
      </c>
      <c r="F109" s="6"/>
      <c r="G109" s="7">
        <v>42</v>
      </c>
      <c r="H109" s="7"/>
      <c r="I109" s="5"/>
      <c r="J109" s="5" t="str">
        <f t="shared" si="7"/>
        <v>yyyy-06</v>
      </c>
      <c r="K109" s="7">
        <f t="shared" si="6"/>
        <v>-21545.990000000005</v>
      </c>
    </row>
    <row r="110" spans="1:11" x14ac:dyDescent="0.25">
      <c r="A110" s="3">
        <v>46192</v>
      </c>
      <c r="B110" s="4" t="s">
        <v>45</v>
      </c>
      <c r="C110" s="5" t="s">
        <v>12</v>
      </c>
      <c r="D110" s="6" t="s">
        <v>24</v>
      </c>
      <c r="E110" s="6" t="s">
        <v>17</v>
      </c>
      <c r="F110" s="6" t="s">
        <v>25</v>
      </c>
      <c r="G110" s="7">
        <v>9</v>
      </c>
      <c r="H110" s="7"/>
      <c r="I110" s="5"/>
      <c r="J110" s="5" t="str">
        <f t="shared" si="7"/>
        <v>yyyy-06</v>
      </c>
      <c r="K110" s="7">
        <f t="shared" si="6"/>
        <v>-21554.990000000005</v>
      </c>
    </row>
    <row r="111" spans="1:11" x14ac:dyDescent="0.25">
      <c r="A111" s="3">
        <v>46192</v>
      </c>
      <c r="B111" s="4" t="s">
        <v>401</v>
      </c>
      <c r="C111" s="5" t="s">
        <v>12</v>
      </c>
      <c r="D111" s="6" t="s">
        <v>19</v>
      </c>
      <c r="E111" s="6" t="s">
        <v>14</v>
      </c>
      <c r="F111" s="6" t="s">
        <v>15</v>
      </c>
      <c r="G111" s="7">
        <v>423</v>
      </c>
      <c r="H111" s="7"/>
      <c r="I111" s="5"/>
      <c r="J111" s="5" t="str">
        <f t="shared" si="7"/>
        <v>yyyy-06</v>
      </c>
      <c r="K111" s="7">
        <f t="shared" si="6"/>
        <v>-21977.990000000005</v>
      </c>
    </row>
    <row r="112" spans="1:11" x14ac:dyDescent="0.25">
      <c r="A112" s="3">
        <v>46192</v>
      </c>
      <c r="B112" s="4" t="s">
        <v>636</v>
      </c>
      <c r="C112" s="5" t="s">
        <v>12</v>
      </c>
      <c r="D112" s="6" t="s">
        <v>19</v>
      </c>
      <c r="E112" s="6" t="s">
        <v>17</v>
      </c>
      <c r="F112" s="6" t="s">
        <v>25</v>
      </c>
      <c r="G112" s="7">
        <v>92</v>
      </c>
      <c r="H112" s="7"/>
      <c r="I112" s="5"/>
      <c r="J112" s="5" t="str">
        <f t="shared" si="7"/>
        <v>yyyy-06</v>
      </c>
      <c r="K112" s="7">
        <f t="shared" si="6"/>
        <v>-22069.990000000005</v>
      </c>
    </row>
    <row r="113" spans="1:11" x14ac:dyDescent="0.25">
      <c r="A113" s="3">
        <v>46192</v>
      </c>
      <c r="B113" s="4" t="s">
        <v>637</v>
      </c>
      <c r="C113" s="5" t="s">
        <v>12</v>
      </c>
      <c r="D113" s="6" t="s">
        <v>19</v>
      </c>
      <c r="E113" s="6" t="s">
        <v>17</v>
      </c>
      <c r="F113" s="6" t="s">
        <v>25</v>
      </c>
      <c r="G113" s="7">
        <v>700</v>
      </c>
      <c r="H113" s="7"/>
      <c r="I113" s="5"/>
      <c r="J113" s="5" t="str">
        <f t="shared" si="7"/>
        <v>yyyy-06</v>
      </c>
      <c r="K113" s="7">
        <f t="shared" si="6"/>
        <v>-22769.990000000005</v>
      </c>
    </row>
    <row r="114" spans="1:11" x14ac:dyDescent="0.25">
      <c r="A114" s="3">
        <v>46192</v>
      </c>
      <c r="B114" s="4" t="s">
        <v>501</v>
      </c>
      <c r="C114" s="5" t="s">
        <v>12</v>
      </c>
      <c r="D114" s="6" t="s">
        <v>58</v>
      </c>
      <c r="E114" s="6" t="s">
        <v>17</v>
      </c>
      <c r="F114" s="6"/>
      <c r="G114" s="7">
        <v>749.53</v>
      </c>
      <c r="H114" s="7"/>
      <c r="I114" s="5"/>
      <c r="J114" s="5" t="str">
        <f t="shared" si="7"/>
        <v>yyyy-06</v>
      </c>
      <c r="K114" s="7">
        <f t="shared" si="6"/>
        <v>-23519.520000000004</v>
      </c>
    </row>
    <row r="115" spans="1:11" x14ac:dyDescent="0.25">
      <c r="A115" s="3">
        <v>46192</v>
      </c>
      <c r="B115" s="4" t="s">
        <v>356</v>
      </c>
      <c r="C115" s="5" t="s">
        <v>12</v>
      </c>
      <c r="D115" s="6" t="s">
        <v>58</v>
      </c>
      <c r="E115" s="6" t="s">
        <v>17</v>
      </c>
      <c r="F115" s="6" t="s">
        <v>25</v>
      </c>
      <c r="G115" s="7">
        <v>774.34</v>
      </c>
      <c r="H115" s="7"/>
      <c r="I115" s="5"/>
      <c r="J115" s="5" t="str">
        <f t="shared" si="7"/>
        <v>yyyy-06</v>
      </c>
      <c r="K115" s="7">
        <f t="shared" si="6"/>
        <v>-24293.860000000004</v>
      </c>
    </row>
    <row r="116" spans="1:11" x14ac:dyDescent="0.25">
      <c r="A116" s="3">
        <v>46192</v>
      </c>
      <c r="B116" s="4" t="s">
        <v>526</v>
      </c>
      <c r="C116" s="5" t="s">
        <v>12</v>
      </c>
      <c r="D116" s="6" t="s">
        <v>19</v>
      </c>
      <c r="E116" s="6" t="s">
        <v>17</v>
      </c>
      <c r="F116" s="6" t="s">
        <v>25</v>
      </c>
      <c r="G116" s="7">
        <v>179</v>
      </c>
      <c r="H116" s="7"/>
      <c r="I116" s="5"/>
      <c r="J116" s="5" t="str">
        <f t="shared" si="7"/>
        <v>yyyy-06</v>
      </c>
      <c r="K116" s="7">
        <f t="shared" si="6"/>
        <v>-24472.860000000004</v>
      </c>
    </row>
    <row r="117" spans="1:11" x14ac:dyDescent="0.25">
      <c r="A117" s="3">
        <v>46192</v>
      </c>
      <c r="B117" s="4" t="s">
        <v>546</v>
      </c>
      <c r="C117" s="5" t="s">
        <v>12</v>
      </c>
      <c r="D117" s="6" t="s">
        <v>27</v>
      </c>
      <c r="E117" s="6" t="s">
        <v>17</v>
      </c>
      <c r="F117" s="6" t="s">
        <v>25</v>
      </c>
      <c r="G117" s="7">
        <v>4210.16</v>
      </c>
      <c r="H117" s="7"/>
      <c r="I117" s="5"/>
      <c r="J117" s="5" t="str">
        <f t="shared" si="7"/>
        <v>yyyy-06</v>
      </c>
      <c r="K117" s="7">
        <f t="shared" ref="K117:K148" si="8">K116 + IF(C117="Entrada", G117, -G117)</f>
        <v>-28683.020000000004</v>
      </c>
    </row>
    <row r="118" spans="1:11" x14ac:dyDescent="0.25">
      <c r="A118" s="3">
        <v>46192</v>
      </c>
      <c r="B118" s="4" t="s">
        <v>638</v>
      </c>
      <c r="C118" s="5" t="s">
        <v>12</v>
      </c>
      <c r="D118" s="6" t="s">
        <v>67</v>
      </c>
      <c r="E118" s="6" t="s">
        <v>14</v>
      </c>
      <c r="F118" s="6" t="s">
        <v>15</v>
      </c>
      <c r="G118" s="7">
        <v>30</v>
      </c>
      <c r="H118" s="7"/>
      <c r="I118" s="5"/>
      <c r="J118" s="5" t="str">
        <f t="shared" si="7"/>
        <v>yyyy-06</v>
      </c>
      <c r="K118" s="7">
        <f t="shared" si="8"/>
        <v>-28713.020000000004</v>
      </c>
    </row>
    <row r="119" spans="1:11" x14ac:dyDescent="0.25">
      <c r="A119" s="3">
        <v>46192</v>
      </c>
      <c r="B119" s="4" t="s">
        <v>324</v>
      </c>
      <c r="C119" s="5" t="s">
        <v>12</v>
      </c>
      <c r="D119" s="6" t="s">
        <v>65</v>
      </c>
      <c r="E119" s="6" t="s">
        <v>17</v>
      </c>
      <c r="F119" s="6" t="s">
        <v>25</v>
      </c>
      <c r="G119" s="7">
        <v>45</v>
      </c>
      <c r="H119" s="7"/>
      <c r="I119" s="5"/>
      <c r="J119" s="5" t="str">
        <f t="shared" si="7"/>
        <v>yyyy-06</v>
      </c>
      <c r="K119" s="7">
        <f t="shared" si="8"/>
        <v>-28758.020000000004</v>
      </c>
    </row>
    <row r="120" spans="1:11" x14ac:dyDescent="0.25">
      <c r="A120" s="3">
        <v>46193</v>
      </c>
      <c r="B120" s="4" t="s">
        <v>639</v>
      </c>
      <c r="C120" s="5" t="s">
        <v>20</v>
      </c>
      <c r="D120" s="6" t="s">
        <v>13</v>
      </c>
      <c r="E120" s="6"/>
      <c r="F120" s="6"/>
      <c r="G120" s="7">
        <v>4757</v>
      </c>
      <c r="H120" s="7"/>
      <c r="I120" s="5"/>
      <c r="J120" s="5" t="str">
        <f t="shared" si="7"/>
        <v>yyyy-06</v>
      </c>
      <c r="K120" s="7">
        <f t="shared" si="8"/>
        <v>-24001.020000000004</v>
      </c>
    </row>
    <row r="121" spans="1:11" x14ac:dyDescent="0.25">
      <c r="A121" s="3">
        <v>46193</v>
      </c>
      <c r="B121" s="4" t="s">
        <v>21</v>
      </c>
      <c r="C121" s="5" t="s">
        <v>20</v>
      </c>
      <c r="D121" s="6" t="s">
        <v>22</v>
      </c>
      <c r="E121" s="6" t="s">
        <v>17</v>
      </c>
      <c r="F121" s="6"/>
      <c r="G121" s="7">
        <v>68</v>
      </c>
      <c r="H121" s="7"/>
      <c r="I121" s="5"/>
      <c r="J121" s="5" t="str">
        <f t="shared" si="7"/>
        <v>yyyy-06</v>
      </c>
      <c r="K121" s="7">
        <f t="shared" si="8"/>
        <v>-23933.020000000004</v>
      </c>
    </row>
    <row r="122" spans="1:11" x14ac:dyDescent="0.25">
      <c r="A122" s="3">
        <v>46193</v>
      </c>
      <c r="B122" s="4" t="s">
        <v>23</v>
      </c>
      <c r="C122" s="5" t="s">
        <v>12</v>
      </c>
      <c r="D122" s="6" t="s">
        <v>24</v>
      </c>
      <c r="E122" s="6" t="s">
        <v>17</v>
      </c>
      <c r="F122" s="6" t="s">
        <v>25</v>
      </c>
      <c r="G122" s="7">
        <v>9</v>
      </c>
      <c r="H122" s="7"/>
      <c r="I122" s="5"/>
      <c r="J122" s="5" t="str">
        <f t="shared" si="7"/>
        <v>yyyy-06</v>
      </c>
      <c r="K122" s="7">
        <f t="shared" si="8"/>
        <v>-23942.020000000004</v>
      </c>
    </row>
    <row r="123" spans="1:11" x14ac:dyDescent="0.25">
      <c r="A123" s="3">
        <v>46194</v>
      </c>
      <c r="B123" s="4" t="s">
        <v>13</v>
      </c>
      <c r="C123" s="5" t="s">
        <v>20</v>
      </c>
      <c r="D123" s="6" t="s">
        <v>13</v>
      </c>
      <c r="E123" s="6"/>
      <c r="F123" s="6"/>
      <c r="G123" s="7">
        <v>6548</v>
      </c>
      <c r="H123" s="7"/>
      <c r="I123" s="5"/>
      <c r="J123" s="5" t="str">
        <f t="shared" si="7"/>
        <v>yyyy-06</v>
      </c>
      <c r="K123" s="7">
        <f t="shared" si="8"/>
        <v>-17394.020000000004</v>
      </c>
    </row>
    <row r="124" spans="1:11" x14ac:dyDescent="0.25">
      <c r="A124" s="3">
        <v>46194</v>
      </c>
      <c r="B124" s="4" t="s">
        <v>21</v>
      </c>
      <c r="C124" s="5" t="s">
        <v>20</v>
      </c>
      <c r="D124" s="6" t="s">
        <v>22</v>
      </c>
      <c r="E124" s="6" t="s">
        <v>17</v>
      </c>
      <c r="F124" s="6"/>
      <c r="G124" s="7">
        <v>309</v>
      </c>
      <c r="H124" s="7"/>
      <c r="I124" s="5"/>
      <c r="J124" s="5" t="str">
        <f t="shared" si="7"/>
        <v>yyyy-06</v>
      </c>
      <c r="K124" s="7">
        <f t="shared" si="8"/>
        <v>-17085.020000000004</v>
      </c>
    </row>
    <row r="125" spans="1:11" x14ac:dyDescent="0.25">
      <c r="A125" s="3">
        <v>46194</v>
      </c>
      <c r="B125" s="4" t="s">
        <v>23</v>
      </c>
      <c r="C125" s="5" t="s">
        <v>12</v>
      </c>
      <c r="D125" s="6" t="s">
        <v>24</v>
      </c>
      <c r="E125" s="6" t="s">
        <v>17</v>
      </c>
      <c r="F125" s="6" t="s">
        <v>25</v>
      </c>
      <c r="G125" s="7">
        <v>45</v>
      </c>
      <c r="H125" s="7"/>
      <c r="I125" s="5"/>
      <c r="J125" s="5" t="str">
        <f t="shared" si="7"/>
        <v>yyyy-06</v>
      </c>
      <c r="K125" s="7">
        <f t="shared" si="8"/>
        <v>-17130.020000000004</v>
      </c>
    </row>
    <row r="126" spans="1:11" x14ac:dyDescent="0.25">
      <c r="A126" s="3">
        <v>46195</v>
      </c>
      <c r="B126" s="4" t="s">
        <v>13</v>
      </c>
      <c r="C126" s="5" t="s">
        <v>20</v>
      </c>
      <c r="D126" s="6" t="s">
        <v>13</v>
      </c>
      <c r="E126" s="6"/>
      <c r="F126" s="6"/>
      <c r="G126" s="7">
        <v>1239</v>
      </c>
      <c r="H126" s="7"/>
      <c r="I126" s="5"/>
      <c r="J126" s="5" t="str">
        <f t="shared" si="7"/>
        <v>yyyy-06</v>
      </c>
      <c r="K126" s="7">
        <f t="shared" si="8"/>
        <v>-15891.020000000004</v>
      </c>
    </row>
    <row r="127" spans="1:11" x14ac:dyDescent="0.25">
      <c r="A127" s="3">
        <v>46195</v>
      </c>
      <c r="B127" s="4" t="s">
        <v>21</v>
      </c>
      <c r="C127" s="5" t="s">
        <v>20</v>
      </c>
      <c r="D127" s="6" t="s">
        <v>22</v>
      </c>
      <c r="E127" s="6" t="s">
        <v>17</v>
      </c>
      <c r="F127" s="6"/>
      <c r="G127" s="7">
        <v>0</v>
      </c>
      <c r="H127" s="7"/>
      <c r="I127" s="5"/>
      <c r="J127" s="5" t="str">
        <f t="shared" si="7"/>
        <v>yyyy-06</v>
      </c>
      <c r="K127" s="7">
        <f t="shared" si="8"/>
        <v>-15891.020000000004</v>
      </c>
    </row>
    <row r="128" spans="1:11" x14ac:dyDescent="0.25">
      <c r="A128" s="3">
        <v>46195</v>
      </c>
      <c r="B128" s="4" t="s">
        <v>23</v>
      </c>
      <c r="C128" s="5" t="s">
        <v>12</v>
      </c>
      <c r="D128" s="6" t="s">
        <v>24</v>
      </c>
      <c r="E128" s="6" t="s">
        <v>17</v>
      </c>
      <c r="F128" s="6" t="s">
        <v>25</v>
      </c>
      <c r="G128" s="7">
        <v>0</v>
      </c>
      <c r="H128" s="7"/>
      <c r="I128" s="5"/>
      <c r="J128" s="5" t="str">
        <f t="shared" si="7"/>
        <v>yyyy-06</v>
      </c>
      <c r="K128" s="7">
        <f t="shared" si="8"/>
        <v>-15891.020000000004</v>
      </c>
    </row>
    <row r="129" spans="1:11" x14ac:dyDescent="0.25">
      <c r="A129" s="3">
        <v>46195</v>
      </c>
      <c r="B129" s="4" t="s">
        <v>640</v>
      </c>
      <c r="C129" s="5" t="s">
        <v>12</v>
      </c>
      <c r="D129" s="6" t="s">
        <v>58</v>
      </c>
      <c r="E129" s="6" t="s">
        <v>17</v>
      </c>
      <c r="F129" s="6"/>
      <c r="G129" s="7">
        <v>7156.18</v>
      </c>
      <c r="H129" s="7"/>
      <c r="I129" s="5"/>
      <c r="J129" s="5" t="str">
        <f t="shared" si="7"/>
        <v>yyyy-06</v>
      </c>
      <c r="K129" s="7">
        <f t="shared" si="8"/>
        <v>-23047.200000000004</v>
      </c>
    </row>
    <row r="130" spans="1:11" x14ac:dyDescent="0.25">
      <c r="A130" s="3">
        <v>46195</v>
      </c>
      <c r="B130" s="4" t="s">
        <v>552</v>
      </c>
      <c r="C130" s="5" t="s">
        <v>12</v>
      </c>
      <c r="D130" s="6" t="s">
        <v>19</v>
      </c>
      <c r="E130" s="6" t="s">
        <v>17</v>
      </c>
      <c r="F130" s="6"/>
      <c r="G130" s="7">
        <v>1486.94</v>
      </c>
      <c r="H130" s="7"/>
      <c r="I130" s="5"/>
      <c r="J130" s="5" t="str">
        <f t="shared" si="7"/>
        <v>yyyy-06</v>
      </c>
      <c r="K130" s="7">
        <f t="shared" si="8"/>
        <v>-24534.140000000003</v>
      </c>
    </row>
    <row r="131" spans="1:11" x14ac:dyDescent="0.25">
      <c r="A131" s="3">
        <v>46195</v>
      </c>
      <c r="B131" s="4" t="s">
        <v>394</v>
      </c>
      <c r="C131" s="5" t="s">
        <v>12</v>
      </c>
      <c r="D131" s="6" t="s">
        <v>19</v>
      </c>
      <c r="E131" s="6" t="s">
        <v>17</v>
      </c>
      <c r="F131" s="6"/>
      <c r="G131" s="7">
        <v>428.45</v>
      </c>
      <c r="H131" s="7"/>
      <c r="I131" s="5"/>
      <c r="J131" s="5" t="str">
        <f t="shared" si="7"/>
        <v>yyyy-06</v>
      </c>
      <c r="K131" s="7">
        <f t="shared" si="8"/>
        <v>-24962.590000000004</v>
      </c>
    </row>
    <row r="132" spans="1:11" x14ac:dyDescent="0.25">
      <c r="A132" s="3">
        <v>46195</v>
      </c>
      <c r="B132" s="4" t="s">
        <v>598</v>
      </c>
      <c r="C132" s="5" t="s">
        <v>12</v>
      </c>
      <c r="D132" s="6" t="s">
        <v>62</v>
      </c>
      <c r="E132" s="6" t="s">
        <v>17</v>
      </c>
      <c r="F132" s="6"/>
      <c r="G132" s="7">
        <v>537</v>
      </c>
      <c r="H132" s="7"/>
      <c r="I132" s="5"/>
      <c r="J132" s="5" t="str">
        <f t="shared" si="7"/>
        <v>yyyy-06</v>
      </c>
      <c r="K132" s="7">
        <f t="shared" si="8"/>
        <v>-25499.590000000004</v>
      </c>
    </row>
    <row r="133" spans="1:11" x14ac:dyDescent="0.25">
      <c r="A133" s="3">
        <v>46196</v>
      </c>
      <c r="B133" s="4" t="s">
        <v>30</v>
      </c>
      <c r="C133" s="5" t="s">
        <v>20</v>
      </c>
      <c r="D133" s="6" t="s">
        <v>13</v>
      </c>
      <c r="E133" s="6"/>
      <c r="F133" s="6"/>
      <c r="G133" s="7">
        <v>907</v>
      </c>
      <c r="H133" s="7"/>
      <c r="I133" s="5"/>
      <c r="J133" s="5" t="str">
        <f t="shared" si="7"/>
        <v>yyyy-06</v>
      </c>
      <c r="K133" s="7">
        <f t="shared" si="8"/>
        <v>-24592.590000000004</v>
      </c>
    </row>
    <row r="134" spans="1:11" x14ac:dyDescent="0.25">
      <c r="A134" s="3">
        <v>46196</v>
      </c>
      <c r="B134" s="4" t="s">
        <v>44</v>
      </c>
      <c r="C134" s="5" t="s">
        <v>20</v>
      </c>
      <c r="D134" s="6" t="s">
        <v>22</v>
      </c>
      <c r="E134" s="6" t="s">
        <v>17</v>
      </c>
      <c r="F134" s="6"/>
      <c r="G134" s="7">
        <v>0</v>
      </c>
      <c r="H134" s="7"/>
      <c r="I134" s="5"/>
      <c r="J134" s="5" t="str">
        <f t="shared" si="7"/>
        <v>yyyy-06</v>
      </c>
      <c r="K134" s="7">
        <f t="shared" si="8"/>
        <v>-24592.590000000004</v>
      </c>
    </row>
    <row r="135" spans="1:11" x14ac:dyDescent="0.25">
      <c r="A135" s="3">
        <v>46196</v>
      </c>
      <c r="B135" s="4" t="s">
        <v>45</v>
      </c>
      <c r="C135" s="5" t="s">
        <v>12</v>
      </c>
      <c r="D135" s="6" t="s">
        <v>24</v>
      </c>
      <c r="E135" s="6" t="s">
        <v>17</v>
      </c>
      <c r="F135" s="6" t="s">
        <v>25</v>
      </c>
      <c r="G135" s="7">
        <v>0</v>
      </c>
      <c r="H135" s="7"/>
      <c r="I135" s="5"/>
      <c r="J135" s="5" t="str">
        <f t="shared" ref="J135:J166" si="9">TEXT(A135,"yyyy-mm")</f>
        <v>yyyy-06</v>
      </c>
      <c r="K135" s="7">
        <f t="shared" si="8"/>
        <v>-24592.590000000004</v>
      </c>
    </row>
    <row r="136" spans="1:11" x14ac:dyDescent="0.25">
      <c r="A136" s="3">
        <v>46196</v>
      </c>
      <c r="B136" s="4" t="s">
        <v>354</v>
      </c>
      <c r="C136" s="5" t="s">
        <v>12</v>
      </c>
      <c r="D136" s="6" t="s">
        <v>19</v>
      </c>
      <c r="E136" s="6" t="s">
        <v>17</v>
      </c>
      <c r="F136" s="6"/>
      <c r="G136" s="7">
        <v>136.51</v>
      </c>
      <c r="H136" s="7"/>
      <c r="I136" s="5"/>
      <c r="J136" s="5" t="str">
        <f t="shared" si="9"/>
        <v>yyyy-06</v>
      </c>
      <c r="K136" s="7">
        <f t="shared" si="8"/>
        <v>-24729.100000000002</v>
      </c>
    </row>
    <row r="137" spans="1:11" x14ac:dyDescent="0.25">
      <c r="A137" s="3">
        <v>46196</v>
      </c>
      <c r="B137" s="4" t="s">
        <v>641</v>
      </c>
      <c r="C137" s="5" t="s">
        <v>12</v>
      </c>
      <c r="D137" s="6" t="s">
        <v>65</v>
      </c>
      <c r="E137" s="6" t="s">
        <v>17</v>
      </c>
      <c r="F137" s="6" t="s">
        <v>25</v>
      </c>
      <c r="G137" s="7">
        <v>3428.21</v>
      </c>
      <c r="H137" s="7"/>
      <c r="I137" s="5" t="s">
        <v>642</v>
      </c>
      <c r="J137" s="5" t="str">
        <f t="shared" si="9"/>
        <v>yyyy-06</v>
      </c>
      <c r="K137" s="7">
        <f t="shared" si="8"/>
        <v>-28157.31</v>
      </c>
    </row>
    <row r="138" spans="1:11" x14ac:dyDescent="0.25">
      <c r="A138" s="3">
        <v>46195</v>
      </c>
      <c r="B138" s="4" t="s">
        <v>643</v>
      </c>
      <c r="C138" s="5" t="s">
        <v>12</v>
      </c>
      <c r="D138" s="6" t="s">
        <v>19</v>
      </c>
      <c r="E138" s="6" t="s">
        <v>17</v>
      </c>
      <c r="F138" s="6" t="s">
        <v>25</v>
      </c>
      <c r="G138" s="7">
        <v>500</v>
      </c>
      <c r="H138" s="7"/>
      <c r="I138" s="5"/>
      <c r="J138" s="5" t="str">
        <f t="shared" si="9"/>
        <v>yyyy-06</v>
      </c>
      <c r="K138" s="7">
        <f t="shared" si="8"/>
        <v>-28657.31</v>
      </c>
    </row>
    <row r="139" spans="1:11" x14ac:dyDescent="0.25">
      <c r="A139" s="3">
        <v>46197</v>
      </c>
      <c r="B139" s="4" t="s">
        <v>13</v>
      </c>
      <c r="C139" s="5" t="s">
        <v>20</v>
      </c>
      <c r="D139" s="6" t="s">
        <v>13</v>
      </c>
      <c r="E139" s="6"/>
      <c r="F139" s="6"/>
      <c r="G139" s="7">
        <v>237</v>
      </c>
      <c r="H139" s="7"/>
      <c r="I139" s="5"/>
      <c r="J139" s="5" t="str">
        <f t="shared" si="9"/>
        <v>yyyy-06</v>
      </c>
      <c r="K139" s="7">
        <f t="shared" si="8"/>
        <v>-28420.31</v>
      </c>
    </row>
    <row r="140" spans="1:11" x14ac:dyDescent="0.25">
      <c r="A140" s="3">
        <v>46197</v>
      </c>
      <c r="B140" s="4" t="s">
        <v>21</v>
      </c>
      <c r="C140" s="5" t="s">
        <v>20</v>
      </c>
      <c r="D140" s="6" t="s">
        <v>22</v>
      </c>
      <c r="E140" s="6" t="s">
        <v>17</v>
      </c>
      <c r="F140" s="6"/>
      <c r="G140" s="7">
        <v>42</v>
      </c>
      <c r="H140" s="7"/>
      <c r="I140" s="5"/>
      <c r="J140" s="5" t="str">
        <f t="shared" si="9"/>
        <v>yyyy-06</v>
      </c>
      <c r="K140" s="7">
        <f t="shared" si="8"/>
        <v>-28378.31</v>
      </c>
    </row>
    <row r="141" spans="1:11" x14ac:dyDescent="0.25">
      <c r="A141" s="3">
        <v>46197</v>
      </c>
      <c r="B141" s="4" t="s">
        <v>23</v>
      </c>
      <c r="C141" s="5" t="s">
        <v>12</v>
      </c>
      <c r="D141" s="6" t="s">
        <v>24</v>
      </c>
      <c r="E141" s="6" t="s">
        <v>17</v>
      </c>
      <c r="F141" s="6" t="s">
        <v>25</v>
      </c>
      <c r="G141" s="7">
        <v>9</v>
      </c>
      <c r="H141" s="7"/>
      <c r="I141" s="5"/>
      <c r="J141" s="5" t="str">
        <f t="shared" si="9"/>
        <v>yyyy-06</v>
      </c>
      <c r="K141" s="7">
        <f t="shared" si="8"/>
        <v>-28387.31</v>
      </c>
    </row>
    <row r="142" spans="1:11" x14ac:dyDescent="0.25">
      <c r="A142" s="3">
        <v>46197</v>
      </c>
      <c r="B142" s="4" t="s">
        <v>644</v>
      </c>
      <c r="C142" s="5" t="s">
        <v>12</v>
      </c>
      <c r="D142" s="6" t="s">
        <v>19</v>
      </c>
      <c r="E142" s="6" t="s">
        <v>17</v>
      </c>
      <c r="F142" s="6" t="s">
        <v>25</v>
      </c>
      <c r="G142" s="7">
        <v>500</v>
      </c>
      <c r="H142" s="7"/>
      <c r="I142" s="5"/>
      <c r="J142" s="5" t="str">
        <f t="shared" si="9"/>
        <v>yyyy-06</v>
      </c>
      <c r="K142" s="7">
        <f t="shared" si="8"/>
        <v>-28887.31</v>
      </c>
    </row>
    <row r="143" spans="1:11" x14ac:dyDescent="0.25">
      <c r="A143" s="3">
        <v>46198</v>
      </c>
      <c r="B143" s="4" t="s">
        <v>645</v>
      </c>
      <c r="C143" s="5" t="s">
        <v>12</v>
      </c>
      <c r="D143" s="6" t="s">
        <v>39</v>
      </c>
      <c r="E143" s="6" t="s">
        <v>17</v>
      </c>
      <c r="F143" s="6"/>
      <c r="G143" s="7">
        <v>112.68</v>
      </c>
      <c r="H143" s="7"/>
      <c r="I143" s="5"/>
      <c r="J143" s="5" t="str">
        <f t="shared" si="9"/>
        <v>yyyy-06</v>
      </c>
      <c r="K143" s="7">
        <f t="shared" si="8"/>
        <v>-28999.99</v>
      </c>
    </row>
    <row r="144" spans="1:11" x14ac:dyDescent="0.25">
      <c r="A144" s="3">
        <v>46198</v>
      </c>
      <c r="B144" s="4" t="s">
        <v>30</v>
      </c>
      <c r="C144" s="5" t="s">
        <v>20</v>
      </c>
      <c r="D144" s="6" t="s">
        <v>13</v>
      </c>
      <c r="E144" s="6"/>
      <c r="F144" s="6"/>
      <c r="G144" s="7">
        <v>1167</v>
      </c>
      <c r="H144" s="7"/>
      <c r="I144" s="5"/>
      <c r="J144" s="5" t="str">
        <f t="shared" si="9"/>
        <v>yyyy-06</v>
      </c>
      <c r="K144" s="7">
        <f t="shared" si="8"/>
        <v>-27832.99</v>
      </c>
    </row>
    <row r="145" spans="1:11" x14ac:dyDescent="0.25">
      <c r="A145" s="3">
        <v>46198</v>
      </c>
      <c r="B145" s="4" t="s">
        <v>44</v>
      </c>
      <c r="C145" s="5" t="s">
        <v>20</v>
      </c>
      <c r="D145" s="6" t="s">
        <v>22</v>
      </c>
      <c r="E145" s="6" t="s">
        <v>17</v>
      </c>
      <c r="F145" s="6"/>
      <c r="G145" s="7">
        <v>13</v>
      </c>
      <c r="H145" s="7"/>
      <c r="I145" s="5"/>
      <c r="J145" s="5" t="str">
        <f t="shared" si="9"/>
        <v>yyyy-06</v>
      </c>
      <c r="K145" s="7">
        <f t="shared" si="8"/>
        <v>-27819.99</v>
      </c>
    </row>
    <row r="146" spans="1:11" x14ac:dyDescent="0.25">
      <c r="A146" s="3">
        <v>46198</v>
      </c>
      <c r="B146" s="4" t="s">
        <v>45</v>
      </c>
      <c r="C146" s="5" t="s">
        <v>12</v>
      </c>
      <c r="D146" s="6" t="s">
        <v>24</v>
      </c>
      <c r="E146" s="6" t="s">
        <v>17</v>
      </c>
      <c r="F146" s="6" t="s">
        <v>25</v>
      </c>
      <c r="G146" s="7">
        <v>17</v>
      </c>
      <c r="H146" s="7"/>
      <c r="I146" s="5"/>
      <c r="J146" s="5" t="str">
        <f t="shared" si="9"/>
        <v>yyyy-06</v>
      </c>
      <c r="K146" s="7">
        <f t="shared" si="8"/>
        <v>-27836.99</v>
      </c>
    </row>
    <row r="147" spans="1:11" x14ac:dyDescent="0.25">
      <c r="A147" s="13">
        <v>46198</v>
      </c>
      <c r="B147" s="4" t="s">
        <v>401</v>
      </c>
      <c r="C147" s="5" t="s">
        <v>12</v>
      </c>
      <c r="D147" s="6" t="s">
        <v>19</v>
      </c>
      <c r="E147" s="6" t="s">
        <v>14</v>
      </c>
      <c r="F147" s="6" t="s">
        <v>15</v>
      </c>
      <c r="G147" s="7">
        <v>230</v>
      </c>
      <c r="H147" s="7"/>
      <c r="I147" s="5"/>
      <c r="J147" s="5" t="str">
        <f t="shared" si="9"/>
        <v>yyyy-06</v>
      </c>
      <c r="K147" s="7">
        <f t="shared" si="8"/>
        <v>-28066.99</v>
      </c>
    </row>
    <row r="148" spans="1:11" x14ac:dyDescent="0.25">
      <c r="A148" s="3">
        <v>46199</v>
      </c>
      <c r="B148" s="4" t="s">
        <v>30</v>
      </c>
      <c r="C148" s="5" t="s">
        <v>20</v>
      </c>
      <c r="D148" s="6" t="s">
        <v>13</v>
      </c>
      <c r="E148" s="6"/>
      <c r="F148" s="6"/>
      <c r="G148" s="7">
        <v>1898</v>
      </c>
      <c r="H148" s="7"/>
      <c r="I148" s="5"/>
      <c r="J148" s="5" t="str">
        <f t="shared" si="9"/>
        <v>yyyy-06</v>
      </c>
      <c r="K148" s="7">
        <f t="shared" si="8"/>
        <v>-26168.99</v>
      </c>
    </row>
    <row r="149" spans="1:11" x14ac:dyDescent="0.25">
      <c r="A149" s="3">
        <v>46199</v>
      </c>
      <c r="B149" s="4" t="s">
        <v>21</v>
      </c>
      <c r="C149" s="5" t="s">
        <v>20</v>
      </c>
      <c r="D149" s="6" t="s">
        <v>22</v>
      </c>
      <c r="E149" s="6" t="s">
        <v>17</v>
      </c>
      <c r="F149" s="6"/>
      <c r="G149" s="7">
        <v>102</v>
      </c>
      <c r="H149" s="7"/>
      <c r="I149" s="5"/>
      <c r="J149" s="5" t="str">
        <f t="shared" si="9"/>
        <v>yyyy-06</v>
      </c>
      <c r="K149" s="7">
        <f t="shared" ref="K149:K176" si="10">K148 + IF(C149="Entrada", G149, -G149)</f>
        <v>-26066.99</v>
      </c>
    </row>
    <row r="150" spans="1:11" x14ac:dyDescent="0.25">
      <c r="A150" s="3">
        <v>46199</v>
      </c>
      <c r="B150" s="4" t="s">
        <v>23</v>
      </c>
      <c r="C150" s="5" t="s">
        <v>12</v>
      </c>
      <c r="D150" s="6" t="s">
        <v>24</v>
      </c>
      <c r="E150" s="6" t="s">
        <v>17</v>
      </c>
      <c r="F150" s="6" t="s">
        <v>25</v>
      </c>
      <c r="G150" s="7">
        <v>18</v>
      </c>
      <c r="H150" s="7"/>
      <c r="I150" s="5"/>
      <c r="J150" s="5" t="str">
        <f t="shared" si="9"/>
        <v>yyyy-06</v>
      </c>
      <c r="K150" s="7">
        <f t="shared" si="10"/>
        <v>-26084.99</v>
      </c>
    </row>
    <row r="151" spans="1:11" x14ac:dyDescent="0.25">
      <c r="A151" s="3">
        <v>46199</v>
      </c>
      <c r="B151" s="4" t="s">
        <v>11</v>
      </c>
      <c r="C151" s="5" t="s">
        <v>12</v>
      </c>
      <c r="D151" s="6" t="s">
        <v>19</v>
      </c>
      <c r="E151" s="6" t="s">
        <v>14</v>
      </c>
      <c r="F151" s="6" t="s">
        <v>15</v>
      </c>
      <c r="G151" s="7">
        <v>329</v>
      </c>
      <c r="H151" s="7"/>
      <c r="I151" s="5"/>
      <c r="J151" s="5" t="str">
        <f t="shared" si="9"/>
        <v>yyyy-06</v>
      </c>
      <c r="K151" s="7">
        <f t="shared" si="10"/>
        <v>-26413.99</v>
      </c>
    </row>
    <row r="152" spans="1:11" x14ac:dyDescent="0.25">
      <c r="A152" s="13">
        <v>46200</v>
      </c>
      <c r="B152" s="4" t="s">
        <v>13</v>
      </c>
      <c r="C152" s="5" t="s">
        <v>20</v>
      </c>
      <c r="D152" s="6" t="s">
        <v>13</v>
      </c>
      <c r="E152" s="6"/>
      <c r="F152" s="6"/>
      <c r="G152" s="7">
        <v>5762</v>
      </c>
      <c r="H152" s="7"/>
      <c r="I152" s="5"/>
      <c r="J152" s="5" t="str">
        <f t="shared" si="9"/>
        <v>yyyy-06</v>
      </c>
      <c r="K152" s="7">
        <f t="shared" si="10"/>
        <v>-20651.990000000002</v>
      </c>
    </row>
    <row r="153" spans="1:11" x14ac:dyDescent="0.25">
      <c r="A153" s="3">
        <v>46200</v>
      </c>
      <c r="B153" s="4" t="s">
        <v>21</v>
      </c>
      <c r="C153" s="5" t="s">
        <v>20</v>
      </c>
      <c r="D153" s="6" t="s">
        <v>22</v>
      </c>
      <c r="E153" s="6" t="s">
        <v>17</v>
      </c>
      <c r="F153" s="6"/>
      <c r="G153" s="7">
        <v>526</v>
      </c>
      <c r="H153" s="7"/>
      <c r="I153" s="5"/>
      <c r="J153" s="5" t="str">
        <f t="shared" si="9"/>
        <v>yyyy-06</v>
      </c>
      <c r="K153" s="7">
        <f t="shared" si="10"/>
        <v>-20125.990000000002</v>
      </c>
    </row>
    <row r="154" spans="1:11" x14ac:dyDescent="0.25">
      <c r="A154" s="3">
        <v>46200</v>
      </c>
      <c r="B154" s="4" t="s">
        <v>23</v>
      </c>
      <c r="C154" s="5" t="s">
        <v>12</v>
      </c>
      <c r="D154" s="6" t="s">
        <v>24</v>
      </c>
      <c r="E154" s="6" t="s">
        <v>17</v>
      </c>
      <c r="F154" s="6" t="s">
        <v>25</v>
      </c>
      <c r="G154" s="7">
        <v>36</v>
      </c>
      <c r="H154" s="7"/>
      <c r="I154" s="5"/>
      <c r="J154" s="5" t="str">
        <f t="shared" si="9"/>
        <v>yyyy-06</v>
      </c>
      <c r="K154" s="7">
        <f t="shared" si="10"/>
        <v>-20161.990000000002</v>
      </c>
    </row>
    <row r="155" spans="1:11" x14ac:dyDescent="0.25">
      <c r="A155" s="3">
        <v>46201</v>
      </c>
      <c r="B155" s="4" t="s">
        <v>13</v>
      </c>
      <c r="C155" s="5" t="s">
        <v>20</v>
      </c>
      <c r="D155" s="6" t="s">
        <v>13</v>
      </c>
      <c r="E155" s="6"/>
      <c r="F155" s="6"/>
      <c r="G155" s="7">
        <v>6278</v>
      </c>
      <c r="H155" s="7"/>
      <c r="I155" s="5"/>
      <c r="J155" s="5" t="str">
        <f t="shared" si="9"/>
        <v>yyyy-06</v>
      </c>
      <c r="K155" s="7">
        <f t="shared" si="10"/>
        <v>-13883.990000000002</v>
      </c>
    </row>
    <row r="156" spans="1:11" x14ac:dyDescent="0.25">
      <c r="A156" s="3">
        <v>46201</v>
      </c>
      <c r="B156" s="4" t="s">
        <v>21</v>
      </c>
      <c r="C156" s="5" t="s">
        <v>20</v>
      </c>
      <c r="D156" s="6" t="s">
        <v>22</v>
      </c>
      <c r="E156" s="6" t="s">
        <v>17</v>
      </c>
      <c r="F156" s="6"/>
      <c r="G156" s="7">
        <v>89</v>
      </c>
      <c r="H156" s="7"/>
      <c r="I156" s="5"/>
      <c r="J156" s="5" t="str">
        <f t="shared" si="9"/>
        <v>yyyy-06</v>
      </c>
      <c r="K156" s="7">
        <f t="shared" si="10"/>
        <v>-13794.990000000002</v>
      </c>
    </row>
    <row r="157" spans="1:11" x14ac:dyDescent="0.25">
      <c r="A157" s="3">
        <v>46201</v>
      </c>
      <c r="B157" s="4" t="s">
        <v>23</v>
      </c>
      <c r="C157" s="5" t="s">
        <v>12</v>
      </c>
      <c r="D157" s="6" t="s">
        <v>24</v>
      </c>
      <c r="E157" s="6" t="s">
        <v>17</v>
      </c>
      <c r="F157" s="6" t="s">
        <v>25</v>
      </c>
      <c r="G157" s="7">
        <v>26</v>
      </c>
      <c r="H157" s="7"/>
      <c r="I157" s="5"/>
      <c r="J157" s="5" t="str">
        <f t="shared" si="9"/>
        <v>yyyy-06</v>
      </c>
      <c r="K157" s="7">
        <f t="shared" si="10"/>
        <v>-13820.990000000002</v>
      </c>
    </row>
    <row r="158" spans="1:11" x14ac:dyDescent="0.25">
      <c r="A158" s="3">
        <v>46201</v>
      </c>
      <c r="B158" s="4" t="s">
        <v>33</v>
      </c>
      <c r="C158" s="5" t="s">
        <v>12</v>
      </c>
      <c r="D158" s="6" t="s">
        <v>33</v>
      </c>
      <c r="E158" s="6" t="s">
        <v>14</v>
      </c>
      <c r="F158" s="6" t="s">
        <v>15</v>
      </c>
      <c r="G158" s="7">
        <v>150</v>
      </c>
      <c r="H158" s="7"/>
      <c r="I158" s="5"/>
      <c r="J158" s="5" t="str">
        <f t="shared" si="9"/>
        <v>yyyy-06</v>
      </c>
      <c r="K158" s="7">
        <f t="shared" si="10"/>
        <v>-13970.990000000002</v>
      </c>
    </row>
    <row r="159" spans="1:11" x14ac:dyDescent="0.25">
      <c r="A159" s="3">
        <v>46202</v>
      </c>
      <c r="B159" s="4" t="s">
        <v>13</v>
      </c>
      <c r="C159" s="5" t="s">
        <v>20</v>
      </c>
      <c r="D159" s="6" t="s">
        <v>13</v>
      </c>
      <c r="E159" s="6"/>
      <c r="F159" s="6"/>
      <c r="G159" s="7">
        <v>1864</v>
      </c>
      <c r="H159" s="7"/>
      <c r="I159" s="5"/>
      <c r="J159" s="5" t="str">
        <f t="shared" si="9"/>
        <v>yyyy-06</v>
      </c>
      <c r="K159" s="7">
        <f t="shared" si="10"/>
        <v>-12106.990000000002</v>
      </c>
    </row>
    <row r="160" spans="1:11" x14ac:dyDescent="0.25">
      <c r="A160" s="3">
        <v>46202</v>
      </c>
      <c r="B160" s="4" t="s">
        <v>21</v>
      </c>
      <c r="C160" s="5" t="s">
        <v>20</v>
      </c>
      <c r="D160" s="6" t="s">
        <v>22</v>
      </c>
      <c r="E160" s="6" t="s">
        <v>17</v>
      </c>
      <c r="F160" s="6"/>
      <c r="G160" s="7">
        <v>93</v>
      </c>
      <c r="H160" s="7"/>
      <c r="I160" s="5"/>
      <c r="J160" s="5" t="str">
        <f t="shared" si="9"/>
        <v>yyyy-06</v>
      </c>
      <c r="K160" s="7">
        <f t="shared" si="10"/>
        <v>-12013.990000000002</v>
      </c>
    </row>
    <row r="161" spans="1:11" x14ac:dyDescent="0.25">
      <c r="A161" s="3">
        <v>46202</v>
      </c>
      <c r="B161" s="4" t="s">
        <v>23</v>
      </c>
      <c r="C161" s="5" t="s">
        <v>12</v>
      </c>
      <c r="D161" s="6" t="s">
        <v>24</v>
      </c>
      <c r="E161" s="6" t="s">
        <v>17</v>
      </c>
      <c r="F161" s="6" t="s">
        <v>25</v>
      </c>
      <c r="G161" s="7">
        <v>18</v>
      </c>
      <c r="H161" s="7"/>
      <c r="I161" s="5"/>
      <c r="J161" s="5" t="str">
        <f t="shared" si="9"/>
        <v>yyyy-06</v>
      </c>
      <c r="K161" s="7">
        <f t="shared" si="10"/>
        <v>-12031.990000000002</v>
      </c>
    </row>
    <row r="162" spans="1:11" x14ac:dyDescent="0.25">
      <c r="A162" s="3">
        <v>46202</v>
      </c>
      <c r="B162" s="4" t="s">
        <v>315</v>
      </c>
      <c r="C162" s="5" t="s">
        <v>12</v>
      </c>
      <c r="D162" s="6" t="s">
        <v>27</v>
      </c>
      <c r="E162" s="6" t="s">
        <v>17</v>
      </c>
      <c r="F162" s="6"/>
      <c r="G162" s="7">
        <v>1200</v>
      </c>
      <c r="H162" s="7"/>
      <c r="I162" s="5"/>
      <c r="J162" s="5" t="str">
        <f t="shared" si="9"/>
        <v>yyyy-06</v>
      </c>
      <c r="K162" s="7">
        <f t="shared" si="10"/>
        <v>-13231.990000000002</v>
      </c>
    </row>
    <row r="163" spans="1:11" x14ac:dyDescent="0.25">
      <c r="A163" s="3">
        <v>46202</v>
      </c>
      <c r="B163" s="4" t="s">
        <v>290</v>
      </c>
      <c r="C163" s="5" t="s">
        <v>12</v>
      </c>
      <c r="D163" s="6" t="s">
        <v>19</v>
      </c>
      <c r="E163" s="6" t="s">
        <v>17</v>
      </c>
      <c r="F163" s="6"/>
      <c r="G163" s="7">
        <v>4817.1899999999996</v>
      </c>
      <c r="H163" s="7"/>
      <c r="I163" s="5"/>
      <c r="J163" s="5" t="str">
        <f t="shared" si="9"/>
        <v>yyyy-06</v>
      </c>
      <c r="K163" s="7">
        <f t="shared" si="10"/>
        <v>-18049.18</v>
      </c>
    </row>
    <row r="164" spans="1:11" x14ac:dyDescent="0.25">
      <c r="A164" s="3">
        <v>46202</v>
      </c>
      <c r="B164" s="4" t="s">
        <v>468</v>
      </c>
      <c r="C164" s="5" t="s">
        <v>12</v>
      </c>
      <c r="D164" s="6" t="s">
        <v>68</v>
      </c>
      <c r="E164" s="6" t="s">
        <v>17</v>
      </c>
      <c r="F164" s="6"/>
      <c r="G164" s="7">
        <v>600</v>
      </c>
      <c r="H164" s="7"/>
      <c r="I164" s="5"/>
      <c r="J164" s="5" t="str">
        <f t="shared" si="9"/>
        <v>yyyy-06</v>
      </c>
      <c r="K164" s="7">
        <f t="shared" si="10"/>
        <v>-18649.18</v>
      </c>
    </row>
    <row r="165" spans="1:11" x14ac:dyDescent="0.25">
      <c r="A165" s="3">
        <v>46202</v>
      </c>
      <c r="B165" s="4" t="s">
        <v>16</v>
      </c>
      <c r="C165" s="5" t="s">
        <v>12</v>
      </c>
      <c r="D165" s="6" t="s">
        <v>16</v>
      </c>
      <c r="E165" s="6" t="s">
        <v>17</v>
      </c>
      <c r="F165" s="6"/>
      <c r="G165" s="7">
        <v>13185</v>
      </c>
      <c r="H165" s="7"/>
      <c r="I165" s="5"/>
      <c r="J165" s="5" t="str">
        <f t="shared" si="9"/>
        <v>yyyy-06</v>
      </c>
      <c r="K165" s="7">
        <f t="shared" si="10"/>
        <v>-31834.18</v>
      </c>
    </row>
    <row r="166" spans="1:11" x14ac:dyDescent="0.25">
      <c r="A166" s="3">
        <v>46202</v>
      </c>
      <c r="B166" s="4" t="s">
        <v>519</v>
      </c>
      <c r="C166" s="5" t="s">
        <v>12</v>
      </c>
      <c r="D166" s="6" t="s">
        <v>39</v>
      </c>
      <c r="E166" s="6" t="s">
        <v>17</v>
      </c>
      <c r="F166" s="6"/>
      <c r="G166" s="7">
        <v>260</v>
      </c>
      <c r="H166" s="7"/>
      <c r="I166" s="5"/>
      <c r="J166" s="5" t="str">
        <f t="shared" si="9"/>
        <v>yyyy-06</v>
      </c>
      <c r="K166" s="7">
        <f t="shared" si="10"/>
        <v>-32094.18</v>
      </c>
    </row>
    <row r="167" spans="1:11" x14ac:dyDescent="0.25">
      <c r="A167" s="3">
        <v>46202</v>
      </c>
      <c r="B167" s="4" t="s">
        <v>646</v>
      </c>
      <c r="C167" s="5" t="s">
        <v>12</v>
      </c>
      <c r="D167" s="6" t="s">
        <v>19</v>
      </c>
      <c r="E167" s="6" t="s">
        <v>17</v>
      </c>
      <c r="F167" s="6" t="s">
        <v>25</v>
      </c>
      <c r="G167" s="7">
        <v>401.5</v>
      </c>
      <c r="H167" s="7"/>
      <c r="I167" s="5"/>
      <c r="J167" s="5" t="str">
        <f t="shared" ref="J167:J176" si="11">TEXT(A167,"yyyy-mm")</f>
        <v>yyyy-06</v>
      </c>
      <c r="K167" s="7">
        <f t="shared" si="10"/>
        <v>-32495.68</v>
      </c>
    </row>
    <row r="168" spans="1:11" x14ac:dyDescent="0.25">
      <c r="A168" s="3">
        <v>46202</v>
      </c>
      <c r="B168" s="4" t="s">
        <v>369</v>
      </c>
      <c r="C168" s="5" t="s">
        <v>12</v>
      </c>
      <c r="D168" s="6" t="s">
        <v>19</v>
      </c>
      <c r="E168" s="6" t="s">
        <v>17</v>
      </c>
      <c r="F168" s="6"/>
      <c r="G168" s="7">
        <v>428.45</v>
      </c>
      <c r="H168" s="7"/>
      <c r="I168" s="5"/>
      <c r="J168" s="5" t="str">
        <f t="shared" si="11"/>
        <v>yyyy-06</v>
      </c>
      <c r="K168" s="7">
        <f t="shared" si="10"/>
        <v>-32924.129999999997</v>
      </c>
    </row>
    <row r="169" spans="1:11" x14ac:dyDescent="0.25">
      <c r="A169" s="3">
        <v>46202</v>
      </c>
      <c r="B169" s="4" t="s">
        <v>647</v>
      </c>
      <c r="C169" s="5" t="s">
        <v>12</v>
      </c>
      <c r="D169" s="6" t="s">
        <v>33</v>
      </c>
      <c r="E169" s="6" t="s">
        <v>14</v>
      </c>
      <c r="F169" s="6" t="s">
        <v>15</v>
      </c>
      <c r="G169" s="7">
        <v>420</v>
      </c>
      <c r="H169" s="7"/>
      <c r="I169" s="5"/>
      <c r="J169" s="5" t="str">
        <f t="shared" si="11"/>
        <v>yyyy-06</v>
      </c>
      <c r="K169" s="7">
        <f t="shared" si="10"/>
        <v>-33344.129999999997</v>
      </c>
    </row>
    <row r="170" spans="1:11" x14ac:dyDescent="0.25">
      <c r="A170" s="3">
        <v>46202</v>
      </c>
      <c r="B170" s="4" t="s">
        <v>353</v>
      </c>
      <c r="C170" s="5" t="s">
        <v>12</v>
      </c>
      <c r="D170" s="6" t="s">
        <v>19</v>
      </c>
      <c r="E170" s="6" t="s">
        <v>17</v>
      </c>
      <c r="F170" s="6"/>
      <c r="G170" s="7">
        <v>1443.71</v>
      </c>
      <c r="H170" s="7"/>
      <c r="I170" s="5"/>
      <c r="J170" s="5" t="str">
        <f t="shared" si="11"/>
        <v>yyyy-06</v>
      </c>
      <c r="K170" s="7">
        <f t="shared" si="10"/>
        <v>-34787.839999999997</v>
      </c>
    </row>
    <row r="171" spans="1:11" x14ac:dyDescent="0.25">
      <c r="A171" s="3">
        <v>46203</v>
      </c>
      <c r="B171" s="4" t="s">
        <v>625</v>
      </c>
      <c r="C171" s="5" t="s">
        <v>12</v>
      </c>
      <c r="D171" s="6" t="s">
        <v>29</v>
      </c>
      <c r="E171" s="6" t="s">
        <v>17</v>
      </c>
      <c r="F171" s="6"/>
      <c r="G171" s="7">
        <v>304.92</v>
      </c>
      <c r="H171" s="7"/>
      <c r="I171" s="5"/>
      <c r="J171" s="5" t="str">
        <f t="shared" si="11"/>
        <v>yyyy-06</v>
      </c>
      <c r="K171" s="7">
        <f t="shared" si="10"/>
        <v>-35092.759999999995</v>
      </c>
    </row>
    <row r="172" spans="1:11" x14ac:dyDescent="0.25">
      <c r="A172" s="3">
        <v>46203</v>
      </c>
      <c r="B172" s="4" t="s">
        <v>648</v>
      </c>
      <c r="C172" s="5" t="s">
        <v>12</v>
      </c>
      <c r="D172" s="6" t="s">
        <v>19</v>
      </c>
      <c r="E172" s="6" t="s">
        <v>17</v>
      </c>
      <c r="F172" s="6"/>
      <c r="G172" s="7">
        <v>225.27</v>
      </c>
      <c r="H172" s="7"/>
      <c r="I172" s="5"/>
      <c r="J172" s="5" t="str">
        <f t="shared" si="11"/>
        <v>yyyy-06</v>
      </c>
      <c r="K172" s="7">
        <f t="shared" si="10"/>
        <v>-35318.029999999992</v>
      </c>
    </row>
    <row r="173" spans="1:11" x14ac:dyDescent="0.25">
      <c r="A173" s="3">
        <v>46203</v>
      </c>
      <c r="B173" s="4" t="s">
        <v>619</v>
      </c>
      <c r="C173" s="5" t="s">
        <v>12</v>
      </c>
      <c r="D173" s="6" t="s">
        <v>19</v>
      </c>
      <c r="E173" s="6" t="s">
        <v>17</v>
      </c>
      <c r="F173" s="6"/>
      <c r="G173" s="7">
        <v>136.51</v>
      </c>
      <c r="H173" s="7"/>
      <c r="I173" s="5"/>
      <c r="J173" s="5" t="str">
        <f t="shared" si="11"/>
        <v>yyyy-06</v>
      </c>
      <c r="K173" s="7">
        <f t="shared" si="10"/>
        <v>-35454.539999999994</v>
      </c>
    </row>
    <row r="174" spans="1:11" x14ac:dyDescent="0.25">
      <c r="A174" s="3">
        <v>46203</v>
      </c>
      <c r="B174" s="4" t="s">
        <v>30</v>
      </c>
      <c r="C174" s="5" t="s">
        <v>20</v>
      </c>
      <c r="D174" s="6" t="s">
        <v>13</v>
      </c>
      <c r="E174" s="6"/>
      <c r="F174" s="6"/>
      <c r="G174" s="7">
        <v>1018</v>
      </c>
      <c r="H174" s="7"/>
      <c r="I174" s="5"/>
      <c r="J174" s="5" t="str">
        <f t="shared" si="11"/>
        <v>yyyy-06</v>
      </c>
      <c r="K174" s="7">
        <f t="shared" si="10"/>
        <v>-34436.539999999994</v>
      </c>
    </row>
    <row r="175" spans="1:11" x14ac:dyDescent="0.25">
      <c r="A175" s="3">
        <v>46203</v>
      </c>
      <c r="B175" s="4" t="s">
        <v>44</v>
      </c>
      <c r="C175" s="5" t="s">
        <v>20</v>
      </c>
      <c r="D175" s="6" t="s">
        <v>22</v>
      </c>
      <c r="E175" s="6" t="s">
        <v>17</v>
      </c>
      <c r="F175" s="6"/>
      <c r="G175" s="7">
        <v>84</v>
      </c>
      <c r="H175" s="7"/>
      <c r="I175" s="5"/>
      <c r="J175" s="5" t="str">
        <f t="shared" si="11"/>
        <v>yyyy-06</v>
      </c>
      <c r="K175" s="7">
        <f t="shared" si="10"/>
        <v>-34352.539999999994</v>
      </c>
    </row>
    <row r="176" spans="1:11" x14ac:dyDescent="0.25">
      <c r="A176" s="3">
        <v>46203</v>
      </c>
      <c r="B176" s="4" t="s">
        <v>45</v>
      </c>
      <c r="C176" s="5" t="s">
        <v>12</v>
      </c>
      <c r="D176" s="6" t="s">
        <v>24</v>
      </c>
      <c r="E176" s="6" t="s">
        <v>17</v>
      </c>
      <c r="F176" s="6" t="s">
        <v>25</v>
      </c>
      <c r="G176" s="7">
        <v>27</v>
      </c>
      <c r="H176" s="7"/>
      <c r="I176" s="5"/>
      <c r="J176" s="5" t="str">
        <f t="shared" si="11"/>
        <v>yyyy-06</v>
      </c>
      <c r="K176" s="7">
        <f t="shared" si="10"/>
        <v>-34379.539999999994</v>
      </c>
    </row>
  </sheetData>
  <dataValidations count="5">
    <dataValidation type="list" allowBlank="1" showInputMessage="1" showErrorMessage="1" prompt="Clique e digite um valor da lista de itens" sqref="C2:C176" xr:uid="{00000000-0002-0000-0B00-000000000000}">
      <formula1>"Entrada,Saída"</formula1>
    </dataValidation>
    <dataValidation type="list" allowBlank="1" showErrorMessage="1" sqref="D2:D140 D142:D176" xr:uid="{00000000-0002-0000-0B00-000001000000}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type="list" allowBlank="1" showErrorMessage="1" sqref="D141" xr:uid="{00000000-0002-0000-0B00-000002000000}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type="list" allowBlank="1" showErrorMessage="1" sqref="F2:F176" xr:uid="{00000000-0002-0000-0B00-000003000000}">
      <formula1>"Pix,Dinheiro,Débito,Crédito"</formula1>
    </dataValidation>
    <dataValidation type="list" allowBlank="1" showErrorMessage="1" sqref="E2:E176" xr:uid="{00000000-0002-0000-0B00-000004000000}">
      <formula1>"Caixa,Banco Principal"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K186"/>
  <sheetViews>
    <sheetView workbookViewId="0"/>
  </sheetViews>
  <sheetFormatPr defaultColWidth="14.42578125" defaultRowHeight="15" customHeight="1" x14ac:dyDescent="0.25"/>
  <sheetData>
    <row r="1" spans="1:11" x14ac:dyDescent="0.25">
      <c r="A1" s="78">
        <v>46143</v>
      </c>
      <c r="B1" s="21" t="s">
        <v>11</v>
      </c>
      <c r="C1" s="21" t="s">
        <v>12</v>
      </c>
      <c r="D1" s="21" t="s">
        <v>19</v>
      </c>
      <c r="E1" s="21" t="s">
        <v>14</v>
      </c>
      <c r="F1" s="21" t="s">
        <v>15</v>
      </c>
      <c r="G1" s="24">
        <v>476</v>
      </c>
      <c r="H1" s="24"/>
      <c r="J1" s="21" t="s">
        <v>649</v>
      </c>
      <c r="K1" s="24">
        <v>476</v>
      </c>
    </row>
    <row r="2" spans="1:11" x14ac:dyDescent="0.25">
      <c r="A2" s="78">
        <v>46143</v>
      </c>
      <c r="B2" s="21" t="s">
        <v>13</v>
      </c>
      <c r="C2" s="21" t="s">
        <v>20</v>
      </c>
      <c r="D2" s="21" t="s">
        <v>13</v>
      </c>
      <c r="E2" s="21"/>
      <c r="F2" s="21"/>
      <c r="G2" s="24">
        <v>9578</v>
      </c>
      <c r="H2" s="24"/>
      <c r="J2" s="21" t="s">
        <v>649</v>
      </c>
      <c r="K2" s="24">
        <v>10054</v>
      </c>
    </row>
    <row r="3" spans="1:11" x14ac:dyDescent="0.25">
      <c r="A3" s="78">
        <v>46143</v>
      </c>
      <c r="B3" s="21" t="s">
        <v>21</v>
      </c>
      <c r="C3" s="21" t="s">
        <v>20</v>
      </c>
      <c r="D3" s="21" t="s">
        <v>22</v>
      </c>
      <c r="E3" s="21" t="s">
        <v>17</v>
      </c>
      <c r="F3" s="21"/>
      <c r="G3" s="24">
        <v>574</v>
      </c>
      <c r="H3" s="24"/>
      <c r="J3" s="21" t="s">
        <v>649</v>
      </c>
      <c r="K3" s="24">
        <v>10628</v>
      </c>
    </row>
    <row r="4" spans="1:11" x14ac:dyDescent="0.25">
      <c r="A4" s="78">
        <v>46143</v>
      </c>
      <c r="B4" s="21" t="s">
        <v>23</v>
      </c>
      <c r="C4" s="21" t="s">
        <v>12</v>
      </c>
      <c r="D4" s="21" t="s">
        <v>24</v>
      </c>
      <c r="E4" s="21" t="s">
        <v>17</v>
      </c>
      <c r="F4" s="21" t="s">
        <v>25</v>
      </c>
      <c r="G4" s="24">
        <v>53</v>
      </c>
      <c r="H4" s="24"/>
      <c r="J4" s="21" t="s">
        <v>649</v>
      </c>
      <c r="K4" s="24">
        <v>10575</v>
      </c>
    </row>
    <row r="5" spans="1:11" x14ac:dyDescent="0.25">
      <c r="A5" s="78">
        <v>46144</v>
      </c>
      <c r="B5" s="21" t="s">
        <v>33</v>
      </c>
      <c r="C5" s="21" t="s">
        <v>12</v>
      </c>
      <c r="D5" s="21" t="s">
        <v>33</v>
      </c>
      <c r="E5" s="21" t="s">
        <v>14</v>
      </c>
      <c r="F5" s="21" t="s">
        <v>15</v>
      </c>
      <c r="G5" s="24">
        <v>150</v>
      </c>
      <c r="H5" s="24"/>
      <c r="J5" s="21" t="s">
        <v>649</v>
      </c>
      <c r="K5" s="24">
        <v>10425</v>
      </c>
    </row>
    <row r="6" spans="1:11" x14ac:dyDescent="0.25">
      <c r="A6" s="78">
        <v>46144</v>
      </c>
      <c r="B6" s="21" t="s">
        <v>639</v>
      </c>
      <c r="C6" s="21" t="s">
        <v>20</v>
      </c>
      <c r="D6" s="21" t="s">
        <v>13</v>
      </c>
      <c r="E6" s="21"/>
      <c r="F6" s="21"/>
      <c r="G6" s="24">
        <v>10116</v>
      </c>
      <c r="H6" s="24"/>
      <c r="J6" s="21" t="s">
        <v>649</v>
      </c>
      <c r="K6" s="24">
        <v>20541</v>
      </c>
    </row>
    <row r="7" spans="1:11" x14ac:dyDescent="0.25">
      <c r="A7" s="78">
        <v>46144</v>
      </c>
      <c r="B7" s="21" t="s">
        <v>21</v>
      </c>
      <c r="C7" s="21" t="s">
        <v>20</v>
      </c>
      <c r="D7" s="21" t="s">
        <v>22</v>
      </c>
      <c r="E7" s="21" t="s">
        <v>17</v>
      </c>
      <c r="F7" s="21"/>
      <c r="G7" s="24">
        <v>55</v>
      </c>
      <c r="H7" s="24"/>
      <c r="J7" s="21" t="s">
        <v>649</v>
      </c>
      <c r="K7" s="24">
        <v>20596</v>
      </c>
    </row>
    <row r="8" spans="1:11" x14ac:dyDescent="0.25">
      <c r="A8" s="78">
        <v>46144</v>
      </c>
      <c r="B8" s="21" t="s">
        <v>23</v>
      </c>
      <c r="C8" s="21" t="s">
        <v>12</v>
      </c>
      <c r="D8" s="21" t="s">
        <v>24</v>
      </c>
      <c r="E8" s="21" t="s">
        <v>17</v>
      </c>
      <c r="F8" s="21" t="s">
        <v>25</v>
      </c>
      <c r="G8" s="24">
        <v>9</v>
      </c>
      <c r="H8" s="24"/>
      <c r="J8" s="21" t="s">
        <v>649</v>
      </c>
      <c r="K8" s="24">
        <v>20587</v>
      </c>
    </row>
    <row r="9" spans="1:11" x14ac:dyDescent="0.25">
      <c r="A9" s="78">
        <v>46145</v>
      </c>
      <c r="B9" s="21" t="s">
        <v>33</v>
      </c>
      <c r="C9" s="21" t="s">
        <v>12</v>
      </c>
      <c r="D9" s="21" t="s">
        <v>33</v>
      </c>
      <c r="E9" s="21" t="s">
        <v>14</v>
      </c>
      <c r="F9" s="21" t="s">
        <v>15</v>
      </c>
      <c r="G9" s="24">
        <v>150</v>
      </c>
      <c r="H9" s="24"/>
      <c r="J9" s="21" t="s">
        <v>649</v>
      </c>
      <c r="K9" s="24">
        <v>20437</v>
      </c>
    </row>
    <row r="10" spans="1:11" x14ac:dyDescent="0.25">
      <c r="A10" s="78">
        <v>46145</v>
      </c>
      <c r="B10" s="21" t="s">
        <v>13</v>
      </c>
      <c r="C10" s="21" t="s">
        <v>20</v>
      </c>
      <c r="D10" s="21" t="s">
        <v>13</v>
      </c>
      <c r="E10" s="21"/>
      <c r="F10" s="21"/>
      <c r="G10" s="24">
        <v>6795</v>
      </c>
      <c r="H10" s="24"/>
      <c r="J10" s="21" t="s">
        <v>649</v>
      </c>
      <c r="K10" s="24">
        <v>27232</v>
      </c>
    </row>
    <row r="11" spans="1:11" x14ac:dyDescent="0.25">
      <c r="A11" s="78">
        <v>46145</v>
      </c>
      <c r="B11" s="21" t="s">
        <v>21</v>
      </c>
      <c r="C11" s="21" t="s">
        <v>20</v>
      </c>
      <c r="D11" s="21" t="s">
        <v>22</v>
      </c>
      <c r="E11" s="21" t="s">
        <v>17</v>
      </c>
      <c r="F11" s="21"/>
      <c r="G11" s="24">
        <v>354</v>
      </c>
      <c r="H11" s="24"/>
      <c r="J11" s="21" t="s">
        <v>649</v>
      </c>
      <c r="K11" s="24">
        <v>27586</v>
      </c>
    </row>
    <row r="12" spans="1:11" x14ac:dyDescent="0.25">
      <c r="A12" s="78">
        <v>46145</v>
      </c>
      <c r="B12" s="21" t="s">
        <v>23</v>
      </c>
      <c r="C12" s="21" t="s">
        <v>12</v>
      </c>
      <c r="D12" s="21" t="s">
        <v>24</v>
      </c>
      <c r="E12" s="21" t="s">
        <v>17</v>
      </c>
      <c r="F12" s="21" t="s">
        <v>25</v>
      </c>
      <c r="G12" s="24">
        <v>41</v>
      </c>
      <c r="H12" s="24"/>
      <c r="J12" s="21" t="s">
        <v>649</v>
      </c>
      <c r="K12" s="24">
        <v>27545</v>
      </c>
    </row>
    <row r="13" spans="1:11" x14ac:dyDescent="0.25">
      <c r="A13" s="78">
        <v>46144</v>
      </c>
      <c r="B13" s="21" t="s">
        <v>650</v>
      </c>
      <c r="C13" s="21" t="s">
        <v>12</v>
      </c>
      <c r="D13" s="21" t="s">
        <v>29</v>
      </c>
      <c r="E13" s="21" t="s">
        <v>14</v>
      </c>
      <c r="F13" s="21" t="s">
        <v>15</v>
      </c>
      <c r="G13" s="24">
        <v>102</v>
      </c>
      <c r="H13" s="24"/>
      <c r="J13" s="21" t="s">
        <v>649</v>
      </c>
      <c r="K13" s="24">
        <v>27443</v>
      </c>
    </row>
    <row r="14" spans="1:11" x14ac:dyDescent="0.25">
      <c r="A14" s="78">
        <v>46146</v>
      </c>
      <c r="B14" s="21" t="s">
        <v>370</v>
      </c>
      <c r="C14" s="21" t="s">
        <v>12</v>
      </c>
      <c r="D14" s="21" t="s">
        <v>19</v>
      </c>
      <c r="E14" s="21" t="s">
        <v>17</v>
      </c>
      <c r="F14" s="21" t="s">
        <v>25</v>
      </c>
      <c r="G14" s="24">
        <v>709.75</v>
      </c>
      <c r="H14" s="24"/>
      <c r="J14" s="21" t="s">
        <v>649</v>
      </c>
      <c r="K14" s="24">
        <v>26733.25</v>
      </c>
    </row>
    <row r="15" spans="1:11" x14ac:dyDescent="0.25">
      <c r="A15" s="78">
        <v>46146</v>
      </c>
      <c r="B15" s="21" t="s">
        <v>43</v>
      </c>
      <c r="C15" s="21" t="s">
        <v>12</v>
      </c>
      <c r="D15" s="21" t="s">
        <v>19</v>
      </c>
      <c r="E15" s="21" t="s">
        <v>17</v>
      </c>
      <c r="F15" s="21"/>
      <c r="G15" s="24">
        <v>1029.4000000000001</v>
      </c>
      <c r="H15" s="24"/>
      <c r="J15" s="21" t="s">
        <v>649</v>
      </c>
      <c r="K15" s="24">
        <v>25703.85</v>
      </c>
    </row>
    <row r="16" spans="1:11" x14ac:dyDescent="0.25">
      <c r="A16" s="78">
        <v>46146</v>
      </c>
      <c r="B16" s="21" t="s">
        <v>43</v>
      </c>
      <c r="C16" s="21" t="s">
        <v>12</v>
      </c>
      <c r="D16" s="21" t="s">
        <v>19</v>
      </c>
      <c r="E16" s="21" t="s">
        <v>17</v>
      </c>
      <c r="F16" s="21"/>
      <c r="G16" s="24">
        <v>156.69999999999999</v>
      </c>
      <c r="H16" s="24"/>
      <c r="J16" s="21" t="s">
        <v>649</v>
      </c>
      <c r="K16" s="24">
        <v>25547.15</v>
      </c>
    </row>
    <row r="17" spans="1:11" x14ac:dyDescent="0.25">
      <c r="A17" s="78">
        <v>46146</v>
      </c>
      <c r="B17" s="21" t="s">
        <v>43</v>
      </c>
      <c r="C17" s="21" t="s">
        <v>12</v>
      </c>
      <c r="D17" s="21" t="s">
        <v>19</v>
      </c>
      <c r="E17" s="21" t="s">
        <v>17</v>
      </c>
      <c r="F17" s="21"/>
      <c r="G17" s="24">
        <v>564.36</v>
      </c>
      <c r="H17" s="24"/>
      <c r="J17" s="21" t="s">
        <v>649</v>
      </c>
      <c r="K17" s="24">
        <v>24982.79</v>
      </c>
    </row>
    <row r="18" spans="1:11" x14ac:dyDescent="0.25">
      <c r="A18" s="78">
        <v>46146</v>
      </c>
      <c r="B18" s="21" t="s">
        <v>38</v>
      </c>
      <c r="C18" s="21" t="s">
        <v>12</v>
      </c>
      <c r="D18" s="21" t="s">
        <v>39</v>
      </c>
      <c r="E18" s="21" t="s">
        <v>17</v>
      </c>
      <c r="F18" s="21"/>
      <c r="G18" s="24">
        <v>8918.64</v>
      </c>
      <c r="H18" s="24"/>
      <c r="J18" s="21" t="s">
        <v>649</v>
      </c>
      <c r="K18" s="24">
        <v>16064.15</v>
      </c>
    </row>
    <row r="19" spans="1:11" x14ac:dyDescent="0.25">
      <c r="A19" s="78">
        <v>46146</v>
      </c>
      <c r="B19" s="21" t="s">
        <v>322</v>
      </c>
      <c r="C19" s="21" t="s">
        <v>12</v>
      </c>
      <c r="D19" s="21" t="s">
        <v>39</v>
      </c>
      <c r="E19" s="21" t="s">
        <v>17</v>
      </c>
      <c r="F19" s="21" t="s">
        <v>25</v>
      </c>
      <c r="G19" s="24">
        <v>94.9</v>
      </c>
      <c r="H19" s="24"/>
      <c r="J19" s="21" t="s">
        <v>649</v>
      </c>
      <c r="K19" s="24">
        <v>15969.25</v>
      </c>
    </row>
    <row r="20" spans="1:11" x14ac:dyDescent="0.25">
      <c r="A20" s="78">
        <v>46146</v>
      </c>
      <c r="B20" s="21" t="s">
        <v>41</v>
      </c>
      <c r="C20" s="21" t="s">
        <v>12</v>
      </c>
      <c r="D20" s="21" t="s">
        <v>39</v>
      </c>
      <c r="E20" s="21" t="s">
        <v>17</v>
      </c>
      <c r="F20" s="21"/>
      <c r="G20" s="24">
        <v>100</v>
      </c>
      <c r="H20" s="24"/>
      <c r="J20" s="21" t="s">
        <v>649</v>
      </c>
      <c r="K20" s="24">
        <v>15869.25</v>
      </c>
    </row>
    <row r="21" spans="1:11" x14ac:dyDescent="0.25">
      <c r="A21" s="78">
        <v>46146</v>
      </c>
      <c r="B21" s="21" t="s">
        <v>651</v>
      </c>
      <c r="C21" s="21" t="s">
        <v>12</v>
      </c>
      <c r="D21" s="21" t="s">
        <v>39</v>
      </c>
      <c r="E21" s="21" t="s">
        <v>14</v>
      </c>
      <c r="F21" s="21" t="s">
        <v>15</v>
      </c>
      <c r="G21" s="24">
        <v>2836.54</v>
      </c>
      <c r="H21" s="24"/>
      <c r="J21" s="21" t="s">
        <v>649</v>
      </c>
      <c r="K21" s="24">
        <v>13032.71</v>
      </c>
    </row>
    <row r="22" spans="1:11" x14ac:dyDescent="0.25">
      <c r="A22" s="78">
        <v>46146</v>
      </c>
      <c r="B22" s="21" t="s">
        <v>652</v>
      </c>
      <c r="C22" s="21" t="s">
        <v>12</v>
      </c>
      <c r="D22" s="21" t="s">
        <v>19</v>
      </c>
      <c r="E22" s="21" t="s">
        <v>17</v>
      </c>
      <c r="F22" s="21"/>
      <c r="G22" s="24">
        <v>278</v>
      </c>
      <c r="H22" s="24"/>
      <c r="J22" s="21" t="s">
        <v>649</v>
      </c>
      <c r="K22" s="24">
        <v>12754.71</v>
      </c>
    </row>
    <row r="23" spans="1:11" x14ac:dyDescent="0.25">
      <c r="A23" s="78">
        <v>46146</v>
      </c>
      <c r="B23" s="21" t="s">
        <v>30</v>
      </c>
      <c r="C23" s="21" t="s">
        <v>20</v>
      </c>
      <c r="D23" s="21" t="s">
        <v>13</v>
      </c>
      <c r="E23" s="21"/>
      <c r="F23" s="21"/>
      <c r="G23" s="24">
        <v>1145</v>
      </c>
      <c r="H23" s="24"/>
      <c r="J23" s="21" t="s">
        <v>649</v>
      </c>
      <c r="K23" s="24">
        <v>13899.71</v>
      </c>
    </row>
    <row r="24" spans="1:11" x14ac:dyDescent="0.25">
      <c r="A24" s="78">
        <v>46146</v>
      </c>
      <c r="B24" s="21" t="s">
        <v>44</v>
      </c>
      <c r="C24" s="21" t="s">
        <v>20</v>
      </c>
      <c r="D24" s="21" t="s">
        <v>22</v>
      </c>
      <c r="E24" s="21" t="s">
        <v>17</v>
      </c>
      <c r="F24" s="21"/>
      <c r="G24" s="24">
        <v>0</v>
      </c>
      <c r="H24" s="24"/>
      <c r="J24" s="21" t="s">
        <v>649</v>
      </c>
      <c r="K24" s="24">
        <v>13899.71</v>
      </c>
    </row>
    <row r="25" spans="1:11" x14ac:dyDescent="0.25">
      <c r="A25" s="78">
        <v>46146</v>
      </c>
      <c r="B25" s="21" t="s">
        <v>45</v>
      </c>
      <c r="C25" s="21" t="s">
        <v>12</v>
      </c>
      <c r="D25" s="21" t="s">
        <v>24</v>
      </c>
      <c r="E25" s="21" t="s">
        <v>17</v>
      </c>
      <c r="F25" s="21" t="s">
        <v>25</v>
      </c>
      <c r="G25" s="24">
        <v>0</v>
      </c>
      <c r="H25" s="24"/>
      <c r="J25" s="21" t="s">
        <v>649</v>
      </c>
      <c r="K25" s="24">
        <v>13899.71</v>
      </c>
    </row>
    <row r="26" spans="1:11" x14ac:dyDescent="0.25">
      <c r="A26" s="78">
        <v>46146</v>
      </c>
      <c r="B26" s="21" t="s">
        <v>401</v>
      </c>
      <c r="C26" s="21" t="s">
        <v>12</v>
      </c>
      <c r="D26" s="21" t="s">
        <v>19</v>
      </c>
      <c r="E26" s="21" t="s">
        <v>14</v>
      </c>
      <c r="F26" s="21" t="s">
        <v>15</v>
      </c>
      <c r="G26" s="24">
        <v>0</v>
      </c>
      <c r="H26" s="24"/>
      <c r="J26" s="21" t="s">
        <v>649</v>
      </c>
      <c r="K26" s="24">
        <v>13899.71</v>
      </c>
    </row>
    <row r="27" spans="1:11" x14ac:dyDescent="0.25">
      <c r="A27" s="78">
        <v>46147</v>
      </c>
      <c r="B27" s="21" t="s">
        <v>490</v>
      </c>
      <c r="C27" s="21" t="s">
        <v>12</v>
      </c>
      <c r="D27" s="21" t="s">
        <v>39</v>
      </c>
      <c r="E27" s="21" t="s">
        <v>17</v>
      </c>
      <c r="F27" s="21" t="s">
        <v>25</v>
      </c>
      <c r="G27" s="24">
        <v>150</v>
      </c>
      <c r="H27" s="24"/>
      <c r="J27" s="21" t="s">
        <v>649</v>
      </c>
      <c r="K27" s="24">
        <v>13749.71</v>
      </c>
    </row>
    <row r="28" spans="1:11" x14ac:dyDescent="0.25">
      <c r="A28" s="78">
        <v>46147</v>
      </c>
      <c r="B28" s="21" t="s">
        <v>653</v>
      </c>
      <c r="C28" s="21" t="s">
        <v>12</v>
      </c>
      <c r="D28" s="21" t="s">
        <v>62</v>
      </c>
      <c r="E28" s="21" t="s">
        <v>17</v>
      </c>
      <c r="F28" s="21" t="s">
        <v>25</v>
      </c>
      <c r="G28" s="24">
        <v>210</v>
      </c>
      <c r="H28" s="24"/>
      <c r="J28" s="21" t="s">
        <v>649</v>
      </c>
      <c r="K28" s="24">
        <v>13539.71</v>
      </c>
    </row>
    <row r="29" spans="1:11" x14ac:dyDescent="0.25">
      <c r="A29" s="78">
        <v>46147</v>
      </c>
      <c r="B29" s="21" t="s">
        <v>13</v>
      </c>
      <c r="C29" s="21" t="s">
        <v>20</v>
      </c>
      <c r="D29" s="21" t="s">
        <v>13</v>
      </c>
      <c r="E29" s="21"/>
      <c r="F29" s="21"/>
      <c r="G29" s="24">
        <v>1471</v>
      </c>
      <c r="H29" s="24"/>
      <c r="J29" s="21" t="s">
        <v>649</v>
      </c>
      <c r="K29" s="24">
        <v>15010.71</v>
      </c>
    </row>
    <row r="30" spans="1:11" x14ac:dyDescent="0.25">
      <c r="A30" s="78">
        <v>46147</v>
      </c>
      <c r="B30" s="21" t="s">
        <v>21</v>
      </c>
      <c r="C30" s="21" t="s">
        <v>20</v>
      </c>
      <c r="D30" s="21" t="s">
        <v>22</v>
      </c>
      <c r="E30" s="21" t="s">
        <v>17</v>
      </c>
      <c r="F30" s="21"/>
      <c r="G30" s="24">
        <v>84</v>
      </c>
      <c r="H30" s="24"/>
      <c r="J30" s="21" t="s">
        <v>649</v>
      </c>
      <c r="K30" s="24">
        <v>15094.71</v>
      </c>
    </row>
    <row r="31" spans="1:11" x14ac:dyDescent="0.25">
      <c r="A31" s="78">
        <v>46147</v>
      </c>
      <c r="B31" s="21" t="s">
        <v>23</v>
      </c>
      <c r="C31" s="21" t="s">
        <v>20</v>
      </c>
      <c r="D31" s="21" t="s">
        <v>24</v>
      </c>
      <c r="E31" s="21" t="s">
        <v>17</v>
      </c>
      <c r="F31" s="21" t="s">
        <v>25</v>
      </c>
      <c r="G31" s="24">
        <v>27</v>
      </c>
      <c r="H31" s="24"/>
      <c r="J31" s="21" t="s">
        <v>649</v>
      </c>
      <c r="K31" s="24">
        <v>15121.71</v>
      </c>
    </row>
    <row r="32" spans="1:11" x14ac:dyDescent="0.25">
      <c r="A32" s="78">
        <v>46147</v>
      </c>
      <c r="B32" s="21" t="s">
        <v>588</v>
      </c>
      <c r="C32" s="21" t="s">
        <v>12</v>
      </c>
      <c r="D32" s="21" t="s">
        <v>19</v>
      </c>
      <c r="E32" s="21" t="s">
        <v>17</v>
      </c>
      <c r="F32" s="21" t="s">
        <v>25</v>
      </c>
      <c r="G32" s="24">
        <v>3357.6</v>
      </c>
      <c r="H32" s="24"/>
      <c r="J32" s="21" t="s">
        <v>649</v>
      </c>
      <c r="K32" s="24">
        <v>11764.11</v>
      </c>
    </row>
    <row r="33" spans="1:11" x14ac:dyDescent="0.25">
      <c r="A33" s="78">
        <v>46148</v>
      </c>
      <c r="B33" s="21" t="s">
        <v>337</v>
      </c>
      <c r="C33" s="21" t="s">
        <v>12</v>
      </c>
      <c r="D33" s="21" t="s">
        <v>27</v>
      </c>
      <c r="E33" s="21" t="s">
        <v>17</v>
      </c>
      <c r="F33" s="21" t="s">
        <v>25</v>
      </c>
      <c r="G33" s="24">
        <v>9846.01</v>
      </c>
      <c r="H33" s="24"/>
      <c r="J33" s="21" t="s">
        <v>649</v>
      </c>
      <c r="K33" s="24">
        <v>1918.099999999999</v>
      </c>
    </row>
    <row r="34" spans="1:11" x14ac:dyDescent="0.25">
      <c r="A34" s="78">
        <v>46148</v>
      </c>
      <c r="B34" s="21" t="s">
        <v>654</v>
      </c>
      <c r="C34" s="21" t="s">
        <v>12</v>
      </c>
      <c r="D34" s="21" t="s">
        <v>27</v>
      </c>
      <c r="E34" s="21" t="s">
        <v>17</v>
      </c>
      <c r="F34" s="21" t="s">
        <v>25</v>
      </c>
      <c r="G34" s="24">
        <v>1666.67</v>
      </c>
      <c r="H34" s="24"/>
      <c r="J34" s="21" t="s">
        <v>649</v>
      </c>
      <c r="K34" s="24">
        <v>251.4299999999985</v>
      </c>
    </row>
    <row r="35" spans="1:11" x14ac:dyDescent="0.25">
      <c r="A35" s="78">
        <v>46148</v>
      </c>
      <c r="B35" s="21" t="s">
        <v>30</v>
      </c>
      <c r="C35" s="21" t="s">
        <v>20</v>
      </c>
      <c r="D35" s="21" t="s">
        <v>13</v>
      </c>
      <c r="E35" s="21"/>
      <c r="F35" s="21"/>
      <c r="G35" s="24">
        <v>1514</v>
      </c>
      <c r="H35" s="24"/>
      <c r="J35" s="21" t="s">
        <v>649</v>
      </c>
      <c r="K35" s="24">
        <v>1765.429999999998</v>
      </c>
    </row>
    <row r="36" spans="1:11" x14ac:dyDescent="0.25">
      <c r="A36" s="78">
        <v>46148</v>
      </c>
      <c r="B36" s="21" t="s">
        <v>44</v>
      </c>
      <c r="C36" s="21" t="s">
        <v>20</v>
      </c>
      <c r="D36" s="21" t="s">
        <v>22</v>
      </c>
      <c r="E36" s="21" t="s">
        <v>17</v>
      </c>
      <c r="F36" s="21"/>
      <c r="G36" s="24">
        <v>0</v>
      </c>
      <c r="H36" s="24"/>
      <c r="J36" s="21" t="s">
        <v>649</v>
      </c>
      <c r="K36" s="24">
        <v>1765.429999999998</v>
      </c>
    </row>
    <row r="37" spans="1:11" x14ac:dyDescent="0.25">
      <c r="A37" s="78">
        <v>46148</v>
      </c>
      <c r="B37" s="21" t="s">
        <v>45</v>
      </c>
      <c r="C37" s="21" t="s">
        <v>12</v>
      </c>
      <c r="D37" s="21" t="s">
        <v>24</v>
      </c>
      <c r="E37" s="21" t="s">
        <v>17</v>
      </c>
      <c r="F37" s="21" t="s">
        <v>25</v>
      </c>
      <c r="G37" s="24">
        <v>0</v>
      </c>
      <c r="H37" s="24"/>
      <c r="J37" s="21" t="s">
        <v>649</v>
      </c>
      <c r="K37" s="24">
        <v>1765.429999999998</v>
      </c>
    </row>
    <row r="38" spans="1:11" x14ac:dyDescent="0.25">
      <c r="A38" s="78">
        <v>46148</v>
      </c>
      <c r="B38" s="21" t="s">
        <v>401</v>
      </c>
      <c r="C38" s="21" t="s">
        <v>12</v>
      </c>
      <c r="D38" s="21" t="s">
        <v>19</v>
      </c>
      <c r="E38" s="21" t="s">
        <v>14</v>
      </c>
      <c r="F38" s="21" t="s">
        <v>15</v>
      </c>
      <c r="G38" s="24">
        <v>235</v>
      </c>
      <c r="H38" s="24"/>
      <c r="J38" s="21" t="s">
        <v>649</v>
      </c>
      <c r="K38" s="24">
        <v>1530.429999999998</v>
      </c>
    </row>
    <row r="39" spans="1:11" x14ac:dyDescent="0.25">
      <c r="A39" s="82">
        <v>46148</v>
      </c>
      <c r="B39" s="21" t="s">
        <v>420</v>
      </c>
      <c r="C39" s="21" t="s">
        <v>12</v>
      </c>
      <c r="D39" s="21" t="s">
        <v>27</v>
      </c>
      <c r="E39" s="21" t="s">
        <v>17</v>
      </c>
      <c r="F39" s="21" t="s">
        <v>25</v>
      </c>
      <c r="G39" s="24">
        <v>2000</v>
      </c>
      <c r="H39" s="24"/>
      <c r="J39" s="21" t="s">
        <v>649</v>
      </c>
      <c r="K39" s="24">
        <v>-469.57000000000153</v>
      </c>
    </row>
    <row r="40" spans="1:11" x14ac:dyDescent="0.25">
      <c r="A40" s="78">
        <v>46148</v>
      </c>
      <c r="B40" s="21" t="s">
        <v>655</v>
      </c>
      <c r="C40" s="21" t="s">
        <v>12</v>
      </c>
      <c r="D40" s="21" t="s">
        <v>27</v>
      </c>
      <c r="E40" s="21" t="s">
        <v>17</v>
      </c>
      <c r="F40" s="21" t="s">
        <v>25</v>
      </c>
      <c r="G40" s="24">
        <v>279</v>
      </c>
      <c r="H40" s="24"/>
      <c r="J40" s="21" t="s">
        <v>649</v>
      </c>
      <c r="K40" s="24">
        <v>-748.57000000000153</v>
      </c>
    </row>
    <row r="41" spans="1:11" x14ac:dyDescent="0.25">
      <c r="A41" s="78">
        <v>46149</v>
      </c>
      <c r="B41" s="21" t="s">
        <v>13</v>
      </c>
      <c r="C41" s="21" t="s">
        <v>20</v>
      </c>
      <c r="D41" s="21" t="s">
        <v>13</v>
      </c>
      <c r="E41" s="21"/>
      <c r="F41" s="21"/>
      <c r="G41" s="24">
        <v>1466</v>
      </c>
      <c r="H41" s="24"/>
      <c r="J41" s="21" t="s">
        <v>649</v>
      </c>
      <c r="K41" s="24">
        <v>717.42999999999847</v>
      </c>
    </row>
    <row r="42" spans="1:11" x14ac:dyDescent="0.25">
      <c r="A42" s="78">
        <v>46149</v>
      </c>
      <c r="B42" s="21" t="s">
        <v>656</v>
      </c>
      <c r="C42" s="21" t="s">
        <v>20</v>
      </c>
      <c r="D42" s="21" t="s">
        <v>22</v>
      </c>
      <c r="E42" s="21" t="s">
        <v>17</v>
      </c>
      <c r="F42" s="21"/>
      <c r="G42" s="24">
        <v>0</v>
      </c>
      <c r="H42" s="24"/>
      <c r="J42" s="21" t="s">
        <v>649</v>
      </c>
      <c r="K42" s="24">
        <v>717.42999999999847</v>
      </c>
    </row>
    <row r="43" spans="1:11" x14ac:dyDescent="0.25">
      <c r="A43" s="78">
        <v>46149</v>
      </c>
      <c r="B43" s="21" t="s">
        <v>23</v>
      </c>
      <c r="C43" s="21" t="s">
        <v>12</v>
      </c>
      <c r="D43" s="21" t="s">
        <v>24</v>
      </c>
      <c r="E43" s="21" t="s">
        <v>17</v>
      </c>
      <c r="F43" s="21" t="s">
        <v>25</v>
      </c>
      <c r="G43" s="24">
        <v>0</v>
      </c>
      <c r="H43" s="24"/>
      <c r="J43" s="21" t="s">
        <v>649</v>
      </c>
      <c r="K43" s="24">
        <v>717.42999999999847</v>
      </c>
    </row>
    <row r="44" spans="1:11" x14ac:dyDescent="0.25">
      <c r="A44" s="78">
        <v>46149</v>
      </c>
      <c r="B44" s="21" t="s">
        <v>11</v>
      </c>
      <c r="C44" s="21" t="s">
        <v>12</v>
      </c>
      <c r="D44" s="21" t="s">
        <v>19</v>
      </c>
      <c r="E44" s="21" t="s">
        <v>14</v>
      </c>
      <c r="F44" s="21" t="s">
        <v>15</v>
      </c>
      <c r="G44" s="24">
        <v>235</v>
      </c>
      <c r="H44" s="24"/>
      <c r="J44" s="21" t="s">
        <v>649</v>
      </c>
      <c r="K44" s="24">
        <v>482.42999999999847</v>
      </c>
    </row>
    <row r="45" spans="1:11" x14ac:dyDescent="0.25">
      <c r="A45" s="78">
        <v>46149</v>
      </c>
      <c r="B45" s="21" t="s">
        <v>354</v>
      </c>
      <c r="C45" s="21" t="s">
        <v>12</v>
      </c>
      <c r="D45" s="21" t="s">
        <v>19</v>
      </c>
      <c r="E45" s="21" t="s">
        <v>17</v>
      </c>
      <c r="F45" s="21"/>
      <c r="G45" s="24">
        <v>600.69000000000005</v>
      </c>
      <c r="H45" s="24"/>
      <c r="J45" s="21" t="s">
        <v>649</v>
      </c>
      <c r="K45" s="24">
        <v>-118.2600000000016</v>
      </c>
    </row>
    <row r="46" spans="1:11" x14ac:dyDescent="0.25">
      <c r="A46" s="78">
        <v>46149</v>
      </c>
      <c r="B46" s="21" t="s">
        <v>657</v>
      </c>
      <c r="C46" s="24" t="s">
        <v>12</v>
      </c>
      <c r="D46" s="21" t="s">
        <v>27</v>
      </c>
      <c r="E46" s="21" t="s">
        <v>17</v>
      </c>
      <c r="F46" s="21" t="s">
        <v>25</v>
      </c>
      <c r="G46" s="24">
        <v>176.94</v>
      </c>
      <c r="H46" s="24"/>
      <c r="J46" s="21" t="s">
        <v>649</v>
      </c>
      <c r="K46" s="24">
        <v>-295.20000000000158</v>
      </c>
    </row>
    <row r="47" spans="1:11" x14ac:dyDescent="0.25">
      <c r="A47" s="78">
        <v>46150</v>
      </c>
      <c r="B47" s="21" t="s">
        <v>13</v>
      </c>
      <c r="C47" s="21" t="s">
        <v>20</v>
      </c>
      <c r="D47" s="21" t="s">
        <v>13</v>
      </c>
      <c r="E47" s="21"/>
      <c r="F47" s="21"/>
      <c r="G47" s="24">
        <v>3340</v>
      </c>
      <c r="H47" s="24"/>
      <c r="J47" s="21" t="s">
        <v>649</v>
      </c>
      <c r="K47" s="24">
        <v>3044.7999999999979</v>
      </c>
    </row>
    <row r="48" spans="1:11" x14ac:dyDescent="0.25">
      <c r="A48" s="78">
        <v>46150</v>
      </c>
      <c r="B48" s="21" t="s">
        <v>656</v>
      </c>
      <c r="C48" s="21" t="s">
        <v>20</v>
      </c>
      <c r="D48" s="21" t="s">
        <v>22</v>
      </c>
      <c r="E48" s="21" t="s">
        <v>17</v>
      </c>
      <c r="F48" s="21"/>
      <c r="G48" s="24">
        <v>345</v>
      </c>
      <c r="H48" s="24"/>
      <c r="J48" s="21" t="s">
        <v>649</v>
      </c>
      <c r="K48" s="24">
        <v>3389.7999999999979</v>
      </c>
    </row>
    <row r="49" spans="1:11" x14ac:dyDescent="0.25">
      <c r="A49" s="78">
        <v>46150</v>
      </c>
      <c r="B49" s="21" t="s">
        <v>23</v>
      </c>
      <c r="C49" s="21" t="s">
        <v>12</v>
      </c>
      <c r="D49" s="21" t="s">
        <v>24</v>
      </c>
      <c r="E49" s="21" t="s">
        <v>17</v>
      </c>
      <c r="F49" s="21" t="s">
        <v>25</v>
      </c>
      <c r="G49" s="24">
        <v>45</v>
      </c>
      <c r="H49" s="24"/>
      <c r="J49" s="21" t="s">
        <v>649</v>
      </c>
      <c r="K49" s="24">
        <v>3344.7999999999979</v>
      </c>
    </row>
    <row r="50" spans="1:11" x14ac:dyDescent="0.25">
      <c r="A50" s="78">
        <v>46150</v>
      </c>
      <c r="B50" s="21" t="s">
        <v>11</v>
      </c>
      <c r="C50" s="21" t="s">
        <v>12</v>
      </c>
      <c r="D50" s="21" t="s">
        <v>19</v>
      </c>
      <c r="E50" s="21" t="s">
        <v>14</v>
      </c>
      <c r="F50" s="21" t="s">
        <v>15</v>
      </c>
      <c r="G50" s="24">
        <v>376</v>
      </c>
      <c r="H50" s="24"/>
      <c r="J50" s="21" t="s">
        <v>649</v>
      </c>
      <c r="K50" s="24">
        <v>2968.7999999999979</v>
      </c>
    </row>
    <row r="51" spans="1:11" x14ac:dyDescent="0.25">
      <c r="A51" s="78">
        <v>46151</v>
      </c>
      <c r="B51" s="21" t="s">
        <v>30</v>
      </c>
      <c r="C51" s="21" t="s">
        <v>20</v>
      </c>
      <c r="D51" s="21" t="s">
        <v>13</v>
      </c>
      <c r="E51" s="21"/>
      <c r="F51" s="21"/>
      <c r="G51" s="24">
        <v>8628</v>
      </c>
      <c r="H51" s="24"/>
      <c r="J51" s="21" t="s">
        <v>649</v>
      </c>
      <c r="K51" s="24">
        <v>11596.8</v>
      </c>
    </row>
    <row r="52" spans="1:11" x14ac:dyDescent="0.25">
      <c r="A52" s="78">
        <v>46151</v>
      </c>
      <c r="B52" s="21" t="s">
        <v>44</v>
      </c>
      <c r="C52" s="21" t="s">
        <v>20</v>
      </c>
      <c r="D52" s="21" t="s">
        <v>22</v>
      </c>
      <c r="E52" s="21" t="s">
        <v>17</v>
      </c>
      <c r="F52" s="21"/>
      <c r="G52" s="24">
        <v>382</v>
      </c>
      <c r="H52" s="24"/>
      <c r="J52" s="21" t="s">
        <v>649</v>
      </c>
      <c r="K52" s="24">
        <v>11978.8</v>
      </c>
    </row>
    <row r="53" spans="1:11" x14ac:dyDescent="0.25">
      <c r="A53" s="78">
        <v>46151</v>
      </c>
      <c r="B53" s="21" t="s">
        <v>45</v>
      </c>
      <c r="C53" s="21" t="s">
        <v>12</v>
      </c>
      <c r="D53" s="21" t="s">
        <v>24</v>
      </c>
      <c r="E53" s="21" t="s">
        <v>17</v>
      </c>
      <c r="F53" s="21" t="s">
        <v>25</v>
      </c>
      <c r="G53" s="24">
        <v>46</v>
      </c>
      <c r="H53" s="24"/>
      <c r="J53" s="21" t="s">
        <v>649</v>
      </c>
      <c r="K53" s="24">
        <v>11932.8</v>
      </c>
    </row>
    <row r="54" spans="1:11" x14ac:dyDescent="0.25">
      <c r="A54" s="78">
        <v>46152</v>
      </c>
      <c r="B54" s="21" t="s">
        <v>30</v>
      </c>
      <c r="C54" s="21" t="s">
        <v>20</v>
      </c>
      <c r="D54" s="21" t="s">
        <v>13</v>
      </c>
      <c r="E54" s="21"/>
      <c r="F54" s="21"/>
      <c r="G54" s="24">
        <v>11713</v>
      </c>
      <c r="H54" s="24"/>
      <c r="J54" s="21" t="s">
        <v>649</v>
      </c>
      <c r="K54" s="24">
        <v>23645.8</v>
      </c>
    </row>
    <row r="55" spans="1:11" x14ac:dyDescent="0.25">
      <c r="A55" s="78">
        <v>46152</v>
      </c>
      <c r="B55" s="21" t="s">
        <v>44</v>
      </c>
      <c r="C55" s="21" t="s">
        <v>20</v>
      </c>
      <c r="D55" s="21" t="s">
        <v>22</v>
      </c>
      <c r="E55" s="21" t="s">
        <v>17</v>
      </c>
      <c r="F55" s="21"/>
      <c r="G55" s="24">
        <v>301</v>
      </c>
      <c r="H55" s="24"/>
      <c r="J55" s="21" t="s">
        <v>649</v>
      </c>
      <c r="K55" s="24">
        <v>23946.799999999999</v>
      </c>
    </row>
    <row r="56" spans="1:11" x14ac:dyDescent="0.25">
      <c r="A56" s="78">
        <v>46152</v>
      </c>
      <c r="B56" s="21" t="s">
        <v>45</v>
      </c>
      <c r="C56" s="21" t="s">
        <v>12</v>
      </c>
      <c r="D56" s="21" t="s">
        <v>24</v>
      </c>
      <c r="E56" s="21" t="s">
        <v>17</v>
      </c>
      <c r="F56" s="21" t="s">
        <v>25</v>
      </c>
      <c r="G56" s="24">
        <v>45</v>
      </c>
      <c r="H56" s="24"/>
      <c r="J56" s="21" t="s">
        <v>649</v>
      </c>
      <c r="K56" s="24">
        <v>23901.8</v>
      </c>
    </row>
    <row r="57" spans="1:11" x14ac:dyDescent="0.25">
      <c r="A57" s="78">
        <v>46152</v>
      </c>
      <c r="B57" s="21" t="s">
        <v>401</v>
      </c>
      <c r="C57" s="21" t="s">
        <v>12</v>
      </c>
      <c r="D57" s="21" t="s">
        <v>19</v>
      </c>
      <c r="E57" s="21" t="s">
        <v>14</v>
      </c>
      <c r="F57" s="21" t="s">
        <v>15</v>
      </c>
      <c r="G57" s="24">
        <v>188</v>
      </c>
      <c r="H57" s="24"/>
      <c r="J57" s="21" t="s">
        <v>649</v>
      </c>
      <c r="K57" s="24">
        <v>23713.8</v>
      </c>
    </row>
    <row r="58" spans="1:11" x14ac:dyDescent="0.25">
      <c r="A58" s="78">
        <v>46153</v>
      </c>
      <c r="B58" s="21" t="s">
        <v>30</v>
      </c>
      <c r="C58" s="21" t="s">
        <v>20</v>
      </c>
      <c r="D58" s="21" t="s">
        <v>13</v>
      </c>
      <c r="E58" s="21"/>
      <c r="F58" s="21"/>
      <c r="G58" s="24">
        <v>1024</v>
      </c>
      <c r="H58" s="24"/>
      <c r="J58" s="21" t="s">
        <v>649</v>
      </c>
      <c r="K58" s="24">
        <v>24737.8</v>
      </c>
    </row>
    <row r="59" spans="1:11" x14ac:dyDescent="0.25">
      <c r="A59" s="78">
        <v>46153</v>
      </c>
      <c r="B59" s="21" t="s">
        <v>44</v>
      </c>
      <c r="C59" s="21" t="s">
        <v>20</v>
      </c>
      <c r="D59" s="21" t="s">
        <v>22</v>
      </c>
      <c r="E59" s="21" t="s">
        <v>17</v>
      </c>
      <c r="F59" s="21"/>
      <c r="G59" s="24">
        <v>42</v>
      </c>
      <c r="H59" s="24"/>
      <c r="J59" s="21" t="s">
        <v>649</v>
      </c>
      <c r="K59" s="24">
        <v>24779.8</v>
      </c>
    </row>
    <row r="60" spans="1:11" x14ac:dyDescent="0.25">
      <c r="A60" s="78">
        <v>46153</v>
      </c>
      <c r="B60" s="21" t="s">
        <v>45</v>
      </c>
      <c r="C60" s="21" t="s">
        <v>12</v>
      </c>
      <c r="D60" s="21" t="s">
        <v>24</v>
      </c>
      <c r="E60" s="21" t="s">
        <v>17</v>
      </c>
      <c r="F60" s="21" t="s">
        <v>25</v>
      </c>
      <c r="G60" s="24">
        <v>17</v>
      </c>
      <c r="H60" s="24"/>
      <c r="J60" s="21" t="s">
        <v>649</v>
      </c>
      <c r="K60" s="24">
        <v>24762.799999999999</v>
      </c>
    </row>
    <row r="61" spans="1:11" x14ac:dyDescent="0.25">
      <c r="A61" s="78">
        <v>46153</v>
      </c>
      <c r="B61" s="21" t="s">
        <v>401</v>
      </c>
      <c r="C61" s="21" t="s">
        <v>12</v>
      </c>
      <c r="D61" s="21" t="s">
        <v>19</v>
      </c>
      <c r="E61" s="21" t="s">
        <v>14</v>
      </c>
      <c r="F61" s="21" t="s">
        <v>15</v>
      </c>
      <c r="G61" s="24">
        <v>0</v>
      </c>
      <c r="H61" s="24"/>
      <c r="J61" s="21" t="s">
        <v>649</v>
      </c>
      <c r="K61" s="24">
        <v>24762.799999999999</v>
      </c>
    </row>
    <row r="62" spans="1:11" x14ac:dyDescent="0.25">
      <c r="A62" s="78">
        <v>46153</v>
      </c>
      <c r="B62" s="21" t="s">
        <v>658</v>
      </c>
      <c r="C62" s="21" t="s">
        <v>12</v>
      </c>
      <c r="D62" s="21" t="s">
        <v>66</v>
      </c>
      <c r="E62" s="21" t="s">
        <v>17</v>
      </c>
      <c r="F62" s="21" t="s">
        <v>25</v>
      </c>
      <c r="G62" s="24">
        <v>7834.23</v>
      </c>
      <c r="H62" s="24"/>
      <c r="J62" s="21" t="s">
        <v>649</v>
      </c>
      <c r="K62" s="24">
        <v>16928.57</v>
      </c>
    </row>
    <row r="63" spans="1:11" x14ac:dyDescent="0.25">
      <c r="A63" s="78">
        <v>46153</v>
      </c>
      <c r="B63" s="21" t="s">
        <v>423</v>
      </c>
      <c r="C63" s="21" t="s">
        <v>12</v>
      </c>
      <c r="D63" s="21" t="s">
        <v>68</v>
      </c>
      <c r="E63" s="21" t="s">
        <v>17</v>
      </c>
      <c r="F63" s="21" t="s">
        <v>25</v>
      </c>
      <c r="G63" s="24">
        <v>450</v>
      </c>
      <c r="H63" s="24"/>
      <c r="J63" s="21" t="s">
        <v>649</v>
      </c>
      <c r="K63" s="24">
        <v>16478.57</v>
      </c>
    </row>
    <row r="64" spans="1:11" x14ac:dyDescent="0.25">
      <c r="A64" s="78">
        <v>46153</v>
      </c>
      <c r="B64" s="21" t="s">
        <v>659</v>
      </c>
      <c r="C64" s="21" t="s">
        <v>12</v>
      </c>
      <c r="D64" s="21" t="s">
        <v>27</v>
      </c>
      <c r="E64" s="21" t="s">
        <v>17</v>
      </c>
      <c r="F64" s="21"/>
      <c r="G64" s="24">
        <v>72</v>
      </c>
      <c r="H64" s="24"/>
      <c r="J64" s="21" t="s">
        <v>649</v>
      </c>
      <c r="K64" s="24">
        <v>16406.57</v>
      </c>
    </row>
    <row r="65" spans="1:11" x14ac:dyDescent="0.25">
      <c r="A65" s="78">
        <v>46153</v>
      </c>
      <c r="B65" s="21" t="s">
        <v>348</v>
      </c>
      <c r="C65" s="21" t="s">
        <v>12</v>
      </c>
      <c r="D65" s="21" t="s">
        <v>19</v>
      </c>
      <c r="E65" s="21" t="s">
        <v>17</v>
      </c>
      <c r="F65" s="21"/>
      <c r="G65" s="24">
        <v>1022.53</v>
      </c>
      <c r="H65" s="24"/>
      <c r="J65" s="21" t="s">
        <v>649</v>
      </c>
      <c r="K65" s="24">
        <v>15384.04</v>
      </c>
    </row>
    <row r="66" spans="1:11" x14ac:dyDescent="0.25">
      <c r="A66" s="78">
        <v>46153</v>
      </c>
      <c r="B66" s="21" t="s">
        <v>552</v>
      </c>
      <c r="C66" s="21" t="s">
        <v>12</v>
      </c>
      <c r="D66" s="21" t="s">
        <v>19</v>
      </c>
      <c r="E66" s="21" t="s">
        <v>17</v>
      </c>
      <c r="F66" s="21"/>
      <c r="G66" s="24">
        <v>1734.28</v>
      </c>
      <c r="H66" s="24"/>
      <c r="J66" s="21" t="s">
        <v>649</v>
      </c>
      <c r="K66" s="24">
        <v>13649.76</v>
      </c>
    </row>
    <row r="67" spans="1:11" x14ac:dyDescent="0.25">
      <c r="A67" s="78">
        <v>46153</v>
      </c>
      <c r="B67" s="21" t="s">
        <v>660</v>
      </c>
      <c r="C67" s="21" t="s">
        <v>12</v>
      </c>
      <c r="D67" s="21" t="s">
        <v>19</v>
      </c>
      <c r="E67" s="21" t="s">
        <v>17</v>
      </c>
      <c r="F67" s="21"/>
      <c r="G67" s="24">
        <v>211.23</v>
      </c>
      <c r="H67" s="24"/>
      <c r="J67" s="21" t="s">
        <v>649</v>
      </c>
      <c r="K67" s="24">
        <v>13438.53</v>
      </c>
    </row>
    <row r="68" spans="1:11" x14ac:dyDescent="0.25">
      <c r="A68" s="78">
        <v>46153</v>
      </c>
      <c r="B68" s="21" t="s">
        <v>660</v>
      </c>
      <c r="C68" s="21" t="s">
        <v>12</v>
      </c>
      <c r="D68" s="21" t="s">
        <v>19</v>
      </c>
      <c r="E68" s="21" t="s">
        <v>17</v>
      </c>
      <c r="F68" s="21"/>
      <c r="G68" s="24">
        <v>66.73</v>
      </c>
      <c r="H68" s="24"/>
      <c r="J68" s="21" t="s">
        <v>649</v>
      </c>
      <c r="K68" s="24">
        <v>13371.8</v>
      </c>
    </row>
    <row r="69" spans="1:11" x14ac:dyDescent="0.25">
      <c r="A69" s="78">
        <v>46153</v>
      </c>
      <c r="B69" s="21" t="s">
        <v>661</v>
      </c>
      <c r="C69" s="21" t="s">
        <v>12</v>
      </c>
      <c r="D69" s="21" t="s">
        <v>65</v>
      </c>
      <c r="E69" s="21" t="s">
        <v>17</v>
      </c>
      <c r="F69" s="21" t="s">
        <v>25</v>
      </c>
      <c r="G69" s="24">
        <v>467.25</v>
      </c>
      <c r="H69" s="24"/>
      <c r="J69" s="21" t="s">
        <v>649</v>
      </c>
      <c r="K69" s="24">
        <v>12904.55</v>
      </c>
    </row>
    <row r="70" spans="1:11" x14ac:dyDescent="0.25">
      <c r="A70" s="78">
        <v>46154</v>
      </c>
      <c r="B70" s="21" t="s">
        <v>13</v>
      </c>
      <c r="C70" s="21" t="s">
        <v>20</v>
      </c>
      <c r="D70" s="21" t="s">
        <v>13</v>
      </c>
      <c r="E70" s="21"/>
      <c r="F70" s="21"/>
      <c r="G70" s="24">
        <v>1036</v>
      </c>
      <c r="H70" s="24"/>
      <c r="J70" s="21" t="s">
        <v>649</v>
      </c>
      <c r="K70" s="24">
        <v>13940.55</v>
      </c>
    </row>
    <row r="71" spans="1:11" x14ac:dyDescent="0.25">
      <c r="A71" s="78">
        <v>46154</v>
      </c>
      <c r="B71" s="21" t="s">
        <v>21</v>
      </c>
      <c r="C71" s="21" t="s">
        <v>20</v>
      </c>
      <c r="D71" s="21" t="s">
        <v>22</v>
      </c>
      <c r="E71" s="21" t="s">
        <v>17</v>
      </c>
      <c r="F71" s="21"/>
      <c r="G71" s="24">
        <v>40</v>
      </c>
      <c r="H71" s="24"/>
      <c r="J71" s="21" t="s">
        <v>649</v>
      </c>
      <c r="K71" s="24">
        <v>13980.55</v>
      </c>
    </row>
    <row r="72" spans="1:11" x14ac:dyDescent="0.25">
      <c r="A72" s="82">
        <v>46154</v>
      </c>
      <c r="B72" s="21" t="s">
        <v>23</v>
      </c>
      <c r="C72" s="21" t="s">
        <v>12</v>
      </c>
      <c r="D72" s="21" t="s">
        <v>24</v>
      </c>
      <c r="E72" s="21" t="s">
        <v>17</v>
      </c>
      <c r="F72" s="21" t="s">
        <v>25</v>
      </c>
      <c r="G72" s="24">
        <v>9</v>
      </c>
      <c r="H72" s="24"/>
      <c r="J72" s="21" t="s">
        <v>649</v>
      </c>
      <c r="K72" s="24">
        <v>13971.55</v>
      </c>
    </row>
    <row r="73" spans="1:11" x14ac:dyDescent="0.25">
      <c r="A73" s="78">
        <v>46154</v>
      </c>
      <c r="B73" s="21" t="s">
        <v>11</v>
      </c>
      <c r="C73" s="21" t="s">
        <v>12</v>
      </c>
      <c r="D73" s="21" t="s">
        <v>19</v>
      </c>
      <c r="E73" s="21" t="s">
        <v>14</v>
      </c>
      <c r="F73" s="21" t="s">
        <v>15</v>
      </c>
      <c r="G73" s="24">
        <v>141</v>
      </c>
      <c r="H73" s="24"/>
      <c r="J73" s="21" t="s">
        <v>649</v>
      </c>
      <c r="K73" s="24">
        <v>13830.55</v>
      </c>
    </row>
    <row r="74" spans="1:11" x14ac:dyDescent="0.25">
      <c r="A74" s="78">
        <v>46154</v>
      </c>
      <c r="B74" s="21" t="s">
        <v>352</v>
      </c>
      <c r="C74" s="21" t="s">
        <v>12</v>
      </c>
      <c r="D74" s="21" t="s">
        <v>19</v>
      </c>
      <c r="E74" s="21" t="s">
        <v>17</v>
      </c>
      <c r="F74" s="21"/>
      <c r="G74" s="24">
        <v>564.37</v>
      </c>
      <c r="H74" s="24"/>
      <c r="J74" s="21" t="s">
        <v>649</v>
      </c>
      <c r="K74" s="24">
        <v>13266.18</v>
      </c>
    </row>
    <row r="75" spans="1:11" x14ac:dyDescent="0.25">
      <c r="A75" s="78">
        <v>46154</v>
      </c>
      <c r="B75" s="21" t="s">
        <v>352</v>
      </c>
      <c r="C75" s="21" t="s">
        <v>12</v>
      </c>
      <c r="D75" s="21" t="s">
        <v>19</v>
      </c>
      <c r="E75" s="21" t="s">
        <v>17</v>
      </c>
      <c r="F75" s="21"/>
      <c r="G75" s="24">
        <v>156.69999999999999</v>
      </c>
      <c r="H75" s="24"/>
      <c r="J75" s="21" t="s">
        <v>649</v>
      </c>
      <c r="K75" s="24">
        <v>13109.48</v>
      </c>
    </row>
    <row r="76" spans="1:11" x14ac:dyDescent="0.25">
      <c r="A76" s="78">
        <v>46154</v>
      </c>
      <c r="B76" s="21" t="s">
        <v>354</v>
      </c>
      <c r="C76" s="21" t="s">
        <v>12</v>
      </c>
      <c r="D76" s="21" t="s">
        <v>19</v>
      </c>
      <c r="E76" s="21" t="s">
        <v>17</v>
      </c>
      <c r="F76" s="21"/>
      <c r="G76" s="24">
        <v>1977.87</v>
      </c>
      <c r="H76" s="24"/>
      <c r="J76" s="21" t="s">
        <v>649</v>
      </c>
      <c r="K76" s="24">
        <v>11131.61</v>
      </c>
    </row>
    <row r="77" spans="1:11" x14ac:dyDescent="0.25">
      <c r="A77" s="78">
        <v>46154</v>
      </c>
      <c r="B77" s="21" t="s">
        <v>662</v>
      </c>
      <c r="C77" s="21" t="s">
        <v>12</v>
      </c>
      <c r="D77" s="21" t="s">
        <v>62</v>
      </c>
      <c r="E77" s="21" t="s">
        <v>17</v>
      </c>
      <c r="F77" s="21" t="s">
        <v>25</v>
      </c>
      <c r="G77" s="24">
        <v>15</v>
      </c>
      <c r="H77" s="24"/>
      <c r="K77" s="24">
        <v>11116.61</v>
      </c>
    </row>
    <row r="78" spans="1:11" x14ac:dyDescent="0.25">
      <c r="A78" s="78">
        <v>46154</v>
      </c>
      <c r="B78" s="21" t="s">
        <v>663</v>
      </c>
      <c r="C78" s="21" t="s">
        <v>12</v>
      </c>
      <c r="D78" s="21" t="s">
        <v>60</v>
      </c>
      <c r="E78" s="21" t="s">
        <v>17</v>
      </c>
      <c r="F78" s="21" t="s">
        <v>25</v>
      </c>
      <c r="G78" s="24">
        <v>438.4</v>
      </c>
      <c r="H78" s="24"/>
      <c r="J78" s="21" t="s">
        <v>649</v>
      </c>
      <c r="K78" s="24">
        <v>10678.21</v>
      </c>
    </row>
    <row r="79" spans="1:11" x14ac:dyDescent="0.25">
      <c r="A79" s="82">
        <v>46155</v>
      </c>
      <c r="B79" s="21" t="s">
        <v>13</v>
      </c>
      <c r="C79" s="21" t="s">
        <v>20</v>
      </c>
      <c r="D79" s="21" t="s">
        <v>13</v>
      </c>
      <c r="E79" s="21"/>
      <c r="F79" s="21"/>
      <c r="G79" s="24">
        <v>1271</v>
      </c>
      <c r="H79" s="24"/>
      <c r="J79" s="21" t="s">
        <v>649</v>
      </c>
      <c r="K79" s="24">
        <v>11949.21</v>
      </c>
    </row>
    <row r="80" spans="1:11" x14ac:dyDescent="0.25">
      <c r="A80" s="82">
        <v>46155</v>
      </c>
      <c r="B80" s="21" t="s">
        <v>21</v>
      </c>
      <c r="C80" s="21" t="s">
        <v>20</v>
      </c>
      <c r="D80" s="21" t="s">
        <v>22</v>
      </c>
      <c r="E80" s="21" t="s">
        <v>17</v>
      </c>
      <c r="F80" s="21"/>
      <c r="G80" s="24">
        <v>0</v>
      </c>
      <c r="H80" s="24"/>
      <c r="J80" s="21" t="s">
        <v>649</v>
      </c>
      <c r="K80" s="24">
        <v>11949.21</v>
      </c>
    </row>
    <row r="81" spans="1:11" x14ac:dyDescent="0.25">
      <c r="A81" s="78">
        <v>46155</v>
      </c>
      <c r="B81" s="21" t="s">
        <v>23</v>
      </c>
      <c r="C81" s="21" t="s">
        <v>12</v>
      </c>
      <c r="D81" s="21" t="s">
        <v>24</v>
      </c>
      <c r="E81" s="21" t="s">
        <v>17</v>
      </c>
      <c r="F81" s="21" t="s">
        <v>25</v>
      </c>
      <c r="G81" s="24">
        <v>0</v>
      </c>
      <c r="H81" s="24"/>
      <c r="J81" s="21" t="s">
        <v>649</v>
      </c>
      <c r="K81" s="24">
        <v>11949.21</v>
      </c>
    </row>
    <row r="82" spans="1:11" x14ac:dyDescent="0.25">
      <c r="A82" s="78">
        <v>46155</v>
      </c>
      <c r="B82" s="21" t="s">
        <v>11</v>
      </c>
      <c r="C82" s="21" t="s">
        <v>12</v>
      </c>
      <c r="D82" s="21" t="s">
        <v>19</v>
      </c>
      <c r="E82" s="21" t="s">
        <v>14</v>
      </c>
      <c r="F82" s="21" t="s">
        <v>15</v>
      </c>
      <c r="G82" s="24">
        <v>188</v>
      </c>
      <c r="H82" s="24"/>
      <c r="J82" s="21" t="s">
        <v>649</v>
      </c>
      <c r="K82" s="24">
        <v>11761.21</v>
      </c>
    </row>
    <row r="83" spans="1:11" x14ac:dyDescent="0.25">
      <c r="A83" s="82">
        <v>46155</v>
      </c>
      <c r="B83" s="21" t="s">
        <v>198</v>
      </c>
      <c r="C83" s="21" t="s">
        <v>12</v>
      </c>
      <c r="D83" s="21" t="s">
        <v>62</v>
      </c>
      <c r="E83" s="21" t="s">
        <v>17</v>
      </c>
      <c r="F83" s="21" t="s">
        <v>25</v>
      </c>
      <c r="G83" s="24">
        <v>71.959999999999994</v>
      </c>
      <c r="H83" s="24"/>
      <c r="J83" s="21" t="s">
        <v>649</v>
      </c>
      <c r="K83" s="24">
        <v>11689.25</v>
      </c>
    </row>
    <row r="84" spans="1:11" x14ac:dyDescent="0.25">
      <c r="A84" s="78">
        <v>46156</v>
      </c>
      <c r="B84" s="21" t="s">
        <v>13</v>
      </c>
      <c r="C84" s="21" t="s">
        <v>20</v>
      </c>
      <c r="D84" s="21" t="s">
        <v>13</v>
      </c>
      <c r="E84" s="21"/>
      <c r="F84" s="21"/>
      <c r="G84" s="24">
        <v>1558</v>
      </c>
      <c r="H84" s="24"/>
      <c r="J84" s="21" t="s">
        <v>649</v>
      </c>
      <c r="K84" s="24">
        <v>13247.25</v>
      </c>
    </row>
    <row r="85" spans="1:11" x14ac:dyDescent="0.25">
      <c r="A85" s="78">
        <v>46156</v>
      </c>
      <c r="B85" s="21" t="s">
        <v>411</v>
      </c>
      <c r="C85" s="21" t="s">
        <v>20</v>
      </c>
      <c r="D85" s="21" t="s">
        <v>22</v>
      </c>
      <c r="E85" s="21" t="s">
        <v>17</v>
      </c>
      <c r="F85" s="21"/>
      <c r="G85" s="24">
        <v>0</v>
      </c>
      <c r="H85" s="24"/>
      <c r="J85" s="21" t="s">
        <v>649</v>
      </c>
      <c r="K85" s="24">
        <v>13247.25</v>
      </c>
    </row>
    <row r="86" spans="1:11" x14ac:dyDescent="0.25">
      <c r="A86" s="78">
        <v>46156</v>
      </c>
      <c r="B86" s="21" t="s">
        <v>23</v>
      </c>
      <c r="C86" s="21" t="s">
        <v>12</v>
      </c>
      <c r="D86" s="21" t="s">
        <v>24</v>
      </c>
      <c r="E86" s="21" t="s">
        <v>17</v>
      </c>
      <c r="F86" s="21" t="s">
        <v>25</v>
      </c>
      <c r="G86" s="24">
        <v>0</v>
      </c>
      <c r="H86" s="24"/>
      <c r="J86" s="21" t="s">
        <v>649</v>
      </c>
      <c r="K86" s="24">
        <v>13247.25</v>
      </c>
    </row>
    <row r="87" spans="1:11" x14ac:dyDescent="0.25">
      <c r="A87" s="78">
        <v>46156</v>
      </c>
      <c r="B87" s="21" t="s">
        <v>11</v>
      </c>
      <c r="C87" s="21" t="s">
        <v>12</v>
      </c>
      <c r="D87" s="21" t="s">
        <v>19</v>
      </c>
      <c r="E87" s="21" t="s">
        <v>14</v>
      </c>
      <c r="F87" s="21" t="s">
        <v>15</v>
      </c>
      <c r="G87" s="24">
        <v>235</v>
      </c>
      <c r="H87" s="24"/>
      <c r="J87" s="21" t="s">
        <v>649</v>
      </c>
      <c r="K87" s="24">
        <v>13012.25</v>
      </c>
    </row>
    <row r="88" spans="1:11" x14ac:dyDescent="0.25">
      <c r="A88" s="78">
        <v>46156</v>
      </c>
      <c r="B88" s="21" t="s">
        <v>353</v>
      </c>
      <c r="C88" s="21" t="s">
        <v>12</v>
      </c>
      <c r="D88" s="21" t="s">
        <v>19</v>
      </c>
      <c r="E88" s="21" t="s">
        <v>17</v>
      </c>
      <c r="F88" s="21"/>
      <c r="G88" s="24">
        <v>1132.95</v>
      </c>
      <c r="H88" s="24"/>
      <c r="J88" s="21" t="s">
        <v>649</v>
      </c>
      <c r="K88" s="24">
        <v>11879.3</v>
      </c>
    </row>
    <row r="89" spans="1:11" x14ac:dyDescent="0.25">
      <c r="A89" s="78">
        <v>46156</v>
      </c>
      <c r="B89" s="21" t="s">
        <v>664</v>
      </c>
      <c r="C89" s="21" t="s">
        <v>12</v>
      </c>
      <c r="D89" s="21" t="s">
        <v>19</v>
      </c>
      <c r="E89" s="21" t="s">
        <v>17</v>
      </c>
      <c r="F89" s="21"/>
      <c r="G89" s="24">
        <v>254.8</v>
      </c>
      <c r="H89" s="24"/>
      <c r="J89" s="21" t="s">
        <v>649</v>
      </c>
      <c r="K89" s="24">
        <v>11624.5</v>
      </c>
    </row>
    <row r="90" spans="1:11" x14ac:dyDescent="0.25">
      <c r="A90" s="78">
        <v>46156</v>
      </c>
      <c r="B90" s="21" t="s">
        <v>619</v>
      </c>
      <c r="C90" s="21" t="s">
        <v>12</v>
      </c>
      <c r="D90" s="21" t="s">
        <v>19</v>
      </c>
      <c r="E90" s="21" t="s">
        <v>17</v>
      </c>
      <c r="F90" s="21"/>
      <c r="G90" s="24">
        <v>697.1</v>
      </c>
      <c r="H90" s="24"/>
      <c r="J90" s="21" t="s">
        <v>649</v>
      </c>
      <c r="K90" s="24">
        <v>10927.4</v>
      </c>
    </row>
    <row r="91" spans="1:11" x14ac:dyDescent="0.25">
      <c r="A91" s="78">
        <v>46156</v>
      </c>
      <c r="B91" s="21" t="s">
        <v>367</v>
      </c>
      <c r="C91" s="21" t="s">
        <v>12</v>
      </c>
      <c r="D91" s="21" t="s">
        <v>39</v>
      </c>
      <c r="E91" s="21" t="s">
        <v>17</v>
      </c>
      <c r="F91" s="21" t="s">
        <v>25</v>
      </c>
      <c r="G91" s="24">
        <v>99.9</v>
      </c>
      <c r="H91" s="24"/>
      <c r="J91" s="21" t="s">
        <v>649</v>
      </c>
      <c r="K91" s="24">
        <v>10827.5</v>
      </c>
    </row>
    <row r="92" spans="1:11" x14ac:dyDescent="0.25">
      <c r="A92" s="78">
        <v>46156</v>
      </c>
      <c r="B92" s="21" t="s">
        <v>443</v>
      </c>
      <c r="C92" s="21" t="s">
        <v>12</v>
      </c>
      <c r="D92" s="21" t="s">
        <v>58</v>
      </c>
      <c r="E92" s="21" t="s">
        <v>17</v>
      </c>
      <c r="F92" s="21"/>
      <c r="G92" s="24">
        <v>1046.2</v>
      </c>
      <c r="H92" s="24"/>
      <c r="J92" s="21" t="s">
        <v>649</v>
      </c>
      <c r="K92" s="24">
        <v>9781.2999999999975</v>
      </c>
    </row>
    <row r="93" spans="1:11" x14ac:dyDescent="0.25">
      <c r="A93" s="78">
        <v>46156</v>
      </c>
      <c r="B93" s="21" t="s">
        <v>665</v>
      </c>
      <c r="C93" s="21" t="s">
        <v>12</v>
      </c>
      <c r="D93" s="21" t="s">
        <v>27</v>
      </c>
      <c r="E93" s="21" t="s">
        <v>17</v>
      </c>
      <c r="F93" s="21"/>
      <c r="G93" s="24">
        <v>216</v>
      </c>
      <c r="H93" s="24"/>
      <c r="J93" s="21" t="s">
        <v>649</v>
      </c>
      <c r="K93" s="24">
        <v>9565.2999999999975</v>
      </c>
    </row>
    <row r="94" spans="1:11" x14ac:dyDescent="0.25">
      <c r="A94" s="78">
        <v>46156</v>
      </c>
      <c r="B94" s="21" t="s">
        <v>431</v>
      </c>
      <c r="C94" s="21" t="s">
        <v>12</v>
      </c>
      <c r="D94" s="21" t="s">
        <v>64</v>
      </c>
      <c r="E94" s="21" t="s">
        <v>17</v>
      </c>
      <c r="F94" s="21"/>
      <c r="G94" s="24">
        <v>800</v>
      </c>
      <c r="H94" s="24"/>
      <c r="J94" s="21" t="s">
        <v>649</v>
      </c>
      <c r="K94" s="24">
        <v>8765.2999999999975</v>
      </c>
    </row>
    <row r="95" spans="1:11" x14ac:dyDescent="0.25">
      <c r="A95" s="78">
        <v>46157</v>
      </c>
      <c r="B95" s="21" t="s">
        <v>13</v>
      </c>
      <c r="C95" s="21" t="s">
        <v>20</v>
      </c>
      <c r="D95" s="21" t="s">
        <v>13</v>
      </c>
      <c r="E95" s="21"/>
      <c r="F95" s="21"/>
      <c r="G95" s="24">
        <v>3419</v>
      </c>
      <c r="H95" s="24"/>
      <c r="J95" s="21" t="s">
        <v>649</v>
      </c>
      <c r="K95" s="24">
        <v>12184.3</v>
      </c>
    </row>
    <row r="96" spans="1:11" x14ac:dyDescent="0.25">
      <c r="A96" s="78">
        <v>46157</v>
      </c>
      <c r="B96" s="21" t="s">
        <v>21</v>
      </c>
      <c r="C96" s="21" t="s">
        <v>20</v>
      </c>
      <c r="D96" s="21" t="s">
        <v>22</v>
      </c>
      <c r="E96" s="21" t="s">
        <v>17</v>
      </c>
      <c r="F96" s="21"/>
      <c r="G96" s="24">
        <v>42</v>
      </c>
      <c r="H96" s="24"/>
      <c r="J96" s="21" t="s">
        <v>649</v>
      </c>
      <c r="K96" s="24">
        <v>12226.3</v>
      </c>
    </row>
    <row r="97" spans="1:11" x14ac:dyDescent="0.25">
      <c r="A97" s="78">
        <v>46157</v>
      </c>
      <c r="B97" s="21" t="s">
        <v>45</v>
      </c>
      <c r="C97" s="21" t="s">
        <v>12</v>
      </c>
      <c r="D97" s="21" t="s">
        <v>24</v>
      </c>
      <c r="E97" s="21" t="s">
        <v>17</v>
      </c>
      <c r="F97" s="21" t="s">
        <v>25</v>
      </c>
      <c r="G97" s="24">
        <v>9</v>
      </c>
      <c r="H97" s="24"/>
      <c r="J97" s="21" t="s">
        <v>649</v>
      </c>
      <c r="K97" s="24">
        <v>12217.3</v>
      </c>
    </row>
    <row r="98" spans="1:11" x14ac:dyDescent="0.25">
      <c r="A98" s="78">
        <v>46157</v>
      </c>
      <c r="B98" s="21" t="s">
        <v>666</v>
      </c>
      <c r="C98" s="21" t="s">
        <v>12</v>
      </c>
      <c r="D98" s="21" t="s">
        <v>19</v>
      </c>
      <c r="E98" s="21" t="s">
        <v>17</v>
      </c>
      <c r="F98" s="21" t="s">
        <v>25</v>
      </c>
      <c r="G98" s="24">
        <v>166</v>
      </c>
      <c r="H98" s="24"/>
      <c r="K98" s="24">
        <v>12051.3</v>
      </c>
    </row>
    <row r="99" spans="1:11" x14ac:dyDescent="0.25">
      <c r="A99" s="78">
        <v>46157</v>
      </c>
      <c r="B99" s="21" t="s">
        <v>11</v>
      </c>
      <c r="C99" s="21" t="s">
        <v>12</v>
      </c>
      <c r="D99" s="21" t="s">
        <v>19</v>
      </c>
      <c r="E99" s="21" t="s">
        <v>14</v>
      </c>
      <c r="F99" s="21" t="s">
        <v>15</v>
      </c>
      <c r="G99" s="24">
        <v>329</v>
      </c>
      <c r="H99" s="24"/>
      <c r="J99" s="21" t="s">
        <v>649</v>
      </c>
      <c r="K99" s="24">
        <v>11722.3</v>
      </c>
    </row>
    <row r="100" spans="1:11" x14ac:dyDescent="0.25">
      <c r="A100" s="78">
        <v>46158</v>
      </c>
      <c r="B100" s="21" t="s">
        <v>13</v>
      </c>
      <c r="C100" s="21" t="s">
        <v>20</v>
      </c>
      <c r="D100" s="21" t="s">
        <v>13</v>
      </c>
      <c r="E100" s="21"/>
      <c r="F100" s="21"/>
      <c r="G100" s="24">
        <v>9113</v>
      </c>
      <c r="H100" s="24"/>
      <c r="J100" s="21" t="s">
        <v>649</v>
      </c>
      <c r="K100" s="24">
        <v>20835.3</v>
      </c>
    </row>
    <row r="101" spans="1:11" x14ac:dyDescent="0.25">
      <c r="A101" s="78">
        <v>46158</v>
      </c>
      <c r="B101" s="21" t="s">
        <v>21</v>
      </c>
      <c r="C101" s="21" t="s">
        <v>20</v>
      </c>
      <c r="D101" s="21" t="s">
        <v>22</v>
      </c>
      <c r="E101" s="21" t="s">
        <v>17</v>
      </c>
      <c r="F101" s="21"/>
      <c r="G101" s="24">
        <v>369</v>
      </c>
      <c r="H101" s="24"/>
      <c r="J101" s="21" t="s">
        <v>649</v>
      </c>
      <c r="K101" s="24">
        <v>21204.3</v>
      </c>
    </row>
    <row r="102" spans="1:11" x14ac:dyDescent="0.25">
      <c r="A102" s="78">
        <v>46158</v>
      </c>
      <c r="B102" s="21" t="s">
        <v>23</v>
      </c>
      <c r="C102" s="21" t="s">
        <v>12</v>
      </c>
      <c r="D102" s="21" t="s">
        <v>24</v>
      </c>
      <c r="E102" s="21" t="s">
        <v>17</v>
      </c>
      <c r="F102" s="21" t="s">
        <v>25</v>
      </c>
      <c r="G102" s="24">
        <v>36</v>
      </c>
      <c r="H102" s="24"/>
      <c r="J102" s="21" t="s">
        <v>649</v>
      </c>
      <c r="K102" s="24">
        <v>21168.3</v>
      </c>
    </row>
    <row r="103" spans="1:11" x14ac:dyDescent="0.25">
      <c r="A103" s="78">
        <v>46158</v>
      </c>
      <c r="B103" s="21" t="s">
        <v>33</v>
      </c>
      <c r="C103" s="21" t="s">
        <v>12</v>
      </c>
      <c r="D103" s="21" t="s">
        <v>33</v>
      </c>
      <c r="E103" s="21" t="s">
        <v>14</v>
      </c>
      <c r="F103" s="21" t="s">
        <v>15</v>
      </c>
      <c r="G103" s="24">
        <v>150</v>
      </c>
      <c r="H103" s="24"/>
      <c r="J103" s="21" t="s">
        <v>649</v>
      </c>
      <c r="K103" s="24">
        <v>21018.3</v>
      </c>
    </row>
    <row r="104" spans="1:11" x14ac:dyDescent="0.25">
      <c r="A104" s="78">
        <v>46159</v>
      </c>
      <c r="B104" s="21" t="s">
        <v>13</v>
      </c>
      <c r="C104" s="21" t="s">
        <v>20</v>
      </c>
      <c r="D104" s="21" t="s">
        <v>13</v>
      </c>
      <c r="E104" s="21"/>
      <c r="F104" s="21"/>
      <c r="G104" s="24">
        <v>7326</v>
      </c>
      <c r="H104" s="24"/>
      <c r="J104" s="21" t="s">
        <v>649</v>
      </c>
      <c r="K104" s="24">
        <v>28344.3</v>
      </c>
    </row>
    <row r="105" spans="1:11" x14ac:dyDescent="0.25">
      <c r="A105" s="78">
        <v>46159</v>
      </c>
      <c r="B105" s="21" t="s">
        <v>21</v>
      </c>
      <c r="C105" s="21" t="s">
        <v>20</v>
      </c>
      <c r="D105" s="21" t="s">
        <v>22</v>
      </c>
      <c r="E105" s="21" t="s">
        <v>17</v>
      </c>
      <c r="F105" s="21"/>
      <c r="G105" s="24">
        <v>328</v>
      </c>
      <c r="H105" s="24"/>
      <c r="J105" s="21" t="s">
        <v>649</v>
      </c>
      <c r="K105" s="24">
        <v>28672.3</v>
      </c>
    </row>
    <row r="106" spans="1:11" x14ac:dyDescent="0.25">
      <c r="A106" s="78">
        <v>46159</v>
      </c>
      <c r="B106" s="21" t="s">
        <v>23</v>
      </c>
      <c r="C106" s="21" t="s">
        <v>12</v>
      </c>
      <c r="D106" s="21" t="s">
        <v>24</v>
      </c>
      <c r="E106" s="21" t="s">
        <v>17</v>
      </c>
      <c r="F106" s="21" t="s">
        <v>25</v>
      </c>
      <c r="G106" s="24">
        <v>35</v>
      </c>
      <c r="H106" s="24"/>
      <c r="J106" s="21" t="s">
        <v>649</v>
      </c>
      <c r="K106" s="24">
        <v>28637.3</v>
      </c>
    </row>
    <row r="107" spans="1:11" x14ac:dyDescent="0.25">
      <c r="A107" s="78">
        <v>46159</v>
      </c>
      <c r="B107" s="21" t="s">
        <v>33</v>
      </c>
      <c r="C107" s="21" t="s">
        <v>12</v>
      </c>
      <c r="D107" s="21" t="s">
        <v>33</v>
      </c>
      <c r="E107" s="21" t="s">
        <v>14</v>
      </c>
      <c r="F107" s="21" t="s">
        <v>15</v>
      </c>
      <c r="G107" s="24">
        <v>150</v>
      </c>
      <c r="H107" s="24"/>
      <c r="J107" s="21" t="s">
        <v>649</v>
      </c>
      <c r="K107" s="24">
        <v>28487.3</v>
      </c>
    </row>
    <row r="108" spans="1:11" x14ac:dyDescent="0.25">
      <c r="A108" s="78">
        <v>46160</v>
      </c>
      <c r="B108" s="21" t="s">
        <v>394</v>
      </c>
      <c r="C108" s="21" t="s">
        <v>12</v>
      </c>
      <c r="D108" s="21" t="s">
        <v>19</v>
      </c>
      <c r="E108" s="21" t="s">
        <v>17</v>
      </c>
      <c r="F108" s="21"/>
      <c r="G108" s="24">
        <v>1812.07</v>
      </c>
      <c r="H108" s="24"/>
      <c r="J108" s="21" t="s">
        <v>649</v>
      </c>
      <c r="K108" s="24">
        <v>26675.23</v>
      </c>
    </row>
    <row r="109" spans="1:11" x14ac:dyDescent="0.25">
      <c r="A109" s="78">
        <v>46160</v>
      </c>
      <c r="B109" s="21" t="s">
        <v>30</v>
      </c>
      <c r="C109" s="21" t="s">
        <v>20</v>
      </c>
      <c r="D109" s="21" t="s">
        <v>13</v>
      </c>
      <c r="E109" s="21"/>
      <c r="F109" s="21"/>
      <c r="G109" s="24">
        <v>1158</v>
      </c>
      <c r="H109" s="24"/>
      <c r="J109" s="21" t="s">
        <v>649</v>
      </c>
      <c r="K109" s="24">
        <v>27833.23</v>
      </c>
    </row>
    <row r="110" spans="1:11" x14ac:dyDescent="0.25">
      <c r="A110" s="78">
        <v>46160</v>
      </c>
      <c r="B110" s="21" t="s">
        <v>44</v>
      </c>
      <c r="C110" s="21" t="s">
        <v>20</v>
      </c>
      <c r="D110" s="21" t="s">
        <v>22</v>
      </c>
      <c r="E110" s="21" t="s">
        <v>17</v>
      </c>
      <c r="F110" s="21"/>
      <c r="G110" s="24">
        <v>84</v>
      </c>
      <c r="H110" s="24"/>
      <c r="J110" s="21" t="s">
        <v>649</v>
      </c>
      <c r="K110" s="24">
        <v>27917.23</v>
      </c>
    </row>
    <row r="111" spans="1:11" x14ac:dyDescent="0.25">
      <c r="A111" s="78">
        <v>46160</v>
      </c>
      <c r="B111" s="21" t="s">
        <v>45</v>
      </c>
      <c r="C111" s="21" t="s">
        <v>12</v>
      </c>
      <c r="D111" s="21" t="s">
        <v>24</v>
      </c>
      <c r="E111" s="21" t="s">
        <v>17</v>
      </c>
      <c r="F111" s="21" t="s">
        <v>25</v>
      </c>
      <c r="G111" s="24">
        <v>18</v>
      </c>
      <c r="H111" s="24"/>
      <c r="J111" s="21" t="s">
        <v>649</v>
      </c>
      <c r="K111" s="24">
        <v>27899.23</v>
      </c>
    </row>
    <row r="112" spans="1:11" x14ac:dyDescent="0.25">
      <c r="A112" s="21" t="s">
        <v>667</v>
      </c>
      <c r="B112" s="21" t="s">
        <v>401</v>
      </c>
      <c r="C112" s="21" t="s">
        <v>12</v>
      </c>
      <c r="D112" s="21" t="s">
        <v>19</v>
      </c>
      <c r="E112" s="21" t="s">
        <v>14</v>
      </c>
      <c r="F112" s="21" t="s">
        <v>15</v>
      </c>
      <c r="G112" s="24">
        <v>0</v>
      </c>
      <c r="H112" s="24"/>
      <c r="J112" s="21" t="s">
        <v>667</v>
      </c>
      <c r="K112" s="24">
        <v>27899.23</v>
      </c>
    </row>
    <row r="113" spans="1:11" x14ac:dyDescent="0.25">
      <c r="A113" s="78">
        <v>46161</v>
      </c>
      <c r="B113" s="21" t="s">
        <v>13</v>
      </c>
      <c r="C113" s="21" t="s">
        <v>20</v>
      </c>
      <c r="D113" s="21" t="s">
        <v>13</v>
      </c>
      <c r="E113" s="21"/>
      <c r="F113" s="21"/>
      <c r="G113" s="24">
        <v>1215</v>
      </c>
      <c r="H113" s="24"/>
      <c r="J113" s="21" t="s">
        <v>649</v>
      </c>
      <c r="K113" s="24">
        <v>29114.23</v>
      </c>
    </row>
    <row r="114" spans="1:11" x14ac:dyDescent="0.25">
      <c r="A114" s="78">
        <v>46161</v>
      </c>
      <c r="B114" s="21" t="s">
        <v>21</v>
      </c>
      <c r="C114" s="21" t="s">
        <v>20</v>
      </c>
      <c r="D114" s="21" t="s">
        <v>22</v>
      </c>
      <c r="E114" s="21" t="s">
        <v>17</v>
      </c>
      <c r="F114" s="21"/>
      <c r="G114" s="24">
        <v>0</v>
      </c>
      <c r="H114" s="24"/>
      <c r="J114" s="21" t="s">
        <v>649</v>
      </c>
      <c r="K114" s="24">
        <v>29114.23</v>
      </c>
    </row>
    <row r="115" spans="1:11" x14ac:dyDescent="0.25">
      <c r="A115" s="78">
        <v>46161</v>
      </c>
      <c r="B115" s="21" t="s">
        <v>23</v>
      </c>
      <c r="C115" s="21" t="s">
        <v>12</v>
      </c>
      <c r="D115" s="21" t="s">
        <v>24</v>
      </c>
      <c r="E115" s="21" t="s">
        <v>17</v>
      </c>
      <c r="F115" s="21" t="s">
        <v>25</v>
      </c>
      <c r="G115" s="24">
        <v>0</v>
      </c>
      <c r="H115" s="24"/>
      <c r="J115" s="21" t="s">
        <v>649</v>
      </c>
      <c r="K115" s="24">
        <v>29114.23</v>
      </c>
    </row>
    <row r="116" spans="1:11" x14ac:dyDescent="0.25">
      <c r="A116" s="78">
        <v>46161</v>
      </c>
      <c r="B116" s="21" t="s">
        <v>11</v>
      </c>
      <c r="C116" s="21" t="s">
        <v>12</v>
      </c>
      <c r="D116" s="21" t="s">
        <v>19</v>
      </c>
      <c r="E116" s="21" t="s">
        <v>14</v>
      </c>
      <c r="F116" s="21" t="s">
        <v>15</v>
      </c>
      <c r="G116" s="24">
        <v>235</v>
      </c>
      <c r="H116" s="24"/>
      <c r="J116" s="21" t="s">
        <v>649</v>
      </c>
      <c r="K116" s="24">
        <v>28879.23</v>
      </c>
    </row>
    <row r="117" spans="1:11" x14ac:dyDescent="0.25">
      <c r="A117" s="78">
        <v>46161</v>
      </c>
      <c r="B117" s="21" t="s">
        <v>584</v>
      </c>
      <c r="C117" s="21" t="s">
        <v>12</v>
      </c>
      <c r="D117" s="21" t="s">
        <v>27</v>
      </c>
      <c r="E117" s="21" t="s">
        <v>17</v>
      </c>
      <c r="F117" s="21" t="s">
        <v>25</v>
      </c>
      <c r="G117" s="24">
        <v>1910.16</v>
      </c>
      <c r="H117" s="24"/>
      <c r="J117" s="21" t="s">
        <v>649</v>
      </c>
      <c r="K117" s="24">
        <v>26969.07</v>
      </c>
    </row>
    <row r="118" spans="1:11" x14ac:dyDescent="0.25">
      <c r="A118" s="78">
        <v>46161</v>
      </c>
      <c r="B118" s="21" t="s">
        <v>526</v>
      </c>
      <c r="C118" s="21" t="s">
        <v>12</v>
      </c>
      <c r="D118" s="21" t="s">
        <v>19</v>
      </c>
      <c r="E118" s="21" t="s">
        <v>17</v>
      </c>
      <c r="F118" s="21" t="s">
        <v>25</v>
      </c>
      <c r="G118" s="24">
        <v>203.5</v>
      </c>
      <c r="H118" s="24"/>
      <c r="J118" s="21" t="s">
        <v>649</v>
      </c>
      <c r="K118" s="24">
        <v>26765.57</v>
      </c>
    </row>
    <row r="119" spans="1:11" x14ac:dyDescent="0.25">
      <c r="A119" s="78">
        <v>46162</v>
      </c>
      <c r="B119" s="21" t="s">
        <v>668</v>
      </c>
      <c r="C119" s="21" t="s">
        <v>12</v>
      </c>
      <c r="D119" s="21" t="s">
        <v>19</v>
      </c>
      <c r="E119" s="21" t="s">
        <v>17</v>
      </c>
      <c r="F119" s="21"/>
      <c r="G119" s="24">
        <v>115.8</v>
      </c>
      <c r="H119" s="24"/>
      <c r="J119" s="21" t="s">
        <v>649</v>
      </c>
      <c r="K119" s="24">
        <v>26649.77</v>
      </c>
    </row>
    <row r="120" spans="1:11" x14ac:dyDescent="0.25">
      <c r="A120" s="78">
        <v>46162</v>
      </c>
      <c r="B120" s="21" t="s">
        <v>356</v>
      </c>
      <c r="C120" s="21" t="s">
        <v>12</v>
      </c>
      <c r="D120" s="21" t="s">
        <v>58</v>
      </c>
      <c r="E120" s="21" t="s">
        <v>17</v>
      </c>
      <c r="F120" s="21"/>
      <c r="G120" s="24">
        <v>1107.18</v>
      </c>
      <c r="H120" s="24"/>
      <c r="J120" s="21" t="s">
        <v>649</v>
      </c>
      <c r="K120" s="24">
        <v>25542.59</v>
      </c>
    </row>
    <row r="121" spans="1:11" x14ac:dyDescent="0.25">
      <c r="A121" s="78">
        <v>46162</v>
      </c>
      <c r="B121" s="21" t="s">
        <v>669</v>
      </c>
      <c r="C121" s="21" t="s">
        <v>12</v>
      </c>
      <c r="D121" s="21" t="s">
        <v>58</v>
      </c>
      <c r="E121" s="21" t="s">
        <v>17</v>
      </c>
      <c r="F121" s="21"/>
      <c r="G121" s="24">
        <v>7736.21</v>
      </c>
      <c r="H121" s="24"/>
      <c r="J121" s="21" t="s">
        <v>649</v>
      </c>
      <c r="K121" s="24">
        <v>17806.38</v>
      </c>
    </row>
    <row r="122" spans="1:11" x14ac:dyDescent="0.25">
      <c r="A122" s="78">
        <v>46162</v>
      </c>
      <c r="B122" s="21" t="s">
        <v>547</v>
      </c>
      <c r="C122" s="21" t="s">
        <v>12</v>
      </c>
      <c r="D122" s="21" t="s">
        <v>58</v>
      </c>
      <c r="E122" s="21" t="s">
        <v>17</v>
      </c>
      <c r="F122" s="21"/>
      <c r="G122" s="24">
        <v>1111.3599999999999</v>
      </c>
      <c r="H122" s="24"/>
      <c r="J122" s="21" t="s">
        <v>649</v>
      </c>
      <c r="K122" s="24">
        <v>16695.02</v>
      </c>
    </row>
    <row r="123" spans="1:11" x14ac:dyDescent="0.25">
      <c r="A123" s="78">
        <v>46162</v>
      </c>
      <c r="B123" s="21" t="s">
        <v>639</v>
      </c>
      <c r="C123" s="21" t="s">
        <v>20</v>
      </c>
      <c r="D123" s="21" t="s">
        <v>13</v>
      </c>
      <c r="E123" s="21"/>
      <c r="F123" s="21"/>
      <c r="G123" s="24">
        <v>892</v>
      </c>
      <c r="H123" s="24"/>
      <c r="J123" s="21" t="s">
        <v>649</v>
      </c>
      <c r="K123" s="24">
        <v>17587.02</v>
      </c>
    </row>
    <row r="124" spans="1:11" x14ac:dyDescent="0.25">
      <c r="A124" s="78">
        <v>46162</v>
      </c>
      <c r="B124" s="21" t="s">
        <v>21</v>
      </c>
      <c r="C124" s="21" t="s">
        <v>20</v>
      </c>
      <c r="D124" s="21" t="s">
        <v>22</v>
      </c>
      <c r="E124" s="21" t="s">
        <v>17</v>
      </c>
      <c r="F124" s="21"/>
      <c r="G124" s="24">
        <v>0</v>
      </c>
      <c r="H124" s="24"/>
      <c r="J124" s="21" t="s">
        <v>649</v>
      </c>
      <c r="K124" s="24">
        <v>17587.02</v>
      </c>
    </row>
    <row r="125" spans="1:11" x14ac:dyDescent="0.25">
      <c r="A125" s="78">
        <v>46162</v>
      </c>
      <c r="B125" s="21" t="s">
        <v>23</v>
      </c>
      <c r="C125" s="21" t="s">
        <v>12</v>
      </c>
      <c r="D125" s="21" t="s">
        <v>24</v>
      </c>
      <c r="E125" s="21" t="s">
        <v>17</v>
      </c>
      <c r="F125" s="21" t="s">
        <v>25</v>
      </c>
      <c r="G125" s="24">
        <v>0</v>
      </c>
      <c r="H125" s="24"/>
      <c r="J125" s="21" t="s">
        <v>649</v>
      </c>
      <c r="K125" s="24">
        <v>17587.02</v>
      </c>
    </row>
    <row r="126" spans="1:11" x14ac:dyDescent="0.25">
      <c r="A126" s="78">
        <v>46162</v>
      </c>
      <c r="B126" s="21" t="s">
        <v>11</v>
      </c>
      <c r="C126" s="21" t="s">
        <v>12</v>
      </c>
      <c r="D126" s="21" t="s">
        <v>19</v>
      </c>
      <c r="E126" s="21" t="s">
        <v>14</v>
      </c>
      <c r="F126" s="21" t="s">
        <v>15</v>
      </c>
      <c r="G126" s="24"/>
      <c r="H126" s="24"/>
      <c r="J126" s="21" t="s">
        <v>649</v>
      </c>
      <c r="K126" s="24">
        <v>17587.02</v>
      </c>
    </row>
    <row r="127" spans="1:11" x14ac:dyDescent="0.25">
      <c r="A127" s="78">
        <v>46162</v>
      </c>
      <c r="B127" s="21" t="s">
        <v>670</v>
      </c>
      <c r="C127" s="21" t="s">
        <v>12</v>
      </c>
      <c r="D127" s="21" t="s">
        <v>68</v>
      </c>
      <c r="E127" s="21" t="s">
        <v>17</v>
      </c>
      <c r="F127" s="21"/>
      <c r="G127" s="24">
        <v>112.68</v>
      </c>
      <c r="H127" s="24"/>
      <c r="J127" s="21" t="s">
        <v>649</v>
      </c>
      <c r="K127" s="24">
        <v>17474.34</v>
      </c>
    </row>
    <row r="128" spans="1:11" x14ac:dyDescent="0.25">
      <c r="A128" s="78">
        <v>46163</v>
      </c>
      <c r="B128" s="21" t="s">
        <v>671</v>
      </c>
      <c r="C128" s="21" t="s">
        <v>12</v>
      </c>
      <c r="D128" s="21" t="s">
        <v>19</v>
      </c>
      <c r="E128" s="21" t="s">
        <v>17</v>
      </c>
      <c r="F128" s="21"/>
      <c r="G128" s="24">
        <v>697.1</v>
      </c>
      <c r="H128" s="24"/>
      <c r="J128" s="21" t="s">
        <v>649</v>
      </c>
      <c r="K128" s="24">
        <v>16777.240000000002</v>
      </c>
    </row>
    <row r="129" spans="1:11" x14ac:dyDescent="0.25">
      <c r="A129" s="78">
        <v>46163</v>
      </c>
      <c r="B129" s="21" t="s">
        <v>571</v>
      </c>
      <c r="C129" s="21" t="s">
        <v>12</v>
      </c>
      <c r="D129" s="21" t="s">
        <v>62</v>
      </c>
      <c r="E129" s="21" t="s">
        <v>17</v>
      </c>
      <c r="F129" s="21" t="s">
        <v>25</v>
      </c>
      <c r="G129" s="24">
        <v>85</v>
      </c>
      <c r="H129" s="24"/>
      <c r="J129" s="21" t="s">
        <v>649</v>
      </c>
      <c r="K129" s="24">
        <v>16692.240000000002</v>
      </c>
    </row>
    <row r="130" spans="1:11" x14ac:dyDescent="0.25">
      <c r="A130" s="78">
        <v>46163</v>
      </c>
      <c r="B130" s="21" t="s">
        <v>30</v>
      </c>
      <c r="C130" s="21" t="s">
        <v>20</v>
      </c>
      <c r="D130" s="21" t="s">
        <v>13</v>
      </c>
      <c r="E130" s="21"/>
      <c r="F130" s="21"/>
      <c r="G130" s="24">
        <v>1539</v>
      </c>
      <c r="H130" s="24"/>
      <c r="J130" s="21" t="s">
        <v>649</v>
      </c>
      <c r="K130" s="24">
        <v>18231.240000000002</v>
      </c>
    </row>
    <row r="131" spans="1:11" x14ac:dyDescent="0.25">
      <c r="A131" s="78">
        <v>46163</v>
      </c>
      <c r="B131" s="21" t="s">
        <v>44</v>
      </c>
      <c r="C131" s="21" t="s">
        <v>20</v>
      </c>
      <c r="D131" s="21" t="s">
        <v>22</v>
      </c>
      <c r="E131" s="21" t="s">
        <v>17</v>
      </c>
      <c r="F131" s="21"/>
      <c r="G131" s="24">
        <v>27</v>
      </c>
      <c r="H131" s="24"/>
      <c r="J131" s="21" t="s">
        <v>649</v>
      </c>
      <c r="K131" s="24">
        <v>18258.240000000002</v>
      </c>
    </row>
    <row r="132" spans="1:11" x14ac:dyDescent="0.25">
      <c r="A132" s="78">
        <v>46163</v>
      </c>
      <c r="B132" s="21" t="s">
        <v>45</v>
      </c>
      <c r="C132" s="21" t="s">
        <v>12</v>
      </c>
      <c r="D132" s="21" t="s">
        <v>24</v>
      </c>
      <c r="E132" s="21" t="s">
        <v>17</v>
      </c>
      <c r="F132" s="21" t="s">
        <v>25</v>
      </c>
      <c r="G132" s="24"/>
      <c r="H132" s="24"/>
      <c r="J132" s="21" t="s">
        <v>649</v>
      </c>
      <c r="K132" s="24">
        <v>18258.240000000002</v>
      </c>
    </row>
    <row r="133" spans="1:11" x14ac:dyDescent="0.25">
      <c r="A133" s="78">
        <v>46163</v>
      </c>
      <c r="B133" s="21" t="s">
        <v>401</v>
      </c>
      <c r="C133" s="21" t="s">
        <v>12</v>
      </c>
      <c r="D133" s="21" t="s">
        <v>19</v>
      </c>
      <c r="E133" s="21" t="s">
        <v>14</v>
      </c>
      <c r="F133" s="21" t="s">
        <v>15</v>
      </c>
      <c r="G133" s="24">
        <v>235</v>
      </c>
      <c r="H133" s="24"/>
      <c r="J133" s="21" t="s">
        <v>649</v>
      </c>
      <c r="K133" s="24">
        <v>18023.240000000002</v>
      </c>
    </row>
    <row r="134" spans="1:11" x14ac:dyDescent="0.25">
      <c r="A134" s="78">
        <v>46164</v>
      </c>
      <c r="B134" s="21" t="s">
        <v>13</v>
      </c>
      <c r="C134" s="21" t="s">
        <v>20</v>
      </c>
      <c r="D134" s="21" t="s">
        <v>13</v>
      </c>
      <c r="E134" s="21"/>
      <c r="F134" s="21"/>
      <c r="G134" s="24">
        <v>3079</v>
      </c>
      <c r="H134" s="24"/>
      <c r="J134" s="21" t="s">
        <v>649</v>
      </c>
      <c r="K134" s="24">
        <v>21102.240000000002</v>
      </c>
    </row>
    <row r="135" spans="1:11" x14ac:dyDescent="0.25">
      <c r="A135" s="78">
        <v>46164</v>
      </c>
      <c r="B135" s="21" t="s">
        <v>44</v>
      </c>
      <c r="C135" s="21" t="s">
        <v>20</v>
      </c>
      <c r="D135" s="21" t="s">
        <v>22</v>
      </c>
      <c r="E135" s="21" t="s">
        <v>17</v>
      </c>
      <c r="F135" s="21"/>
      <c r="G135" s="24">
        <v>441</v>
      </c>
      <c r="H135" s="24"/>
      <c r="J135" s="21" t="s">
        <v>649</v>
      </c>
      <c r="K135" s="24">
        <v>21543.24</v>
      </c>
    </row>
    <row r="136" spans="1:11" x14ac:dyDescent="0.25">
      <c r="A136" s="78">
        <v>46164</v>
      </c>
      <c r="B136" s="21" t="s">
        <v>45</v>
      </c>
      <c r="C136" s="21" t="s">
        <v>12</v>
      </c>
      <c r="D136" s="21" t="s">
        <v>24</v>
      </c>
      <c r="E136" s="21" t="s">
        <v>17</v>
      </c>
      <c r="F136" s="21" t="s">
        <v>25</v>
      </c>
      <c r="G136" s="24">
        <v>27</v>
      </c>
      <c r="H136" s="24"/>
      <c r="J136" s="21" t="s">
        <v>649</v>
      </c>
      <c r="K136" s="24">
        <v>21516.240000000002</v>
      </c>
    </row>
    <row r="137" spans="1:11" x14ac:dyDescent="0.25">
      <c r="A137" s="78">
        <v>46164</v>
      </c>
      <c r="B137" s="21" t="s">
        <v>401</v>
      </c>
      <c r="C137" s="21" t="s">
        <v>12</v>
      </c>
      <c r="D137" s="21" t="s">
        <v>19</v>
      </c>
      <c r="E137" s="21" t="s">
        <v>14</v>
      </c>
      <c r="F137" s="21" t="s">
        <v>15</v>
      </c>
      <c r="G137" s="24">
        <v>423</v>
      </c>
      <c r="H137" s="24"/>
      <c r="J137" s="21" t="s">
        <v>649</v>
      </c>
      <c r="K137" s="24">
        <v>21093.24</v>
      </c>
    </row>
    <row r="138" spans="1:11" x14ac:dyDescent="0.25">
      <c r="A138" s="78">
        <v>46163</v>
      </c>
      <c r="B138" s="21" t="s">
        <v>224</v>
      </c>
      <c r="C138" s="21" t="s">
        <v>12</v>
      </c>
      <c r="D138" s="21" t="s">
        <v>62</v>
      </c>
      <c r="E138" s="21" t="s">
        <v>17</v>
      </c>
      <c r="F138" s="21" t="s">
        <v>25</v>
      </c>
      <c r="G138" s="24">
        <v>45.4</v>
      </c>
      <c r="H138" s="24"/>
      <c r="J138" s="21" t="s">
        <v>649</v>
      </c>
      <c r="K138" s="24">
        <v>21047.84</v>
      </c>
    </row>
    <row r="139" spans="1:11" x14ac:dyDescent="0.25">
      <c r="A139" s="78">
        <v>46165</v>
      </c>
      <c r="B139" s="21" t="s">
        <v>13</v>
      </c>
      <c r="C139" s="21" t="s">
        <v>20</v>
      </c>
      <c r="D139" s="21" t="s">
        <v>13</v>
      </c>
      <c r="E139" s="21"/>
      <c r="F139" s="21"/>
      <c r="G139" s="24">
        <v>4430</v>
      </c>
      <c r="H139" s="24"/>
      <c r="J139" s="21" t="s">
        <v>649</v>
      </c>
      <c r="K139" s="24">
        <v>25477.84</v>
      </c>
    </row>
    <row r="140" spans="1:11" x14ac:dyDescent="0.25">
      <c r="A140" s="78">
        <v>46165</v>
      </c>
      <c r="B140" s="21" t="s">
        <v>21</v>
      </c>
      <c r="C140" s="21" t="s">
        <v>20</v>
      </c>
      <c r="D140" s="21" t="s">
        <v>22</v>
      </c>
      <c r="E140" s="21" t="s">
        <v>17</v>
      </c>
      <c r="F140" s="21"/>
      <c r="G140" s="24">
        <v>0</v>
      </c>
      <c r="H140" s="24"/>
      <c r="J140" s="21" t="s">
        <v>649</v>
      </c>
      <c r="K140" s="24">
        <v>25477.84</v>
      </c>
    </row>
    <row r="141" spans="1:11" x14ac:dyDescent="0.25">
      <c r="A141" s="78">
        <v>46165</v>
      </c>
      <c r="B141" s="21" t="s">
        <v>23</v>
      </c>
      <c r="C141" s="21" t="s">
        <v>20</v>
      </c>
      <c r="D141" s="21" t="s">
        <v>24</v>
      </c>
      <c r="E141" s="21" t="s">
        <v>17</v>
      </c>
      <c r="F141" s="21" t="s">
        <v>25</v>
      </c>
      <c r="G141" s="24">
        <v>0</v>
      </c>
      <c r="H141" s="24"/>
      <c r="J141" s="21" t="s">
        <v>649</v>
      </c>
      <c r="K141" s="24">
        <v>25477.84</v>
      </c>
    </row>
    <row r="142" spans="1:11" x14ac:dyDescent="0.25">
      <c r="A142" s="78">
        <v>46166</v>
      </c>
      <c r="B142" s="21" t="s">
        <v>13</v>
      </c>
      <c r="C142" s="21" t="s">
        <v>20</v>
      </c>
      <c r="D142" s="21"/>
      <c r="E142" s="21"/>
      <c r="F142" s="21"/>
      <c r="G142" s="24">
        <v>6435</v>
      </c>
      <c r="H142" s="24"/>
      <c r="J142" s="21" t="s">
        <v>649</v>
      </c>
      <c r="K142" s="24">
        <v>31912.84</v>
      </c>
    </row>
    <row r="143" spans="1:11" x14ac:dyDescent="0.25">
      <c r="A143" s="78">
        <v>46166</v>
      </c>
      <c r="B143" s="21" t="s">
        <v>21</v>
      </c>
      <c r="C143" s="21" t="s">
        <v>20</v>
      </c>
      <c r="D143" s="21" t="s">
        <v>22</v>
      </c>
      <c r="E143" s="21"/>
      <c r="F143" s="21"/>
      <c r="G143" s="24">
        <v>230</v>
      </c>
      <c r="H143" s="24"/>
      <c r="J143" s="21" t="s">
        <v>649</v>
      </c>
      <c r="K143" s="24">
        <v>32142.84</v>
      </c>
    </row>
    <row r="144" spans="1:11" x14ac:dyDescent="0.25">
      <c r="A144" s="78">
        <v>46166</v>
      </c>
      <c r="B144" s="21" t="s">
        <v>23</v>
      </c>
      <c r="C144" s="21" t="s">
        <v>12</v>
      </c>
      <c r="D144" s="21" t="s">
        <v>24</v>
      </c>
      <c r="E144" s="21" t="s">
        <v>17</v>
      </c>
      <c r="F144" s="21" t="s">
        <v>25</v>
      </c>
      <c r="G144" s="24">
        <v>27</v>
      </c>
      <c r="H144" s="24"/>
      <c r="J144" s="21" t="s">
        <v>649</v>
      </c>
      <c r="K144" s="24">
        <v>32115.84</v>
      </c>
    </row>
    <row r="145" spans="1:11" x14ac:dyDescent="0.25">
      <c r="A145" s="78">
        <v>46166</v>
      </c>
      <c r="B145" s="21" t="s">
        <v>33</v>
      </c>
      <c r="C145" s="21" t="s">
        <v>12</v>
      </c>
      <c r="D145" s="21" t="s">
        <v>33</v>
      </c>
      <c r="E145" s="21" t="s">
        <v>14</v>
      </c>
      <c r="F145" s="21" t="s">
        <v>15</v>
      </c>
      <c r="G145" s="24">
        <v>150</v>
      </c>
      <c r="H145" s="24"/>
      <c r="J145" s="21" t="s">
        <v>649</v>
      </c>
      <c r="K145" s="24">
        <v>31965.84</v>
      </c>
    </row>
    <row r="146" spans="1:11" x14ac:dyDescent="0.25">
      <c r="A146" s="78">
        <v>46167</v>
      </c>
      <c r="B146" s="21" t="s">
        <v>13</v>
      </c>
      <c r="C146" s="21" t="s">
        <v>20</v>
      </c>
      <c r="D146" s="21" t="s">
        <v>13</v>
      </c>
      <c r="E146" s="21"/>
      <c r="F146" s="21"/>
      <c r="G146" s="24">
        <v>1004</v>
      </c>
      <c r="H146" s="24"/>
      <c r="J146" s="21" t="s">
        <v>649</v>
      </c>
      <c r="K146" s="24">
        <v>32969.839999999997</v>
      </c>
    </row>
    <row r="147" spans="1:11" x14ac:dyDescent="0.25">
      <c r="A147" s="78">
        <v>46167</v>
      </c>
      <c r="B147" s="21" t="s">
        <v>21</v>
      </c>
      <c r="C147" s="21" t="s">
        <v>20</v>
      </c>
      <c r="D147" s="21" t="s">
        <v>22</v>
      </c>
      <c r="E147" s="21" t="s">
        <v>17</v>
      </c>
      <c r="F147" s="21"/>
      <c r="G147" s="24">
        <v>40</v>
      </c>
      <c r="H147" s="24"/>
      <c r="J147" s="21" t="s">
        <v>649</v>
      </c>
      <c r="K147" s="24">
        <v>33009.839999999997</v>
      </c>
    </row>
    <row r="148" spans="1:11" x14ac:dyDescent="0.25">
      <c r="A148" s="78">
        <v>46167</v>
      </c>
      <c r="B148" s="21" t="s">
        <v>23</v>
      </c>
      <c r="C148" s="21" t="s">
        <v>12</v>
      </c>
      <c r="D148" s="21" t="s">
        <v>24</v>
      </c>
      <c r="E148" s="21" t="s">
        <v>17</v>
      </c>
      <c r="F148" s="21" t="s">
        <v>25</v>
      </c>
      <c r="G148" s="24">
        <v>9</v>
      </c>
      <c r="H148" s="24"/>
      <c r="J148" s="21" t="s">
        <v>649</v>
      </c>
      <c r="K148" s="24">
        <v>33000.839999999997</v>
      </c>
    </row>
    <row r="149" spans="1:11" x14ac:dyDescent="0.25">
      <c r="A149" s="78">
        <v>46167</v>
      </c>
      <c r="B149" s="21" t="s">
        <v>352</v>
      </c>
      <c r="C149" s="21" t="s">
        <v>12</v>
      </c>
      <c r="D149" s="21" t="s">
        <v>19</v>
      </c>
      <c r="E149" s="21" t="s">
        <v>17</v>
      </c>
      <c r="F149" s="21"/>
      <c r="G149" s="24">
        <v>1812.08</v>
      </c>
      <c r="H149" s="24"/>
      <c r="J149" s="21" t="s">
        <v>649</v>
      </c>
      <c r="K149" s="24">
        <v>31188.759999999991</v>
      </c>
    </row>
    <row r="150" spans="1:11" x14ac:dyDescent="0.25">
      <c r="A150" s="78">
        <v>46167</v>
      </c>
      <c r="B150" s="21" t="s">
        <v>552</v>
      </c>
      <c r="C150" s="21" t="s">
        <v>12</v>
      </c>
      <c r="D150" s="21" t="s">
        <v>19</v>
      </c>
      <c r="E150" s="21" t="s">
        <v>17</v>
      </c>
      <c r="F150" s="21"/>
      <c r="G150" s="24">
        <v>1734.8</v>
      </c>
      <c r="H150" s="24"/>
      <c r="J150" s="21" t="s">
        <v>649</v>
      </c>
      <c r="K150" s="24">
        <v>29453.96</v>
      </c>
    </row>
    <row r="151" spans="1:11" x14ac:dyDescent="0.25">
      <c r="A151" s="78">
        <v>46167</v>
      </c>
      <c r="B151" s="21" t="s">
        <v>552</v>
      </c>
      <c r="C151" s="21" t="s">
        <v>12</v>
      </c>
      <c r="D151" s="21" t="s">
        <v>19</v>
      </c>
      <c r="E151" s="21" t="s">
        <v>17</v>
      </c>
      <c r="F151" s="21"/>
      <c r="G151" s="24">
        <v>1486.49</v>
      </c>
      <c r="H151" s="24"/>
      <c r="J151" s="21" t="s">
        <v>649</v>
      </c>
      <c r="K151" s="24">
        <v>27967.46999999999</v>
      </c>
    </row>
    <row r="152" spans="1:11" x14ac:dyDescent="0.25">
      <c r="A152" s="78">
        <v>46167</v>
      </c>
      <c r="B152" s="21" t="s">
        <v>390</v>
      </c>
      <c r="C152" s="21" t="s">
        <v>12</v>
      </c>
      <c r="D152" s="21" t="s">
        <v>19</v>
      </c>
      <c r="E152" s="21" t="s">
        <v>17</v>
      </c>
      <c r="F152" s="21"/>
      <c r="G152" s="24">
        <v>134.99</v>
      </c>
      <c r="H152" s="24"/>
      <c r="J152" s="21" t="s">
        <v>649</v>
      </c>
      <c r="K152" s="24">
        <v>27832.479999999989</v>
      </c>
    </row>
    <row r="153" spans="1:11" x14ac:dyDescent="0.25">
      <c r="A153" s="78">
        <v>46167</v>
      </c>
      <c r="B153" s="21" t="s">
        <v>390</v>
      </c>
      <c r="C153" s="21" t="s">
        <v>12</v>
      </c>
      <c r="D153" s="21" t="s">
        <v>19</v>
      </c>
      <c r="E153" s="21" t="s">
        <v>17</v>
      </c>
      <c r="F153" s="21"/>
      <c r="G153" s="24">
        <v>222.34</v>
      </c>
      <c r="H153" s="24"/>
      <c r="J153" s="21" t="s">
        <v>649</v>
      </c>
      <c r="K153" s="24">
        <v>27610.139999999989</v>
      </c>
    </row>
    <row r="154" spans="1:11" x14ac:dyDescent="0.25">
      <c r="A154" s="78">
        <v>46167</v>
      </c>
      <c r="B154" s="21" t="s">
        <v>531</v>
      </c>
      <c r="C154" s="21" t="s">
        <v>12</v>
      </c>
      <c r="D154" s="21" t="s">
        <v>327</v>
      </c>
      <c r="E154" s="21" t="s">
        <v>17</v>
      </c>
      <c r="F154" s="21"/>
      <c r="G154" s="24"/>
      <c r="H154" s="24"/>
      <c r="J154" s="21" t="s">
        <v>649</v>
      </c>
      <c r="K154" s="24">
        <v>27610.139999999989</v>
      </c>
    </row>
    <row r="155" spans="1:11" x14ac:dyDescent="0.25">
      <c r="A155" s="78">
        <v>46167</v>
      </c>
      <c r="B155" s="21" t="s">
        <v>304</v>
      </c>
      <c r="C155" s="21" t="s">
        <v>12</v>
      </c>
      <c r="D155" s="21" t="s">
        <v>68</v>
      </c>
      <c r="E155" s="21" t="s">
        <v>17</v>
      </c>
      <c r="F155" s="21"/>
      <c r="G155" s="24"/>
      <c r="H155" s="24"/>
      <c r="J155" s="21" t="s">
        <v>649</v>
      </c>
      <c r="K155" s="24">
        <v>27610.139999999989</v>
      </c>
    </row>
    <row r="156" spans="1:11" x14ac:dyDescent="0.25">
      <c r="A156" s="78">
        <v>46167</v>
      </c>
      <c r="B156" s="21" t="s">
        <v>370</v>
      </c>
      <c r="C156" s="21" t="s">
        <v>12</v>
      </c>
      <c r="D156" s="21" t="s">
        <v>19</v>
      </c>
      <c r="E156" s="21" t="s">
        <v>17</v>
      </c>
      <c r="F156" s="21" t="s">
        <v>25</v>
      </c>
      <c r="G156" s="24">
        <v>680.63</v>
      </c>
      <c r="H156" s="24"/>
      <c r="J156" s="21" t="s">
        <v>649</v>
      </c>
      <c r="K156" s="24">
        <v>26929.509999999991</v>
      </c>
    </row>
    <row r="157" spans="1:11" x14ac:dyDescent="0.25">
      <c r="A157" s="78">
        <v>46168</v>
      </c>
      <c r="B157" s="21" t="s">
        <v>394</v>
      </c>
      <c r="C157" s="21" t="s">
        <v>12</v>
      </c>
      <c r="D157" s="21" t="s">
        <v>19</v>
      </c>
      <c r="E157" s="21" t="s">
        <v>17</v>
      </c>
      <c r="F157" s="21"/>
      <c r="G157" s="24">
        <v>477.68</v>
      </c>
      <c r="H157" s="24"/>
      <c r="J157" s="21" t="s">
        <v>649</v>
      </c>
      <c r="K157" s="24">
        <v>26451.829999999991</v>
      </c>
    </row>
    <row r="158" spans="1:11" x14ac:dyDescent="0.25">
      <c r="A158" s="78">
        <v>46168</v>
      </c>
      <c r="B158" s="21" t="s">
        <v>354</v>
      </c>
      <c r="C158" s="21" t="s">
        <v>12</v>
      </c>
      <c r="D158" s="21" t="s">
        <v>19</v>
      </c>
      <c r="E158" s="21" t="s">
        <v>17</v>
      </c>
      <c r="F158" s="21"/>
      <c r="G158" s="24">
        <v>182.54</v>
      </c>
      <c r="H158" s="24"/>
      <c r="J158" s="21" t="s">
        <v>649</v>
      </c>
      <c r="K158" s="24">
        <v>26269.28999999999</v>
      </c>
    </row>
    <row r="159" spans="1:11" x14ac:dyDescent="0.25">
      <c r="A159" s="78">
        <v>46168</v>
      </c>
      <c r="B159" s="21" t="s">
        <v>30</v>
      </c>
      <c r="C159" s="21" t="s">
        <v>20</v>
      </c>
      <c r="D159" s="21" t="s">
        <v>13</v>
      </c>
      <c r="E159" s="21"/>
      <c r="F159" s="21"/>
      <c r="G159" s="24">
        <v>1434</v>
      </c>
      <c r="H159" s="24"/>
      <c r="J159" s="21" t="s">
        <v>649</v>
      </c>
      <c r="K159" s="24">
        <v>27703.28999999999</v>
      </c>
    </row>
    <row r="160" spans="1:11" x14ac:dyDescent="0.25">
      <c r="A160" s="78">
        <v>46168</v>
      </c>
      <c r="B160" s="21" t="s">
        <v>44</v>
      </c>
      <c r="C160" s="21" t="s">
        <v>20</v>
      </c>
      <c r="D160" s="21" t="s">
        <v>22</v>
      </c>
      <c r="E160" s="21" t="s">
        <v>17</v>
      </c>
      <c r="F160" s="21"/>
      <c r="G160" s="24">
        <v>0</v>
      </c>
      <c r="H160" s="24"/>
      <c r="J160" s="21" t="s">
        <v>649</v>
      </c>
      <c r="K160" s="24">
        <v>27703.28999999999</v>
      </c>
    </row>
    <row r="161" spans="1:11" x14ac:dyDescent="0.25">
      <c r="A161" s="78">
        <v>46168</v>
      </c>
      <c r="B161" s="21" t="s">
        <v>45</v>
      </c>
      <c r="C161" s="21" t="s">
        <v>12</v>
      </c>
      <c r="D161" s="21" t="s">
        <v>24</v>
      </c>
      <c r="E161" s="21" t="s">
        <v>17</v>
      </c>
      <c r="F161" s="21" t="s">
        <v>25</v>
      </c>
      <c r="G161" s="24">
        <v>0</v>
      </c>
      <c r="H161" s="24"/>
      <c r="J161" s="21" t="s">
        <v>649</v>
      </c>
      <c r="K161" s="24">
        <v>27703.28999999999</v>
      </c>
    </row>
    <row r="162" spans="1:11" x14ac:dyDescent="0.25">
      <c r="A162" s="78">
        <v>46168</v>
      </c>
      <c r="B162" s="21" t="s">
        <v>192</v>
      </c>
      <c r="C162" s="21" t="s">
        <v>12</v>
      </c>
      <c r="D162" s="21" t="s">
        <v>19</v>
      </c>
      <c r="E162" s="21" t="s">
        <v>17</v>
      </c>
      <c r="F162" s="21" t="s">
        <v>25</v>
      </c>
      <c r="G162" s="24">
        <v>184.41</v>
      </c>
      <c r="H162" s="24"/>
      <c r="J162" s="21" t="s">
        <v>649</v>
      </c>
      <c r="K162" s="24">
        <v>27518.87999999999</v>
      </c>
    </row>
    <row r="163" spans="1:11" x14ac:dyDescent="0.25">
      <c r="A163" s="78">
        <v>46169</v>
      </c>
      <c r="B163" s="21" t="s">
        <v>350</v>
      </c>
      <c r="C163" s="21" t="s">
        <v>12</v>
      </c>
      <c r="D163" s="21" t="s">
        <v>19</v>
      </c>
      <c r="E163" s="21" t="s">
        <v>17</v>
      </c>
      <c r="F163" s="21"/>
      <c r="G163" s="24">
        <v>1400</v>
      </c>
      <c r="H163" s="24"/>
      <c r="J163" s="21" t="s">
        <v>649</v>
      </c>
      <c r="K163" s="24">
        <v>26118.87999999999</v>
      </c>
    </row>
    <row r="164" spans="1:11" x14ac:dyDescent="0.25">
      <c r="A164" s="78">
        <v>46169</v>
      </c>
      <c r="B164" s="21" t="s">
        <v>30</v>
      </c>
      <c r="C164" s="21" t="s">
        <v>20</v>
      </c>
      <c r="D164" s="21" t="s">
        <v>13</v>
      </c>
      <c r="E164" s="21"/>
      <c r="F164" s="21"/>
      <c r="G164" s="24">
        <v>1170</v>
      </c>
      <c r="H164" s="24"/>
      <c r="J164" s="21" t="s">
        <v>649</v>
      </c>
      <c r="K164" s="24">
        <v>27288.87999999999</v>
      </c>
    </row>
    <row r="165" spans="1:11" x14ac:dyDescent="0.25">
      <c r="A165" s="78">
        <v>46169</v>
      </c>
      <c r="B165" s="21" t="s">
        <v>44</v>
      </c>
      <c r="C165" s="21" t="s">
        <v>20</v>
      </c>
      <c r="D165" s="21" t="s">
        <v>22</v>
      </c>
      <c r="E165" s="21" t="s">
        <v>17</v>
      </c>
      <c r="F165" s="21"/>
      <c r="G165" s="24">
        <v>84</v>
      </c>
      <c r="H165" s="24"/>
      <c r="J165" s="21" t="s">
        <v>649</v>
      </c>
      <c r="K165" s="24">
        <v>27372.87999999999</v>
      </c>
    </row>
    <row r="166" spans="1:11" x14ac:dyDescent="0.25">
      <c r="A166" s="78">
        <v>46169</v>
      </c>
      <c r="B166" s="21" t="s">
        <v>45</v>
      </c>
      <c r="C166" s="21" t="s">
        <v>12</v>
      </c>
      <c r="D166" s="21" t="s">
        <v>24</v>
      </c>
      <c r="E166" s="21" t="s">
        <v>17</v>
      </c>
      <c r="F166" s="21" t="s">
        <v>25</v>
      </c>
      <c r="G166" s="24">
        <v>18</v>
      </c>
      <c r="H166" s="24"/>
      <c r="J166" s="21" t="s">
        <v>649</v>
      </c>
      <c r="K166" s="24">
        <v>27354.87999999999</v>
      </c>
    </row>
    <row r="167" spans="1:11" x14ac:dyDescent="0.25">
      <c r="A167" s="78">
        <v>46169</v>
      </c>
      <c r="B167" s="21" t="s">
        <v>672</v>
      </c>
      <c r="C167" s="21" t="s">
        <v>12</v>
      </c>
      <c r="D167" s="21" t="s">
        <v>62</v>
      </c>
      <c r="E167" s="21" t="s">
        <v>17</v>
      </c>
      <c r="F167" s="21" t="s">
        <v>25</v>
      </c>
      <c r="G167" s="24">
        <v>20</v>
      </c>
      <c r="H167" s="24"/>
      <c r="J167" s="21" t="s">
        <v>649</v>
      </c>
      <c r="K167" s="24">
        <v>27334.87999999999</v>
      </c>
    </row>
    <row r="168" spans="1:11" x14ac:dyDescent="0.25">
      <c r="A168" s="78">
        <v>46170</v>
      </c>
      <c r="B168" s="21" t="s">
        <v>673</v>
      </c>
      <c r="C168" s="21" t="s">
        <v>12</v>
      </c>
      <c r="D168" s="21" t="s">
        <v>19</v>
      </c>
      <c r="E168" s="21" t="s">
        <v>17</v>
      </c>
      <c r="F168" s="21"/>
      <c r="G168" s="24">
        <v>697.1</v>
      </c>
      <c r="H168" s="24"/>
      <c r="I168" s="21">
        <v>195.59</v>
      </c>
      <c r="J168" s="21" t="s">
        <v>649</v>
      </c>
      <c r="K168" s="24">
        <v>26637.779999999992</v>
      </c>
    </row>
    <row r="169" spans="1:11" x14ac:dyDescent="0.25">
      <c r="A169" s="78">
        <v>46170</v>
      </c>
      <c r="B169" s="21" t="s">
        <v>30</v>
      </c>
      <c r="C169" s="21" t="s">
        <v>20</v>
      </c>
      <c r="D169" s="21" t="s">
        <v>13</v>
      </c>
      <c r="E169" s="21"/>
      <c r="F169" s="21"/>
      <c r="G169" s="24">
        <v>1519</v>
      </c>
      <c r="H169" s="24"/>
      <c r="J169" s="21" t="s">
        <v>649</v>
      </c>
      <c r="K169" s="24">
        <v>28156.779999999992</v>
      </c>
    </row>
    <row r="170" spans="1:11" x14ac:dyDescent="0.25">
      <c r="A170" s="78">
        <v>46170</v>
      </c>
      <c r="B170" s="21" t="s">
        <v>44</v>
      </c>
      <c r="C170" s="21" t="s">
        <v>20</v>
      </c>
      <c r="D170" s="21" t="s">
        <v>22</v>
      </c>
      <c r="E170" s="21" t="s">
        <v>17</v>
      </c>
      <c r="F170" s="21"/>
      <c r="G170" s="24">
        <v>0</v>
      </c>
      <c r="H170" s="24"/>
      <c r="J170" s="21" t="s">
        <v>649</v>
      </c>
      <c r="K170" s="24">
        <v>28156.779999999992</v>
      </c>
    </row>
    <row r="171" spans="1:11" x14ac:dyDescent="0.25">
      <c r="A171" s="78">
        <v>46170</v>
      </c>
      <c r="B171" s="21" t="s">
        <v>45</v>
      </c>
      <c r="C171" s="21" t="s">
        <v>12</v>
      </c>
      <c r="D171" s="21" t="s">
        <v>24</v>
      </c>
      <c r="E171" s="21" t="s">
        <v>17</v>
      </c>
      <c r="F171" s="21" t="s">
        <v>25</v>
      </c>
      <c r="G171" s="24">
        <v>0</v>
      </c>
      <c r="H171" s="24"/>
      <c r="J171" s="21" t="s">
        <v>649</v>
      </c>
      <c r="K171" s="24">
        <v>28156.779999999992</v>
      </c>
    </row>
    <row r="172" spans="1:11" x14ac:dyDescent="0.25">
      <c r="A172" s="78">
        <v>46170</v>
      </c>
      <c r="B172" s="21" t="s">
        <v>674</v>
      </c>
      <c r="C172" s="21" t="s">
        <v>12</v>
      </c>
      <c r="D172" s="21" t="s">
        <v>67</v>
      </c>
      <c r="E172" s="21" t="s">
        <v>17</v>
      </c>
      <c r="F172" s="21" t="s">
        <v>25</v>
      </c>
      <c r="G172" s="24">
        <v>28</v>
      </c>
      <c r="H172" s="24"/>
      <c r="J172" s="21" t="s">
        <v>649</v>
      </c>
      <c r="K172" s="24">
        <v>28128.779999999992</v>
      </c>
    </row>
    <row r="173" spans="1:11" x14ac:dyDescent="0.25">
      <c r="A173" s="78">
        <v>46170</v>
      </c>
      <c r="B173" s="21" t="s">
        <v>346</v>
      </c>
      <c r="C173" s="21" t="s">
        <v>12</v>
      </c>
      <c r="D173" s="21" t="s">
        <v>19</v>
      </c>
      <c r="E173" s="21" t="s">
        <v>14</v>
      </c>
      <c r="F173" s="21"/>
      <c r="G173" s="24">
        <v>141</v>
      </c>
      <c r="H173" s="24"/>
      <c r="J173" s="21" t="s">
        <v>649</v>
      </c>
      <c r="K173" s="24">
        <v>27987.779999999992</v>
      </c>
    </row>
    <row r="174" spans="1:11" x14ac:dyDescent="0.25">
      <c r="A174" s="78">
        <v>46171</v>
      </c>
      <c r="B174" s="21" t="s">
        <v>13</v>
      </c>
      <c r="C174" s="21" t="s">
        <v>20</v>
      </c>
      <c r="D174" s="21" t="s">
        <v>13</v>
      </c>
      <c r="E174" s="21"/>
      <c r="F174" s="21"/>
      <c r="G174" s="24">
        <v>2133</v>
      </c>
      <c r="H174" s="24"/>
      <c r="J174" s="21" t="s">
        <v>649</v>
      </c>
      <c r="K174" s="24">
        <v>30120.779999999992</v>
      </c>
    </row>
    <row r="175" spans="1:11" x14ac:dyDescent="0.25">
      <c r="A175" s="78">
        <v>46171</v>
      </c>
      <c r="B175" s="21" t="s">
        <v>21</v>
      </c>
      <c r="C175" s="21" t="s">
        <v>20</v>
      </c>
      <c r="D175" s="21" t="s">
        <v>22</v>
      </c>
      <c r="E175" s="21" t="s">
        <v>17</v>
      </c>
      <c r="F175" s="21"/>
      <c r="G175" s="24">
        <v>171</v>
      </c>
      <c r="H175" s="24"/>
      <c r="J175" s="21" t="s">
        <v>649</v>
      </c>
      <c r="K175" s="24">
        <v>30291.779999999992</v>
      </c>
    </row>
    <row r="176" spans="1:11" x14ac:dyDescent="0.25">
      <c r="A176" s="78">
        <v>46171</v>
      </c>
      <c r="B176" s="21" t="s">
        <v>23</v>
      </c>
      <c r="C176" s="21" t="s">
        <v>12</v>
      </c>
      <c r="D176" s="21" t="s">
        <v>24</v>
      </c>
      <c r="E176" s="21" t="s">
        <v>17</v>
      </c>
      <c r="F176" s="21" t="s">
        <v>25</v>
      </c>
      <c r="G176" s="24">
        <v>26</v>
      </c>
      <c r="H176" s="24"/>
      <c r="J176" s="21" t="s">
        <v>649</v>
      </c>
      <c r="K176" s="24">
        <v>30265.779999999992</v>
      </c>
    </row>
    <row r="177" spans="1:11" x14ac:dyDescent="0.25">
      <c r="A177" s="78">
        <v>46171</v>
      </c>
      <c r="B177" s="21" t="s">
        <v>11</v>
      </c>
      <c r="C177" s="21" t="s">
        <v>12</v>
      </c>
      <c r="D177" s="21" t="s">
        <v>19</v>
      </c>
      <c r="E177" s="21" t="s">
        <v>14</v>
      </c>
      <c r="F177" s="21" t="s">
        <v>15</v>
      </c>
      <c r="G177" s="24">
        <v>282</v>
      </c>
      <c r="H177" s="24"/>
      <c r="J177" s="21" t="s">
        <v>649</v>
      </c>
      <c r="K177" s="24">
        <v>29983.779999999992</v>
      </c>
    </row>
    <row r="178" spans="1:11" x14ac:dyDescent="0.25">
      <c r="A178" s="78">
        <v>46170</v>
      </c>
      <c r="B178" s="21" t="s">
        <v>559</v>
      </c>
      <c r="C178" s="21" t="s">
        <v>12</v>
      </c>
      <c r="D178" s="21" t="s">
        <v>27</v>
      </c>
      <c r="E178" s="21" t="s">
        <v>17</v>
      </c>
      <c r="F178" s="21" t="s">
        <v>25</v>
      </c>
      <c r="G178" s="24">
        <v>125.35</v>
      </c>
      <c r="H178" s="24"/>
      <c r="J178" s="21" t="s">
        <v>649</v>
      </c>
      <c r="K178" s="24">
        <v>29858.429999999989</v>
      </c>
    </row>
    <row r="179" spans="1:11" x14ac:dyDescent="0.25">
      <c r="A179" s="78">
        <v>46171</v>
      </c>
      <c r="B179" s="21" t="s">
        <v>315</v>
      </c>
      <c r="C179" s="21" t="s">
        <v>12</v>
      </c>
      <c r="D179" s="21" t="s">
        <v>27</v>
      </c>
      <c r="E179" s="21" t="s">
        <v>17</v>
      </c>
      <c r="F179" s="21"/>
      <c r="G179" s="24">
        <v>1400</v>
      </c>
      <c r="H179" s="24"/>
      <c r="J179" s="21" t="s">
        <v>649</v>
      </c>
      <c r="K179" s="24">
        <v>28458.429999999989</v>
      </c>
    </row>
    <row r="180" spans="1:11" x14ac:dyDescent="0.25">
      <c r="A180" s="78">
        <v>46172</v>
      </c>
      <c r="B180" s="21" t="s">
        <v>30</v>
      </c>
      <c r="C180" s="21" t="s">
        <v>20</v>
      </c>
      <c r="D180" s="21" t="s">
        <v>13</v>
      </c>
      <c r="E180" s="21"/>
      <c r="F180" s="21"/>
      <c r="G180" s="24">
        <v>5414</v>
      </c>
      <c r="H180" s="24"/>
      <c r="J180" s="21" t="s">
        <v>649</v>
      </c>
      <c r="K180" s="24">
        <v>33872.429999999993</v>
      </c>
    </row>
    <row r="181" spans="1:11" x14ac:dyDescent="0.25">
      <c r="A181" s="78">
        <v>46172</v>
      </c>
      <c r="B181" s="21" t="s">
        <v>21</v>
      </c>
      <c r="C181" s="21" t="s">
        <v>20</v>
      </c>
      <c r="D181" s="21" t="s">
        <v>22</v>
      </c>
      <c r="E181" s="21" t="s">
        <v>17</v>
      </c>
      <c r="F181" s="21"/>
      <c r="G181" s="24">
        <v>0</v>
      </c>
      <c r="H181" s="24"/>
      <c r="J181" s="21" t="s">
        <v>649</v>
      </c>
      <c r="K181" s="24">
        <v>33872.429999999993</v>
      </c>
    </row>
    <row r="182" spans="1:11" x14ac:dyDescent="0.25">
      <c r="A182" s="78">
        <v>46172</v>
      </c>
      <c r="B182" s="21" t="s">
        <v>23</v>
      </c>
      <c r="C182" s="21" t="s">
        <v>12</v>
      </c>
      <c r="D182" s="21" t="s">
        <v>24</v>
      </c>
      <c r="E182" s="21" t="s">
        <v>17</v>
      </c>
      <c r="F182" s="21" t="s">
        <v>25</v>
      </c>
      <c r="G182" s="24">
        <v>9</v>
      </c>
      <c r="H182" s="24"/>
      <c r="J182" s="21" t="s">
        <v>649</v>
      </c>
      <c r="K182" s="24">
        <v>33863.429999999993</v>
      </c>
    </row>
    <row r="183" spans="1:11" x14ac:dyDescent="0.25">
      <c r="A183" s="78">
        <v>46173</v>
      </c>
      <c r="B183" s="21" t="s">
        <v>13</v>
      </c>
      <c r="C183" s="21" t="s">
        <v>20</v>
      </c>
      <c r="D183" s="21" t="s">
        <v>13</v>
      </c>
      <c r="E183" s="21"/>
      <c r="F183" s="21"/>
      <c r="G183" s="24">
        <v>4552</v>
      </c>
      <c r="H183" s="24"/>
      <c r="J183" s="21" t="s">
        <v>649</v>
      </c>
      <c r="K183" s="24">
        <v>38415.429999999993</v>
      </c>
    </row>
    <row r="184" spans="1:11" x14ac:dyDescent="0.25">
      <c r="A184" s="78">
        <v>46173</v>
      </c>
      <c r="B184" s="21" t="s">
        <v>21</v>
      </c>
      <c r="C184" s="21" t="s">
        <v>20</v>
      </c>
      <c r="D184" s="21" t="s">
        <v>22</v>
      </c>
      <c r="E184" s="21" t="s">
        <v>17</v>
      </c>
      <c r="F184" s="21"/>
      <c r="G184" s="24">
        <v>230</v>
      </c>
      <c r="H184" s="24"/>
      <c r="J184" s="21" t="s">
        <v>649</v>
      </c>
      <c r="K184" s="24">
        <v>38645.429999999993</v>
      </c>
    </row>
    <row r="185" spans="1:11" x14ac:dyDescent="0.25">
      <c r="A185" s="78">
        <v>46173</v>
      </c>
      <c r="B185" s="21" t="s">
        <v>45</v>
      </c>
      <c r="C185" s="21" t="s">
        <v>12</v>
      </c>
      <c r="D185" s="21" t="s">
        <v>24</v>
      </c>
      <c r="E185" s="21" t="s">
        <v>17</v>
      </c>
      <c r="F185" s="21" t="s">
        <v>25</v>
      </c>
      <c r="G185" s="24">
        <v>36</v>
      </c>
      <c r="H185" s="24"/>
      <c r="J185" s="21" t="s">
        <v>649</v>
      </c>
      <c r="K185" s="24">
        <v>38609.429999999993</v>
      </c>
    </row>
    <row r="186" spans="1:11" x14ac:dyDescent="0.25">
      <c r="A186" s="78">
        <v>46173</v>
      </c>
      <c r="B186" s="21" t="s">
        <v>33</v>
      </c>
      <c r="C186" s="21" t="s">
        <v>12</v>
      </c>
      <c r="D186" s="21" t="s">
        <v>33</v>
      </c>
      <c r="E186" s="21" t="s">
        <v>14</v>
      </c>
      <c r="F186" s="21" t="s">
        <v>15</v>
      </c>
      <c r="G186" s="24">
        <v>150</v>
      </c>
      <c r="H186" s="24"/>
      <c r="J186" s="21" t="s">
        <v>649</v>
      </c>
      <c r="K186" s="24">
        <v>38459.429999999993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98"/>
  <sheetViews>
    <sheetView workbookViewId="0"/>
  </sheetViews>
  <sheetFormatPr defaultRowHeight="15" x14ac:dyDescent="0.25"/>
  <sheetData>
    <row r="1" spans="1:17" x14ac:dyDescent="0.25">
      <c r="A1" t="s">
        <v>675</v>
      </c>
      <c r="B1" t="s">
        <v>3</v>
      </c>
      <c r="C1" t="s">
        <v>80</v>
      </c>
      <c r="D1" t="s">
        <v>676</v>
      </c>
      <c r="E1" t="s">
        <v>677</v>
      </c>
      <c r="F1" t="s">
        <v>678</v>
      </c>
      <c r="G1" t="s">
        <v>679</v>
      </c>
      <c r="K1" t="s">
        <v>680</v>
      </c>
    </row>
    <row r="2" spans="1:17" x14ac:dyDescent="0.25">
      <c r="A2" t="s">
        <v>681</v>
      </c>
      <c r="B2" t="s">
        <v>682</v>
      </c>
      <c r="C2" t="s">
        <v>683</v>
      </c>
      <c r="D2" t="s">
        <v>684</v>
      </c>
      <c r="E2">
        <v>2736</v>
      </c>
      <c r="F2">
        <v>68.400000000000006</v>
      </c>
      <c r="G2">
        <v>12.8592</v>
      </c>
      <c r="K2" t="s">
        <v>679</v>
      </c>
      <c r="L2" t="s">
        <v>685</v>
      </c>
      <c r="M2" t="s">
        <v>686</v>
      </c>
      <c r="P2" t="s">
        <v>684</v>
      </c>
      <c r="Q2" t="s">
        <v>7</v>
      </c>
    </row>
    <row r="3" spans="1:17" x14ac:dyDescent="0.25">
      <c r="A3" t="s">
        <v>681</v>
      </c>
      <c r="B3" t="s">
        <v>682</v>
      </c>
      <c r="C3" t="s">
        <v>687</v>
      </c>
      <c r="D3" t="s">
        <v>684</v>
      </c>
      <c r="E3">
        <v>112</v>
      </c>
      <c r="F3">
        <v>2.8</v>
      </c>
      <c r="G3">
        <v>2.8</v>
      </c>
      <c r="J3" t="s">
        <v>683</v>
      </c>
      <c r="K3">
        <v>4.7</v>
      </c>
      <c r="L3" t="s">
        <v>688</v>
      </c>
      <c r="M3">
        <v>4.7</v>
      </c>
      <c r="O3" t="s">
        <v>689</v>
      </c>
      <c r="P3">
        <v>150</v>
      </c>
      <c r="Q3">
        <v>21</v>
      </c>
    </row>
    <row r="4" spans="1:17" x14ac:dyDescent="0.25">
      <c r="A4" t="s">
        <v>681</v>
      </c>
      <c r="B4" t="s">
        <v>682</v>
      </c>
      <c r="C4" t="s">
        <v>690</v>
      </c>
      <c r="D4" t="s">
        <v>684</v>
      </c>
      <c r="E4">
        <v>360</v>
      </c>
      <c r="F4">
        <v>9</v>
      </c>
      <c r="G4">
        <v>1.008</v>
      </c>
      <c r="J4" t="s">
        <v>687</v>
      </c>
      <c r="K4">
        <v>25</v>
      </c>
      <c r="L4" t="s">
        <v>688</v>
      </c>
      <c r="M4">
        <v>25</v>
      </c>
      <c r="O4" t="s">
        <v>691</v>
      </c>
      <c r="P4">
        <v>210</v>
      </c>
      <c r="Q4">
        <v>25</v>
      </c>
    </row>
    <row r="5" spans="1:17" x14ac:dyDescent="0.25">
      <c r="A5" t="s">
        <v>681</v>
      </c>
      <c r="B5" t="s">
        <v>682</v>
      </c>
      <c r="C5" t="s">
        <v>84</v>
      </c>
      <c r="D5" t="s">
        <v>684</v>
      </c>
      <c r="E5">
        <v>80</v>
      </c>
      <c r="F5">
        <v>2</v>
      </c>
      <c r="G5">
        <v>0.47997138666666672</v>
      </c>
      <c r="J5" t="s">
        <v>690</v>
      </c>
      <c r="K5">
        <v>14</v>
      </c>
      <c r="L5" t="s">
        <v>692</v>
      </c>
      <c r="M5">
        <v>2.8</v>
      </c>
      <c r="O5" t="s">
        <v>693</v>
      </c>
      <c r="P5">
        <v>300</v>
      </c>
      <c r="Q5">
        <v>33</v>
      </c>
    </row>
    <row r="6" spans="1:17" x14ac:dyDescent="0.25">
      <c r="A6" t="s">
        <v>681</v>
      </c>
      <c r="B6" t="s">
        <v>682</v>
      </c>
      <c r="C6" t="s">
        <v>694</v>
      </c>
      <c r="D6" t="s">
        <v>684</v>
      </c>
      <c r="E6">
        <v>20</v>
      </c>
      <c r="F6">
        <v>0.5</v>
      </c>
      <c r="G6">
        <v>4.5580800000000004</v>
      </c>
      <c r="J6" t="s">
        <v>695</v>
      </c>
      <c r="K6">
        <v>4.4000000000000004</v>
      </c>
      <c r="L6" t="s">
        <v>688</v>
      </c>
      <c r="M6">
        <v>4.4000000000000004</v>
      </c>
      <c r="O6" t="s">
        <v>696</v>
      </c>
      <c r="P6">
        <v>150</v>
      </c>
      <c r="Q6">
        <v>21</v>
      </c>
    </row>
    <row r="7" spans="1:17" x14ac:dyDescent="0.25">
      <c r="A7" t="s">
        <v>681</v>
      </c>
      <c r="B7" t="s">
        <v>682</v>
      </c>
      <c r="C7" t="s">
        <v>697</v>
      </c>
      <c r="D7" t="s">
        <v>684</v>
      </c>
      <c r="E7">
        <v>200</v>
      </c>
      <c r="F7">
        <v>5</v>
      </c>
      <c r="G7">
        <v>1.5999198400000001</v>
      </c>
      <c r="J7" t="s">
        <v>114</v>
      </c>
      <c r="K7">
        <v>2.2000000000000002</v>
      </c>
      <c r="L7" t="s">
        <v>688</v>
      </c>
      <c r="M7">
        <v>2.2000000000000002</v>
      </c>
      <c r="O7" t="s">
        <v>698</v>
      </c>
      <c r="P7">
        <v>250</v>
      </c>
      <c r="Q7">
        <v>33</v>
      </c>
    </row>
    <row r="8" spans="1:17" x14ac:dyDescent="0.25">
      <c r="A8" t="s">
        <v>681</v>
      </c>
      <c r="B8" t="s">
        <v>682</v>
      </c>
      <c r="C8" t="s">
        <v>699</v>
      </c>
      <c r="D8" t="s">
        <v>684</v>
      </c>
      <c r="E8">
        <v>120</v>
      </c>
      <c r="F8">
        <v>3</v>
      </c>
      <c r="G8">
        <v>3.12</v>
      </c>
      <c r="J8" t="s">
        <v>84</v>
      </c>
      <c r="K8">
        <v>179.98927</v>
      </c>
      <c r="L8" t="s">
        <v>700</v>
      </c>
      <c r="M8">
        <v>5.9996423333333331</v>
      </c>
      <c r="O8" t="s">
        <v>701</v>
      </c>
      <c r="P8">
        <v>160</v>
      </c>
      <c r="Q8">
        <v>22</v>
      </c>
    </row>
    <row r="9" spans="1:17" x14ac:dyDescent="0.25">
      <c r="A9" t="s">
        <v>681</v>
      </c>
      <c r="B9" t="s">
        <v>682</v>
      </c>
      <c r="C9" t="s">
        <v>702</v>
      </c>
      <c r="D9" t="s">
        <v>684</v>
      </c>
      <c r="E9">
        <v>252</v>
      </c>
      <c r="F9">
        <v>6.3</v>
      </c>
      <c r="G9">
        <v>80.904196800000008</v>
      </c>
      <c r="J9" t="s">
        <v>697</v>
      </c>
      <c r="K9">
        <v>199.98998</v>
      </c>
      <c r="L9" t="s">
        <v>703</v>
      </c>
      <c r="M9">
        <v>7.9995991999999996</v>
      </c>
      <c r="O9" t="s">
        <v>704</v>
      </c>
      <c r="P9">
        <v>250</v>
      </c>
      <c r="Q9">
        <v>28</v>
      </c>
    </row>
    <row r="10" spans="1:17" x14ac:dyDescent="0.25">
      <c r="A10" t="s">
        <v>681</v>
      </c>
      <c r="B10" t="s">
        <v>682</v>
      </c>
      <c r="C10" t="s">
        <v>114</v>
      </c>
      <c r="D10" t="s">
        <v>684</v>
      </c>
      <c r="E10">
        <v>12</v>
      </c>
      <c r="F10">
        <v>0.3</v>
      </c>
      <c r="G10">
        <v>2.64E-2</v>
      </c>
      <c r="J10" t="s">
        <v>699</v>
      </c>
      <c r="K10">
        <v>650</v>
      </c>
      <c r="L10" t="s">
        <v>703</v>
      </c>
      <c r="M10">
        <v>26</v>
      </c>
    </row>
    <row r="11" spans="1:17" x14ac:dyDescent="0.25">
      <c r="A11" t="s">
        <v>681</v>
      </c>
      <c r="B11" t="s">
        <v>682</v>
      </c>
      <c r="C11" t="s">
        <v>705</v>
      </c>
      <c r="D11" t="s">
        <v>684</v>
      </c>
      <c r="E11">
        <v>108</v>
      </c>
      <c r="F11">
        <v>2.7</v>
      </c>
      <c r="G11">
        <v>38.478857142857137</v>
      </c>
      <c r="J11" t="s">
        <v>138</v>
      </c>
    </row>
    <row r="12" spans="1:17" x14ac:dyDescent="0.25">
      <c r="A12" t="s">
        <v>681</v>
      </c>
      <c r="B12" t="s">
        <v>682</v>
      </c>
      <c r="C12" t="s">
        <v>706</v>
      </c>
      <c r="D12" t="s">
        <v>684</v>
      </c>
      <c r="E12">
        <v>60</v>
      </c>
      <c r="F12" t="s">
        <v>707</v>
      </c>
      <c r="G12">
        <v>12.246600000000001</v>
      </c>
      <c r="J12" t="s">
        <v>708</v>
      </c>
      <c r="K12">
        <v>2351.02</v>
      </c>
      <c r="L12" t="s">
        <v>703</v>
      </c>
      <c r="M12">
        <v>94.040800000000004</v>
      </c>
    </row>
    <row r="13" spans="1:17" x14ac:dyDescent="0.25">
      <c r="E13">
        <v>4060</v>
      </c>
      <c r="G13">
        <v>158.0812251695238</v>
      </c>
      <c r="J13" t="s">
        <v>709</v>
      </c>
      <c r="K13">
        <v>127.95</v>
      </c>
      <c r="L13" t="s">
        <v>688</v>
      </c>
      <c r="M13">
        <v>127.95</v>
      </c>
    </row>
    <row r="14" spans="1:17" x14ac:dyDescent="0.25">
      <c r="J14" t="s">
        <v>706</v>
      </c>
      <c r="K14">
        <v>204.11</v>
      </c>
      <c r="L14" t="s">
        <v>688</v>
      </c>
      <c r="M14">
        <v>204.11</v>
      </c>
    </row>
    <row r="15" spans="1:17" x14ac:dyDescent="0.25">
      <c r="A15" t="s">
        <v>675</v>
      </c>
      <c r="B15" t="s">
        <v>3</v>
      </c>
      <c r="C15" t="s">
        <v>80</v>
      </c>
      <c r="D15" t="s">
        <v>676</v>
      </c>
      <c r="E15" t="s">
        <v>677</v>
      </c>
      <c r="F15" t="s">
        <v>678</v>
      </c>
      <c r="G15" t="s">
        <v>679</v>
      </c>
      <c r="J15" t="s">
        <v>694</v>
      </c>
      <c r="K15">
        <v>569.76</v>
      </c>
      <c r="L15" t="s">
        <v>710</v>
      </c>
      <c r="M15">
        <v>227.904</v>
      </c>
    </row>
    <row r="16" spans="1:17" x14ac:dyDescent="0.25">
      <c r="A16" t="s">
        <v>711</v>
      </c>
      <c r="B16" t="s">
        <v>682</v>
      </c>
      <c r="C16" t="s">
        <v>683</v>
      </c>
      <c r="D16" t="s">
        <v>684</v>
      </c>
      <c r="E16">
        <v>2716</v>
      </c>
      <c r="F16">
        <v>67.900000000000006</v>
      </c>
      <c r="G16">
        <v>12.7652</v>
      </c>
      <c r="J16" t="s">
        <v>702</v>
      </c>
      <c r="K16">
        <v>8026.21</v>
      </c>
      <c r="L16" t="s">
        <v>703</v>
      </c>
      <c r="M16">
        <v>321.04840000000002</v>
      </c>
    </row>
    <row r="17" spans="1:13" x14ac:dyDescent="0.25">
      <c r="A17" t="s">
        <v>711</v>
      </c>
      <c r="B17" t="s">
        <v>682</v>
      </c>
      <c r="C17" t="s">
        <v>687</v>
      </c>
      <c r="D17" t="s">
        <v>684</v>
      </c>
      <c r="E17">
        <v>120</v>
      </c>
      <c r="F17">
        <v>3</v>
      </c>
      <c r="G17">
        <v>3</v>
      </c>
      <c r="J17" t="s">
        <v>705</v>
      </c>
      <c r="K17">
        <v>1247</v>
      </c>
      <c r="L17" t="s">
        <v>712</v>
      </c>
      <c r="M17">
        <v>356.28571428571428</v>
      </c>
    </row>
    <row r="18" spans="1:13" x14ac:dyDescent="0.25">
      <c r="A18" t="s">
        <v>711</v>
      </c>
      <c r="B18" t="s">
        <v>682</v>
      </c>
      <c r="C18" t="s">
        <v>690</v>
      </c>
      <c r="D18" t="s">
        <v>684</v>
      </c>
      <c r="E18">
        <v>360</v>
      </c>
      <c r="F18">
        <v>9</v>
      </c>
      <c r="G18">
        <v>1.008</v>
      </c>
      <c r="J18" t="s">
        <v>713</v>
      </c>
      <c r="K18">
        <v>2645.99</v>
      </c>
      <c r="L18" t="s">
        <v>703</v>
      </c>
      <c r="M18">
        <v>105.8396</v>
      </c>
    </row>
    <row r="19" spans="1:13" x14ac:dyDescent="0.25">
      <c r="A19" t="s">
        <v>711</v>
      </c>
      <c r="B19" t="s">
        <v>682</v>
      </c>
      <c r="C19" t="s">
        <v>84</v>
      </c>
      <c r="D19" t="s">
        <v>684</v>
      </c>
      <c r="E19">
        <v>160</v>
      </c>
      <c r="F19">
        <v>4</v>
      </c>
      <c r="G19">
        <v>0.95994277333333333</v>
      </c>
      <c r="J19" t="s">
        <v>714</v>
      </c>
      <c r="K19">
        <v>171.08</v>
      </c>
      <c r="L19" t="s">
        <v>715</v>
      </c>
      <c r="M19">
        <v>57.026666666666671</v>
      </c>
    </row>
    <row r="20" spans="1:13" x14ac:dyDescent="0.25">
      <c r="A20" t="s">
        <v>711</v>
      </c>
      <c r="B20" t="s">
        <v>682</v>
      </c>
      <c r="C20" t="s">
        <v>694</v>
      </c>
      <c r="D20" t="s">
        <v>684</v>
      </c>
      <c r="E20">
        <v>20</v>
      </c>
      <c r="F20">
        <v>0.5</v>
      </c>
      <c r="G20">
        <v>4.5580800000000004</v>
      </c>
      <c r="J20" t="s">
        <v>716</v>
      </c>
    </row>
    <row r="21" spans="1:13" x14ac:dyDescent="0.25">
      <c r="A21" t="s">
        <v>711</v>
      </c>
      <c r="B21" t="s">
        <v>682</v>
      </c>
      <c r="C21" t="s">
        <v>697</v>
      </c>
      <c r="D21" t="s">
        <v>684</v>
      </c>
      <c r="E21">
        <v>240</v>
      </c>
      <c r="F21">
        <v>6</v>
      </c>
      <c r="G21">
        <v>1.9199038079999999</v>
      </c>
      <c r="J21" t="s">
        <v>717</v>
      </c>
    </row>
    <row r="22" spans="1:13" x14ac:dyDescent="0.25">
      <c r="A22" t="s">
        <v>711</v>
      </c>
      <c r="B22" t="s">
        <v>682</v>
      </c>
      <c r="C22" t="s">
        <v>699</v>
      </c>
      <c r="D22" t="s">
        <v>684</v>
      </c>
      <c r="E22">
        <v>120</v>
      </c>
      <c r="F22">
        <v>3</v>
      </c>
      <c r="G22">
        <v>3.12</v>
      </c>
      <c r="J22" t="s">
        <v>718</v>
      </c>
      <c r="K22">
        <v>211</v>
      </c>
      <c r="L22" t="s">
        <v>719</v>
      </c>
      <c r="M22">
        <v>21.530612244897959</v>
      </c>
    </row>
    <row r="23" spans="1:13" x14ac:dyDescent="0.25">
      <c r="A23" t="s">
        <v>711</v>
      </c>
      <c r="B23" t="s">
        <v>682</v>
      </c>
      <c r="C23" t="s">
        <v>713</v>
      </c>
      <c r="D23" t="s">
        <v>684</v>
      </c>
      <c r="E23">
        <v>260</v>
      </c>
      <c r="F23">
        <v>6.5</v>
      </c>
      <c r="G23">
        <v>27.518295999999999</v>
      </c>
      <c r="J23" t="s">
        <v>720</v>
      </c>
      <c r="K23">
        <v>151.19999999999999</v>
      </c>
      <c r="L23" t="s">
        <v>721</v>
      </c>
      <c r="M23">
        <v>71.999999999999986</v>
      </c>
    </row>
    <row r="24" spans="1:13" x14ac:dyDescent="0.25">
      <c r="A24" t="s">
        <v>711</v>
      </c>
      <c r="B24" t="s">
        <v>682</v>
      </c>
      <c r="C24" t="s">
        <v>114</v>
      </c>
      <c r="D24" t="s">
        <v>684</v>
      </c>
      <c r="E24">
        <v>8</v>
      </c>
      <c r="F24">
        <v>0.2</v>
      </c>
      <c r="G24">
        <v>1.7600000000000001E-2</v>
      </c>
      <c r="J24" t="s">
        <v>722</v>
      </c>
      <c r="K24">
        <v>195.02</v>
      </c>
      <c r="L24" t="s">
        <v>723</v>
      </c>
      <c r="M24">
        <v>97.51</v>
      </c>
    </row>
    <row r="25" spans="1:13" x14ac:dyDescent="0.25">
      <c r="A25" t="s">
        <v>711</v>
      </c>
      <c r="B25" t="s">
        <v>682</v>
      </c>
      <c r="C25" t="s">
        <v>714</v>
      </c>
      <c r="D25" t="s">
        <v>684</v>
      </c>
      <c r="E25">
        <v>300</v>
      </c>
      <c r="F25" t="s">
        <v>707</v>
      </c>
      <c r="G25">
        <v>17.108000000000001</v>
      </c>
      <c r="J25" t="s">
        <v>92</v>
      </c>
      <c r="K25">
        <v>416.99</v>
      </c>
      <c r="L25" t="s">
        <v>688</v>
      </c>
      <c r="M25">
        <v>416.99</v>
      </c>
    </row>
    <row r="26" spans="1:13" x14ac:dyDescent="0.25">
      <c r="A26" t="s">
        <v>711</v>
      </c>
      <c r="B26" t="s">
        <v>682</v>
      </c>
      <c r="C26" t="s">
        <v>709</v>
      </c>
      <c r="D26" t="s">
        <v>684</v>
      </c>
      <c r="E26">
        <v>52</v>
      </c>
      <c r="F26" t="s">
        <v>707</v>
      </c>
      <c r="G26">
        <v>6.6534000000000004</v>
      </c>
      <c r="J26" t="s">
        <v>124</v>
      </c>
      <c r="K26">
        <v>184</v>
      </c>
      <c r="L26" t="s">
        <v>715</v>
      </c>
      <c r="M26">
        <v>61.333333333333343</v>
      </c>
    </row>
    <row r="27" spans="1:13" x14ac:dyDescent="0.25">
      <c r="E27">
        <v>4356</v>
      </c>
      <c r="G27">
        <v>78.628422581333339</v>
      </c>
    </row>
    <row r="28" spans="1:13" x14ac:dyDescent="0.25">
      <c r="J28" t="s">
        <v>724</v>
      </c>
      <c r="K28">
        <v>145.43</v>
      </c>
      <c r="L28" t="s">
        <v>725</v>
      </c>
      <c r="M28">
        <v>44.747692307692311</v>
      </c>
    </row>
    <row r="29" spans="1:13" x14ac:dyDescent="0.25">
      <c r="A29" t="s">
        <v>675</v>
      </c>
      <c r="B29" t="s">
        <v>3</v>
      </c>
      <c r="C29" t="s">
        <v>80</v>
      </c>
      <c r="D29" t="s">
        <v>676</v>
      </c>
      <c r="E29" t="s">
        <v>677</v>
      </c>
      <c r="F29" t="s">
        <v>678</v>
      </c>
      <c r="G29" t="s">
        <v>679</v>
      </c>
      <c r="J29" t="s">
        <v>726</v>
      </c>
      <c r="K29">
        <v>94.07</v>
      </c>
      <c r="L29" t="s">
        <v>692</v>
      </c>
      <c r="M29">
        <v>18.814</v>
      </c>
    </row>
    <row r="30" spans="1:13" x14ac:dyDescent="0.25">
      <c r="A30" t="s">
        <v>727</v>
      </c>
      <c r="B30" t="s">
        <v>682</v>
      </c>
      <c r="C30" t="s">
        <v>683</v>
      </c>
      <c r="D30" t="s">
        <v>684</v>
      </c>
      <c r="E30">
        <v>2860</v>
      </c>
      <c r="F30">
        <v>71.5</v>
      </c>
      <c r="J30" t="s">
        <v>728</v>
      </c>
      <c r="K30">
        <v>89.99</v>
      </c>
      <c r="L30" t="s">
        <v>729</v>
      </c>
      <c r="M30">
        <v>89.99</v>
      </c>
    </row>
    <row r="31" spans="1:13" x14ac:dyDescent="0.25">
      <c r="A31" t="s">
        <v>727</v>
      </c>
      <c r="B31" t="s">
        <v>682</v>
      </c>
      <c r="C31" t="s">
        <v>687</v>
      </c>
      <c r="D31" t="s">
        <v>684</v>
      </c>
      <c r="E31">
        <v>152</v>
      </c>
      <c r="F31">
        <v>3.8</v>
      </c>
      <c r="J31" t="s">
        <v>730</v>
      </c>
      <c r="K31">
        <v>143.52099999999999</v>
      </c>
      <c r="L31" t="s">
        <v>712</v>
      </c>
      <c r="M31">
        <v>41.005999999999993</v>
      </c>
    </row>
    <row r="32" spans="1:13" x14ac:dyDescent="0.25">
      <c r="A32" t="s">
        <v>727</v>
      </c>
      <c r="B32" t="s">
        <v>682</v>
      </c>
      <c r="C32" t="s">
        <v>690</v>
      </c>
      <c r="D32" t="s">
        <v>684</v>
      </c>
      <c r="E32">
        <v>380</v>
      </c>
      <c r="F32">
        <v>9.5</v>
      </c>
      <c r="J32" t="s">
        <v>731</v>
      </c>
      <c r="K32">
        <v>2175</v>
      </c>
      <c r="L32" t="s">
        <v>703</v>
      </c>
      <c r="M32">
        <v>87</v>
      </c>
    </row>
    <row r="33" spans="1:13" x14ac:dyDescent="0.25">
      <c r="A33" t="s">
        <v>727</v>
      </c>
      <c r="B33" t="s">
        <v>682</v>
      </c>
      <c r="C33" t="s">
        <v>84</v>
      </c>
      <c r="D33" t="s">
        <v>684</v>
      </c>
      <c r="E33">
        <v>116</v>
      </c>
      <c r="F33">
        <v>2.9</v>
      </c>
      <c r="J33" t="s">
        <v>732</v>
      </c>
      <c r="K33">
        <v>120.54</v>
      </c>
      <c r="L33" t="s">
        <v>733</v>
      </c>
      <c r="M33">
        <v>24.108000000000001</v>
      </c>
    </row>
    <row r="34" spans="1:13" x14ac:dyDescent="0.25">
      <c r="A34" t="s">
        <v>727</v>
      </c>
      <c r="B34" t="s">
        <v>682</v>
      </c>
      <c r="C34" t="s">
        <v>694</v>
      </c>
      <c r="D34" t="s">
        <v>684</v>
      </c>
      <c r="E34">
        <v>20</v>
      </c>
      <c r="F34">
        <v>0.5</v>
      </c>
    </row>
    <row r="35" spans="1:13" x14ac:dyDescent="0.25">
      <c r="A35" t="s">
        <v>727</v>
      </c>
      <c r="B35" t="s">
        <v>682</v>
      </c>
      <c r="C35" t="s">
        <v>697</v>
      </c>
      <c r="D35" t="s">
        <v>684</v>
      </c>
      <c r="E35">
        <v>172</v>
      </c>
      <c r="F35">
        <v>4.3</v>
      </c>
    </row>
    <row r="36" spans="1:13" x14ac:dyDescent="0.25">
      <c r="A36" t="s">
        <v>727</v>
      </c>
      <c r="B36" t="s">
        <v>682</v>
      </c>
      <c r="C36" t="s">
        <v>699</v>
      </c>
      <c r="D36" t="s">
        <v>684</v>
      </c>
      <c r="E36">
        <v>116</v>
      </c>
      <c r="F36">
        <v>2.9</v>
      </c>
    </row>
    <row r="37" spans="1:13" x14ac:dyDescent="0.25">
      <c r="A37" t="s">
        <v>727</v>
      </c>
      <c r="B37" t="s">
        <v>682</v>
      </c>
      <c r="C37" t="s">
        <v>716</v>
      </c>
      <c r="D37" t="s">
        <v>684</v>
      </c>
      <c r="E37">
        <v>188</v>
      </c>
      <c r="F37">
        <v>4.7</v>
      </c>
    </row>
    <row r="38" spans="1:13" x14ac:dyDescent="0.25">
      <c r="A38" t="s">
        <v>727</v>
      </c>
      <c r="B38" t="s">
        <v>682</v>
      </c>
      <c r="C38" t="s">
        <v>717</v>
      </c>
      <c r="D38" t="s">
        <v>684</v>
      </c>
      <c r="E38">
        <v>300</v>
      </c>
      <c r="F38" t="s">
        <v>707</v>
      </c>
    </row>
    <row r="39" spans="1:13" x14ac:dyDescent="0.25">
      <c r="A39" t="s">
        <v>727</v>
      </c>
      <c r="B39" t="s">
        <v>682</v>
      </c>
      <c r="C39" t="s">
        <v>138</v>
      </c>
      <c r="D39" t="s">
        <v>684</v>
      </c>
      <c r="E39">
        <v>100</v>
      </c>
      <c r="F39" t="s">
        <v>707</v>
      </c>
    </row>
    <row r="42" spans="1:13" x14ac:dyDescent="0.25">
      <c r="A42" t="s">
        <v>675</v>
      </c>
      <c r="B42" t="s">
        <v>3</v>
      </c>
      <c r="C42" t="s">
        <v>80</v>
      </c>
      <c r="D42" t="s">
        <v>676</v>
      </c>
      <c r="E42" t="s">
        <v>677</v>
      </c>
      <c r="F42" t="s">
        <v>678</v>
      </c>
      <c r="G42" t="s">
        <v>679</v>
      </c>
    </row>
    <row r="43" spans="1:13" x14ac:dyDescent="0.25">
      <c r="A43" t="s">
        <v>718</v>
      </c>
      <c r="B43" t="s">
        <v>682</v>
      </c>
      <c r="C43" t="s">
        <v>683</v>
      </c>
      <c r="D43" t="s">
        <v>684</v>
      </c>
      <c r="E43">
        <v>576</v>
      </c>
      <c r="F43">
        <v>14.4</v>
      </c>
    </row>
    <row r="44" spans="1:13" x14ac:dyDescent="0.25">
      <c r="A44" t="s">
        <v>718</v>
      </c>
      <c r="B44" t="s">
        <v>682</v>
      </c>
      <c r="C44" t="s">
        <v>687</v>
      </c>
      <c r="D44" t="s">
        <v>684</v>
      </c>
      <c r="E44">
        <v>180</v>
      </c>
      <c r="F44">
        <v>4.5</v>
      </c>
    </row>
    <row r="45" spans="1:13" x14ac:dyDescent="0.25">
      <c r="A45" t="s">
        <v>718</v>
      </c>
      <c r="B45" t="s">
        <v>682</v>
      </c>
      <c r="C45" t="s">
        <v>690</v>
      </c>
      <c r="D45" t="s">
        <v>684</v>
      </c>
      <c r="E45">
        <v>0</v>
      </c>
      <c r="F45">
        <v>0</v>
      </c>
    </row>
    <row r="46" spans="1:13" x14ac:dyDescent="0.25">
      <c r="A46" t="s">
        <v>718</v>
      </c>
      <c r="B46" t="s">
        <v>682</v>
      </c>
      <c r="C46" t="s">
        <v>84</v>
      </c>
      <c r="D46" t="s">
        <v>684</v>
      </c>
      <c r="E46">
        <v>18</v>
      </c>
      <c r="F46">
        <v>0.45</v>
      </c>
    </row>
    <row r="47" spans="1:13" x14ac:dyDescent="0.25">
      <c r="A47" t="s">
        <v>718</v>
      </c>
      <c r="B47" t="s">
        <v>682</v>
      </c>
      <c r="C47" t="s">
        <v>697</v>
      </c>
      <c r="D47" t="s">
        <v>684</v>
      </c>
      <c r="E47">
        <v>160</v>
      </c>
      <c r="F47">
        <v>4</v>
      </c>
    </row>
    <row r="48" spans="1:13" x14ac:dyDescent="0.25">
      <c r="A48" t="s">
        <v>718</v>
      </c>
      <c r="B48" t="s">
        <v>682</v>
      </c>
      <c r="C48" t="s">
        <v>734</v>
      </c>
      <c r="D48" t="s">
        <v>684</v>
      </c>
      <c r="E48">
        <v>240</v>
      </c>
      <c r="F48">
        <v>6</v>
      </c>
    </row>
    <row r="49" spans="1:7" x14ac:dyDescent="0.25">
      <c r="A49" t="s">
        <v>718</v>
      </c>
      <c r="B49" t="s">
        <v>682</v>
      </c>
      <c r="C49" t="s">
        <v>694</v>
      </c>
      <c r="D49" t="s">
        <v>684</v>
      </c>
      <c r="E49">
        <v>20</v>
      </c>
      <c r="F49">
        <v>0.5</v>
      </c>
    </row>
    <row r="50" spans="1:7" x14ac:dyDescent="0.25">
      <c r="A50" t="s">
        <v>718</v>
      </c>
      <c r="B50" t="s">
        <v>682</v>
      </c>
      <c r="C50" t="s">
        <v>718</v>
      </c>
      <c r="D50" t="s">
        <v>684</v>
      </c>
      <c r="E50">
        <v>1400</v>
      </c>
      <c r="F50">
        <v>35</v>
      </c>
    </row>
    <row r="51" spans="1:7" x14ac:dyDescent="0.25">
      <c r="A51" t="s">
        <v>718</v>
      </c>
      <c r="B51" t="s">
        <v>682</v>
      </c>
      <c r="C51" t="s">
        <v>735</v>
      </c>
      <c r="D51" t="s">
        <v>684</v>
      </c>
      <c r="E51">
        <v>1400</v>
      </c>
      <c r="F51">
        <v>35</v>
      </c>
    </row>
    <row r="52" spans="1:7" x14ac:dyDescent="0.25">
      <c r="A52" t="s">
        <v>718</v>
      </c>
      <c r="B52" t="s">
        <v>682</v>
      </c>
      <c r="C52" t="s">
        <v>114</v>
      </c>
      <c r="D52" t="s">
        <v>684</v>
      </c>
      <c r="E52">
        <v>6</v>
      </c>
      <c r="F52">
        <v>0.15</v>
      </c>
    </row>
    <row r="53" spans="1:7" x14ac:dyDescent="0.25">
      <c r="A53" t="s">
        <v>718</v>
      </c>
      <c r="B53" t="s">
        <v>682</v>
      </c>
      <c r="C53" t="s">
        <v>149</v>
      </c>
      <c r="D53" t="s">
        <v>684</v>
      </c>
      <c r="E53">
        <v>200</v>
      </c>
      <c r="F53" t="s">
        <v>707</v>
      </c>
    </row>
    <row r="56" spans="1:7" x14ac:dyDescent="0.25">
      <c r="A56" t="s">
        <v>675</v>
      </c>
      <c r="B56" t="s">
        <v>3</v>
      </c>
      <c r="C56" t="s">
        <v>80</v>
      </c>
      <c r="D56" t="s">
        <v>676</v>
      </c>
      <c r="E56" t="s">
        <v>677</v>
      </c>
      <c r="F56" t="s">
        <v>678</v>
      </c>
      <c r="G56" t="s">
        <v>679</v>
      </c>
    </row>
    <row r="57" spans="1:7" x14ac:dyDescent="0.25">
      <c r="A57" t="s">
        <v>736</v>
      </c>
      <c r="B57" t="s">
        <v>682</v>
      </c>
      <c r="C57" t="s">
        <v>683</v>
      </c>
      <c r="D57" t="s">
        <v>684</v>
      </c>
      <c r="E57">
        <v>2620</v>
      </c>
      <c r="F57">
        <v>65.5</v>
      </c>
    </row>
    <row r="58" spans="1:7" x14ac:dyDescent="0.25">
      <c r="A58" t="s">
        <v>736</v>
      </c>
      <c r="B58" t="s">
        <v>682</v>
      </c>
      <c r="C58" t="s">
        <v>687</v>
      </c>
      <c r="D58" t="s">
        <v>684</v>
      </c>
      <c r="E58">
        <v>80</v>
      </c>
      <c r="F58">
        <v>2</v>
      </c>
    </row>
    <row r="59" spans="1:7" x14ac:dyDescent="0.25">
      <c r="A59" t="s">
        <v>736</v>
      </c>
      <c r="B59" t="s">
        <v>682</v>
      </c>
      <c r="C59" t="s">
        <v>690</v>
      </c>
      <c r="D59" t="s">
        <v>684</v>
      </c>
      <c r="E59">
        <v>0</v>
      </c>
      <c r="F59">
        <v>0</v>
      </c>
    </row>
    <row r="60" spans="1:7" x14ac:dyDescent="0.25">
      <c r="A60" t="s">
        <v>736</v>
      </c>
      <c r="B60" t="s">
        <v>682</v>
      </c>
      <c r="C60" t="s">
        <v>84</v>
      </c>
      <c r="D60" t="s">
        <v>684</v>
      </c>
      <c r="E60">
        <v>80</v>
      </c>
      <c r="F60">
        <v>2</v>
      </c>
    </row>
    <row r="61" spans="1:7" x14ac:dyDescent="0.25">
      <c r="A61" t="s">
        <v>736</v>
      </c>
      <c r="B61" t="s">
        <v>682</v>
      </c>
      <c r="C61" t="s">
        <v>694</v>
      </c>
      <c r="D61" t="s">
        <v>684</v>
      </c>
      <c r="E61">
        <v>20</v>
      </c>
      <c r="F61">
        <v>0.5</v>
      </c>
    </row>
    <row r="62" spans="1:7" x14ac:dyDescent="0.25">
      <c r="A62" t="s">
        <v>736</v>
      </c>
      <c r="B62" t="s">
        <v>682</v>
      </c>
      <c r="C62" t="s">
        <v>697</v>
      </c>
      <c r="D62" t="s">
        <v>684</v>
      </c>
      <c r="E62">
        <v>140</v>
      </c>
      <c r="F62">
        <v>3.5</v>
      </c>
    </row>
    <row r="63" spans="1:7" x14ac:dyDescent="0.25">
      <c r="A63" t="s">
        <v>736</v>
      </c>
      <c r="B63" t="s">
        <v>682</v>
      </c>
      <c r="C63" t="s">
        <v>699</v>
      </c>
      <c r="D63" t="s">
        <v>684</v>
      </c>
      <c r="E63">
        <v>100</v>
      </c>
      <c r="F63">
        <v>2.5</v>
      </c>
    </row>
    <row r="64" spans="1:7" x14ac:dyDescent="0.25">
      <c r="A64" t="s">
        <v>736</v>
      </c>
      <c r="B64" t="s">
        <v>682</v>
      </c>
      <c r="C64" t="s">
        <v>720</v>
      </c>
      <c r="D64" t="s">
        <v>684</v>
      </c>
      <c r="E64">
        <v>800</v>
      </c>
      <c r="F64">
        <v>20</v>
      </c>
    </row>
    <row r="65" spans="1:7" x14ac:dyDescent="0.25">
      <c r="A65" t="s">
        <v>736</v>
      </c>
      <c r="B65" t="s">
        <v>682</v>
      </c>
      <c r="C65" t="s">
        <v>708</v>
      </c>
      <c r="D65" t="s">
        <v>684</v>
      </c>
      <c r="E65">
        <v>160</v>
      </c>
      <c r="F65">
        <v>4</v>
      </c>
    </row>
    <row r="66" spans="1:7" x14ac:dyDescent="0.25">
      <c r="A66" t="s">
        <v>736</v>
      </c>
      <c r="B66" t="s">
        <v>682</v>
      </c>
      <c r="C66" t="s">
        <v>720</v>
      </c>
      <c r="D66" t="s">
        <v>684</v>
      </c>
      <c r="E66">
        <v>40</v>
      </c>
      <c r="F66" t="s">
        <v>707</v>
      </c>
    </row>
    <row r="68" spans="1:7" x14ac:dyDescent="0.25">
      <c r="A68" t="s">
        <v>675</v>
      </c>
      <c r="B68" t="s">
        <v>3</v>
      </c>
      <c r="C68" t="s">
        <v>80</v>
      </c>
      <c r="D68" t="s">
        <v>676</v>
      </c>
      <c r="E68" t="s">
        <v>677</v>
      </c>
      <c r="F68" t="s">
        <v>678</v>
      </c>
      <c r="G68" t="s">
        <v>679</v>
      </c>
    </row>
    <row r="69" spans="1:7" x14ac:dyDescent="0.25">
      <c r="A69" t="s">
        <v>737</v>
      </c>
      <c r="B69" t="s">
        <v>682</v>
      </c>
      <c r="C69" t="s">
        <v>683</v>
      </c>
      <c r="D69" t="s">
        <v>684</v>
      </c>
      <c r="E69">
        <v>2760</v>
      </c>
      <c r="F69">
        <v>69</v>
      </c>
    </row>
    <row r="70" spans="1:7" x14ac:dyDescent="0.25">
      <c r="A70" t="s">
        <v>737</v>
      </c>
      <c r="B70" t="s">
        <v>682</v>
      </c>
      <c r="C70" t="s">
        <v>687</v>
      </c>
      <c r="D70" t="s">
        <v>684</v>
      </c>
      <c r="E70">
        <v>320</v>
      </c>
      <c r="F70">
        <v>8</v>
      </c>
    </row>
    <row r="71" spans="1:7" x14ac:dyDescent="0.25">
      <c r="A71" t="s">
        <v>737</v>
      </c>
      <c r="B71" t="s">
        <v>682</v>
      </c>
      <c r="C71" t="s">
        <v>690</v>
      </c>
      <c r="D71" t="s">
        <v>684</v>
      </c>
      <c r="E71">
        <v>480</v>
      </c>
      <c r="F71">
        <v>12</v>
      </c>
    </row>
    <row r="72" spans="1:7" x14ac:dyDescent="0.25">
      <c r="A72" t="s">
        <v>737</v>
      </c>
      <c r="B72" t="s">
        <v>682</v>
      </c>
      <c r="C72" t="s">
        <v>84</v>
      </c>
      <c r="D72" t="s">
        <v>684</v>
      </c>
      <c r="E72">
        <v>120</v>
      </c>
      <c r="F72">
        <v>3</v>
      </c>
    </row>
    <row r="73" spans="1:7" x14ac:dyDescent="0.25">
      <c r="A73" t="s">
        <v>737</v>
      </c>
      <c r="B73" t="s">
        <v>682</v>
      </c>
      <c r="C73" t="s">
        <v>694</v>
      </c>
      <c r="D73" t="s">
        <v>684</v>
      </c>
      <c r="E73">
        <v>20</v>
      </c>
      <c r="F73">
        <v>0.5</v>
      </c>
    </row>
    <row r="74" spans="1:7" x14ac:dyDescent="0.25">
      <c r="A74" t="s">
        <v>737</v>
      </c>
      <c r="B74" t="s">
        <v>682</v>
      </c>
      <c r="C74" t="s">
        <v>697</v>
      </c>
      <c r="D74" t="s">
        <v>684</v>
      </c>
      <c r="E74">
        <v>180</v>
      </c>
      <c r="F74">
        <v>4.5</v>
      </c>
    </row>
    <row r="75" spans="1:7" x14ac:dyDescent="0.25">
      <c r="A75" t="s">
        <v>737</v>
      </c>
      <c r="B75" t="s">
        <v>682</v>
      </c>
      <c r="C75" t="s">
        <v>699</v>
      </c>
      <c r="D75" t="s">
        <v>684</v>
      </c>
      <c r="E75">
        <v>120</v>
      </c>
      <c r="F75">
        <v>3</v>
      </c>
    </row>
    <row r="78" spans="1:7" x14ac:dyDescent="0.25">
      <c r="A78" t="s">
        <v>675</v>
      </c>
      <c r="B78" t="s">
        <v>3</v>
      </c>
      <c r="C78" t="s">
        <v>80</v>
      </c>
      <c r="D78" t="s">
        <v>676</v>
      </c>
      <c r="E78" t="s">
        <v>677</v>
      </c>
      <c r="F78" t="s">
        <v>678</v>
      </c>
      <c r="G78" t="s">
        <v>679</v>
      </c>
    </row>
    <row r="79" spans="1:7" x14ac:dyDescent="0.25">
      <c r="A79" t="s">
        <v>738</v>
      </c>
      <c r="B79" t="s">
        <v>682</v>
      </c>
      <c r="C79" t="s">
        <v>683</v>
      </c>
      <c r="D79" t="s">
        <v>684</v>
      </c>
      <c r="E79">
        <v>2660</v>
      </c>
      <c r="F79">
        <v>66.5</v>
      </c>
    </row>
    <row r="80" spans="1:7" x14ac:dyDescent="0.25">
      <c r="A80" t="s">
        <v>738</v>
      </c>
      <c r="B80" t="s">
        <v>682</v>
      </c>
      <c r="C80" t="s">
        <v>687</v>
      </c>
      <c r="D80" t="s">
        <v>684</v>
      </c>
      <c r="E80">
        <v>240</v>
      </c>
      <c r="F80">
        <v>6</v>
      </c>
    </row>
    <row r="81" spans="1:7" x14ac:dyDescent="0.25">
      <c r="A81" t="s">
        <v>738</v>
      </c>
      <c r="B81" t="s">
        <v>682</v>
      </c>
      <c r="C81" t="s">
        <v>690</v>
      </c>
      <c r="D81" t="s">
        <v>684</v>
      </c>
      <c r="E81">
        <v>440</v>
      </c>
      <c r="F81">
        <v>11</v>
      </c>
    </row>
    <row r="82" spans="1:7" x14ac:dyDescent="0.25">
      <c r="A82" t="s">
        <v>738</v>
      </c>
      <c r="B82" t="s">
        <v>682</v>
      </c>
      <c r="C82" t="s">
        <v>84</v>
      </c>
      <c r="D82" t="s">
        <v>684</v>
      </c>
      <c r="E82">
        <v>200</v>
      </c>
      <c r="F82">
        <v>5</v>
      </c>
    </row>
    <row r="83" spans="1:7" x14ac:dyDescent="0.25">
      <c r="A83" t="s">
        <v>738</v>
      </c>
      <c r="B83" t="s">
        <v>682</v>
      </c>
      <c r="C83" t="s">
        <v>694</v>
      </c>
      <c r="D83" t="s">
        <v>684</v>
      </c>
      <c r="E83">
        <v>20</v>
      </c>
      <c r="F83">
        <v>0.5</v>
      </c>
    </row>
    <row r="84" spans="1:7" x14ac:dyDescent="0.25">
      <c r="A84" t="s">
        <v>738</v>
      </c>
      <c r="B84" t="s">
        <v>682</v>
      </c>
      <c r="C84" t="s">
        <v>697</v>
      </c>
      <c r="D84" t="s">
        <v>684</v>
      </c>
      <c r="E84">
        <v>160</v>
      </c>
      <c r="F84">
        <v>4</v>
      </c>
    </row>
    <row r="85" spans="1:7" x14ac:dyDescent="0.25">
      <c r="A85" t="s">
        <v>738</v>
      </c>
      <c r="B85" t="s">
        <v>682</v>
      </c>
      <c r="C85" t="s">
        <v>699</v>
      </c>
      <c r="D85" t="s">
        <v>684</v>
      </c>
      <c r="E85">
        <v>80</v>
      </c>
      <c r="F85">
        <v>2</v>
      </c>
    </row>
    <row r="86" spans="1:7" x14ac:dyDescent="0.25">
      <c r="A86" t="s">
        <v>738</v>
      </c>
      <c r="B86" t="s">
        <v>682</v>
      </c>
      <c r="C86" t="s">
        <v>722</v>
      </c>
      <c r="D86" t="s">
        <v>684</v>
      </c>
      <c r="E86">
        <v>200</v>
      </c>
      <c r="F86">
        <v>5</v>
      </c>
    </row>
    <row r="87" spans="1:7" x14ac:dyDescent="0.25">
      <c r="A87" t="s">
        <v>738</v>
      </c>
      <c r="B87" t="s">
        <v>682</v>
      </c>
      <c r="C87" t="s">
        <v>92</v>
      </c>
      <c r="D87" t="s">
        <v>684</v>
      </c>
      <c r="E87">
        <v>300</v>
      </c>
      <c r="F87" t="s">
        <v>707</v>
      </c>
    </row>
    <row r="90" spans="1:7" x14ac:dyDescent="0.25">
      <c r="A90" t="s">
        <v>675</v>
      </c>
      <c r="B90" t="s">
        <v>3</v>
      </c>
      <c r="C90" t="s">
        <v>80</v>
      </c>
      <c r="D90" t="s">
        <v>676</v>
      </c>
      <c r="E90" t="s">
        <v>677</v>
      </c>
      <c r="F90" t="s">
        <v>678</v>
      </c>
      <c r="G90" t="s">
        <v>679</v>
      </c>
    </row>
    <row r="91" spans="1:7" x14ac:dyDescent="0.25">
      <c r="A91" t="s">
        <v>739</v>
      </c>
      <c r="B91" t="s">
        <v>682</v>
      </c>
      <c r="C91" t="s">
        <v>683</v>
      </c>
      <c r="D91" t="s">
        <v>684</v>
      </c>
      <c r="E91">
        <v>2760</v>
      </c>
      <c r="F91">
        <v>69</v>
      </c>
    </row>
    <row r="92" spans="1:7" x14ac:dyDescent="0.25">
      <c r="A92" t="s">
        <v>739</v>
      </c>
      <c r="B92" t="s">
        <v>682</v>
      </c>
      <c r="C92" t="s">
        <v>687</v>
      </c>
      <c r="D92" t="s">
        <v>684</v>
      </c>
      <c r="E92">
        <v>320</v>
      </c>
      <c r="F92">
        <v>8</v>
      </c>
    </row>
    <row r="93" spans="1:7" x14ac:dyDescent="0.25">
      <c r="A93" t="s">
        <v>739</v>
      </c>
      <c r="B93" t="s">
        <v>682</v>
      </c>
      <c r="C93" t="s">
        <v>690</v>
      </c>
      <c r="D93" t="s">
        <v>684</v>
      </c>
      <c r="E93">
        <v>480</v>
      </c>
      <c r="F93">
        <v>12</v>
      </c>
    </row>
    <row r="94" spans="1:7" x14ac:dyDescent="0.25">
      <c r="A94" t="s">
        <v>739</v>
      </c>
      <c r="B94" t="s">
        <v>682</v>
      </c>
      <c r="C94" t="s">
        <v>84</v>
      </c>
      <c r="D94" t="s">
        <v>684</v>
      </c>
      <c r="E94">
        <v>120</v>
      </c>
      <c r="F94">
        <v>3</v>
      </c>
    </row>
    <row r="95" spans="1:7" x14ac:dyDescent="0.25">
      <c r="A95" t="s">
        <v>739</v>
      </c>
      <c r="B95" t="s">
        <v>682</v>
      </c>
      <c r="C95" t="s">
        <v>694</v>
      </c>
      <c r="D95" t="s">
        <v>684</v>
      </c>
      <c r="E95">
        <v>20</v>
      </c>
      <c r="F95">
        <v>0.5</v>
      </c>
    </row>
    <row r="96" spans="1:7" x14ac:dyDescent="0.25">
      <c r="A96" t="s">
        <v>739</v>
      </c>
      <c r="B96" t="s">
        <v>682</v>
      </c>
      <c r="C96" t="s">
        <v>697</v>
      </c>
      <c r="D96" t="s">
        <v>684</v>
      </c>
      <c r="E96">
        <v>180</v>
      </c>
      <c r="F96">
        <v>4.5</v>
      </c>
    </row>
    <row r="97" spans="1:6" x14ac:dyDescent="0.25">
      <c r="A97" t="s">
        <v>739</v>
      </c>
      <c r="B97" t="s">
        <v>682</v>
      </c>
      <c r="C97" t="s">
        <v>699</v>
      </c>
      <c r="D97" t="s">
        <v>684</v>
      </c>
      <c r="E97">
        <v>120</v>
      </c>
      <c r="F97">
        <v>3</v>
      </c>
    </row>
    <row r="98" spans="1:6" x14ac:dyDescent="0.25">
      <c r="A98" t="s">
        <v>739</v>
      </c>
      <c r="B98" t="s">
        <v>682</v>
      </c>
      <c r="C98" t="s">
        <v>124</v>
      </c>
      <c r="D98" t="s">
        <v>684</v>
      </c>
      <c r="E98">
        <v>400</v>
      </c>
      <c r="F98" t="s">
        <v>707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122"/>
  <sheetViews>
    <sheetView workbookViewId="0"/>
  </sheetViews>
  <sheetFormatPr defaultRowHeight="15" x14ac:dyDescent="0.25"/>
  <sheetData>
    <row r="1" spans="1:4" x14ac:dyDescent="0.25">
      <c r="A1" t="s">
        <v>1</v>
      </c>
      <c r="B1" t="s">
        <v>675</v>
      </c>
      <c r="C1" t="s">
        <v>740</v>
      </c>
      <c r="D1" t="s">
        <v>741</v>
      </c>
    </row>
    <row r="2" spans="1:4" x14ac:dyDescent="0.25">
      <c r="A2" s="89">
        <v>45962</v>
      </c>
      <c r="B2" t="s">
        <v>742</v>
      </c>
      <c r="C2" t="s">
        <v>743</v>
      </c>
      <c r="D2">
        <v>11</v>
      </c>
    </row>
    <row r="3" spans="1:4" x14ac:dyDescent="0.25">
      <c r="A3" s="89">
        <v>45962</v>
      </c>
      <c r="B3" t="s">
        <v>711</v>
      </c>
      <c r="C3" t="s">
        <v>743</v>
      </c>
      <c r="D3">
        <v>11</v>
      </c>
    </row>
    <row r="4" spans="1:4" x14ac:dyDescent="0.25">
      <c r="A4" s="89">
        <v>45962</v>
      </c>
      <c r="B4" t="s">
        <v>744</v>
      </c>
      <c r="C4" t="s">
        <v>743</v>
      </c>
      <c r="D4">
        <v>1</v>
      </c>
    </row>
    <row r="5" spans="1:4" x14ac:dyDescent="0.25">
      <c r="A5" s="89">
        <v>45963</v>
      </c>
      <c r="B5" t="s">
        <v>681</v>
      </c>
      <c r="C5" t="s">
        <v>743</v>
      </c>
      <c r="D5">
        <v>9</v>
      </c>
    </row>
    <row r="6" spans="1:4" x14ac:dyDescent="0.25">
      <c r="A6" s="89">
        <v>45963</v>
      </c>
      <c r="B6" t="s">
        <v>745</v>
      </c>
      <c r="C6" t="s">
        <v>743</v>
      </c>
      <c r="D6">
        <v>7</v>
      </c>
    </row>
    <row r="7" spans="1:4" x14ac:dyDescent="0.25">
      <c r="A7" s="89">
        <v>45963</v>
      </c>
      <c r="B7" t="s">
        <v>746</v>
      </c>
      <c r="C7" t="s">
        <v>743</v>
      </c>
      <c r="D7">
        <v>7</v>
      </c>
    </row>
    <row r="8" spans="1:4" x14ac:dyDescent="0.25">
      <c r="A8" s="89">
        <v>45963</v>
      </c>
      <c r="B8" t="s">
        <v>747</v>
      </c>
      <c r="C8" t="s">
        <v>743</v>
      </c>
      <c r="D8">
        <v>7</v>
      </c>
    </row>
    <row r="9" spans="1:4" x14ac:dyDescent="0.25">
      <c r="A9" s="89">
        <v>45963</v>
      </c>
      <c r="B9" t="s">
        <v>748</v>
      </c>
      <c r="C9" t="s">
        <v>743</v>
      </c>
      <c r="D9">
        <v>1</v>
      </c>
    </row>
    <row r="10" spans="1:4" x14ac:dyDescent="0.25">
      <c r="A10" s="89">
        <v>45963</v>
      </c>
      <c r="B10" t="s">
        <v>749</v>
      </c>
      <c r="C10" t="s">
        <v>743</v>
      </c>
      <c r="D10">
        <v>9</v>
      </c>
    </row>
    <row r="11" spans="1:4" x14ac:dyDescent="0.25">
      <c r="A11" s="89">
        <v>45963</v>
      </c>
      <c r="B11" t="s">
        <v>750</v>
      </c>
      <c r="C11" t="s">
        <v>743</v>
      </c>
      <c r="D11">
        <v>1</v>
      </c>
    </row>
    <row r="12" spans="1:4" x14ac:dyDescent="0.25">
      <c r="A12" s="89">
        <v>45963</v>
      </c>
      <c r="B12" t="s">
        <v>751</v>
      </c>
      <c r="C12" t="s">
        <v>743</v>
      </c>
      <c r="D12">
        <v>1</v>
      </c>
    </row>
    <row r="13" spans="1:4" x14ac:dyDescent="0.25">
      <c r="A13" s="89">
        <v>45967</v>
      </c>
      <c r="B13" t="s">
        <v>752</v>
      </c>
      <c r="C13" t="s">
        <v>743</v>
      </c>
      <c r="D13">
        <v>1</v>
      </c>
    </row>
    <row r="14" spans="1:4" x14ac:dyDescent="0.25">
      <c r="A14" s="89">
        <v>45968</v>
      </c>
      <c r="B14" t="s">
        <v>753</v>
      </c>
      <c r="C14" t="s">
        <v>743</v>
      </c>
      <c r="D14">
        <v>4</v>
      </c>
    </row>
    <row r="15" spans="1:4" x14ac:dyDescent="0.25">
      <c r="A15" s="89">
        <v>45968</v>
      </c>
      <c r="B15" t="s">
        <v>754</v>
      </c>
      <c r="C15" t="s">
        <v>743</v>
      </c>
      <c r="D15">
        <v>6</v>
      </c>
    </row>
    <row r="16" spans="1:4" x14ac:dyDescent="0.25">
      <c r="A16" s="89">
        <v>45968</v>
      </c>
      <c r="B16" t="s">
        <v>755</v>
      </c>
      <c r="C16" t="s">
        <v>743</v>
      </c>
      <c r="D16">
        <v>1</v>
      </c>
    </row>
    <row r="17" spans="1:4" x14ac:dyDescent="0.25">
      <c r="A17" s="89">
        <v>45968</v>
      </c>
      <c r="B17" t="s">
        <v>756</v>
      </c>
      <c r="C17" t="s">
        <v>743</v>
      </c>
      <c r="D17">
        <v>4</v>
      </c>
    </row>
    <row r="18" spans="1:4" x14ac:dyDescent="0.25">
      <c r="A18" s="89">
        <v>45968</v>
      </c>
      <c r="B18" t="s">
        <v>757</v>
      </c>
      <c r="C18" t="s">
        <v>743</v>
      </c>
      <c r="D18">
        <v>2</v>
      </c>
    </row>
    <row r="19" spans="1:4" x14ac:dyDescent="0.25">
      <c r="A19" s="89">
        <v>45968</v>
      </c>
      <c r="B19" t="s">
        <v>758</v>
      </c>
      <c r="C19" t="s">
        <v>743</v>
      </c>
      <c r="D19">
        <v>2</v>
      </c>
    </row>
    <row r="20" spans="1:4" x14ac:dyDescent="0.25">
      <c r="A20" s="89">
        <v>45968</v>
      </c>
      <c r="B20" t="s">
        <v>759</v>
      </c>
      <c r="C20" t="s">
        <v>743</v>
      </c>
      <c r="D20">
        <v>8</v>
      </c>
    </row>
    <row r="21" spans="1:4" x14ac:dyDescent="0.25">
      <c r="A21" s="89">
        <v>45968</v>
      </c>
      <c r="B21" t="s">
        <v>760</v>
      </c>
      <c r="C21" t="s">
        <v>743</v>
      </c>
      <c r="D21">
        <v>5</v>
      </c>
    </row>
    <row r="22" spans="1:4" x14ac:dyDescent="0.25">
      <c r="A22" s="89">
        <v>45968</v>
      </c>
      <c r="B22" t="s">
        <v>761</v>
      </c>
      <c r="C22" t="s">
        <v>743</v>
      </c>
      <c r="D22">
        <v>1</v>
      </c>
    </row>
    <row r="23" spans="1:4" x14ac:dyDescent="0.25">
      <c r="A23" s="89">
        <v>45971</v>
      </c>
      <c r="B23" t="s">
        <v>762</v>
      </c>
      <c r="C23" t="s">
        <v>763</v>
      </c>
      <c r="D23">
        <v>1</v>
      </c>
    </row>
    <row r="24" spans="1:4" x14ac:dyDescent="0.25">
      <c r="A24" s="89">
        <v>45971</v>
      </c>
      <c r="B24" t="s">
        <v>757</v>
      </c>
      <c r="C24" t="s">
        <v>763</v>
      </c>
      <c r="D24">
        <v>1</v>
      </c>
    </row>
    <row r="25" spans="1:4" x14ac:dyDescent="0.25">
      <c r="A25" s="89">
        <v>45973</v>
      </c>
      <c r="B25" t="s">
        <v>764</v>
      </c>
      <c r="C25" t="s">
        <v>765</v>
      </c>
      <c r="D25">
        <v>1</v>
      </c>
    </row>
    <row r="26" spans="1:4" x14ac:dyDescent="0.25">
      <c r="A26" s="89">
        <v>45974</v>
      </c>
      <c r="B26" t="s">
        <v>766</v>
      </c>
      <c r="C26" t="s">
        <v>743</v>
      </c>
      <c r="D26">
        <v>1</v>
      </c>
    </row>
    <row r="27" spans="1:4" x14ac:dyDescent="0.25">
      <c r="A27" s="89">
        <v>45974</v>
      </c>
      <c r="B27" t="s">
        <v>767</v>
      </c>
      <c r="C27" t="s">
        <v>743</v>
      </c>
      <c r="D27">
        <v>1</v>
      </c>
    </row>
    <row r="28" spans="1:4" x14ac:dyDescent="0.25">
      <c r="A28" s="89">
        <v>45974</v>
      </c>
      <c r="B28" t="s">
        <v>156</v>
      </c>
      <c r="C28" t="s">
        <v>743</v>
      </c>
      <c r="D28">
        <v>1</v>
      </c>
    </row>
    <row r="29" spans="1:4" x14ac:dyDescent="0.25">
      <c r="A29" s="89">
        <v>45974</v>
      </c>
      <c r="B29" t="s">
        <v>768</v>
      </c>
      <c r="C29" t="s">
        <v>743</v>
      </c>
      <c r="D29">
        <v>1</v>
      </c>
    </row>
    <row r="30" spans="1:4" x14ac:dyDescent="0.25">
      <c r="A30" s="89">
        <v>45974</v>
      </c>
      <c r="B30" t="s">
        <v>769</v>
      </c>
      <c r="C30" t="s">
        <v>743</v>
      </c>
      <c r="D30">
        <v>1</v>
      </c>
    </row>
    <row r="31" spans="1:4" x14ac:dyDescent="0.25">
      <c r="A31" s="89">
        <v>45974</v>
      </c>
      <c r="B31" t="s">
        <v>770</v>
      </c>
      <c r="C31" t="s">
        <v>743</v>
      </c>
      <c r="D31">
        <v>1</v>
      </c>
    </row>
    <row r="32" spans="1:4" x14ac:dyDescent="0.25">
      <c r="A32" s="89">
        <v>45974</v>
      </c>
      <c r="B32" t="s">
        <v>771</v>
      </c>
      <c r="C32" t="s">
        <v>743</v>
      </c>
      <c r="D32">
        <v>1</v>
      </c>
    </row>
    <row r="33" spans="1:4" x14ac:dyDescent="0.25">
      <c r="A33" s="89">
        <v>45974</v>
      </c>
      <c r="B33" t="s">
        <v>772</v>
      </c>
      <c r="C33" t="s">
        <v>743</v>
      </c>
      <c r="D33">
        <v>1</v>
      </c>
    </row>
    <row r="34" spans="1:4" x14ac:dyDescent="0.25">
      <c r="A34" s="89">
        <v>45979</v>
      </c>
      <c r="B34" t="s">
        <v>737</v>
      </c>
      <c r="C34" t="s">
        <v>763</v>
      </c>
      <c r="D34">
        <v>1</v>
      </c>
    </row>
    <row r="35" spans="1:4" x14ac:dyDescent="0.25">
      <c r="A35" s="89">
        <v>45979</v>
      </c>
      <c r="B35" t="s">
        <v>736</v>
      </c>
      <c r="C35" t="s">
        <v>763</v>
      </c>
      <c r="D35">
        <v>1</v>
      </c>
    </row>
    <row r="36" spans="1:4" x14ac:dyDescent="0.25">
      <c r="A36" s="89">
        <v>45981</v>
      </c>
      <c r="B36" t="s">
        <v>773</v>
      </c>
      <c r="C36" t="s">
        <v>765</v>
      </c>
      <c r="D36">
        <v>1</v>
      </c>
    </row>
    <row r="37" spans="1:4" x14ac:dyDescent="0.25">
      <c r="A37" s="89">
        <v>45981</v>
      </c>
      <c r="B37" t="s">
        <v>774</v>
      </c>
      <c r="C37" t="s">
        <v>765</v>
      </c>
      <c r="D37">
        <v>1</v>
      </c>
    </row>
    <row r="38" spans="1:4" x14ac:dyDescent="0.25">
      <c r="A38" s="89">
        <v>45981</v>
      </c>
      <c r="B38" t="s">
        <v>775</v>
      </c>
      <c r="C38" t="s">
        <v>765</v>
      </c>
      <c r="D38">
        <v>1</v>
      </c>
    </row>
    <row r="39" spans="1:4" x14ac:dyDescent="0.25">
      <c r="A39" s="89">
        <v>45981</v>
      </c>
      <c r="B39" t="s">
        <v>776</v>
      </c>
      <c r="C39" t="s">
        <v>743</v>
      </c>
      <c r="D39">
        <v>5</v>
      </c>
    </row>
    <row r="40" spans="1:4" x14ac:dyDescent="0.25">
      <c r="A40" s="89">
        <v>45981</v>
      </c>
      <c r="B40" t="s">
        <v>777</v>
      </c>
      <c r="C40" t="s">
        <v>743</v>
      </c>
      <c r="D40">
        <v>5</v>
      </c>
    </row>
    <row r="41" spans="1:4" x14ac:dyDescent="0.25">
      <c r="A41" s="89">
        <v>45981</v>
      </c>
      <c r="B41" t="s">
        <v>778</v>
      </c>
      <c r="C41" t="s">
        <v>743</v>
      </c>
      <c r="D41">
        <v>6</v>
      </c>
    </row>
    <row r="42" spans="1:4" x14ac:dyDescent="0.25">
      <c r="A42" s="89">
        <v>45981</v>
      </c>
      <c r="B42" t="s">
        <v>779</v>
      </c>
      <c r="C42" t="s">
        <v>743</v>
      </c>
      <c r="D42">
        <v>6</v>
      </c>
    </row>
    <row r="43" spans="1:4" x14ac:dyDescent="0.25">
      <c r="A43" s="89">
        <v>45981</v>
      </c>
      <c r="B43" t="s">
        <v>780</v>
      </c>
      <c r="C43" t="s">
        <v>743</v>
      </c>
      <c r="D43">
        <v>6</v>
      </c>
    </row>
    <row r="44" spans="1:4" x14ac:dyDescent="0.25">
      <c r="A44" s="89">
        <v>45981</v>
      </c>
      <c r="B44" t="s">
        <v>781</v>
      </c>
      <c r="C44" t="s">
        <v>743</v>
      </c>
      <c r="D44">
        <v>1</v>
      </c>
    </row>
    <row r="45" spans="1:4" x14ac:dyDescent="0.25">
      <c r="A45" s="89">
        <v>45981</v>
      </c>
      <c r="B45" t="s">
        <v>782</v>
      </c>
      <c r="C45" t="s">
        <v>743</v>
      </c>
      <c r="D45">
        <v>2</v>
      </c>
    </row>
    <row r="46" spans="1:4" x14ac:dyDescent="0.25">
      <c r="A46" s="89">
        <v>45982</v>
      </c>
      <c r="B46" t="s">
        <v>774</v>
      </c>
      <c r="C46" t="s">
        <v>765</v>
      </c>
      <c r="D46">
        <v>1</v>
      </c>
    </row>
    <row r="47" spans="1:4" x14ac:dyDescent="0.25">
      <c r="A47" s="89">
        <v>45982</v>
      </c>
      <c r="B47" t="s">
        <v>783</v>
      </c>
      <c r="C47" t="s">
        <v>765</v>
      </c>
      <c r="D47">
        <v>1</v>
      </c>
    </row>
    <row r="48" spans="1:4" x14ac:dyDescent="0.25">
      <c r="A48" s="89">
        <v>45982</v>
      </c>
      <c r="B48" t="s">
        <v>711</v>
      </c>
      <c r="C48" t="s">
        <v>765</v>
      </c>
      <c r="D48">
        <v>1</v>
      </c>
    </row>
    <row r="49" spans="1:4" x14ac:dyDescent="0.25">
      <c r="A49" s="89">
        <v>45982</v>
      </c>
      <c r="B49" t="s">
        <v>751</v>
      </c>
      <c r="C49" t="s">
        <v>743</v>
      </c>
      <c r="D49">
        <v>2</v>
      </c>
    </row>
    <row r="50" spans="1:4" x14ac:dyDescent="0.25">
      <c r="A50" s="89">
        <v>45984</v>
      </c>
      <c r="B50" t="s">
        <v>784</v>
      </c>
      <c r="C50" t="s">
        <v>765</v>
      </c>
      <c r="D50">
        <v>1</v>
      </c>
    </row>
    <row r="51" spans="1:4" x14ac:dyDescent="0.25">
      <c r="A51" s="89">
        <v>45985</v>
      </c>
      <c r="B51" t="s">
        <v>747</v>
      </c>
      <c r="C51" t="s">
        <v>763</v>
      </c>
      <c r="D51">
        <v>1</v>
      </c>
    </row>
    <row r="52" spans="1:4" x14ac:dyDescent="0.25">
      <c r="A52" s="89">
        <v>45985</v>
      </c>
      <c r="B52" t="s">
        <v>759</v>
      </c>
      <c r="C52" t="s">
        <v>763</v>
      </c>
      <c r="D52">
        <v>1</v>
      </c>
    </row>
    <row r="53" spans="1:4" x14ac:dyDescent="0.25">
      <c r="A53" s="89">
        <v>45986</v>
      </c>
      <c r="B53" t="s">
        <v>785</v>
      </c>
      <c r="C53" t="s">
        <v>765</v>
      </c>
      <c r="D53">
        <v>1</v>
      </c>
    </row>
    <row r="54" spans="1:4" x14ac:dyDescent="0.25">
      <c r="A54" s="89">
        <v>45986</v>
      </c>
      <c r="B54" t="s">
        <v>786</v>
      </c>
      <c r="C54" t="s">
        <v>765</v>
      </c>
      <c r="D54">
        <v>1</v>
      </c>
    </row>
    <row r="55" spans="1:4" x14ac:dyDescent="0.25">
      <c r="A55" s="89">
        <v>45987</v>
      </c>
      <c r="B55" t="s">
        <v>787</v>
      </c>
      <c r="C55" t="s">
        <v>765</v>
      </c>
      <c r="D55">
        <v>1</v>
      </c>
    </row>
    <row r="56" spans="1:4" x14ac:dyDescent="0.25">
      <c r="A56" s="89">
        <v>45987</v>
      </c>
      <c r="B56" t="s">
        <v>788</v>
      </c>
      <c r="C56" t="s">
        <v>765</v>
      </c>
      <c r="D56">
        <v>1</v>
      </c>
    </row>
    <row r="57" spans="1:4" x14ac:dyDescent="0.25">
      <c r="A57" s="89">
        <v>45988</v>
      </c>
      <c r="B57" t="s">
        <v>760</v>
      </c>
      <c r="C57" t="s">
        <v>743</v>
      </c>
      <c r="D57">
        <v>1</v>
      </c>
    </row>
    <row r="58" spans="1:4" x14ac:dyDescent="0.25">
      <c r="A58" s="89">
        <v>45988</v>
      </c>
      <c r="B58" t="s">
        <v>789</v>
      </c>
      <c r="C58" t="s">
        <v>743</v>
      </c>
      <c r="D58">
        <v>1</v>
      </c>
    </row>
    <row r="59" spans="1:4" x14ac:dyDescent="0.25">
      <c r="A59" s="89">
        <v>45988</v>
      </c>
      <c r="B59" t="s">
        <v>790</v>
      </c>
      <c r="C59" t="s">
        <v>743</v>
      </c>
      <c r="D59">
        <v>1</v>
      </c>
    </row>
    <row r="60" spans="1:4" x14ac:dyDescent="0.25">
      <c r="A60" s="89">
        <v>45988</v>
      </c>
      <c r="B60" t="s">
        <v>791</v>
      </c>
      <c r="C60" t="s">
        <v>743</v>
      </c>
      <c r="D60">
        <v>1</v>
      </c>
    </row>
    <row r="61" spans="1:4" x14ac:dyDescent="0.25">
      <c r="A61" s="89">
        <v>45989</v>
      </c>
      <c r="B61" t="s">
        <v>792</v>
      </c>
      <c r="C61" t="s">
        <v>743</v>
      </c>
      <c r="D61">
        <v>1</v>
      </c>
    </row>
    <row r="62" spans="1:4" x14ac:dyDescent="0.25">
      <c r="A62" s="89">
        <v>45989</v>
      </c>
      <c r="B62" t="s">
        <v>789</v>
      </c>
      <c r="C62" t="s">
        <v>743</v>
      </c>
      <c r="D62">
        <v>1</v>
      </c>
    </row>
    <row r="63" spans="1:4" x14ac:dyDescent="0.25">
      <c r="A63" s="89">
        <v>45989</v>
      </c>
      <c r="B63" t="s">
        <v>790</v>
      </c>
      <c r="C63" t="s">
        <v>743</v>
      </c>
      <c r="D63">
        <v>1</v>
      </c>
    </row>
    <row r="64" spans="1:4" x14ac:dyDescent="0.25">
      <c r="A64" s="89">
        <v>45989</v>
      </c>
      <c r="B64" t="s">
        <v>791</v>
      </c>
      <c r="C64" t="s">
        <v>743</v>
      </c>
      <c r="D64">
        <v>1</v>
      </c>
    </row>
    <row r="65" spans="1:4" x14ac:dyDescent="0.25">
      <c r="A65" s="89">
        <v>45989</v>
      </c>
      <c r="B65" t="s">
        <v>793</v>
      </c>
      <c r="C65" t="s">
        <v>743</v>
      </c>
      <c r="D65">
        <v>1</v>
      </c>
    </row>
    <row r="66" spans="1:4" x14ac:dyDescent="0.25">
      <c r="A66" s="89">
        <v>45989</v>
      </c>
      <c r="B66" t="s">
        <v>794</v>
      </c>
      <c r="C66" t="s">
        <v>743</v>
      </c>
      <c r="D66">
        <v>1</v>
      </c>
    </row>
    <row r="67" spans="1:4" x14ac:dyDescent="0.25">
      <c r="A67" s="89">
        <v>45990</v>
      </c>
      <c r="B67" t="s">
        <v>774</v>
      </c>
      <c r="C67" t="s">
        <v>763</v>
      </c>
      <c r="D67">
        <v>1</v>
      </c>
    </row>
    <row r="68" spans="1:4" x14ac:dyDescent="0.25">
      <c r="A68" s="89">
        <v>45990</v>
      </c>
      <c r="B68" t="s">
        <v>783</v>
      </c>
      <c r="C68" t="s">
        <v>763</v>
      </c>
      <c r="D68">
        <v>1</v>
      </c>
    </row>
    <row r="69" spans="1:4" x14ac:dyDescent="0.25">
      <c r="A69" s="89">
        <v>45990</v>
      </c>
      <c r="B69" t="s">
        <v>795</v>
      </c>
      <c r="C69" t="s">
        <v>763</v>
      </c>
      <c r="D69">
        <v>1</v>
      </c>
    </row>
    <row r="70" spans="1:4" x14ac:dyDescent="0.25">
      <c r="A70" s="89">
        <v>45990</v>
      </c>
      <c r="B70" t="s">
        <v>742</v>
      </c>
      <c r="C70" t="s">
        <v>763</v>
      </c>
      <c r="D70">
        <v>2</v>
      </c>
    </row>
    <row r="71" spans="1:4" x14ac:dyDescent="0.25">
      <c r="A71" s="89">
        <v>45990</v>
      </c>
      <c r="B71" t="s">
        <v>711</v>
      </c>
      <c r="C71" t="s">
        <v>763</v>
      </c>
      <c r="D71">
        <v>1</v>
      </c>
    </row>
    <row r="72" spans="1:4" x14ac:dyDescent="0.25">
      <c r="A72" s="89">
        <v>45990</v>
      </c>
      <c r="B72" t="s">
        <v>796</v>
      </c>
      <c r="C72" t="s">
        <v>763</v>
      </c>
      <c r="D72">
        <v>2</v>
      </c>
    </row>
    <row r="73" spans="1:4" x14ac:dyDescent="0.25">
      <c r="A73" s="89">
        <v>45990</v>
      </c>
      <c r="B73" t="s">
        <v>739</v>
      </c>
      <c r="C73" t="s">
        <v>763</v>
      </c>
      <c r="D73">
        <v>1</v>
      </c>
    </row>
    <row r="74" spans="1:4" x14ac:dyDescent="0.25">
      <c r="A74" s="89">
        <v>45990</v>
      </c>
      <c r="B74" t="s">
        <v>797</v>
      </c>
      <c r="C74" t="s">
        <v>763</v>
      </c>
      <c r="D74">
        <v>2</v>
      </c>
    </row>
    <row r="75" spans="1:4" x14ac:dyDescent="0.25">
      <c r="A75" s="89">
        <v>45990</v>
      </c>
      <c r="B75" t="s">
        <v>798</v>
      </c>
      <c r="C75" t="s">
        <v>763</v>
      </c>
      <c r="D75">
        <v>1</v>
      </c>
    </row>
    <row r="76" spans="1:4" x14ac:dyDescent="0.25">
      <c r="A76" s="89">
        <v>45990</v>
      </c>
      <c r="B76" t="s">
        <v>711</v>
      </c>
      <c r="C76" t="s">
        <v>763</v>
      </c>
      <c r="D76">
        <v>1</v>
      </c>
    </row>
    <row r="77" spans="1:4" x14ac:dyDescent="0.25">
      <c r="A77" s="89">
        <v>45990</v>
      </c>
      <c r="B77" t="s">
        <v>736</v>
      </c>
      <c r="C77" t="s">
        <v>763</v>
      </c>
      <c r="D77">
        <v>1</v>
      </c>
    </row>
    <row r="78" spans="1:4" x14ac:dyDescent="0.25">
      <c r="A78" s="89">
        <v>45990</v>
      </c>
      <c r="B78" t="s">
        <v>681</v>
      </c>
      <c r="C78" t="s">
        <v>763</v>
      </c>
      <c r="D78">
        <v>1</v>
      </c>
    </row>
    <row r="79" spans="1:4" x14ac:dyDescent="0.25">
      <c r="A79" s="89">
        <v>45990</v>
      </c>
      <c r="B79" t="s">
        <v>149</v>
      </c>
      <c r="C79" t="s">
        <v>763</v>
      </c>
      <c r="D79">
        <v>1</v>
      </c>
    </row>
    <row r="80" spans="1:4" x14ac:dyDescent="0.25">
      <c r="A80" s="89">
        <v>45990</v>
      </c>
      <c r="B80" t="s">
        <v>263</v>
      </c>
      <c r="C80" t="s">
        <v>763</v>
      </c>
      <c r="D80">
        <v>1</v>
      </c>
    </row>
    <row r="81" spans="1:4" x14ac:dyDescent="0.25">
      <c r="A81" s="89">
        <v>45991</v>
      </c>
      <c r="B81" t="s">
        <v>799</v>
      </c>
      <c r="C81" t="s">
        <v>743</v>
      </c>
      <c r="D81">
        <v>1</v>
      </c>
    </row>
    <row r="82" spans="1:4" x14ac:dyDescent="0.25">
      <c r="A82" s="89">
        <v>45991</v>
      </c>
      <c r="B82" t="s">
        <v>800</v>
      </c>
      <c r="C82" t="s">
        <v>743</v>
      </c>
      <c r="D82">
        <v>1</v>
      </c>
    </row>
    <row r="83" spans="1:4" x14ac:dyDescent="0.25">
      <c r="A83" s="89">
        <v>45991</v>
      </c>
      <c r="B83" t="s">
        <v>801</v>
      </c>
      <c r="C83" t="s">
        <v>743</v>
      </c>
      <c r="D83">
        <v>1</v>
      </c>
    </row>
    <row r="84" spans="1:4" x14ac:dyDescent="0.25">
      <c r="A84" s="89">
        <v>45991</v>
      </c>
      <c r="B84" t="s">
        <v>681</v>
      </c>
      <c r="C84" t="s">
        <v>743</v>
      </c>
      <c r="D84">
        <v>1</v>
      </c>
    </row>
    <row r="85" spans="1:4" x14ac:dyDescent="0.25">
      <c r="A85" s="89">
        <v>45991</v>
      </c>
      <c r="B85" t="s">
        <v>802</v>
      </c>
      <c r="C85" t="s">
        <v>743</v>
      </c>
      <c r="D85">
        <v>1</v>
      </c>
    </row>
    <row r="86" spans="1:4" x14ac:dyDescent="0.25">
      <c r="A86" s="89">
        <v>45991</v>
      </c>
      <c r="B86" t="s">
        <v>803</v>
      </c>
      <c r="C86" t="s">
        <v>743</v>
      </c>
      <c r="D86">
        <v>2</v>
      </c>
    </row>
    <row r="87" spans="1:4" x14ac:dyDescent="0.25">
      <c r="A87" s="89">
        <v>45991</v>
      </c>
      <c r="B87" t="s">
        <v>804</v>
      </c>
      <c r="C87" t="s">
        <v>743</v>
      </c>
      <c r="D87">
        <v>2</v>
      </c>
    </row>
    <row r="88" spans="1:4" x14ac:dyDescent="0.25">
      <c r="A88" s="89">
        <v>45991</v>
      </c>
      <c r="B88" t="s">
        <v>805</v>
      </c>
      <c r="C88" t="s">
        <v>743</v>
      </c>
      <c r="D88">
        <v>1</v>
      </c>
    </row>
    <row r="89" spans="1:4" x14ac:dyDescent="0.25">
      <c r="A89" s="89">
        <v>45991</v>
      </c>
      <c r="B89" t="s">
        <v>739</v>
      </c>
      <c r="C89" t="s">
        <v>743</v>
      </c>
      <c r="D89">
        <v>1</v>
      </c>
    </row>
    <row r="90" spans="1:4" x14ac:dyDescent="0.25">
      <c r="A90" s="89">
        <v>45991</v>
      </c>
      <c r="B90" t="s">
        <v>806</v>
      </c>
      <c r="C90" t="s">
        <v>743</v>
      </c>
      <c r="D90">
        <v>1</v>
      </c>
    </row>
    <row r="91" spans="1:4" x14ac:dyDescent="0.25">
      <c r="A91" s="89">
        <v>45991</v>
      </c>
      <c r="B91" t="s">
        <v>807</v>
      </c>
      <c r="C91" t="s">
        <v>743</v>
      </c>
      <c r="D91">
        <v>1</v>
      </c>
    </row>
    <row r="92" spans="1:4" x14ac:dyDescent="0.25">
      <c r="A92" s="89">
        <v>45991</v>
      </c>
      <c r="B92" t="s">
        <v>681</v>
      </c>
      <c r="C92" t="s">
        <v>743</v>
      </c>
      <c r="D92">
        <v>1</v>
      </c>
    </row>
    <row r="93" spans="1:4" x14ac:dyDescent="0.25">
      <c r="A93" s="89">
        <v>45991</v>
      </c>
      <c r="B93" t="s">
        <v>736</v>
      </c>
      <c r="C93" t="s">
        <v>743</v>
      </c>
      <c r="D93">
        <v>1</v>
      </c>
    </row>
    <row r="94" spans="1:4" x14ac:dyDescent="0.25">
      <c r="A94" s="89">
        <v>45991</v>
      </c>
      <c r="B94" t="s">
        <v>295</v>
      </c>
      <c r="C94" t="s">
        <v>743</v>
      </c>
      <c r="D94">
        <v>1</v>
      </c>
    </row>
    <row r="95" spans="1:4" x14ac:dyDescent="0.25">
      <c r="A95" s="89">
        <v>45992</v>
      </c>
      <c r="B95" t="s">
        <v>808</v>
      </c>
      <c r="C95" t="s">
        <v>763</v>
      </c>
      <c r="D95">
        <v>1</v>
      </c>
    </row>
    <row r="96" spans="1:4" x14ac:dyDescent="0.25">
      <c r="A96" s="89">
        <v>45992</v>
      </c>
      <c r="B96" t="s">
        <v>738</v>
      </c>
      <c r="C96" t="s">
        <v>763</v>
      </c>
      <c r="D96">
        <v>1</v>
      </c>
    </row>
    <row r="97" spans="1:4" x14ac:dyDescent="0.25">
      <c r="A97" s="89">
        <v>45993</v>
      </c>
      <c r="B97" t="s">
        <v>749</v>
      </c>
      <c r="C97" t="s">
        <v>743</v>
      </c>
      <c r="D97">
        <v>1</v>
      </c>
    </row>
    <row r="98" spans="1:4" x14ac:dyDescent="0.25">
      <c r="A98" s="89">
        <v>45994</v>
      </c>
      <c r="B98" t="s">
        <v>809</v>
      </c>
      <c r="C98" t="s">
        <v>765</v>
      </c>
      <c r="D98">
        <v>1</v>
      </c>
    </row>
    <row r="99" spans="1:4" x14ac:dyDescent="0.25">
      <c r="A99" s="89">
        <v>45995</v>
      </c>
      <c r="B99" t="s">
        <v>810</v>
      </c>
      <c r="C99" t="s">
        <v>743</v>
      </c>
      <c r="D99">
        <v>1</v>
      </c>
    </row>
    <row r="100" spans="1:4" x14ac:dyDescent="0.25">
      <c r="A100" s="89">
        <v>45995</v>
      </c>
      <c r="B100" t="s">
        <v>811</v>
      </c>
      <c r="C100" t="s">
        <v>743</v>
      </c>
      <c r="D100">
        <v>1</v>
      </c>
    </row>
    <row r="101" spans="1:4" x14ac:dyDescent="0.25">
      <c r="A101" s="89">
        <v>45995</v>
      </c>
      <c r="B101" t="s">
        <v>812</v>
      </c>
      <c r="C101" t="s">
        <v>743</v>
      </c>
      <c r="D101">
        <v>1</v>
      </c>
    </row>
    <row r="102" spans="1:4" x14ac:dyDescent="0.25">
      <c r="A102" s="89">
        <v>45995</v>
      </c>
      <c r="B102" t="s">
        <v>807</v>
      </c>
      <c r="C102" t="s">
        <v>743</v>
      </c>
      <c r="D102">
        <v>1</v>
      </c>
    </row>
    <row r="103" spans="1:4" x14ac:dyDescent="0.25">
      <c r="A103" s="89">
        <v>45995</v>
      </c>
      <c r="B103" t="s">
        <v>813</v>
      </c>
      <c r="C103" t="s">
        <v>743</v>
      </c>
      <c r="D103">
        <v>1</v>
      </c>
    </row>
    <row r="104" spans="1:4" x14ac:dyDescent="0.25">
      <c r="A104" s="89">
        <v>45995</v>
      </c>
      <c r="B104" t="s">
        <v>814</v>
      </c>
      <c r="C104" t="s">
        <v>743</v>
      </c>
      <c r="D104">
        <v>1</v>
      </c>
    </row>
    <row r="105" spans="1:4" x14ac:dyDescent="0.25">
      <c r="A105" s="89">
        <v>45995</v>
      </c>
      <c r="B105" t="s">
        <v>746</v>
      </c>
      <c r="C105" t="s">
        <v>743</v>
      </c>
      <c r="D105">
        <v>1</v>
      </c>
    </row>
    <row r="106" spans="1:4" x14ac:dyDescent="0.25">
      <c r="A106" s="89">
        <v>45995</v>
      </c>
      <c r="B106" t="s">
        <v>815</v>
      </c>
      <c r="C106" t="s">
        <v>743</v>
      </c>
      <c r="D106">
        <v>2</v>
      </c>
    </row>
    <row r="107" spans="1:4" x14ac:dyDescent="0.25">
      <c r="A107" s="89">
        <v>45995</v>
      </c>
      <c r="B107" t="s">
        <v>816</v>
      </c>
      <c r="C107" t="s">
        <v>743</v>
      </c>
      <c r="D107">
        <v>1</v>
      </c>
    </row>
    <row r="108" spans="1:4" x14ac:dyDescent="0.25">
      <c r="A108" s="89">
        <v>45995</v>
      </c>
      <c r="B108" t="s">
        <v>760</v>
      </c>
      <c r="C108" t="s">
        <v>743</v>
      </c>
      <c r="D108">
        <v>1</v>
      </c>
    </row>
    <row r="109" spans="1:4" x14ac:dyDescent="0.25">
      <c r="A109" s="89">
        <v>45995</v>
      </c>
      <c r="B109" t="s">
        <v>817</v>
      </c>
      <c r="C109" t="s">
        <v>743</v>
      </c>
      <c r="D109">
        <v>1</v>
      </c>
    </row>
    <row r="110" spans="1:4" x14ac:dyDescent="0.25">
      <c r="A110" s="89">
        <v>45995</v>
      </c>
      <c r="B110" t="s">
        <v>781</v>
      </c>
      <c r="C110" t="s">
        <v>743</v>
      </c>
      <c r="D110">
        <v>1</v>
      </c>
    </row>
    <row r="111" spans="1:4" x14ac:dyDescent="0.25">
      <c r="A111" s="89">
        <v>45995</v>
      </c>
      <c r="B111" t="s">
        <v>759</v>
      </c>
      <c r="C111" t="s">
        <v>743</v>
      </c>
      <c r="D111">
        <v>1</v>
      </c>
    </row>
    <row r="112" spans="1:4" x14ac:dyDescent="0.25">
      <c r="A112" s="89">
        <v>45996</v>
      </c>
      <c r="B112" t="s">
        <v>759</v>
      </c>
      <c r="C112" t="s">
        <v>743</v>
      </c>
      <c r="D112">
        <v>1</v>
      </c>
    </row>
    <row r="113" spans="1:4" x14ac:dyDescent="0.25">
      <c r="A113" s="89">
        <v>45996</v>
      </c>
      <c r="B113" t="s">
        <v>814</v>
      </c>
      <c r="C113" t="s">
        <v>743</v>
      </c>
      <c r="D113">
        <v>1</v>
      </c>
    </row>
    <row r="114" spans="1:4" x14ac:dyDescent="0.25">
      <c r="A114" s="89">
        <v>45996</v>
      </c>
      <c r="B114" t="s">
        <v>815</v>
      </c>
      <c r="C114" t="s">
        <v>743</v>
      </c>
      <c r="D114">
        <v>2</v>
      </c>
    </row>
    <row r="115" spans="1:4" x14ac:dyDescent="0.25">
      <c r="A115" s="89">
        <v>45996</v>
      </c>
      <c r="B115" t="s">
        <v>807</v>
      </c>
      <c r="C115" t="s">
        <v>743</v>
      </c>
      <c r="D115">
        <v>1</v>
      </c>
    </row>
    <row r="116" spans="1:4" x14ac:dyDescent="0.25">
      <c r="A116" s="89">
        <v>45996</v>
      </c>
      <c r="B116" t="s">
        <v>774</v>
      </c>
      <c r="C116" t="s">
        <v>743</v>
      </c>
      <c r="D116">
        <v>1</v>
      </c>
    </row>
    <row r="117" spans="1:4" x14ac:dyDescent="0.25">
      <c r="A117" s="89">
        <v>45997</v>
      </c>
      <c r="B117" t="s">
        <v>807</v>
      </c>
      <c r="C117" t="s">
        <v>743</v>
      </c>
      <c r="D117">
        <v>1</v>
      </c>
    </row>
    <row r="118" spans="1:4" x14ac:dyDescent="0.25">
      <c r="A118" s="89">
        <v>45997</v>
      </c>
      <c r="B118" t="s">
        <v>813</v>
      </c>
      <c r="C118" t="s">
        <v>743</v>
      </c>
      <c r="D118">
        <v>1</v>
      </c>
    </row>
    <row r="119" spans="1:4" x14ac:dyDescent="0.25">
      <c r="A119" s="89">
        <v>45997</v>
      </c>
      <c r="B119" t="s">
        <v>815</v>
      </c>
      <c r="C119" t="s">
        <v>743</v>
      </c>
      <c r="D119">
        <v>1</v>
      </c>
    </row>
    <row r="120" spans="1:4" x14ac:dyDescent="0.25">
      <c r="A120" s="89">
        <v>45997</v>
      </c>
      <c r="B120" t="s">
        <v>816</v>
      </c>
      <c r="C120" t="s">
        <v>743</v>
      </c>
      <c r="D120">
        <v>1</v>
      </c>
    </row>
    <row r="121" spans="1:4" x14ac:dyDescent="0.25">
      <c r="A121" s="89">
        <v>45997</v>
      </c>
      <c r="B121" t="s">
        <v>749</v>
      </c>
      <c r="C121" t="s">
        <v>743</v>
      </c>
      <c r="D121">
        <v>1</v>
      </c>
    </row>
    <row r="122" spans="1:4" x14ac:dyDescent="0.25">
      <c r="A122" s="89">
        <v>45997</v>
      </c>
      <c r="B122" t="s">
        <v>817</v>
      </c>
      <c r="C122" t="s">
        <v>743</v>
      </c>
      <c r="D122">
        <v>1</v>
      </c>
    </row>
    <row r="123" spans="1:4" x14ac:dyDescent="0.25">
      <c r="A123" s="89">
        <v>45997</v>
      </c>
      <c r="B123" t="s">
        <v>818</v>
      </c>
      <c r="C123" t="s">
        <v>743</v>
      </c>
      <c r="D123">
        <v>1</v>
      </c>
    </row>
    <row r="124" spans="1:4" x14ac:dyDescent="0.25">
      <c r="A124" s="89">
        <v>45997</v>
      </c>
      <c r="B124" t="s">
        <v>738</v>
      </c>
      <c r="C124" t="s">
        <v>743</v>
      </c>
      <c r="D124">
        <v>1</v>
      </c>
    </row>
    <row r="125" spans="1:4" x14ac:dyDescent="0.25">
      <c r="A125" s="89">
        <v>45997</v>
      </c>
      <c r="B125" t="s">
        <v>711</v>
      </c>
      <c r="C125" t="s">
        <v>743</v>
      </c>
      <c r="D125">
        <v>1</v>
      </c>
    </row>
    <row r="126" spans="1:4" x14ac:dyDescent="0.25">
      <c r="A126" s="89">
        <v>45997</v>
      </c>
      <c r="B126" t="s">
        <v>816</v>
      </c>
      <c r="C126" t="s">
        <v>743</v>
      </c>
      <c r="D126">
        <v>1</v>
      </c>
    </row>
    <row r="127" spans="1:4" x14ac:dyDescent="0.25">
      <c r="A127" s="89">
        <v>45997</v>
      </c>
      <c r="B127" t="s">
        <v>749</v>
      </c>
      <c r="C127" t="s">
        <v>743</v>
      </c>
      <c r="D127">
        <v>1</v>
      </c>
    </row>
    <row r="128" spans="1:4" x14ac:dyDescent="0.25">
      <c r="A128" s="89">
        <v>45997</v>
      </c>
      <c r="B128" t="s">
        <v>754</v>
      </c>
      <c r="C128" t="s">
        <v>743</v>
      </c>
      <c r="D128">
        <v>1</v>
      </c>
    </row>
    <row r="129" spans="1:4" x14ac:dyDescent="0.25">
      <c r="A129" s="89">
        <v>45997</v>
      </c>
      <c r="B129" t="s">
        <v>760</v>
      </c>
      <c r="C129" t="s">
        <v>743</v>
      </c>
      <c r="D129">
        <v>1</v>
      </c>
    </row>
    <row r="130" spans="1:4" x14ac:dyDescent="0.25">
      <c r="A130" s="89">
        <v>45997</v>
      </c>
      <c r="B130" t="s">
        <v>755</v>
      </c>
      <c r="C130" t="s">
        <v>743</v>
      </c>
      <c r="D130">
        <v>1</v>
      </c>
    </row>
    <row r="131" spans="1:4" x14ac:dyDescent="0.25">
      <c r="A131" s="89">
        <v>45998</v>
      </c>
      <c r="B131" t="s">
        <v>760</v>
      </c>
      <c r="C131" t="s">
        <v>743</v>
      </c>
      <c r="D131">
        <v>1</v>
      </c>
    </row>
    <row r="132" spans="1:4" x14ac:dyDescent="0.25">
      <c r="A132" s="89">
        <v>45998</v>
      </c>
      <c r="B132" t="s">
        <v>819</v>
      </c>
      <c r="C132" t="s">
        <v>743</v>
      </c>
      <c r="D132">
        <v>1</v>
      </c>
    </row>
    <row r="133" spans="1:4" x14ac:dyDescent="0.25">
      <c r="A133" s="89">
        <v>45998</v>
      </c>
      <c r="B133" t="s">
        <v>815</v>
      </c>
      <c r="C133" t="s">
        <v>743</v>
      </c>
      <c r="D133">
        <v>2</v>
      </c>
    </row>
    <row r="134" spans="1:4" x14ac:dyDescent="0.25">
      <c r="A134" s="89">
        <v>45998</v>
      </c>
      <c r="B134" t="s">
        <v>812</v>
      </c>
      <c r="C134" t="s">
        <v>743</v>
      </c>
      <c r="D134">
        <v>1</v>
      </c>
    </row>
    <row r="135" spans="1:4" x14ac:dyDescent="0.25">
      <c r="A135" s="89">
        <v>45998</v>
      </c>
      <c r="B135" t="s">
        <v>807</v>
      </c>
      <c r="C135" t="s">
        <v>743</v>
      </c>
      <c r="D135">
        <v>1</v>
      </c>
    </row>
    <row r="136" spans="1:4" x14ac:dyDescent="0.25">
      <c r="A136" s="89">
        <v>45998</v>
      </c>
      <c r="B136" t="s">
        <v>774</v>
      </c>
      <c r="C136" t="s">
        <v>743</v>
      </c>
      <c r="D136">
        <v>1</v>
      </c>
    </row>
    <row r="137" spans="1:4" x14ac:dyDescent="0.25">
      <c r="A137" s="89">
        <v>46000</v>
      </c>
      <c r="B137" t="s">
        <v>783</v>
      </c>
      <c r="C137" t="s">
        <v>765</v>
      </c>
      <c r="D137">
        <v>1</v>
      </c>
    </row>
    <row r="138" spans="1:4" x14ac:dyDescent="0.25">
      <c r="A138" s="89">
        <v>46001</v>
      </c>
      <c r="B138" t="s">
        <v>820</v>
      </c>
      <c r="C138" t="s">
        <v>765</v>
      </c>
      <c r="D138">
        <v>1</v>
      </c>
    </row>
    <row r="139" spans="1:4" x14ac:dyDescent="0.25">
      <c r="A139" s="89">
        <v>46002</v>
      </c>
      <c r="B139" t="s">
        <v>821</v>
      </c>
      <c r="C139" t="s">
        <v>743</v>
      </c>
      <c r="D139">
        <v>3</v>
      </c>
    </row>
    <row r="140" spans="1:4" x14ac:dyDescent="0.25">
      <c r="A140" s="89">
        <v>46002</v>
      </c>
      <c r="B140" t="s">
        <v>822</v>
      </c>
      <c r="C140" t="s">
        <v>743</v>
      </c>
      <c r="D140">
        <v>1</v>
      </c>
    </row>
    <row r="141" spans="1:4" x14ac:dyDescent="0.25">
      <c r="A141" s="89">
        <v>46002</v>
      </c>
      <c r="B141" t="s">
        <v>823</v>
      </c>
      <c r="C141" t="s">
        <v>743</v>
      </c>
      <c r="D141">
        <v>3</v>
      </c>
    </row>
    <row r="142" spans="1:4" x14ac:dyDescent="0.25">
      <c r="A142" s="89">
        <v>46002</v>
      </c>
      <c r="B142" t="s">
        <v>824</v>
      </c>
      <c r="C142" t="s">
        <v>743</v>
      </c>
      <c r="D142">
        <v>2</v>
      </c>
    </row>
    <row r="143" spans="1:4" x14ac:dyDescent="0.25">
      <c r="A143" s="89">
        <v>46002</v>
      </c>
      <c r="B143" t="s">
        <v>772</v>
      </c>
      <c r="C143" t="s">
        <v>743</v>
      </c>
      <c r="D143">
        <v>2</v>
      </c>
    </row>
    <row r="144" spans="1:4" x14ac:dyDescent="0.25">
      <c r="A144" s="89">
        <v>46002</v>
      </c>
      <c r="B144" t="s">
        <v>760</v>
      </c>
      <c r="C144" t="s">
        <v>743</v>
      </c>
      <c r="D144">
        <v>1</v>
      </c>
    </row>
    <row r="145" spans="1:4" x14ac:dyDescent="0.25">
      <c r="A145" s="89">
        <v>46002</v>
      </c>
      <c r="B145" t="s">
        <v>754</v>
      </c>
      <c r="C145" t="s">
        <v>743</v>
      </c>
      <c r="D145">
        <v>1</v>
      </c>
    </row>
    <row r="146" spans="1:4" x14ac:dyDescent="0.25">
      <c r="A146" s="89">
        <v>46002</v>
      </c>
      <c r="B146" t="s">
        <v>825</v>
      </c>
      <c r="C146" t="s">
        <v>743</v>
      </c>
      <c r="D146">
        <v>1</v>
      </c>
    </row>
    <row r="147" spans="1:4" x14ac:dyDescent="0.25">
      <c r="A147" s="89">
        <v>46003</v>
      </c>
      <c r="B147" t="s">
        <v>711</v>
      </c>
      <c r="C147" t="s">
        <v>743</v>
      </c>
      <c r="D147">
        <v>1</v>
      </c>
    </row>
    <row r="148" spans="1:4" x14ac:dyDescent="0.25">
      <c r="A148" s="89">
        <v>46003</v>
      </c>
      <c r="B148" t="s">
        <v>774</v>
      </c>
      <c r="C148" t="s">
        <v>743</v>
      </c>
      <c r="D148">
        <v>1</v>
      </c>
    </row>
    <row r="149" spans="1:4" x14ac:dyDescent="0.25">
      <c r="A149" s="89">
        <v>46003</v>
      </c>
      <c r="B149" t="s">
        <v>783</v>
      </c>
      <c r="C149" t="s">
        <v>743</v>
      </c>
      <c r="D149">
        <v>1</v>
      </c>
    </row>
    <row r="150" spans="1:4" x14ac:dyDescent="0.25">
      <c r="A150" s="89">
        <v>46003</v>
      </c>
      <c r="B150" t="s">
        <v>826</v>
      </c>
      <c r="C150" t="s">
        <v>743</v>
      </c>
      <c r="D150">
        <v>1</v>
      </c>
    </row>
    <row r="151" spans="1:4" x14ac:dyDescent="0.25">
      <c r="A151" s="89">
        <v>46003</v>
      </c>
      <c r="B151" t="s">
        <v>827</v>
      </c>
      <c r="C151" t="s">
        <v>743</v>
      </c>
      <c r="D151">
        <v>1</v>
      </c>
    </row>
    <row r="152" spans="1:4" x14ac:dyDescent="0.25">
      <c r="A152" s="89">
        <v>46003</v>
      </c>
      <c r="B152" t="s">
        <v>825</v>
      </c>
      <c r="C152" t="s">
        <v>743</v>
      </c>
      <c r="D152">
        <v>1</v>
      </c>
    </row>
    <row r="153" spans="1:4" x14ac:dyDescent="0.25">
      <c r="A153" s="89">
        <v>46003</v>
      </c>
      <c r="B153" t="s">
        <v>826</v>
      </c>
      <c r="C153" t="s">
        <v>743</v>
      </c>
      <c r="D153">
        <v>1</v>
      </c>
    </row>
    <row r="154" spans="1:4" x14ac:dyDescent="0.25">
      <c r="A154" s="89">
        <v>46003</v>
      </c>
      <c r="B154" t="s">
        <v>828</v>
      </c>
      <c r="C154" t="s">
        <v>743</v>
      </c>
      <c r="D154">
        <v>1</v>
      </c>
    </row>
    <row r="155" spans="1:4" x14ac:dyDescent="0.25">
      <c r="A155" s="89">
        <v>46003</v>
      </c>
      <c r="B155" t="s">
        <v>829</v>
      </c>
      <c r="C155" t="s">
        <v>743</v>
      </c>
      <c r="D155">
        <v>1</v>
      </c>
    </row>
    <row r="156" spans="1:4" x14ac:dyDescent="0.25">
      <c r="A156" s="89">
        <v>46004</v>
      </c>
      <c r="B156" t="s">
        <v>746</v>
      </c>
      <c r="C156" t="s">
        <v>743</v>
      </c>
      <c r="D156">
        <v>1</v>
      </c>
    </row>
    <row r="157" spans="1:4" x14ac:dyDescent="0.25">
      <c r="A157" s="89">
        <v>46004</v>
      </c>
      <c r="B157" t="s">
        <v>807</v>
      </c>
      <c r="C157" t="s">
        <v>743</v>
      </c>
      <c r="D157">
        <v>1</v>
      </c>
    </row>
    <row r="158" spans="1:4" x14ac:dyDescent="0.25">
      <c r="A158" s="89">
        <v>46004</v>
      </c>
      <c r="B158" t="s">
        <v>749</v>
      </c>
      <c r="C158" t="s">
        <v>743</v>
      </c>
      <c r="D158">
        <v>1</v>
      </c>
    </row>
    <row r="159" spans="1:4" x14ac:dyDescent="0.25">
      <c r="A159" s="89">
        <v>46004</v>
      </c>
      <c r="B159" t="s">
        <v>774</v>
      </c>
      <c r="C159" t="s">
        <v>743</v>
      </c>
      <c r="D159">
        <v>1</v>
      </c>
    </row>
    <row r="160" spans="1:4" x14ac:dyDescent="0.25">
      <c r="A160" s="89">
        <v>46004</v>
      </c>
      <c r="B160" t="s">
        <v>783</v>
      </c>
      <c r="C160" t="s">
        <v>743</v>
      </c>
      <c r="D160">
        <v>1</v>
      </c>
    </row>
    <row r="161" spans="1:4" x14ac:dyDescent="0.25">
      <c r="A161" s="89">
        <v>46004</v>
      </c>
      <c r="B161" t="s">
        <v>830</v>
      </c>
      <c r="C161" t="s">
        <v>743</v>
      </c>
      <c r="D161">
        <v>2</v>
      </c>
    </row>
    <row r="162" spans="1:4" x14ac:dyDescent="0.25">
      <c r="A162" s="89">
        <v>46004</v>
      </c>
      <c r="B162" t="s">
        <v>831</v>
      </c>
      <c r="C162" t="s">
        <v>743</v>
      </c>
      <c r="D162">
        <v>1</v>
      </c>
    </row>
    <row r="163" spans="1:4" x14ac:dyDescent="0.25">
      <c r="A163" s="89">
        <v>46004</v>
      </c>
      <c r="B163" t="s">
        <v>742</v>
      </c>
      <c r="C163" t="s">
        <v>743</v>
      </c>
      <c r="D163">
        <v>1</v>
      </c>
    </row>
    <row r="164" spans="1:4" x14ac:dyDescent="0.25">
      <c r="A164" s="89">
        <v>46004</v>
      </c>
      <c r="B164" t="s">
        <v>812</v>
      </c>
      <c r="C164" t="s">
        <v>743</v>
      </c>
      <c r="D164">
        <v>1</v>
      </c>
    </row>
    <row r="165" spans="1:4" x14ac:dyDescent="0.25">
      <c r="A165" s="89">
        <v>46004</v>
      </c>
      <c r="B165" t="s">
        <v>813</v>
      </c>
      <c r="C165" t="s">
        <v>743</v>
      </c>
      <c r="D165">
        <v>1</v>
      </c>
    </row>
    <row r="166" spans="1:4" x14ac:dyDescent="0.25">
      <c r="A166" s="89">
        <v>46005</v>
      </c>
      <c r="B166" t="s">
        <v>829</v>
      </c>
      <c r="C166" t="s">
        <v>743</v>
      </c>
      <c r="D166">
        <v>1</v>
      </c>
    </row>
    <row r="167" spans="1:4" x14ac:dyDescent="0.25">
      <c r="A167" s="89">
        <v>46005</v>
      </c>
      <c r="B167" t="s">
        <v>831</v>
      </c>
      <c r="C167" t="s">
        <v>743</v>
      </c>
      <c r="D167">
        <v>1</v>
      </c>
    </row>
    <row r="168" spans="1:4" x14ac:dyDescent="0.25">
      <c r="A168" s="89">
        <v>46005</v>
      </c>
      <c r="B168" t="s">
        <v>783</v>
      </c>
      <c r="C168" t="s">
        <v>743</v>
      </c>
      <c r="D168">
        <v>1</v>
      </c>
    </row>
    <row r="169" spans="1:4" x14ac:dyDescent="0.25">
      <c r="A169" s="89">
        <v>46005</v>
      </c>
      <c r="B169" t="s">
        <v>774</v>
      </c>
      <c r="C169" t="s">
        <v>743</v>
      </c>
      <c r="D169">
        <v>1</v>
      </c>
    </row>
    <row r="170" spans="1:4" x14ac:dyDescent="0.25">
      <c r="A170" s="89">
        <v>46005</v>
      </c>
      <c r="B170" t="s">
        <v>812</v>
      </c>
      <c r="C170" t="s">
        <v>743</v>
      </c>
      <c r="D170">
        <v>1</v>
      </c>
    </row>
    <row r="171" spans="1:4" x14ac:dyDescent="0.25">
      <c r="A171" s="89">
        <v>46005</v>
      </c>
      <c r="B171" t="s">
        <v>819</v>
      </c>
      <c r="C171" t="s">
        <v>743</v>
      </c>
      <c r="D171">
        <v>1</v>
      </c>
    </row>
    <row r="172" spans="1:4" x14ac:dyDescent="0.25">
      <c r="A172" s="89">
        <v>46005</v>
      </c>
      <c r="B172" t="s">
        <v>830</v>
      </c>
      <c r="C172" t="s">
        <v>743</v>
      </c>
      <c r="D172">
        <v>2</v>
      </c>
    </row>
    <row r="173" spans="1:4" x14ac:dyDescent="0.25">
      <c r="A173" s="89">
        <v>46005</v>
      </c>
      <c r="B173" t="s">
        <v>742</v>
      </c>
      <c r="C173" t="s">
        <v>743</v>
      </c>
      <c r="D173">
        <v>1</v>
      </c>
    </row>
    <row r="174" spans="1:4" x14ac:dyDescent="0.25">
      <c r="A174" s="89">
        <v>46006</v>
      </c>
      <c r="B174" t="s">
        <v>738</v>
      </c>
      <c r="C174" t="s">
        <v>763</v>
      </c>
      <c r="D174">
        <v>1</v>
      </c>
    </row>
    <row r="175" spans="1:4" x14ac:dyDescent="0.25">
      <c r="A175" s="89">
        <v>46006</v>
      </c>
      <c r="B175" t="s">
        <v>808</v>
      </c>
      <c r="C175" t="s">
        <v>763</v>
      </c>
      <c r="D175">
        <v>1</v>
      </c>
    </row>
    <row r="176" spans="1:4" x14ac:dyDescent="0.25">
      <c r="A176" s="89">
        <v>46007</v>
      </c>
      <c r="B176" t="s">
        <v>819</v>
      </c>
      <c r="C176" t="s">
        <v>743</v>
      </c>
      <c r="D176">
        <v>1</v>
      </c>
    </row>
    <row r="177" spans="1:4" x14ac:dyDescent="0.25">
      <c r="A177" s="89">
        <v>46009</v>
      </c>
      <c r="B177" t="s">
        <v>742</v>
      </c>
      <c r="C177" t="s">
        <v>743</v>
      </c>
      <c r="D177">
        <v>1</v>
      </c>
    </row>
    <row r="178" spans="1:4" x14ac:dyDescent="0.25">
      <c r="A178" s="89">
        <v>46009</v>
      </c>
      <c r="B178" t="s">
        <v>813</v>
      </c>
      <c r="C178" t="s">
        <v>743</v>
      </c>
      <c r="D178">
        <v>1</v>
      </c>
    </row>
    <row r="179" spans="1:4" x14ac:dyDescent="0.25">
      <c r="A179" s="89">
        <v>46009</v>
      </c>
      <c r="B179" t="s">
        <v>832</v>
      </c>
      <c r="C179" t="s">
        <v>743</v>
      </c>
      <c r="D179">
        <v>1</v>
      </c>
    </row>
    <row r="180" spans="1:4" x14ac:dyDescent="0.25">
      <c r="A180" s="89">
        <v>46009</v>
      </c>
      <c r="B180" t="s">
        <v>833</v>
      </c>
      <c r="C180" t="s">
        <v>743</v>
      </c>
      <c r="D180">
        <v>1</v>
      </c>
    </row>
    <row r="181" spans="1:4" x14ac:dyDescent="0.25">
      <c r="A181" s="89">
        <v>46009</v>
      </c>
      <c r="B181" t="s">
        <v>807</v>
      </c>
      <c r="C181" t="s">
        <v>743</v>
      </c>
      <c r="D181">
        <v>1</v>
      </c>
    </row>
    <row r="182" spans="1:4" x14ac:dyDescent="0.25">
      <c r="A182" s="89">
        <v>46009</v>
      </c>
      <c r="B182" t="s">
        <v>749</v>
      </c>
      <c r="C182" t="s">
        <v>743</v>
      </c>
      <c r="D182">
        <v>1</v>
      </c>
    </row>
    <row r="183" spans="1:4" x14ac:dyDescent="0.25">
      <c r="A183" s="89">
        <v>46009</v>
      </c>
      <c r="B183" t="s">
        <v>834</v>
      </c>
      <c r="C183" t="s">
        <v>743</v>
      </c>
      <c r="D183">
        <v>1</v>
      </c>
    </row>
    <row r="184" spans="1:4" x14ac:dyDescent="0.25">
      <c r="A184" s="89">
        <v>46010</v>
      </c>
      <c r="B184" t="s">
        <v>835</v>
      </c>
      <c r="C184" t="s">
        <v>743</v>
      </c>
      <c r="D184">
        <v>1</v>
      </c>
    </row>
    <row r="185" spans="1:4" x14ac:dyDescent="0.25">
      <c r="A185" s="89">
        <v>46010</v>
      </c>
      <c r="B185" t="s">
        <v>832</v>
      </c>
      <c r="C185" t="s">
        <v>743</v>
      </c>
      <c r="D185">
        <v>1</v>
      </c>
    </row>
    <row r="186" spans="1:4" x14ac:dyDescent="0.25">
      <c r="A186" s="89">
        <v>46010</v>
      </c>
      <c r="B186" t="s">
        <v>742</v>
      </c>
      <c r="C186" t="s">
        <v>743</v>
      </c>
      <c r="D186">
        <v>1</v>
      </c>
    </row>
    <row r="187" spans="1:4" x14ac:dyDescent="0.25">
      <c r="A187" s="89">
        <v>46010</v>
      </c>
      <c r="B187" t="s">
        <v>746</v>
      </c>
      <c r="C187" t="s">
        <v>743</v>
      </c>
      <c r="D187">
        <v>1</v>
      </c>
    </row>
    <row r="188" spans="1:4" x14ac:dyDescent="0.25">
      <c r="A188" s="89">
        <v>46010</v>
      </c>
      <c r="B188" t="s">
        <v>807</v>
      </c>
      <c r="C188" t="s">
        <v>743</v>
      </c>
      <c r="D188">
        <v>1</v>
      </c>
    </row>
    <row r="189" spans="1:4" x14ac:dyDescent="0.25">
      <c r="A189" s="89">
        <v>46010</v>
      </c>
      <c r="B189" t="s">
        <v>749</v>
      </c>
      <c r="C189" t="s">
        <v>743</v>
      </c>
      <c r="D189">
        <v>1</v>
      </c>
    </row>
    <row r="190" spans="1:4" x14ac:dyDescent="0.25">
      <c r="A190" s="89">
        <v>46010</v>
      </c>
      <c r="B190" t="s">
        <v>774</v>
      </c>
      <c r="C190" t="s">
        <v>743</v>
      </c>
      <c r="D190">
        <v>1</v>
      </c>
    </row>
    <row r="191" spans="1:4" x14ac:dyDescent="0.25">
      <c r="A191" s="89">
        <v>46010</v>
      </c>
      <c r="B191" t="s">
        <v>759</v>
      </c>
      <c r="C191" t="s">
        <v>743</v>
      </c>
      <c r="D191">
        <v>1</v>
      </c>
    </row>
    <row r="192" spans="1:4" x14ac:dyDescent="0.25">
      <c r="A192" s="89">
        <v>46010</v>
      </c>
      <c r="B192" t="s">
        <v>751</v>
      </c>
      <c r="C192" t="s">
        <v>743</v>
      </c>
      <c r="D192">
        <v>1</v>
      </c>
    </row>
    <row r="193" spans="1:4" x14ac:dyDescent="0.25">
      <c r="A193" s="89">
        <v>46011</v>
      </c>
      <c r="B193" t="s">
        <v>827</v>
      </c>
      <c r="C193" t="s">
        <v>743</v>
      </c>
      <c r="D193">
        <v>1</v>
      </c>
    </row>
    <row r="194" spans="1:4" x14ac:dyDescent="0.25">
      <c r="A194" s="89">
        <v>46011</v>
      </c>
      <c r="B194" t="s">
        <v>835</v>
      </c>
      <c r="C194" t="s">
        <v>743</v>
      </c>
      <c r="D194">
        <v>1</v>
      </c>
    </row>
    <row r="195" spans="1:4" x14ac:dyDescent="0.25">
      <c r="A195" s="89">
        <v>46011</v>
      </c>
      <c r="B195" t="s">
        <v>832</v>
      </c>
      <c r="C195" t="s">
        <v>743</v>
      </c>
      <c r="D195">
        <v>1</v>
      </c>
    </row>
    <row r="196" spans="1:4" x14ac:dyDescent="0.25">
      <c r="A196" s="89">
        <v>46011</v>
      </c>
      <c r="B196" t="s">
        <v>742</v>
      </c>
      <c r="C196" t="s">
        <v>743</v>
      </c>
      <c r="D196">
        <v>1</v>
      </c>
    </row>
    <row r="197" spans="1:4" x14ac:dyDescent="0.25">
      <c r="A197" s="89">
        <v>46011</v>
      </c>
      <c r="B197" t="s">
        <v>813</v>
      </c>
      <c r="C197" t="s">
        <v>743</v>
      </c>
      <c r="D197">
        <v>1</v>
      </c>
    </row>
    <row r="198" spans="1:4" x14ac:dyDescent="0.25">
      <c r="A198" s="89">
        <v>46011</v>
      </c>
      <c r="B198" t="s">
        <v>833</v>
      </c>
      <c r="C198" t="s">
        <v>743</v>
      </c>
      <c r="D198">
        <v>2</v>
      </c>
    </row>
    <row r="199" spans="1:4" x14ac:dyDescent="0.25">
      <c r="A199" s="89">
        <v>46011</v>
      </c>
      <c r="B199" t="s">
        <v>759</v>
      </c>
      <c r="C199" t="s">
        <v>743</v>
      </c>
      <c r="D199">
        <v>1</v>
      </c>
    </row>
    <row r="200" spans="1:4" x14ac:dyDescent="0.25">
      <c r="A200" s="89">
        <v>46011</v>
      </c>
      <c r="B200" t="s">
        <v>760</v>
      </c>
      <c r="C200" t="s">
        <v>743</v>
      </c>
      <c r="D200">
        <v>1</v>
      </c>
    </row>
    <row r="201" spans="1:4" x14ac:dyDescent="0.25">
      <c r="A201" s="89">
        <v>46011</v>
      </c>
      <c r="B201" t="s">
        <v>774</v>
      </c>
      <c r="C201" t="s">
        <v>765</v>
      </c>
      <c r="D201">
        <v>1</v>
      </c>
    </row>
    <row r="202" spans="1:4" x14ac:dyDescent="0.25">
      <c r="A202" s="89">
        <v>46012</v>
      </c>
      <c r="B202" t="s">
        <v>819</v>
      </c>
      <c r="C202" t="s">
        <v>765</v>
      </c>
      <c r="D202">
        <v>1</v>
      </c>
    </row>
    <row r="203" spans="1:4" x14ac:dyDescent="0.25">
      <c r="A203" s="89">
        <v>46012</v>
      </c>
      <c r="B203" t="s">
        <v>746</v>
      </c>
      <c r="C203" t="s">
        <v>765</v>
      </c>
      <c r="D203">
        <v>1</v>
      </c>
    </row>
    <row r="204" spans="1:4" x14ac:dyDescent="0.25">
      <c r="A204" s="89">
        <v>46012</v>
      </c>
      <c r="B204" t="s">
        <v>749</v>
      </c>
      <c r="C204" t="s">
        <v>765</v>
      </c>
      <c r="D204">
        <v>1</v>
      </c>
    </row>
    <row r="205" spans="1:4" x14ac:dyDescent="0.25">
      <c r="A205" s="89">
        <v>46012</v>
      </c>
      <c r="B205" t="s">
        <v>759</v>
      </c>
      <c r="C205" t="s">
        <v>765</v>
      </c>
      <c r="D205">
        <v>1</v>
      </c>
    </row>
    <row r="206" spans="1:4" x14ac:dyDescent="0.25">
      <c r="A206" s="89">
        <v>46012</v>
      </c>
      <c r="B206" t="s">
        <v>835</v>
      </c>
      <c r="C206" t="s">
        <v>765</v>
      </c>
      <c r="D206">
        <v>1</v>
      </c>
    </row>
    <row r="207" spans="1:4" x14ac:dyDescent="0.25">
      <c r="A207" s="89">
        <v>46012</v>
      </c>
      <c r="B207" t="s">
        <v>827</v>
      </c>
      <c r="C207" t="s">
        <v>765</v>
      </c>
      <c r="D207">
        <v>1</v>
      </c>
    </row>
    <row r="208" spans="1:4" x14ac:dyDescent="0.25">
      <c r="A208" s="89">
        <v>46012</v>
      </c>
      <c r="B208" t="s">
        <v>833</v>
      </c>
      <c r="C208" t="s">
        <v>765</v>
      </c>
      <c r="D208">
        <v>2</v>
      </c>
    </row>
    <row r="209" spans="1:4" x14ac:dyDescent="0.25">
      <c r="A209" s="89">
        <v>46012</v>
      </c>
      <c r="B209" t="s">
        <v>832</v>
      </c>
      <c r="C209" t="s">
        <v>765</v>
      </c>
      <c r="D209">
        <v>1</v>
      </c>
    </row>
    <row r="210" spans="1:4" x14ac:dyDescent="0.25">
      <c r="A210" s="89">
        <v>46012</v>
      </c>
      <c r="B210" t="s">
        <v>830</v>
      </c>
      <c r="C210" t="s">
        <v>765</v>
      </c>
      <c r="D210">
        <v>1</v>
      </c>
    </row>
    <row r="211" spans="1:4" x14ac:dyDescent="0.25">
      <c r="A211" s="89">
        <v>46012</v>
      </c>
      <c r="B211" t="s">
        <v>742</v>
      </c>
      <c r="C211" t="s">
        <v>765</v>
      </c>
      <c r="D211">
        <v>1</v>
      </c>
    </row>
    <row r="212" spans="1:4" x14ac:dyDescent="0.25">
      <c r="A212" s="89">
        <v>46012</v>
      </c>
      <c r="B212" t="s">
        <v>836</v>
      </c>
      <c r="C212" t="s">
        <v>765</v>
      </c>
      <c r="D212">
        <v>1</v>
      </c>
    </row>
    <row r="213" spans="1:4" x14ac:dyDescent="0.25">
      <c r="A213" s="89">
        <v>46012</v>
      </c>
      <c r="B213" t="s">
        <v>807</v>
      </c>
      <c r="C213" t="s">
        <v>765</v>
      </c>
      <c r="D213">
        <v>1</v>
      </c>
    </row>
    <row r="214" spans="1:4" x14ac:dyDescent="0.25">
      <c r="A214" s="89">
        <v>46012</v>
      </c>
      <c r="B214" t="s">
        <v>774</v>
      </c>
      <c r="C214" t="s">
        <v>765</v>
      </c>
      <c r="D214">
        <v>1</v>
      </c>
    </row>
    <row r="215" spans="1:4" x14ac:dyDescent="0.25">
      <c r="A215" s="89">
        <v>46012</v>
      </c>
      <c r="B215" t="s">
        <v>760</v>
      </c>
      <c r="C215" t="s">
        <v>765</v>
      </c>
      <c r="D215">
        <v>1</v>
      </c>
    </row>
    <row r="216" spans="1:4" x14ac:dyDescent="0.25">
      <c r="A216" s="89">
        <v>46013</v>
      </c>
      <c r="B216" t="s">
        <v>711</v>
      </c>
      <c r="C216" t="s">
        <v>763</v>
      </c>
      <c r="D216">
        <v>1</v>
      </c>
    </row>
    <row r="217" spans="1:4" x14ac:dyDescent="0.25">
      <c r="A217" s="89">
        <v>46014</v>
      </c>
      <c r="B217" t="s">
        <v>833</v>
      </c>
      <c r="C217" t="s">
        <v>743</v>
      </c>
      <c r="D217">
        <v>2</v>
      </c>
    </row>
    <row r="218" spans="1:4" x14ac:dyDescent="0.25">
      <c r="A218" s="89">
        <v>46014</v>
      </c>
      <c r="B218" t="s">
        <v>759</v>
      </c>
      <c r="C218" t="s">
        <v>743</v>
      </c>
      <c r="D218">
        <v>1</v>
      </c>
    </row>
    <row r="219" spans="1:4" x14ac:dyDescent="0.25">
      <c r="A219" s="89">
        <v>46014</v>
      </c>
      <c r="B219" t="s">
        <v>774</v>
      </c>
      <c r="C219" t="s">
        <v>743</v>
      </c>
      <c r="D219">
        <v>1</v>
      </c>
    </row>
    <row r="220" spans="1:4" x14ac:dyDescent="0.25">
      <c r="A220" s="89">
        <v>46014</v>
      </c>
      <c r="B220" t="s">
        <v>742</v>
      </c>
      <c r="C220" t="s">
        <v>743</v>
      </c>
      <c r="D220">
        <v>1</v>
      </c>
    </row>
    <row r="221" spans="1:4" x14ac:dyDescent="0.25">
      <c r="A221" s="89">
        <v>46014</v>
      </c>
      <c r="B221" t="s">
        <v>746</v>
      </c>
      <c r="C221" t="s">
        <v>743</v>
      </c>
      <c r="D221">
        <v>1</v>
      </c>
    </row>
    <row r="222" spans="1:4" x14ac:dyDescent="0.25">
      <c r="A222" s="89">
        <v>46014</v>
      </c>
      <c r="B222" t="s">
        <v>807</v>
      </c>
      <c r="C222" t="s">
        <v>743</v>
      </c>
      <c r="D222">
        <v>1</v>
      </c>
    </row>
    <row r="223" spans="1:4" x14ac:dyDescent="0.25">
      <c r="A223" s="89">
        <v>46015</v>
      </c>
      <c r="B223" t="s">
        <v>742</v>
      </c>
      <c r="C223" t="s">
        <v>743</v>
      </c>
      <c r="D223">
        <v>1</v>
      </c>
    </row>
    <row r="224" spans="1:4" x14ac:dyDescent="0.25">
      <c r="A224" s="89">
        <v>46015</v>
      </c>
      <c r="B224" t="s">
        <v>738</v>
      </c>
      <c r="C224" t="s">
        <v>743</v>
      </c>
      <c r="D224">
        <v>2</v>
      </c>
    </row>
    <row r="225" spans="1:4" x14ac:dyDescent="0.25">
      <c r="A225" s="89">
        <v>46015</v>
      </c>
      <c r="B225" t="s">
        <v>746</v>
      </c>
      <c r="C225" t="s">
        <v>743</v>
      </c>
      <c r="D225">
        <v>1</v>
      </c>
    </row>
    <row r="226" spans="1:4" x14ac:dyDescent="0.25">
      <c r="A226" s="89">
        <v>46015</v>
      </c>
      <c r="B226" t="s">
        <v>821</v>
      </c>
      <c r="C226" t="s">
        <v>743</v>
      </c>
      <c r="D226">
        <v>1</v>
      </c>
    </row>
    <row r="227" spans="1:4" x14ac:dyDescent="0.25">
      <c r="A227" s="89">
        <v>46015</v>
      </c>
      <c r="B227" t="s">
        <v>833</v>
      </c>
      <c r="C227" t="s">
        <v>743</v>
      </c>
      <c r="D227">
        <v>1</v>
      </c>
    </row>
    <row r="228" spans="1:4" x14ac:dyDescent="0.25">
      <c r="A228" s="89">
        <v>46015</v>
      </c>
      <c r="B228" t="s">
        <v>798</v>
      </c>
      <c r="C228" t="s">
        <v>743</v>
      </c>
      <c r="D228">
        <v>1</v>
      </c>
    </row>
    <row r="229" spans="1:4" x14ac:dyDescent="0.25">
      <c r="A229" s="89">
        <v>46015</v>
      </c>
      <c r="B229" t="s">
        <v>711</v>
      </c>
      <c r="C229" t="s">
        <v>743</v>
      </c>
      <c r="D229">
        <v>1</v>
      </c>
    </row>
    <row r="230" spans="1:4" x14ac:dyDescent="0.25">
      <c r="A230" s="89">
        <v>46015</v>
      </c>
      <c r="B230" t="s">
        <v>749</v>
      </c>
      <c r="C230" t="s">
        <v>743</v>
      </c>
      <c r="D230">
        <v>1</v>
      </c>
    </row>
    <row r="231" spans="1:4" x14ac:dyDescent="0.25">
      <c r="A231" s="89">
        <v>46015</v>
      </c>
      <c r="B231" t="s">
        <v>774</v>
      </c>
      <c r="C231" t="s">
        <v>743</v>
      </c>
      <c r="D231">
        <v>2</v>
      </c>
    </row>
    <row r="232" spans="1:4" x14ac:dyDescent="0.25">
      <c r="A232" s="89">
        <v>46015</v>
      </c>
      <c r="B232" t="s">
        <v>783</v>
      </c>
      <c r="C232" t="s">
        <v>743</v>
      </c>
      <c r="D232">
        <v>1</v>
      </c>
    </row>
    <row r="233" spans="1:4" x14ac:dyDescent="0.25">
      <c r="A233" s="89">
        <v>46015</v>
      </c>
      <c r="B233" t="s">
        <v>751</v>
      </c>
      <c r="C233" t="s">
        <v>743</v>
      </c>
      <c r="D233">
        <v>2</v>
      </c>
    </row>
    <row r="234" spans="1:4" x14ac:dyDescent="0.25">
      <c r="A234" s="89">
        <v>46017</v>
      </c>
      <c r="B234" t="s">
        <v>837</v>
      </c>
      <c r="C234" t="s">
        <v>743</v>
      </c>
      <c r="D234">
        <v>4</v>
      </c>
    </row>
    <row r="235" spans="1:4" x14ac:dyDescent="0.25">
      <c r="A235" s="89">
        <v>46017</v>
      </c>
      <c r="B235" t="s">
        <v>805</v>
      </c>
      <c r="C235" t="s">
        <v>743</v>
      </c>
      <c r="D235">
        <v>2</v>
      </c>
    </row>
    <row r="236" spans="1:4" x14ac:dyDescent="0.25">
      <c r="A236" s="89">
        <v>46017</v>
      </c>
      <c r="B236" t="s">
        <v>838</v>
      </c>
      <c r="C236" t="s">
        <v>743</v>
      </c>
      <c r="D236">
        <v>5</v>
      </c>
    </row>
    <row r="237" spans="1:4" x14ac:dyDescent="0.25">
      <c r="A237" s="89">
        <v>46017</v>
      </c>
      <c r="B237" t="s">
        <v>798</v>
      </c>
      <c r="C237" t="s">
        <v>743</v>
      </c>
      <c r="D237">
        <v>2</v>
      </c>
    </row>
    <row r="238" spans="1:4" x14ac:dyDescent="0.25">
      <c r="A238" s="89">
        <v>46017</v>
      </c>
      <c r="B238" t="s">
        <v>827</v>
      </c>
      <c r="C238" t="s">
        <v>743</v>
      </c>
      <c r="D238">
        <v>3</v>
      </c>
    </row>
    <row r="239" spans="1:4" x14ac:dyDescent="0.25">
      <c r="A239" s="89">
        <v>46017</v>
      </c>
      <c r="B239" t="s">
        <v>749</v>
      </c>
      <c r="C239" t="s">
        <v>743</v>
      </c>
      <c r="D239">
        <v>2</v>
      </c>
    </row>
    <row r="240" spans="1:4" x14ac:dyDescent="0.25">
      <c r="A240" s="89">
        <v>46017</v>
      </c>
      <c r="B240" t="s">
        <v>774</v>
      </c>
      <c r="C240" t="s">
        <v>743</v>
      </c>
      <c r="D240">
        <v>1</v>
      </c>
    </row>
    <row r="241" spans="1:4" x14ac:dyDescent="0.25">
      <c r="A241" s="89">
        <v>46017</v>
      </c>
      <c r="B241" t="s">
        <v>783</v>
      </c>
      <c r="C241" t="s">
        <v>743</v>
      </c>
      <c r="D241">
        <v>4</v>
      </c>
    </row>
    <row r="242" spans="1:4" x14ac:dyDescent="0.25">
      <c r="A242" s="89">
        <v>46017</v>
      </c>
      <c r="B242" t="s">
        <v>839</v>
      </c>
      <c r="C242" t="s">
        <v>743</v>
      </c>
      <c r="D242">
        <v>2</v>
      </c>
    </row>
    <row r="243" spans="1:4" x14ac:dyDescent="0.25">
      <c r="A243" s="89">
        <v>46017</v>
      </c>
      <c r="B243" t="s">
        <v>840</v>
      </c>
      <c r="C243" t="s">
        <v>743</v>
      </c>
      <c r="D243">
        <v>2</v>
      </c>
    </row>
    <row r="244" spans="1:4" x14ac:dyDescent="0.25">
      <c r="A244" s="89">
        <v>46017</v>
      </c>
      <c r="B244" t="s">
        <v>760</v>
      </c>
      <c r="C244" t="s">
        <v>743</v>
      </c>
      <c r="D244">
        <v>3</v>
      </c>
    </row>
    <row r="245" spans="1:4" x14ac:dyDescent="0.25">
      <c r="A245" s="89">
        <v>46018</v>
      </c>
      <c r="B245" t="s">
        <v>841</v>
      </c>
      <c r="C245" t="s">
        <v>743</v>
      </c>
      <c r="D245">
        <v>3</v>
      </c>
    </row>
    <row r="246" spans="1:4" x14ac:dyDescent="0.25">
      <c r="A246" s="89">
        <v>46018</v>
      </c>
      <c r="B246" t="s">
        <v>742</v>
      </c>
      <c r="C246" t="s">
        <v>743</v>
      </c>
      <c r="D246">
        <v>2</v>
      </c>
    </row>
    <row r="247" spans="1:4" x14ac:dyDescent="0.25">
      <c r="A247" s="89">
        <v>46018</v>
      </c>
      <c r="B247" t="s">
        <v>747</v>
      </c>
      <c r="C247" t="s">
        <v>743</v>
      </c>
      <c r="D247">
        <v>2</v>
      </c>
    </row>
    <row r="248" spans="1:4" x14ac:dyDescent="0.25">
      <c r="A248" s="89">
        <v>46018</v>
      </c>
      <c r="B248" t="s">
        <v>746</v>
      </c>
      <c r="C248" t="s">
        <v>743</v>
      </c>
      <c r="D248">
        <v>3</v>
      </c>
    </row>
    <row r="249" spans="1:4" x14ac:dyDescent="0.25">
      <c r="A249" s="89">
        <v>46018</v>
      </c>
      <c r="B249" t="s">
        <v>711</v>
      </c>
      <c r="C249" t="s">
        <v>743</v>
      </c>
      <c r="D249">
        <v>3</v>
      </c>
    </row>
    <row r="250" spans="1:4" x14ac:dyDescent="0.25">
      <c r="A250" s="89">
        <v>46018</v>
      </c>
      <c r="B250" t="s">
        <v>774</v>
      </c>
      <c r="C250" t="s">
        <v>743</v>
      </c>
      <c r="D250">
        <v>3</v>
      </c>
    </row>
    <row r="251" spans="1:4" x14ac:dyDescent="0.25">
      <c r="A251" s="89">
        <v>46019</v>
      </c>
      <c r="B251" t="s">
        <v>745</v>
      </c>
      <c r="C251" t="s">
        <v>763</v>
      </c>
      <c r="D251">
        <v>1</v>
      </c>
    </row>
    <row r="252" spans="1:4" x14ac:dyDescent="0.25">
      <c r="A252" s="89">
        <v>46019</v>
      </c>
      <c r="B252" t="s">
        <v>742</v>
      </c>
      <c r="C252" t="s">
        <v>763</v>
      </c>
      <c r="D252">
        <v>2</v>
      </c>
    </row>
    <row r="253" spans="1:4" x14ac:dyDescent="0.25">
      <c r="A253" s="89">
        <v>46019</v>
      </c>
      <c r="B253" t="s">
        <v>746</v>
      </c>
      <c r="C253" t="s">
        <v>763</v>
      </c>
      <c r="D253">
        <v>1</v>
      </c>
    </row>
    <row r="254" spans="1:4" x14ac:dyDescent="0.25">
      <c r="A254" s="89">
        <v>46019</v>
      </c>
      <c r="B254" t="s">
        <v>842</v>
      </c>
      <c r="C254" t="s">
        <v>763</v>
      </c>
      <c r="D254">
        <v>1</v>
      </c>
    </row>
    <row r="255" spans="1:4" x14ac:dyDescent="0.25">
      <c r="A255" s="89">
        <v>46019</v>
      </c>
      <c r="B255" t="s">
        <v>843</v>
      </c>
      <c r="C255" t="s">
        <v>763</v>
      </c>
      <c r="D255">
        <v>3</v>
      </c>
    </row>
    <row r="256" spans="1:4" x14ac:dyDescent="0.25">
      <c r="A256" s="89">
        <v>46019</v>
      </c>
      <c r="B256" t="s">
        <v>754</v>
      </c>
      <c r="C256" t="s">
        <v>763</v>
      </c>
      <c r="D256">
        <v>2</v>
      </c>
    </row>
    <row r="257" spans="1:4" x14ac:dyDescent="0.25">
      <c r="A257" s="89">
        <v>46019</v>
      </c>
      <c r="B257" t="s">
        <v>840</v>
      </c>
      <c r="C257" t="s">
        <v>763</v>
      </c>
      <c r="D257">
        <v>2</v>
      </c>
    </row>
    <row r="258" spans="1:4" x14ac:dyDescent="0.25">
      <c r="A258" s="89">
        <v>46019</v>
      </c>
      <c r="B258" t="s">
        <v>760</v>
      </c>
      <c r="C258" t="s">
        <v>763</v>
      </c>
      <c r="D258">
        <v>2</v>
      </c>
    </row>
    <row r="259" spans="1:4" x14ac:dyDescent="0.25">
      <c r="A259" s="89">
        <v>46019</v>
      </c>
      <c r="B259" t="s">
        <v>711</v>
      </c>
      <c r="C259" t="s">
        <v>763</v>
      </c>
      <c r="D259">
        <v>2</v>
      </c>
    </row>
    <row r="260" spans="1:4" x14ac:dyDescent="0.25">
      <c r="A260" s="89">
        <v>46019</v>
      </c>
      <c r="B260" t="s">
        <v>749</v>
      </c>
      <c r="C260" t="s">
        <v>763</v>
      </c>
      <c r="D260">
        <v>2</v>
      </c>
    </row>
    <row r="261" spans="1:4" x14ac:dyDescent="0.25">
      <c r="A261" s="89">
        <v>46019</v>
      </c>
      <c r="B261" t="s">
        <v>844</v>
      </c>
      <c r="C261" t="s">
        <v>763</v>
      </c>
      <c r="D261">
        <v>2</v>
      </c>
    </row>
    <row r="262" spans="1:4" x14ac:dyDescent="0.25">
      <c r="A262" s="89">
        <v>46019</v>
      </c>
      <c r="B262" t="s">
        <v>774</v>
      </c>
      <c r="C262" t="s">
        <v>763</v>
      </c>
      <c r="D262">
        <v>3</v>
      </c>
    </row>
    <row r="263" spans="1:4" x14ac:dyDescent="0.25">
      <c r="A263" s="89">
        <v>46019</v>
      </c>
      <c r="B263" t="s">
        <v>736</v>
      </c>
      <c r="C263" t="s">
        <v>763</v>
      </c>
      <c r="D263">
        <v>2</v>
      </c>
    </row>
    <row r="264" spans="1:4" x14ac:dyDescent="0.25">
      <c r="A264" s="89">
        <v>46019</v>
      </c>
      <c r="B264" t="s">
        <v>798</v>
      </c>
      <c r="C264" t="s">
        <v>763</v>
      </c>
      <c r="D264">
        <v>1</v>
      </c>
    </row>
    <row r="265" spans="1:4" x14ac:dyDescent="0.25">
      <c r="A265" s="89">
        <v>46019</v>
      </c>
      <c r="B265" t="s">
        <v>845</v>
      </c>
      <c r="C265" t="s">
        <v>763</v>
      </c>
      <c r="D265">
        <v>1</v>
      </c>
    </row>
    <row r="266" spans="1:4" x14ac:dyDescent="0.25">
      <c r="A266" s="89">
        <v>46019</v>
      </c>
      <c r="B266" t="s">
        <v>846</v>
      </c>
      <c r="C266" t="s">
        <v>763</v>
      </c>
      <c r="D266">
        <v>2</v>
      </c>
    </row>
    <row r="267" spans="1:4" x14ac:dyDescent="0.25">
      <c r="A267" s="89">
        <v>46020</v>
      </c>
      <c r="B267" t="s">
        <v>745</v>
      </c>
      <c r="C267" t="s">
        <v>763</v>
      </c>
      <c r="D267">
        <v>1</v>
      </c>
    </row>
    <row r="268" spans="1:4" x14ac:dyDescent="0.25">
      <c r="A268" s="89">
        <v>46020</v>
      </c>
      <c r="B268" t="s">
        <v>742</v>
      </c>
      <c r="C268" t="s">
        <v>763</v>
      </c>
      <c r="D268">
        <v>2</v>
      </c>
    </row>
    <row r="269" spans="1:4" x14ac:dyDescent="0.25">
      <c r="A269" s="89">
        <v>46020</v>
      </c>
      <c r="B269" t="s">
        <v>711</v>
      </c>
      <c r="C269" t="s">
        <v>763</v>
      </c>
      <c r="D269">
        <v>1</v>
      </c>
    </row>
    <row r="270" spans="1:4" x14ac:dyDescent="0.25">
      <c r="A270" s="89">
        <v>46020</v>
      </c>
      <c r="B270" t="s">
        <v>838</v>
      </c>
      <c r="C270" t="s">
        <v>763</v>
      </c>
      <c r="D270">
        <v>1</v>
      </c>
    </row>
    <row r="271" spans="1:4" x14ac:dyDescent="0.25">
      <c r="A271" s="89">
        <v>46020</v>
      </c>
      <c r="B271" t="s">
        <v>774</v>
      </c>
      <c r="C271" t="s">
        <v>763</v>
      </c>
      <c r="D271">
        <v>2</v>
      </c>
    </row>
    <row r="272" spans="1:4" x14ac:dyDescent="0.25">
      <c r="A272" s="89">
        <v>46020</v>
      </c>
      <c r="B272" t="s">
        <v>783</v>
      </c>
      <c r="C272" t="s">
        <v>763</v>
      </c>
      <c r="D272">
        <v>1</v>
      </c>
    </row>
    <row r="273" spans="1:4" x14ac:dyDescent="0.25">
      <c r="A273" s="89">
        <v>46021</v>
      </c>
      <c r="B273" t="s">
        <v>709</v>
      </c>
      <c r="C273" t="s">
        <v>743</v>
      </c>
      <c r="D273">
        <v>1</v>
      </c>
    </row>
    <row r="274" spans="1:4" x14ac:dyDescent="0.25">
      <c r="A274" s="89">
        <v>46021</v>
      </c>
      <c r="B274" t="s">
        <v>772</v>
      </c>
      <c r="C274" t="s">
        <v>743</v>
      </c>
      <c r="D274">
        <v>1</v>
      </c>
    </row>
    <row r="275" spans="1:4" x14ac:dyDescent="0.25">
      <c r="A275" s="89">
        <v>46022</v>
      </c>
      <c r="B275" t="s">
        <v>813</v>
      </c>
      <c r="C275" t="s">
        <v>765</v>
      </c>
      <c r="D275">
        <v>1</v>
      </c>
    </row>
    <row r="276" spans="1:4" x14ac:dyDescent="0.25">
      <c r="A276" s="89">
        <v>46022</v>
      </c>
      <c r="B276" t="s">
        <v>742</v>
      </c>
      <c r="C276" t="s">
        <v>765</v>
      </c>
      <c r="D276">
        <v>1</v>
      </c>
    </row>
    <row r="277" spans="1:4" x14ac:dyDescent="0.25">
      <c r="A277" s="89">
        <v>46024</v>
      </c>
      <c r="B277" t="s">
        <v>813</v>
      </c>
      <c r="C277" t="s">
        <v>743</v>
      </c>
      <c r="D277">
        <v>2</v>
      </c>
    </row>
    <row r="278" spans="1:4" x14ac:dyDescent="0.25">
      <c r="A278" s="89">
        <v>46024</v>
      </c>
      <c r="B278" t="s">
        <v>814</v>
      </c>
      <c r="C278" t="s">
        <v>743</v>
      </c>
      <c r="D278">
        <v>2</v>
      </c>
    </row>
    <row r="279" spans="1:4" x14ac:dyDescent="0.25">
      <c r="A279" s="89">
        <v>46024</v>
      </c>
      <c r="B279" t="s">
        <v>847</v>
      </c>
      <c r="C279" t="s">
        <v>743</v>
      </c>
      <c r="D279">
        <v>2</v>
      </c>
    </row>
    <row r="280" spans="1:4" x14ac:dyDescent="0.25">
      <c r="A280" s="89">
        <v>46024</v>
      </c>
      <c r="B280" t="s">
        <v>774</v>
      </c>
      <c r="C280" t="s">
        <v>743</v>
      </c>
      <c r="D280">
        <v>2</v>
      </c>
    </row>
    <row r="281" spans="1:4" x14ac:dyDescent="0.25">
      <c r="A281" s="89">
        <v>46024</v>
      </c>
      <c r="B281" t="s">
        <v>820</v>
      </c>
      <c r="C281" t="s">
        <v>743</v>
      </c>
      <c r="D281">
        <v>2</v>
      </c>
    </row>
    <row r="282" spans="1:4" x14ac:dyDescent="0.25">
      <c r="A282" s="89">
        <v>46024</v>
      </c>
      <c r="B282" t="s">
        <v>783</v>
      </c>
      <c r="C282" t="s">
        <v>743</v>
      </c>
      <c r="D282">
        <v>2</v>
      </c>
    </row>
    <row r="283" spans="1:4" x14ac:dyDescent="0.25">
      <c r="A283" s="89">
        <v>46024</v>
      </c>
      <c r="B283" t="s">
        <v>827</v>
      </c>
      <c r="C283" t="s">
        <v>743</v>
      </c>
      <c r="D283">
        <v>2</v>
      </c>
    </row>
    <row r="284" spans="1:4" x14ac:dyDescent="0.25">
      <c r="A284" s="89">
        <v>46024</v>
      </c>
      <c r="B284" t="s">
        <v>848</v>
      </c>
      <c r="C284" t="s">
        <v>743</v>
      </c>
      <c r="D284">
        <v>1</v>
      </c>
    </row>
    <row r="285" spans="1:4" x14ac:dyDescent="0.25">
      <c r="A285" s="89">
        <v>46024</v>
      </c>
      <c r="B285" t="s">
        <v>750</v>
      </c>
      <c r="C285" t="s">
        <v>743</v>
      </c>
      <c r="D285">
        <v>1</v>
      </c>
    </row>
    <row r="286" spans="1:4" x14ac:dyDescent="0.25">
      <c r="A286" s="89">
        <v>46024</v>
      </c>
      <c r="B286" t="s">
        <v>742</v>
      </c>
      <c r="C286" t="s">
        <v>743</v>
      </c>
      <c r="D286">
        <v>1</v>
      </c>
    </row>
    <row r="287" spans="1:4" x14ac:dyDescent="0.25">
      <c r="A287" s="89">
        <v>46024</v>
      </c>
      <c r="B287" t="s">
        <v>746</v>
      </c>
      <c r="C287" t="s">
        <v>743</v>
      </c>
      <c r="D287">
        <v>1</v>
      </c>
    </row>
    <row r="288" spans="1:4" x14ac:dyDescent="0.25">
      <c r="A288" s="89">
        <v>46024</v>
      </c>
      <c r="B288" t="s">
        <v>812</v>
      </c>
      <c r="C288" t="s">
        <v>743</v>
      </c>
      <c r="D288">
        <v>1</v>
      </c>
    </row>
    <row r="289" spans="1:4" x14ac:dyDescent="0.25">
      <c r="A289" s="89">
        <v>46024</v>
      </c>
      <c r="B289" t="s">
        <v>807</v>
      </c>
      <c r="C289" t="s">
        <v>743</v>
      </c>
      <c r="D289">
        <v>1</v>
      </c>
    </row>
    <row r="290" spans="1:4" x14ac:dyDescent="0.25">
      <c r="A290" s="89">
        <v>46024</v>
      </c>
      <c r="B290" t="s">
        <v>749</v>
      </c>
      <c r="C290" t="s">
        <v>743</v>
      </c>
      <c r="D290">
        <v>1</v>
      </c>
    </row>
    <row r="291" spans="1:4" x14ac:dyDescent="0.25">
      <c r="A291" s="89">
        <v>46025</v>
      </c>
      <c r="B291" t="s">
        <v>849</v>
      </c>
      <c r="C291" t="s">
        <v>743</v>
      </c>
      <c r="D291">
        <v>3</v>
      </c>
    </row>
    <row r="292" spans="1:4" x14ac:dyDescent="0.25">
      <c r="A292" s="89">
        <v>46025</v>
      </c>
      <c r="B292" t="s">
        <v>813</v>
      </c>
      <c r="C292" t="s">
        <v>743</v>
      </c>
      <c r="D292">
        <v>1</v>
      </c>
    </row>
    <row r="293" spans="1:4" x14ac:dyDescent="0.25">
      <c r="A293" s="89">
        <v>46025</v>
      </c>
      <c r="B293" t="s">
        <v>742</v>
      </c>
      <c r="C293" t="s">
        <v>743</v>
      </c>
      <c r="D293">
        <v>2</v>
      </c>
    </row>
    <row r="294" spans="1:4" x14ac:dyDescent="0.25">
      <c r="A294" s="89">
        <v>46025</v>
      </c>
      <c r="B294" t="s">
        <v>819</v>
      </c>
      <c r="C294" t="s">
        <v>743</v>
      </c>
      <c r="D294">
        <v>1</v>
      </c>
    </row>
    <row r="295" spans="1:4" x14ac:dyDescent="0.25">
      <c r="A295" s="89">
        <v>46025</v>
      </c>
      <c r="B295" t="s">
        <v>807</v>
      </c>
      <c r="C295" t="s">
        <v>743</v>
      </c>
      <c r="D295">
        <v>1</v>
      </c>
    </row>
    <row r="296" spans="1:4" x14ac:dyDescent="0.25">
      <c r="A296" s="89">
        <v>46025</v>
      </c>
      <c r="B296" t="s">
        <v>749</v>
      </c>
      <c r="C296" t="s">
        <v>743</v>
      </c>
      <c r="D296">
        <v>2</v>
      </c>
    </row>
    <row r="297" spans="1:4" x14ac:dyDescent="0.25">
      <c r="A297" s="89">
        <v>46025</v>
      </c>
      <c r="B297" t="s">
        <v>774</v>
      </c>
      <c r="C297" t="s">
        <v>743</v>
      </c>
      <c r="D297">
        <v>2</v>
      </c>
    </row>
    <row r="298" spans="1:4" x14ac:dyDescent="0.25">
      <c r="A298" s="89">
        <v>46025</v>
      </c>
      <c r="B298" t="s">
        <v>783</v>
      </c>
      <c r="C298" t="s">
        <v>743</v>
      </c>
      <c r="D298">
        <v>2</v>
      </c>
    </row>
    <row r="299" spans="1:4" x14ac:dyDescent="0.25">
      <c r="A299" s="89">
        <v>46025</v>
      </c>
      <c r="B299" t="s">
        <v>746</v>
      </c>
      <c r="C299" t="s">
        <v>743</v>
      </c>
      <c r="D299">
        <v>1</v>
      </c>
    </row>
    <row r="300" spans="1:4" x14ac:dyDescent="0.25">
      <c r="A300" s="89">
        <v>46025</v>
      </c>
      <c r="B300" t="s">
        <v>752</v>
      </c>
      <c r="C300" t="s">
        <v>743</v>
      </c>
      <c r="D300">
        <v>1</v>
      </c>
    </row>
    <row r="301" spans="1:4" x14ac:dyDescent="0.25">
      <c r="A301" s="89">
        <v>46025</v>
      </c>
      <c r="B301" t="s">
        <v>760</v>
      </c>
      <c r="C301" t="s">
        <v>743</v>
      </c>
      <c r="D301">
        <v>2</v>
      </c>
    </row>
    <row r="302" spans="1:4" x14ac:dyDescent="0.25">
      <c r="A302" s="89">
        <v>46025</v>
      </c>
      <c r="B302" t="s">
        <v>750</v>
      </c>
      <c r="C302" t="s">
        <v>743</v>
      </c>
      <c r="D302">
        <v>1</v>
      </c>
    </row>
    <row r="303" spans="1:4" x14ac:dyDescent="0.25">
      <c r="A303" s="89">
        <v>46025</v>
      </c>
      <c r="B303" t="s">
        <v>848</v>
      </c>
      <c r="C303" t="s">
        <v>743</v>
      </c>
      <c r="D303">
        <v>1</v>
      </c>
    </row>
    <row r="304" spans="1:4" x14ac:dyDescent="0.25">
      <c r="A304" s="89">
        <v>46025</v>
      </c>
      <c r="B304" t="s">
        <v>827</v>
      </c>
      <c r="C304" t="s">
        <v>743</v>
      </c>
      <c r="D304">
        <v>1</v>
      </c>
    </row>
    <row r="305" spans="1:4" x14ac:dyDescent="0.25">
      <c r="A305" s="89">
        <v>46026</v>
      </c>
      <c r="B305" t="s">
        <v>814</v>
      </c>
      <c r="C305" t="s">
        <v>743</v>
      </c>
      <c r="D305">
        <v>1</v>
      </c>
    </row>
    <row r="306" spans="1:4" x14ac:dyDescent="0.25">
      <c r="A306" s="89">
        <v>46026</v>
      </c>
      <c r="B306" t="s">
        <v>836</v>
      </c>
      <c r="C306" t="s">
        <v>743</v>
      </c>
      <c r="D306">
        <v>2</v>
      </c>
    </row>
    <row r="307" spans="1:4" x14ac:dyDescent="0.25">
      <c r="A307" s="89">
        <v>46026</v>
      </c>
      <c r="B307" t="s">
        <v>850</v>
      </c>
      <c r="C307" t="s">
        <v>743</v>
      </c>
      <c r="D307">
        <v>2</v>
      </c>
    </row>
    <row r="308" spans="1:4" x14ac:dyDescent="0.25">
      <c r="A308" s="89">
        <v>46026</v>
      </c>
      <c r="B308" t="s">
        <v>819</v>
      </c>
      <c r="C308" t="s">
        <v>743</v>
      </c>
      <c r="D308">
        <v>1</v>
      </c>
    </row>
    <row r="309" spans="1:4" x14ac:dyDescent="0.25">
      <c r="A309" s="89">
        <v>46026</v>
      </c>
      <c r="B309" t="s">
        <v>847</v>
      </c>
      <c r="C309" t="s">
        <v>743</v>
      </c>
      <c r="D309">
        <v>2</v>
      </c>
    </row>
    <row r="310" spans="1:4" x14ac:dyDescent="0.25">
      <c r="A310" s="89">
        <v>46026</v>
      </c>
      <c r="B310" t="s">
        <v>807</v>
      </c>
      <c r="C310" t="s">
        <v>743</v>
      </c>
      <c r="D310">
        <v>2</v>
      </c>
    </row>
    <row r="311" spans="1:4" x14ac:dyDescent="0.25">
      <c r="A311" s="89">
        <v>46026</v>
      </c>
      <c r="B311" t="s">
        <v>774</v>
      </c>
      <c r="C311" t="s">
        <v>743</v>
      </c>
      <c r="D311">
        <v>2</v>
      </c>
    </row>
    <row r="312" spans="1:4" x14ac:dyDescent="0.25">
      <c r="A312" s="89">
        <v>46026</v>
      </c>
      <c r="B312" t="s">
        <v>783</v>
      </c>
      <c r="C312" t="s">
        <v>743</v>
      </c>
      <c r="D312">
        <v>2</v>
      </c>
    </row>
    <row r="313" spans="1:4" x14ac:dyDescent="0.25">
      <c r="A313" s="89">
        <v>46026</v>
      </c>
      <c r="B313" t="s">
        <v>827</v>
      </c>
      <c r="C313" t="s">
        <v>743</v>
      </c>
      <c r="D313">
        <v>1</v>
      </c>
    </row>
    <row r="314" spans="1:4" x14ac:dyDescent="0.25">
      <c r="A314" s="89">
        <v>46026</v>
      </c>
      <c r="B314" t="s">
        <v>848</v>
      </c>
      <c r="C314" t="s">
        <v>743</v>
      </c>
      <c r="D314">
        <v>1</v>
      </c>
    </row>
    <row r="315" spans="1:4" x14ac:dyDescent="0.25">
      <c r="A315" s="89">
        <v>46027</v>
      </c>
      <c r="B315" t="s">
        <v>747</v>
      </c>
      <c r="C315" t="s">
        <v>763</v>
      </c>
      <c r="D315">
        <v>1</v>
      </c>
    </row>
    <row r="316" spans="1:4" x14ac:dyDescent="0.25">
      <c r="A316" s="89">
        <v>46027</v>
      </c>
      <c r="B316" t="s">
        <v>783</v>
      </c>
      <c r="C316" t="s">
        <v>763</v>
      </c>
      <c r="D316">
        <v>1</v>
      </c>
    </row>
    <row r="317" spans="1:4" x14ac:dyDescent="0.25">
      <c r="A317" s="89">
        <v>46028</v>
      </c>
      <c r="B317" t="s">
        <v>742</v>
      </c>
      <c r="C317" t="s">
        <v>765</v>
      </c>
      <c r="D317">
        <v>1</v>
      </c>
    </row>
    <row r="318" spans="1:4" x14ac:dyDescent="0.25">
      <c r="A318" s="89">
        <v>46028</v>
      </c>
      <c r="B318" t="s">
        <v>813</v>
      </c>
      <c r="C318" t="s">
        <v>765</v>
      </c>
      <c r="D318">
        <v>1</v>
      </c>
    </row>
    <row r="319" spans="1:4" x14ac:dyDescent="0.25">
      <c r="A319" s="89">
        <v>46028</v>
      </c>
      <c r="B319" t="s">
        <v>746</v>
      </c>
      <c r="C319" t="s">
        <v>765</v>
      </c>
      <c r="D319">
        <v>1</v>
      </c>
    </row>
    <row r="320" spans="1:4" x14ac:dyDescent="0.25">
      <c r="A320" s="89">
        <v>46028</v>
      </c>
      <c r="B320" t="s">
        <v>807</v>
      </c>
      <c r="C320" t="s">
        <v>765</v>
      </c>
      <c r="D320">
        <v>1</v>
      </c>
    </row>
    <row r="321" spans="1:4" x14ac:dyDescent="0.25">
      <c r="A321" s="89">
        <v>46028</v>
      </c>
      <c r="B321" t="s">
        <v>774</v>
      </c>
      <c r="C321" t="s">
        <v>765</v>
      </c>
      <c r="D321">
        <v>1</v>
      </c>
    </row>
    <row r="322" spans="1:4" x14ac:dyDescent="0.25">
      <c r="A322" s="89">
        <v>46028</v>
      </c>
      <c r="B322" t="s">
        <v>783</v>
      </c>
      <c r="C322" t="s">
        <v>765</v>
      </c>
      <c r="D322">
        <v>1</v>
      </c>
    </row>
    <row r="323" spans="1:4" x14ac:dyDescent="0.25">
      <c r="A323" s="89">
        <v>46030</v>
      </c>
      <c r="B323" t="s">
        <v>851</v>
      </c>
      <c r="C323" t="s">
        <v>743</v>
      </c>
      <c r="D323">
        <v>1</v>
      </c>
    </row>
    <row r="324" spans="1:4" x14ac:dyDescent="0.25">
      <c r="A324" s="89">
        <v>46030</v>
      </c>
      <c r="B324" t="s">
        <v>827</v>
      </c>
      <c r="C324" t="s">
        <v>743</v>
      </c>
      <c r="D324">
        <v>1</v>
      </c>
    </row>
    <row r="325" spans="1:4" x14ac:dyDescent="0.25">
      <c r="A325" s="89">
        <v>46030</v>
      </c>
      <c r="B325" t="s">
        <v>852</v>
      </c>
      <c r="C325" t="s">
        <v>743</v>
      </c>
      <c r="D325">
        <v>1</v>
      </c>
    </row>
    <row r="326" spans="1:4" x14ac:dyDescent="0.25">
      <c r="A326" s="89">
        <v>46030</v>
      </c>
      <c r="B326" t="s">
        <v>853</v>
      </c>
      <c r="C326" t="s">
        <v>743</v>
      </c>
      <c r="D326">
        <v>1</v>
      </c>
    </row>
    <row r="327" spans="1:4" x14ac:dyDescent="0.25">
      <c r="A327" s="89">
        <v>46030</v>
      </c>
      <c r="B327" t="s">
        <v>813</v>
      </c>
      <c r="C327" t="s">
        <v>743</v>
      </c>
      <c r="D327">
        <v>1</v>
      </c>
    </row>
    <row r="328" spans="1:4" x14ac:dyDescent="0.25">
      <c r="A328" s="89">
        <v>46030</v>
      </c>
      <c r="B328" t="s">
        <v>742</v>
      </c>
      <c r="C328" t="s">
        <v>743</v>
      </c>
      <c r="D328">
        <v>1</v>
      </c>
    </row>
    <row r="329" spans="1:4" x14ac:dyDescent="0.25">
      <c r="A329" s="89">
        <v>46030</v>
      </c>
      <c r="B329" t="s">
        <v>854</v>
      </c>
      <c r="C329" t="s">
        <v>743</v>
      </c>
      <c r="D329">
        <v>2</v>
      </c>
    </row>
    <row r="330" spans="1:4" x14ac:dyDescent="0.25">
      <c r="A330" s="89">
        <v>46030</v>
      </c>
      <c r="B330" t="s">
        <v>855</v>
      </c>
      <c r="C330" t="s">
        <v>743</v>
      </c>
      <c r="D330">
        <v>1</v>
      </c>
    </row>
    <row r="331" spans="1:4" x14ac:dyDescent="0.25">
      <c r="A331" s="89">
        <v>46030</v>
      </c>
      <c r="B331" t="s">
        <v>752</v>
      </c>
      <c r="C331" t="s">
        <v>743</v>
      </c>
      <c r="D331">
        <v>1</v>
      </c>
    </row>
    <row r="332" spans="1:4" x14ac:dyDescent="0.25">
      <c r="A332" s="89">
        <v>46030</v>
      </c>
      <c r="B332" t="s">
        <v>856</v>
      </c>
      <c r="C332" t="s">
        <v>743</v>
      </c>
      <c r="D332">
        <v>1</v>
      </c>
    </row>
    <row r="333" spans="1:4" x14ac:dyDescent="0.25">
      <c r="A333" s="89">
        <v>46030</v>
      </c>
      <c r="B333" t="s">
        <v>774</v>
      </c>
      <c r="C333" t="s">
        <v>743</v>
      </c>
      <c r="D333">
        <v>1</v>
      </c>
    </row>
    <row r="334" spans="1:4" x14ac:dyDescent="0.25">
      <c r="A334" s="89">
        <v>46030</v>
      </c>
      <c r="B334" t="s">
        <v>783</v>
      </c>
      <c r="C334" t="s">
        <v>743</v>
      </c>
      <c r="D334">
        <v>1</v>
      </c>
    </row>
    <row r="335" spans="1:4" x14ac:dyDescent="0.25">
      <c r="A335" s="89">
        <v>46030</v>
      </c>
      <c r="B335" t="s">
        <v>746</v>
      </c>
      <c r="C335" t="s">
        <v>743</v>
      </c>
      <c r="D335">
        <v>1</v>
      </c>
    </row>
    <row r="336" spans="1:4" x14ac:dyDescent="0.25">
      <c r="A336" s="89">
        <v>46030</v>
      </c>
      <c r="B336" t="s">
        <v>749</v>
      </c>
      <c r="C336" t="s">
        <v>743</v>
      </c>
      <c r="D336">
        <v>1</v>
      </c>
    </row>
    <row r="337" spans="1:4" x14ac:dyDescent="0.25">
      <c r="A337" s="89">
        <v>46031</v>
      </c>
      <c r="B337" t="s">
        <v>807</v>
      </c>
      <c r="C337" t="s">
        <v>743</v>
      </c>
      <c r="D337">
        <v>1</v>
      </c>
    </row>
    <row r="338" spans="1:4" x14ac:dyDescent="0.25">
      <c r="A338" s="89">
        <v>46031</v>
      </c>
      <c r="B338" t="s">
        <v>749</v>
      </c>
      <c r="C338" t="s">
        <v>743</v>
      </c>
      <c r="D338">
        <v>1</v>
      </c>
    </row>
    <row r="339" spans="1:4" x14ac:dyDescent="0.25">
      <c r="A339" s="89">
        <v>46031</v>
      </c>
      <c r="B339" t="s">
        <v>774</v>
      </c>
      <c r="C339" t="s">
        <v>743</v>
      </c>
      <c r="D339">
        <v>1</v>
      </c>
    </row>
    <row r="340" spans="1:4" x14ac:dyDescent="0.25">
      <c r="A340" s="89">
        <v>46031</v>
      </c>
      <c r="B340" t="s">
        <v>783</v>
      </c>
      <c r="C340" t="s">
        <v>743</v>
      </c>
      <c r="D340">
        <v>1</v>
      </c>
    </row>
    <row r="341" spans="1:4" x14ac:dyDescent="0.25">
      <c r="A341" s="89">
        <v>46031</v>
      </c>
      <c r="B341" t="s">
        <v>742</v>
      </c>
      <c r="C341" t="s">
        <v>743</v>
      </c>
      <c r="D341">
        <v>1</v>
      </c>
    </row>
    <row r="342" spans="1:4" x14ac:dyDescent="0.25">
      <c r="A342" s="89">
        <v>46031</v>
      </c>
      <c r="B342" t="s">
        <v>853</v>
      </c>
      <c r="C342" t="s">
        <v>743</v>
      </c>
      <c r="D342">
        <v>1</v>
      </c>
    </row>
    <row r="343" spans="1:4" x14ac:dyDescent="0.25">
      <c r="A343" s="89">
        <v>46031</v>
      </c>
      <c r="B343" t="s">
        <v>855</v>
      </c>
      <c r="C343" t="s">
        <v>743</v>
      </c>
      <c r="D343">
        <v>1</v>
      </c>
    </row>
    <row r="344" spans="1:4" x14ac:dyDescent="0.25">
      <c r="A344" s="89">
        <v>46031</v>
      </c>
      <c r="B344" t="s">
        <v>827</v>
      </c>
      <c r="C344" t="s">
        <v>743</v>
      </c>
      <c r="D344">
        <v>1</v>
      </c>
    </row>
    <row r="345" spans="1:4" x14ac:dyDescent="0.25">
      <c r="A345" s="89">
        <v>46031</v>
      </c>
      <c r="B345" t="s">
        <v>851</v>
      </c>
      <c r="C345" t="s">
        <v>743</v>
      </c>
      <c r="D345">
        <v>1</v>
      </c>
    </row>
    <row r="346" spans="1:4" x14ac:dyDescent="0.25">
      <c r="A346" s="89">
        <v>46031</v>
      </c>
      <c r="B346" t="s">
        <v>760</v>
      </c>
      <c r="C346" t="s">
        <v>743</v>
      </c>
      <c r="D346">
        <v>1</v>
      </c>
    </row>
    <row r="347" spans="1:4" x14ac:dyDescent="0.25">
      <c r="A347" s="89">
        <v>46031</v>
      </c>
      <c r="B347" t="s">
        <v>857</v>
      </c>
      <c r="C347" t="s">
        <v>743</v>
      </c>
      <c r="D347">
        <v>1</v>
      </c>
    </row>
    <row r="348" spans="1:4" x14ac:dyDescent="0.25">
      <c r="A348" s="89">
        <v>46031</v>
      </c>
      <c r="B348" t="s">
        <v>746</v>
      </c>
      <c r="C348" t="s">
        <v>763</v>
      </c>
      <c r="D348">
        <v>1</v>
      </c>
    </row>
    <row r="349" spans="1:4" x14ac:dyDescent="0.25">
      <c r="A349" s="89">
        <v>46032</v>
      </c>
      <c r="B349" t="s">
        <v>813</v>
      </c>
      <c r="C349" t="s">
        <v>743</v>
      </c>
      <c r="D349">
        <v>2</v>
      </c>
    </row>
    <row r="350" spans="1:4" x14ac:dyDescent="0.25">
      <c r="A350" s="89">
        <v>46032</v>
      </c>
      <c r="B350" t="s">
        <v>742</v>
      </c>
      <c r="C350" t="s">
        <v>743</v>
      </c>
      <c r="D350">
        <v>2</v>
      </c>
    </row>
    <row r="351" spans="1:4" x14ac:dyDescent="0.25">
      <c r="A351" s="89">
        <v>46032</v>
      </c>
      <c r="B351" t="s">
        <v>746</v>
      </c>
      <c r="C351" t="s">
        <v>743</v>
      </c>
      <c r="D351">
        <v>1</v>
      </c>
    </row>
    <row r="352" spans="1:4" x14ac:dyDescent="0.25">
      <c r="A352" s="89">
        <v>46032</v>
      </c>
      <c r="B352" t="s">
        <v>857</v>
      </c>
      <c r="C352" t="s">
        <v>743</v>
      </c>
      <c r="D352">
        <v>2</v>
      </c>
    </row>
    <row r="353" spans="1:4" x14ac:dyDescent="0.25">
      <c r="A353" s="89">
        <v>46032</v>
      </c>
      <c r="B353" t="s">
        <v>807</v>
      </c>
      <c r="C353" t="s">
        <v>743</v>
      </c>
      <c r="D353">
        <v>1</v>
      </c>
    </row>
    <row r="354" spans="1:4" x14ac:dyDescent="0.25">
      <c r="A354" s="89">
        <v>46032</v>
      </c>
      <c r="B354" t="s">
        <v>774</v>
      </c>
      <c r="C354" t="s">
        <v>743</v>
      </c>
      <c r="D354">
        <v>1</v>
      </c>
    </row>
    <row r="355" spans="1:4" x14ac:dyDescent="0.25">
      <c r="A355" s="89">
        <v>46032</v>
      </c>
      <c r="B355" t="s">
        <v>855</v>
      </c>
      <c r="C355" t="s">
        <v>743</v>
      </c>
      <c r="D355">
        <v>1</v>
      </c>
    </row>
    <row r="356" spans="1:4" x14ac:dyDescent="0.25">
      <c r="A356" s="89">
        <v>46032</v>
      </c>
      <c r="B356" t="s">
        <v>783</v>
      </c>
      <c r="C356" t="s">
        <v>743</v>
      </c>
      <c r="D356">
        <v>1</v>
      </c>
    </row>
    <row r="357" spans="1:4" x14ac:dyDescent="0.25">
      <c r="A357" s="89">
        <v>46032</v>
      </c>
      <c r="B357" t="s">
        <v>827</v>
      </c>
      <c r="C357" t="s">
        <v>743</v>
      </c>
      <c r="D357">
        <v>1</v>
      </c>
    </row>
    <row r="358" spans="1:4" x14ac:dyDescent="0.25">
      <c r="A358" s="89">
        <v>46032</v>
      </c>
      <c r="B358" t="s">
        <v>851</v>
      </c>
      <c r="C358" t="s">
        <v>743</v>
      </c>
      <c r="D358">
        <v>1</v>
      </c>
    </row>
    <row r="359" spans="1:4" x14ac:dyDescent="0.25">
      <c r="A359" s="89">
        <v>46033</v>
      </c>
      <c r="B359" t="s">
        <v>813</v>
      </c>
      <c r="C359" t="s">
        <v>743</v>
      </c>
      <c r="D359">
        <v>2</v>
      </c>
    </row>
    <row r="360" spans="1:4" x14ac:dyDescent="0.25">
      <c r="A360" s="89">
        <v>46033</v>
      </c>
      <c r="B360" t="s">
        <v>819</v>
      </c>
      <c r="C360" t="s">
        <v>743</v>
      </c>
      <c r="D360">
        <v>1</v>
      </c>
    </row>
    <row r="361" spans="1:4" x14ac:dyDescent="0.25">
      <c r="A361" s="89">
        <v>46033</v>
      </c>
      <c r="B361" t="s">
        <v>746</v>
      </c>
      <c r="C361" t="s">
        <v>743</v>
      </c>
      <c r="D361">
        <v>1</v>
      </c>
    </row>
    <row r="362" spans="1:4" x14ac:dyDescent="0.25">
      <c r="A362" s="89">
        <v>46033</v>
      </c>
      <c r="B362" t="s">
        <v>857</v>
      </c>
      <c r="C362" t="s">
        <v>743</v>
      </c>
      <c r="D362">
        <v>2</v>
      </c>
    </row>
    <row r="363" spans="1:4" x14ac:dyDescent="0.25">
      <c r="A363" s="89">
        <v>46033</v>
      </c>
      <c r="B363" t="s">
        <v>807</v>
      </c>
      <c r="C363" t="s">
        <v>743</v>
      </c>
      <c r="D363">
        <v>1</v>
      </c>
    </row>
    <row r="364" spans="1:4" x14ac:dyDescent="0.25">
      <c r="A364" s="89">
        <v>46033</v>
      </c>
      <c r="B364" t="s">
        <v>774</v>
      </c>
      <c r="C364" t="s">
        <v>743</v>
      </c>
      <c r="D364">
        <v>2</v>
      </c>
    </row>
    <row r="365" spans="1:4" x14ac:dyDescent="0.25">
      <c r="A365" s="89">
        <v>46033</v>
      </c>
      <c r="B365" t="s">
        <v>855</v>
      </c>
      <c r="C365" t="s">
        <v>743</v>
      </c>
      <c r="D365">
        <v>1</v>
      </c>
    </row>
    <row r="366" spans="1:4" x14ac:dyDescent="0.25">
      <c r="A366" s="89">
        <v>46033</v>
      </c>
      <c r="B366" t="s">
        <v>783</v>
      </c>
      <c r="C366" t="s">
        <v>743</v>
      </c>
      <c r="D366">
        <v>2</v>
      </c>
    </row>
    <row r="367" spans="1:4" x14ac:dyDescent="0.25">
      <c r="A367" s="89">
        <v>46033</v>
      </c>
      <c r="B367" t="s">
        <v>760</v>
      </c>
      <c r="C367" t="s">
        <v>743</v>
      </c>
      <c r="D367">
        <v>1</v>
      </c>
    </row>
    <row r="368" spans="1:4" x14ac:dyDescent="0.25">
      <c r="A368" s="89">
        <v>46033</v>
      </c>
      <c r="B368" t="s">
        <v>852</v>
      </c>
      <c r="C368" t="s">
        <v>743</v>
      </c>
      <c r="D368">
        <v>1</v>
      </c>
    </row>
    <row r="369" spans="1:4" x14ac:dyDescent="0.25">
      <c r="A369" s="89">
        <v>46033</v>
      </c>
      <c r="B369" t="s">
        <v>827</v>
      </c>
      <c r="C369" t="s">
        <v>743</v>
      </c>
      <c r="D369">
        <v>1</v>
      </c>
    </row>
    <row r="370" spans="1:4" x14ac:dyDescent="0.25">
      <c r="A370" s="89">
        <v>46033</v>
      </c>
      <c r="B370" t="s">
        <v>851</v>
      </c>
      <c r="C370" t="s">
        <v>743</v>
      </c>
      <c r="D370">
        <v>1</v>
      </c>
    </row>
    <row r="371" spans="1:4" x14ac:dyDescent="0.25">
      <c r="A371" s="89">
        <v>46034</v>
      </c>
      <c r="B371" t="s">
        <v>742</v>
      </c>
      <c r="C371" t="s">
        <v>763</v>
      </c>
      <c r="D371">
        <v>1</v>
      </c>
    </row>
    <row r="372" spans="1:4" x14ac:dyDescent="0.25">
      <c r="A372" s="89">
        <v>46034</v>
      </c>
      <c r="B372" t="s">
        <v>747</v>
      </c>
      <c r="C372" t="s">
        <v>763</v>
      </c>
      <c r="D372">
        <v>1</v>
      </c>
    </row>
    <row r="373" spans="1:4" x14ac:dyDescent="0.25">
      <c r="A373" s="89">
        <v>46034</v>
      </c>
      <c r="B373" t="s">
        <v>783</v>
      </c>
      <c r="C373" t="s">
        <v>763</v>
      </c>
      <c r="D373">
        <v>1</v>
      </c>
    </row>
    <row r="374" spans="1:4" x14ac:dyDescent="0.25">
      <c r="A374" s="89">
        <v>46035</v>
      </c>
      <c r="B374" t="s">
        <v>783</v>
      </c>
      <c r="C374" t="s">
        <v>743</v>
      </c>
      <c r="D374">
        <v>1</v>
      </c>
    </row>
    <row r="375" spans="1:4" x14ac:dyDescent="0.25">
      <c r="A375" s="89">
        <v>46035</v>
      </c>
      <c r="B375" t="s">
        <v>858</v>
      </c>
      <c r="C375" t="s">
        <v>743</v>
      </c>
      <c r="D375">
        <v>1</v>
      </c>
    </row>
    <row r="376" spans="1:4" x14ac:dyDescent="0.25">
      <c r="A376" s="89">
        <v>46035</v>
      </c>
      <c r="B376" t="s">
        <v>851</v>
      </c>
      <c r="C376" t="s">
        <v>743</v>
      </c>
      <c r="D376">
        <v>1</v>
      </c>
    </row>
    <row r="377" spans="1:4" x14ac:dyDescent="0.25">
      <c r="A377" s="89">
        <v>46035</v>
      </c>
      <c r="B377" t="s">
        <v>760</v>
      </c>
      <c r="C377" t="s">
        <v>743</v>
      </c>
      <c r="D377">
        <v>1</v>
      </c>
    </row>
    <row r="378" spans="1:4" x14ac:dyDescent="0.25">
      <c r="A378" s="89">
        <v>46036</v>
      </c>
      <c r="B378" t="s">
        <v>774</v>
      </c>
      <c r="C378" t="s">
        <v>765</v>
      </c>
      <c r="D378">
        <v>1</v>
      </c>
    </row>
    <row r="379" spans="1:4" x14ac:dyDescent="0.25">
      <c r="A379" s="89">
        <v>46036</v>
      </c>
      <c r="B379" t="s">
        <v>783</v>
      </c>
      <c r="C379" t="s">
        <v>765</v>
      </c>
      <c r="D379">
        <v>1</v>
      </c>
    </row>
    <row r="380" spans="1:4" x14ac:dyDescent="0.25">
      <c r="A380" s="89">
        <v>46037</v>
      </c>
      <c r="B380" t="s">
        <v>742</v>
      </c>
      <c r="C380" t="s">
        <v>743</v>
      </c>
      <c r="D380">
        <v>1</v>
      </c>
    </row>
    <row r="381" spans="1:4" x14ac:dyDescent="0.25">
      <c r="A381" s="89">
        <v>46037</v>
      </c>
      <c r="B381" t="s">
        <v>813</v>
      </c>
      <c r="C381" t="s">
        <v>743</v>
      </c>
      <c r="D381">
        <v>2</v>
      </c>
    </row>
    <row r="382" spans="1:4" x14ac:dyDescent="0.25">
      <c r="A382" s="89">
        <v>46037</v>
      </c>
      <c r="B382" t="s">
        <v>819</v>
      </c>
      <c r="C382" t="s">
        <v>743</v>
      </c>
      <c r="D382">
        <v>1</v>
      </c>
    </row>
    <row r="383" spans="1:4" x14ac:dyDescent="0.25">
      <c r="A383" s="89">
        <v>46037</v>
      </c>
      <c r="B383" t="s">
        <v>746</v>
      </c>
      <c r="C383" t="s">
        <v>743</v>
      </c>
      <c r="D383">
        <v>1</v>
      </c>
    </row>
    <row r="384" spans="1:4" x14ac:dyDescent="0.25">
      <c r="A384" s="89">
        <v>46037</v>
      </c>
      <c r="B384" t="s">
        <v>774</v>
      </c>
      <c r="C384" t="s">
        <v>743</v>
      </c>
      <c r="D384">
        <v>1</v>
      </c>
    </row>
    <row r="385" spans="1:4" x14ac:dyDescent="0.25">
      <c r="A385" s="89">
        <v>46037</v>
      </c>
      <c r="B385" t="s">
        <v>783</v>
      </c>
      <c r="C385" t="s">
        <v>743</v>
      </c>
      <c r="D385">
        <v>1</v>
      </c>
    </row>
    <row r="386" spans="1:4" x14ac:dyDescent="0.25">
      <c r="A386" s="89">
        <v>46037</v>
      </c>
      <c r="B386" t="s">
        <v>859</v>
      </c>
      <c r="C386" t="s">
        <v>743</v>
      </c>
      <c r="D386">
        <v>1</v>
      </c>
    </row>
    <row r="387" spans="1:4" x14ac:dyDescent="0.25">
      <c r="A387" s="89">
        <v>46037</v>
      </c>
      <c r="B387" t="s">
        <v>852</v>
      </c>
      <c r="C387" t="s">
        <v>743</v>
      </c>
      <c r="D387">
        <v>1</v>
      </c>
    </row>
    <row r="388" spans="1:4" x14ac:dyDescent="0.25">
      <c r="A388" s="89">
        <v>46037</v>
      </c>
      <c r="B388" t="s">
        <v>827</v>
      </c>
      <c r="C388" t="s">
        <v>743</v>
      </c>
      <c r="D388">
        <v>1</v>
      </c>
    </row>
    <row r="389" spans="1:4" x14ac:dyDescent="0.25">
      <c r="A389" s="89">
        <v>46037</v>
      </c>
      <c r="B389" t="s">
        <v>814</v>
      </c>
      <c r="C389" t="s">
        <v>743</v>
      </c>
      <c r="D389">
        <v>1</v>
      </c>
    </row>
    <row r="390" spans="1:4" x14ac:dyDescent="0.25">
      <c r="A390" s="89">
        <v>46037</v>
      </c>
      <c r="B390" t="s">
        <v>860</v>
      </c>
      <c r="C390" t="s">
        <v>743</v>
      </c>
      <c r="D390">
        <v>1</v>
      </c>
    </row>
    <row r="391" spans="1:4" x14ac:dyDescent="0.25">
      <c r="A391" s="89">
        <v>46037</v>
      </c>
      <c r="B391" t="s">
        <v>861</v>
      </c>
      <c r="C391" t="s">
        <v>743</v>
      </c>
      <c r="D391">
        <v>1</v>
      </c>
    </row>
    <row r="392" spans="1:4" x14ac:dyDescent="0.25">
      <c r="A392" s="89">
        <v>46038</v>
      </c>
      <c r="B392" t="s">
        <v>819</v>
      </c>
      <c r="C392" t="s">
        <v>743</v>
      </c>
      <c r="D392">
        <v>1</v>
      </c>
    </row>
    <row r="393" spans="1:4" x14ac:dyDescent="0.25">
      <c r="A393" s="89">
        <v>46038</v>
      </c>
      <c r="B393" t="s">
        <v>746</v>
      </c>
      <c r="C393" t="s">
        <v>743</v>
      </c>
      <c r="D393">
        <v>1</v>
      </c>
    </row>
    <row r="394" spans="1:4" x14ac:dyDescent="0.25">
      <c r="A394" s="89">
        <v>46038</v>
      </c>
      <c r="B394" t="s">
        <v>807</v>
      </c>
      <c r="C394" t="s">
        <v>743</v>
      </c>
      <c r="D394">
        <v>1</v>
      </c>
    </row>
    <row r="395" spans="1:4" x14ac:dyDescent="0.25">
      <c r="A395" s="89">
        <v>46038</v>
      </c>
      <c r="B395" t="s">
        <v>749</v>
      </c>
      <c r="C395" t="s">
        <v>743</v>
      </c>
      <c r="D395">
        <v>1</v>
      </c>
    </row>
    <row r="396" spans="1:4" x14ac:dyDescent="0.25">
      <c r="A396" s="89">
        <v>46038</v>
      </c>
      <c r="B396" t="s">
        <v>774</v>
      </c>
      <c r="C396" t="s">
        <v>743</v>
      </c>
      <c r="D396">
        <v>1</v>
      </c>
    </row>
    <row r="397" spans="1:4" x14ac:dyDescent="0.25">
      <c r="A397" s="89">
        <v>46038</v>
      </c>
      <c r="B397" t="s">
        <v>783</v>
      </c>
      <c r="C397" t="s">
        <v>743</v>
      </c>
      <c r="D397">
        <v>1</v>
      </c>
    </row>
    <row r="398" spans="1:4" x14ac:dyDescent="0.25">
      <c r="A398" s="89">
        <v>46039</v>
      </c>
      <c r="B398" t="s">
        <v>862</v>
      </c>
      <c r="C398" t="s">
        <v>743</v>
      </c>
      <c r="D398">
        <v>2</v>
      </c>
    </row>
    <row r="399" spans="1:4" x14ac:dyDescent="0.25">
      <c r="A399" s="89">
        <v>46039</v>
      </c>
      <c r="B399" t="s">
        <v>819</v>
      </c>
      <c r="C399" t="s">
        <v>743</v>
      </c>
      <c r="D399">
        <v>1</v>
      </c>
    </row>
    <row r="400" spans="1:4" x14ac:dyDescent="0.25">
      <c r="A400" s="89">
        <v>46039</v>
      </c>
      <c r="B400" t="s">
        <v>863</v>
      </c>
      <c r="C400" t="s">
        <v>743</v>
      </c>
      <c r="D400">
        <v>1</v>
      </c>
    </row>
    <row r="401" spans="1:4" x14ac:dyDescent="0.25">
      <c r="A401" s="89">
        <v>46039</v>
      </c>
      <c r="B401" t="s">
        <v>860</v>
      </c>
      <c r="C401" t="s">
        <v>743</v>
      </c>
      <c r="D401">
        <v>1</v>
      </c>
    </row>
    <row r="402" spans="1:4" x14ac:dyDescent="0.25">
      <c r="A402" s="89">
        <v>46039</v>
      </c>
      <c r="B402" t="s">
        <v>827</v>
      </c>
      <c r="C402" t="s">
        <v>743</v>
      </c>
      <c r="D402">
        <v>1</v>
      </c>
    </row>
    <row r="403" spans="1:4" x14ac:dyDescent="0.25">
      <c r="A403" s="89">
        <v>46039</v>
      </c>
      <c r="B403" t="s">
        <v>859</v>
      </c>
      <c r="C403" t="s">
        <v>743</v>
      </c>
      <c r="D403">
        <v>1</v>
      </c>
    </row>
    <row r="404" spans="1:4" x14ac:dyDescent="0.25">
      <c r="A404" s="89">
        <v>46040</v>
      </c>
      <c r="B404" t="s">
        <v>742</v>
      </c>
      <c r="C404" t="s">
        <v>765</v>
      </c>
      <c r="D404">
        <v>1</v>
      </c>
    </row>
    <row r="405" spans="1:4" x14ac:dyDescent="0.25">
      <c r="A405" s="89">
        <v>46040</v>
      </c>
      <c r="B405" t="s">
        <v>774</v>
      </c>
      <c r="C405" t="s">
        <v>765</v>
      </c>
      <c r="D405">
        <v>1</v>
      </c>
    </row>
    <row r="406" spans="1:4" x14ac:dyDescent="0.25">
      <c r="A406" s="89">
        <v>46040</v>
      </c>
      <c r="B406" t="s">
        <v>783</v>
      </c>
      <c r="C406" t="s">
        <v>765</v>
      </c>
      <c r="D406">
        <v>1</v>
      </c>
    </row>
    <row r="407" spans="1:4" x14ac:dyDescent="0.25">
      <c r="A407" s="89">
        <v>46040</v>
      </c>
      <c r="B407" t="s">
        <v>863</v>
      </c>
      <c r="C407" t="s">
        <v>765</v>
      </c>
      <c r="D407">
        <v>1</v>
      </c>
    </row>
    <row r="408" spans="1:4" x14ac:dyDescent="0.25">
      <c r="A408" s="89">
        <v>46040</v>
      </c>
      <c r="B408" t="s">
        <v>746</v>
      </c>
      <c r="C408" t="s">
        <v>765</v>
      </c>
      <c r="D408">
        <v>1</v>
      </c>
    </row>
    <row r="409" spans="1:4" x14ac:dyDescent="0.25">
      <c r="A409" s="89">
        <v>46040</v>
      </c>
      <c r="B409" t="s">
        <v>807</v>
      </c>
      <c r="C409" t="s">
        <v>765</v>
      </c>
      <c r="D409">
        <v>1</v>
      </c>
    </row>
    <row r="410" spans="1:4" x14ac:dyDescent="0.25">
      <c r="A410" s="89">
        <v>46040</v>
      </c>
      <c r="B410" t="s">
        <v>861</v>
      </c>
      <c r="C410" t="s">
        <v>765</v>
      </c>
      <c r="D410">
        <v>1</v>
      </c>
    </row>
    <row r="411" spans="1:4" x14ac:dyDescent="0.25">
      <c r="A411" s="89">
        <v>46040</v>
      </c>
      <c r="B411" t="s">
        <v>749</v>
      </c>
      <c r="C411" t="s">
        <v>765</v>
      </c>
      <c r="D411">
        <v>1</v>
      </c>
    </row>
    <row r="412" spans="1:4" x14ac:dyDescent="0.25">
      <c r="A412" s="89">
        <v>46041</v>
      </c>
      <c r="B412" t="s">
        <v>864</v>
      </c>
      <c r="C412" t="s">
        <v>763</v>
      </c>
      <c r="D412">
        <v>1</v>
      </c>
    </row>
    <row r="413" spans="1:4" x14ac:dyDescent="0.25">
      <c r="A413" s="89">
        <v>46041</v>
      </c>
      <c r="B413" t="s">
        <v>865</v>
      </c>
      <c r="C413" t="s">
        <v>763</v>
      </c>
      <c r="D413">
        <v>1</v>
      </c>
    </row>
    <row r="414" spans="1:4" x14ac:dyDescent="0.25">
      <c r="A414" s="89">
        <v>46042</v>
      </c>
      <c r="B414" t="s">
        <v>819</v>
      </c>
      <c r="C414" t="s">
        <v>743</v>
      </c>
      <c r="D414">
        <v>1</v>
      </c>
    </row>
    <row r="415" spans="1:4" x14ac:dyDescent="0.25">
      <c r="A415" s="89">
        <v>46042</v>
      </c>
      <c r="B415" t="s">
        <v>783</v>
      </c>
      <c r="C415" t="s">
        <v>743</v>
      </c>
      <c r="D415">
        <v>1</v>
      </c>
    </row>
    <row r="416" spans="1:4" x14ac:dyDescent="0.25">
      <c r="A416" s="89">
        <v>46043</v>
      </c>
      <c r="B416" t="s">
        <v>742</v>
      </c>
      <c r="C416" t="s">
        <v>765</v>
      </c>
      <c r="D416">
        <v>1</v>
      </c>
    </row>
    <row r="417" spans="1:4" x14ac:dyDescent="0.25">
      <c r="A417" s="89">
        <v>46043</v>
      </c>
      <c r="B417" t="s">
        <v>746</v>
      </c>
      <c r="C417" t="s">
        <v>765</v>
      </c>
      <c r="D417">
        <v>1</v>
      </c>
    </row>
    <row r="418" spans="1:4" x14ac:dyDescent="0.25">
      <c r="A418" s="89">
        <v>46043</v>
      </c>
      <c r="B418" t="s">
        <v>807</v>
      </c>
      <c r="C418" t="s">
        <v>765</v>
      </c>
      <c r="D418">
        <v>1</v>
      </c>
    </row>
    <row r="419" spans="1:4" x14ac:dyDescent="0.25">
      <c r="A419" s="89">
        <v>46043</v>
      </c>
      <c r="B419" t="s">
        <v>790</v>
      </c>
      <c r="C419" t="s">
        <v>765</v>
      </c>
      <c r="D419">
        <v>1</v>
      </c>
    </row>
    <row r="420" spans="1:4" x14ac:dyDescent="0.25">
      <c r="A420" s="89">
        <v>46044</v>
      </c>
      <c r="B420" t="s">
        <v>827</v>
      </c>
      <c r="C420" t="s">
        <v>743</v>
      </c>
      <c r="D420">
        <v>1</v>
      </c>
    </row>
    <row r="421" spans="1:4" x14ac:dyDescent="0.25">
      <c r="A421" s="89">
        <v>46044</v>
      </c>
      <c r="B421" t="s">
        <v>852</v>
      </c>
      <c r="C421" t="s">
        <v>743</v>
      </c>
      <c r="D421">
        <v>1</v>
      </c>
    </row>
    <row r="422" spans="1:4" x14ac:dyDescent="0.25">
      <c r="A422" s="89">
        <v>46044</v>
      </c>
      <c r="B422" t="s">
        <v>817</v>
      </c>
      <c r="C422" t="s">
        <v>743</v>
      </c>
      <c r="D422">
        <v>1</v>
      </c>
    </row>
    <row r="423" spans="1:4" x14ac:dyDescent="0.25">
      <c r="A423" s="89">
        <v>46044</v>
      </c>
      <c r="B423" t="s">
        <v>830</v>
      </c>
      <c r="C423" t="s">
        <v>743</v>
      </c>
      <c r="D423">
        <v>2</v>
      </c>
    </row>
    <row r="424" spans="1:4" x14ac:dyDescent="0.25">
      <c r="A424" s="89">
        <v>46044</v>
      </c>
      <c r="B424" t="s">
        <v>776</v>
      </c>
      <c r="C424" t="s">
        <v>743</v>
      </c>
      <c r="D424">
        <v>2</v>
      </c>
    </row>
    <row r="425" spans="1:4" x14ac:dyDescent="0.25">
      <c r="A425" s="89">
        <v>46044</v>
      </c>
      <c r="B425" t="s">
        <v>866</v>
      </c>
      <c r="C425" t="s">
        <v>743</v>
      </c>
      <c r="D425">
        <v>1</v>
      </c>
    </row>
    <row r="426" spans="1:4" x14ac:dyDescent="0.25">
      <c r="A426" s="89">
        <v>46045</v>
      </c>
      <c r="B426" t="s">
        <v>819</v>
      </c>
      <c r="C426" t="s">
        <v>743</v>
      </c>
      <c r="D426">
        <v>1</v>
      </c>
    </row>
    <row r="427" spans="1:4" x14ac:dyDescent="0.25">
      <c r="A427" s="89">
        <v>46045</v>
      </c>
      <c r="B427" t="s">
        <v>746</v>
      </c>
      <c r="C427" t="s">
        <v>743</v>
      </c>
      <c r="D427">
        <v>1</v>
      </c>
    </row>
    <row r="428" spans="1:4" x14ac:dyDescent="0.25">
      <c r="A428" s="89">
        <v>46045</v>
      </c>
      <c r="B428" t="s">
        <v>807</v>
      </c>
      <c r="C428" t="s">
        <v>743</v>
      </c>
      <c r="D428">
        <v>1</v>
      </c>
    </row>
    <row r="429" spans="1:4" x14ac:dyDescent="0.25">
      <c r="A429" s="89">
        <v>46045</v>
      </c>
      <c r="B429" t="s">
        <v>749</v>
      </c>
      <c r="C429" t="s">
        <v>743</v>
      </c>
      <c r="D429">
        <v>1</v>
      </c>
    </row>
    <row r="430" spans="1:4" x14ac:dyDescent="0.25">
      <c r="A430" s="89">
        <v>46045</v>
      </c>
      <c r="B430" t="s">
        <v>774</v>
      </c>
      <c r="C430" t="s">
        <v>743</v>
      </c>
      <c r="D430">
        <v>1</v>
      </c>
    </row>
    <row r="431" spans="1:4" x14ac:dyDescent="0.25">
      <c r="A431" s="89">
        <v>46045</v>
      </c>
      <c r="B431" t="s">
        <v>783</v>
      </c>
      <c r="C431" t="s">
        <v>743</v>
      </c>
      <c r="D431">
        <v>1</v>
      </c>
    </row>
    <row r="432" spans="1:4" x14ac:dyDescent="0.25">
      <c r="A432" s="89">
        <v>46045</v>
      </c>
      <c r="B432" t="s">
        <v>826</v>
      </c>
      <c r="C432" t="s">
        <v>743</v>
      </c>
      <c r="D432">
        <v>1</v>
      </c>
    </row>
    <row r="433" spans="1:4" x14ac:dyDescent="0.25">
      <c r="A433" s="89">
        <v>46046</v>
      </c>
      <c r="B433" t="s">
        <v>742</v>
      </c>
      <c r="C433" t="s">
        <v>743</v>
      </c>
      <c r="D433">
        <v>1</v>
      </c>
    </row>
    <row r="434" spans="1:4" x14ac:dyDescent="0.25">
      <c r="A434" s="89">
        <v>46046</v>
      </c>
      <c r="B434" t="s">
        <v>830</v>
      </c>
      <c r="C434" t="s">
        <v>743</v>
      </c>
      <c r="D434">
        <v>2</v>
      </c>
    </row>
    <row r="435" spans="1:4" x14ac:dyDescent="0.25">
      <c r="A435" s="89">
        <v>46046</v>
      </c>
      <c r="B435" t="s">
        <v>776</v>
      </c>
      <c r="C435" t="s">
        <v>743</v>
      </c>
      <c r="D435">
        <v>2</v>
      </c>
    </row>
    <row r="436" spans="1:4" x14ac:dyDescent="0.25">
      <c r="A436" s="89">
        <v>46047</v>
      </c>
      <c r="B436" t="s">
        <v>738</v>
      </c>
      <c r="C436" t="s">
        <v>763</v>
      </c>
      <c r="D436">
        <v>1</v>
      </c>
    </row>
    <row r="437" spans="1:4" x14ac:dyDescent="0.25">
      <c r="A437" s="89">
        <v>46047</v>
      </c>
      <c r="B437" t="s">
        <v>867</v>
      </c>
      <c r="C437" t="s">
        <v>763</v>
      </c>
      <c r="D437">
        <v>1</v>
      </c>
    </row>
    <row r="438" spans="1:4" x14ac:dyDescent="0.25">
      <c r="A438" s="89">
        <v>46047</v>
      </c>
      <c r="B438" t="s">
        <v>868</v>
      </c>
      <c r="C438" t="s">
        <v>763</v>
      </c>
      <c r="D438">
        <v>2</v>
      </c>
    </row>
    <row r="439" spans="1:4" x14ac:dyDescent="0.25">
      <c r="A439" s="89">
        <v>46047</v>
      </c>
      <c r="B439" t="s">
        <v>827</v>
      </c>
      <c r="C439" t="s">
        <v>763</v>
      </c>
      <c r="D439">
        <v>1</v>
      </c>
    </row>
    <row r="440" spans="1:4" x14ac:dyDescent="0.25">
      <c r="A440" s="89">
        <v>46047</v>
      </c>
      <c r="B440" t="s">
        <v>681</v>
      </c>
      <c r="C440" t="s">
        <v>763</v>
      </c>
      <c r="D440">
        <v>2</v>
      </c>
    </row>
    <row r="441" spans="1:4" x14ac:dyDescent="0.25">
      <c r="A441" s="89">
        <v>46047</v>
      </c>
      <c r="B441" t="s">
        <v>805</v>
      </c>
      <c r="C441" t="s">
        <v>763</v>
      </c>
      <c r="D441">
        <v>1</v>
      </c>
    </row>
    <row r="442" spans="1:4" x14ac:dyDescent="0.25">
      <c r="A442" s="89">
        <v>46049</v>
      </c>
      <c r="B442" t="s">
        <v>869</v>
      </c>
      <c r="C442" t="s">
        <v>765</v>
      </c>
      <c r="D442">
        <v>1</v>
      </c>
    </row>
    <row r="443" spans="1:4" x14ac:dyDescent="0.25">
      <c r="A443" s="89">
        <v>46049</v>
      </c>
      <c r="B443" t="s">
        <v>815</v>
      </c>
      <c r="C443" t="s">
        <v>765</v>
      </c>
      <c r="D443">
        <v>1</v>
      </c>
    </row>
    <row r="444" spans="1:4" x14ac:dyDescent="0.25">
      <c r="A444" s="89">
        <v>46049</v>
      </c>
      <c r="B444" t="s">
        <v>807</v>
      </c>
      <c r="C444" t="s">
        <v>765</v>
      </c>
      <c r="D444">
        <v>1</v>
      </c>
    </row>
    <row r="445" spans="1:4" x14ac:dyDescent="0.25">
      <c r="A445" s="89">
        <v>46050</v>
      </c>
      <c r="B445" t="s">
        <v>819</v>
      </c>
      <c r="C445" t="s">
        <v>765</v>
      </c>
      <c r="D445">
        <v>1</v>
      </c>
    </row>
    <row r="446" spans="1:4" x14ac:dyDescent="0.25">
      <c r="A446" s="89">
        <v>46050</v>
      </c>
      <c r="B446" t="s">
        <v>815</v>
      </c>
      <c r="C446" t="s">
        <v>765</v>
      </c>
      <c r="D446">
        <v>1</v>
      </c>
    </row>
    <row r="447" spans="1:4" x14ac:dyDescent="0.25">
      <c r="A447" s="89">
        <v>46050</v>
      </c>
      <c r="B447" t="s">
        <v>774</v>
      </c>
      <c r="C447" t="s">
        <v>765</v>
      </c>
      <c r="D447">
        <v>1</v>
      </c>
    </row>
    <row r="448" spans="1:4" x14ac:dyDescent="0.25">
      <c r="A448" s="89">
        <v>46050</v>
      </c>
      <c r="B448" t="s">
        <v>751</v>
      </c>
      <c r="C448" t="s">
        <v>765</v>
      </c>
      <c r="D448">
        <v>1</v>
      </c>
    </row>
    <row r="449" spans="1:4" x14ac:dyDescent="0.25">
      <c r="A449" s="89">
        <v>46051</v>
      </c>
      <c r="B449" t="s">
        <v>870</v>
      </c>
      <c r="C449" t="s">
        <v>743</v>
      </c>
      <c r="D449">
        <v>2</v>
      </c>
    </row>
    <row r="450" spans="1:4" x14ac:dyDescent="0.25">
      <c r="A450" s="89">
        <v>46051</v>
      </c>
      <c r="B450" t="s">
        <v>827</v>
      </c>
      <c r="C450" t="s">
        <v>743</v>
      </c>
      <c r="D450">
        <v>1</v>
      </c>
    </row>
    <row r="451" spans="1:4" x14ac:dyDescent="0.25">
      <c r="A451" s="89">
        <v>46051</v>
      </c>
      <c r="B451" t="s">
        <v>760</v>
      </c>
      <c r="C451" t="s">
        <v>743</v>
      </c>
      <c r="D451">
        <v>1</v>
      </c>
    </row>
    <row r="452" spans="1:4" x14ac:dyDescent="0.25">
      <c r="A452" s="89">
        <v>46051</v>
      </c>
      <c r="B452" t="s">
        <v>871</v>
      </c>
      <c r="C452" t="s">
        <v>743</v>
      </c>
      <c r="D452">
        <v>1</v>
      </c>
    </row>
    <row r="453" spans="1:4" x14ac:dyDescent="0.25">
      <c r="A453" s="89">
        <v>46051</v>
      </c>
      <c r="B453" t="s">
        <v>872</v>
      </c>
      <c r="C453" t="s">
        <v>743</v>
      </c>
      <c r="D453">
        <v>1</v>
      </c>
    </row>
    <row r="454" spans="1:4" x14ac:dyDescent="0.25">
      <c r="A454" s="89">
        <v>46051</v>
      </c>
      <c r="B454" t="s">
        <v>758</v>
      </c>
      <c r="C454" t="s">
        <v>743</v>
      </c>
      <c r="D454">
        <v>1</v>
      </c>
    </row>
    <row r="455" spans="1:4" x14ac:dyDescent="0.25">
      <c r="A455" s="89">
        <v>46051</v>
      </c>
      <c r="B455" t="s">
        <v>873</v>
      </c>
      <c r="C455" t="s">
        <v>743</v>
      </c>
      <c r="D455">
        <v>1</v>
      </c>
    </row>
    <row r="456" spans="1:4" x14ac:dyDescent="0.25">
      <c r="A456" s="89">
        <v>46052</v>
      </c>
      <c r="B456" t="s">
        <v>819</v>
      </c>
      <c r="C456" t="s">
        <v>743</v>
      </c>
      <c r="D456">
        <v>1</v>
      </c>
    </row>
    <row r="457" spans="1:4" x14ac:dyDescent="0.25">
      <c r="A457" s="89">
        <v>46052</v>
      </c>
      <c r="B457" t="s">
        <v>807</v>
      </c>
      <c r="C457" t="s">
        <v>743</v>
      </c>
      <c r="D457">
        <v>1</v>
      </c>
    </row>
    <row r="458" spans="1:4" x14ac:dyDescent="0.25">
      <c r="A458" s="89">
        <v>46052</v>
      </c>
      <c r="B458" t="s">
        <v>749</v>
      </c>
      <c r="C458" t="s">
        <v>743</v>
      </c>
      <c r="D458">
        <v>1</v>
      </c>
    </row>
    <row r="459" spans="1:4" x14ac:dyDescent="0.25">
      <c r="A459" s="89">
        <v>46052</v>
      </c>
      <c r="B459" t="s">
        <v>774</v>
      </c>
      <c r="C459" t="s">
        <v>743</v>
      </c>
      <c r="D459">
        <v>1</v>
      </c>
    </row>
    <row r="460" spans="1:4" x14ac:dyDescent="0.25">
      <c r="A460" s="89">
        <v>46052</v>
      </c>
      <c r="B460" t="s">
        <v>783</v>
      </c>
      <c r="C460" t="s">
        <v>743</v>
      </c>
      <c r="D460">
        <v>1</v>
      </c>
    </row>
    <row r="461" spans="1:4" x14ac:dyDescent="0.25">
      <c r="A461" s="89">
        <v>46052</v>
      </c>
      <c r="B461" t="s">
        <v>871</v>
      </c>
      <c r="C461" t="s">
        <v>743</v>
      </c>
      <c r="D461">
        <v>1</v>
      </c>
    </row>
    <row r="462" spans="1:4" x14ac:dyDescent="0.25">
      <c r="A462" s="89">
        <v>46052</v>
      </c>
      <c r="B462" t="s">
        <v>873</v>
      </c>
      <c r="C462" t="s">
        <v>743</v>
      </c>
      <c r="D462">
        <v>1</v>
      </c>
    </row>
    <row r="463" spans="1:4" x14ac:dyDescent="0.25">
      <c r="A463" s="89">
        <v>46052</v>
      </c>
      <c r="B463" t="s">
        <v>872</v>
      </c>
      <c r="C463" t="s">
        <v>743</v>
      </c>
      <c r="D463">
        <v>1</v>
      </c>
    </row>
    <row r="464" spans="1:4" x14ac:dyDescent="0.25">
      <c r="A464" s="89">
        <v>46052</v>
      </c>
      <c r="B464" t="s">
        <v>758</v>
      </c>
      <c r="C464" t="s">
        <v>743</v>
      </c>
      <c r="D464">
        <v>1</v>
      </c>
    </row>
    <row r="465" spans="1:4" x14ac:dyDescent="0.25">
      <c r="A465" s="89">
        <v>46053</v>
      </c>
      <c r="B465" t="s">
        <v>742</v>
      </c>
      <c r="C465" t="s">
        <v>743</v>
      </c>
      <c r="D465">
        <v>1</v>
      </c>
    </row>
    <row r="466" spans="1:4" x14ac:dyDescent="0.25">
      <c r="A466" s="89">
        <v>46053</v>
      </c>
      <c r="B466" t="s">
        <v>819</v>
      </c>
      <c r="C466" t="s">
        <v>743</v>
      </c>
      <c r="D466">
        <v>1</v>
      </c>
    </row>
    <row r="467" spans="1:4" x14ac:dyDescent="0.25">
      <c r="A467" s="89">
        <v>46053</v>
      </c>
      <c r="B467" t="s">
        <v>871</v>
      </c>
      <c r="C467" t="s">
        <v>743</v>
      </c>
      <c r="D467">
        <v>1</v>
      </c>
    </row>
    <row r="468" spans="1:4" x14ac:dyDescent="0.25">
      <c r="A468" s="89">
        <v>46053</v>
      </c>
      <c r="B468" t="s">
        <v>774</v>
      </c>
      <c r="C468" t="s">
        <v>743</v>
      </c>
      <c r="D468">
        <v>1</v>
      </c>
    </row>
    <row r="469" spans="1:4" x14ac:dyDescent="0.25">
      <c r="A469" s="89">
        <v>46053</v>
      </c>
      <c r="B469" t="s">
        <v>835</v>
      </c>
      <c r="C469" t="s">
        <v>743</v>
      </c>
      <c r="D469">
        <v>1</v>
      </c>
    </row>
    <row r="470" spans="1:4" x14ac:dyDescent="0.25">
      <c r="A470" s="89">
        <v>46053</v>
      </c>
      <c r="B470" t="s">
        <v>783</v>
      </c>
      <c r="C470" t="s">
        <v>743</v>
      </c>
      <c r="D470">
        <v>1</v>
      </c>
    </row>
    <row r="471" spans="1:4" x14ac:dyDescent="0.25">
      <c r="A471" s="89">
        <v>46054</v>
      </c>
      <c r="B471" t="s">
        <v>819</v>
      </c>
      <c r="C471" t="s">
        <v>765</v>
      </c>
      <c r="D471">
        <v>1</v>
      </c>
    </row>
    <row r="472" spans="1:4" x14ac:dyDescent="0.25">
      <c r="A472" s="89">
        <v>46054</v>
      </c>
      <c r="B472" t="s">
        <v>746</v>
      </c>
      <c r="C472" t="s">
        <v>765</v>
      </c>
      <c r="D472">
        <v>1</v>
      </c>
    </row>
    <row r="473" spans="1:4" x14ac:dyDescent="0.25">
      <c r="A473" s="89">
        <v>46054</v>
      </c>
      <c r="B473" t="s">
        <v>874</v>
      </c>
      <c r="C473" t="s">
        <v>765</v>
      </c>
      <c r="D473">
        <v>2</v>
      </c>
    </row>
    <row r="474" spans="1:4" x14ac:dyDescent="0.25">
      <c r="A474" s="89">
        <v>46054</v>
      </c>
      <c r="B474" t="s">
        <v>807</v>
      </c>
      <c r="C474" t="s">
        <v>765</v>
      </c>
      <c r="D474">
        <v>1</v>
      </c>
    </row>
    <row r="475" spans="1:4" x14ac:dyDescent="0.25">
      <c r="A475" s="89">
        <v>46054</v>
      </c>
      <c r="B475" t="s">
        <v>749</v>
      </c>
      <c r="C475" t="s">
        <v>765</v>
      </c>
      <c r="D475">
        <v>1</v>
      </c>
    </row>
    <row r="476" spans="1:4" x14ac:dyDescent="0.25">
      <c r="A476" s="89">
        <v>46054</v>
      </c>
      <c r="B476" t="s">
        <v>760</v>
      </c>
      <c r="C476" t="s">
        <v>765</v>
      </c>
      <c r="D476">
        <v>1</v>
      </c>
    </row>
    <row r="477" spans="1:4" x14ac:dyDescent="0.25">
      <c r="A477" s="89">
        <v>46054</v>
      </c>
      <c r="B477" t="s">
        <v>872</v>
      </c>
      <c r="C477" t="s">
        <v>765</v>
      </c>
      <c r="D477">
        <v>1</v>
      </c>
    </row>
    <row r="478" spans="1:4" x14ac:dyDescent="0.25">
      <c r="A478" s="89">
        <v>46054</v>
      </c>
      <c r="B478" t="s">
        <v>758</v>
      </c>
      <c r="C478" t="s">
        <v>765</v>
      </c>
      <c r="D478">
        <v>1</v>
      </c>
    </row>
    <row r="479" spans="1:4" x14ac:dyDescent="0.25">
      <c r="A479" s="89">
        <v>46054</v>
      </c>
      <c r="B479" t="s">
        <v>875</v>
      </c>
      <c r="C479" t="s">
        <v>765</v>
      </c>
      <c r="D479">
        <v>1</v>
      </c>
    </row>
    <row r="480" spans="1:4" x14ac:dyDescent="0.25">
      <c r="A480" s="89">
        <v>46054</v>
      </c>
      <c r="B480" t="s">
        <v>876</v>
      </c>
      <c r="C480" t="s">
        <v>765</v>
      </c>
      <c r="D480">
        <v>1</v>
      </c>
    </row>
    <row r="481" spans="1:4" x14ac:dyDescent="0.25">
      <c r="A481" s="89">
        <v>46054</v>
      </c>
      <c r="B481" t="s">
        <v>774</v>
      </c>
      <c r="C481" t="s">
        <v>765</v>
      </c>
      <c r="D481">
        <v>1</v>
      </c>
    </row>
    <row r="482" spans="1:4" x14ac:dyDescent="0.25">
      <c r="A482" s="89">
        <v>46054</v>
      </c>
      <c r="B482" t="s">
        <v>783</v>
      </c>
      <c r="C482" t="s">
        <v>765</v>
      </c>
      <c r="D482">
        <v>1</v>
      </c>
    </row>
    <row r="483" spans="1:4" x14ac:dyDescent="0.25">
      <c r="A483" s="89">
        <v>46055</v>
      </c>
      <c r="B483" t="s">
        <v>738</v>
      </c>
      <c r="C483" t="s">
        <v>763</v>
      </c>
      <c r="D483">
        <v>1</v>
      </c>
    </row>
    <row r="484" spans="1:4" x14ac:dyDescent="0.25">
      <c r="A484" s="89">
        <v>46055</v>
      </c>
      <c r="B484" t="s">
        <v>877</v>
      </c>
      <c r="C484" t="s">
        <v>763</v>
      </c>
      <c r="D484">
        <v>1</v>
      </c>
    </row>
    <row r="485" spans="1:4" x14ac:dyDescent="0.25">
      <c r="A485" s="89">
        <v>46056</v>
      </c>
      <c r="B485" t="s">
        <v>874</v>
      </c>
      <c r="C485" t="s">
        <v>765</v>
      </c>
      <c r="D485">
        <v>1</v>
      </c>
    </row>
    <row r="486" spans="1:4" x14ac:dyDescent="0.25">
      <c r="A486" s="89">
        <v>46058</v>
      </c>
      <c r="B486" t="s">
        <v>747</v>
      </c>
      <c r="C486" t="s">
        <v>743</v>
      </c>
      <c r="D486">
        <v>1</v>
      </c>
    </row>
    <row r="487" spans="1:4" x14ac:dyDescent="0.25">
      <c r="A487" s="89">
        <v>46058</v>
      </c>
      <c r="B487" t="s">
        <v>878</v>
      </c>
      <c r="C487" t="s">
        <v>743</v>
      </c>
      <c r="D487">
        <v>1</v>
      </c>
    </row>
    <row r="488" spans="1:4" x14ac:dyDescent="0.25">
      <c r="A488" s="89">
        <v>46058</v>
      </c>
      <c r="B488" t="s">
        <v>879</v>
      </c>
      <c r="C488" t="s">
        <v>743</v>
      </c>
      <c r="D488">
        <v>1</v>
      </c>
    </row>
    <row r="489" spans="1:4" x14ac:dyDescent="0.25">
      <c r="A489" s="89">
        <v>46058</v>
      </c>
      <c r="B489" t="s">
        <v>880</v>
      </c>
      <c r="C489" t="s">
        <v>743</v>
      </c>
      <c r="D489">
        <v>1</v>
      </c>
    </row>
    <row r="490" spans="1:4" x14ac:dyDescent="0.25">
      <c r="A490" s="89">
        <v>46058</v>
      </c>
      <c r="B490" t="s">
        <v>774</v>
      </c>
      <c r="C490" t="s">
        <v>743</v>
      </c>
      <c r="D490">
        <v>1</v>
      </c>
    </row>
    <row r="491" spans="1:4" x14ac:dyDescent="0.25">
      <c r="A491" s="89">
        <v>46059</v>
      </c>
      <c r="B491" t="s">
        <v>747</v>
      </c>
      <c r="C491" t="s">
        <v>743</v>
      </c>
      <c r="D491">
        <v>1</v>
      </c>
    </row>
    <row r="492" spans="1:4" x14ac:dyDescent="0.25">
      <c r="A492" s="89">
        <v>46059</v>
      </c>
      <c r="B492" t="s">
        <v>742</v>
      </c>
      <c r="C492" t="s">
        <v>743</v>
      </c>
      <c r="D492">
        <v>1</v>
      </c>
    </row>
    <row r="493" spans="1:4" x14ac:dyDescent="0.25">
      <c r="A493" s="89">
        <v>46059</v>
      </c>
      <c r="B493" t="s">
        <v>879</v>
      </c>
      <c r="C493" t="s">
        <v>743</v>
      </c>
      <c r="D493">
        <v>1</v>
      </c>
    </row>
    <row r="494" spans="1:4" x14ac:dyDescent="0.25">
      <c r="A494" s="89">
        <v>46059</v>
      </c>
      <c r="B494" t="s">
        <v>774</v>
      </c>
      <c r="C494" t="s">
        <v>743</v>
      </c>
      <c r="D494">
        <v>1</v>
      </c>
    </row>
    <row r="495" spans="1:4" x14ac:dyDescent="0.25">
      <c r="A495" s="89">
        <v>46059</v>
      </c>
      <c r="B495" t="s">
        <v>783</v>
      </c>
      <c r="C495" t="s">
        <v>743</v>
      </c>
      <c r="D495">
        <v>1</v>
      </c>
    </row>
    <row r="496" spans="1:4" x14ac:dyDescent="0.25">
      <c r="A496" s="89">
        <v>46059</v>
      </c>
      <c r="B496" t="s">
        <v>878</v>
      </c>
      <c r="C496" t="s">
        <v>743</v>
      </c>
      <c r="D496">
        <v>1</v>
      </c>
    </row>
    <row r="497" spans="1:4" x14ac:dyDescent="0.25">
      <c r="A497" s="89">
        <v>46060</v>
      </c>
      <c r="B497" t="s">
        <v>774</v>
      </c>
      <c r="C497" t="s">
        <v>743</v>
      </c>
      <c r="D497">
        <v>1</v>
      </c>
    </row>
    <row r="498" spans="1:4" x14ac:dyDescent="0.25">
      <c r="A498" s="89">
        <v>46060</v>
      </c>
      <c r="B498" t="s">
        <v>783</v>
      </c>
      <c r="C498" t="s">
        <v>743</v>
      </c>
      <c r="D498">
        <v>1</v>
      </c>
    </row>
    <row r="499" spans="1:4" x14ac:dyDescent="0.25">
      <c r="A499" s="89">
        <v>46060</v>
      </c>
      <c r="B499" t="s">
        <v>782</v>
      </c>
      <c r="C499" t="s">
        <v>743</v>
      </c>
      <c r="D499">
        <v>1</v>
      </c>
    </row>
    <row r="500" spans="1:4" x14ac:dyDescent="0.25">
      <c r="A500" s="89">
        <v>46060</v>
      </c>
      <c r="B500" t="s">
        <v>818</v>
      </c>
      <c r="C500" t="s">
        <v>743</v>
      </c>
      <c r="D500">
        <v>1</v>
      </c>
    </row>
    <row r="501" spans="1:4" x14ac:dyDescent="0.25">
      <c r="A501" s="89">
        <v>46060</v>
      </c>
      <c r="B501" t="s">
        <v>881</v>
      </c>
      <c r="C501" t="s">
        <v>743</v>
      </c>
      <c r="D501">
        <v>1</v>
      </c>
    </row>
    <row r="502" spans="1:4" x14ac:dyDescent="0.25">
      <c r="A502" s="89">
        <v>46060</v>
      </c>
      <c r="B502" t="s">
        <v>882</v>
      </c>
      <c r="C502" t="s">
        <v>743</v>
      </c>
      <c r="D502">
        <v>1</v>
      </c>
    </row>
    <row r="503" spans="1:4" x14ac:dyDescent="0.25">
      <c r="A503" s="89">
        <v>46061</v>
      </c>
      <c r="B503" t="s">
        <v>883</v>
      </c>
      <c r="C503" t="s">
        <v>763</v>
      </c>
      <c r="D503">
        <v>1</v>
      </c>
    </row>
    <row r="504" spans="1:4" x14ac:dyDescent="0.25">
      <c r="A504" s="89">
        <v>46061</v>
      </c>
      <c r="B504" t="s">
        <v>747</v>
      </c>
      <c r="C504" t="s">
        <v>743</v>
      </c>
      <c r="D504">
        <v>1</v>
      </c>
    </row>
    <row r="505" spans="1:4" x14ac:dyDescent="0.25">
      <c r="A505" s="89">
        <v>46061</v>
      </c>
      <c r="B505" t="s">
        <v>879</v>
      </c>
      <c r="C505" t="s">
        <v>743</v>
      </c>
      <c r="D505">
        <v>1</v>
      </c>
    </row>
    <row r="506" spans="1:4" x14ac:dyDescent="0.25">
      <c r="A506" s="89">
        <v>46061</v>
      </c>
      <c r="B506" t="s">
        <v>783</v>
      </c>
      <c r="C506" t="s">
        <v>743</v>
      </c>
      <c r="D506">
        <v>1</v>
      </c>
    </row>
    <row r="507" spans="1:4" x14ac:dyDescent="0.25">
      <c r="A507" s="89">
        <v>46061</v>
      </c>
      <c r="B507" t="s">
        <v>881</v>
      </c>
      <c r="C507" t="s">
        <v>743</v>
      </c>
      <c r="D507">
        <v>1</v>
      </c>
    </row>
    <row r="508" spans="1:4" x14ac:dyDescent="0.25">
      <c r="A508" s="89">
        <v>46061</v>
      </c>
      <c r="B508" t="s">
        <v>878</v>
      </c>
      <c r="C508" t="s">
        <v>743</v>
      </c>
      <c r="D508">
        <v>1</v>
      </c>
    </row>
    <row r="509" spans="1:4" x14ac:dyDescent="0.25">
      <c r="A509" s="89">
        <v>46062</v>
      </c>
      <c r="B509" t="s">
        <v>711</v>
      </c>
      <c r="C509" t="s">
        <v>763</v>
      </c>
      <c r="D509">
        <v>1</v>
      </c>
    </row>
    <row r="510" spans="1:4" x14ac:dyDescent="0.25">
      <c r="A510" s="89">
        <v>46062</v>
      </c>
      <c r="B510" t="s">
        <v>742</v>
      </c>
      <c r="C510" t="s">
        <v>763</v>
      </c>
      <c r="D510">
        <v>1</v>
      </c>
    </row>
    <row r="511" spans="1:4" x14ac:dyDescent="0.25">
      <c r="A511" s="89">
        <v>46064</v>
      </c>
      <c r="B511" t="s">
        <v>884</v>
      </c>
      <c r="C511" t="s">
        <v>765</v>
      </c>
      <c r="D511">
        <v>1</v>
      </c>
    </row>
    <row r="512" spans="1:4" x14ac:dyDescent="0.25">
      <c r="A512" s="89">
        <v>46065</v>
      </c>
      <c r="B512" t="s">
        <v>711</v>
      </c>
      <c r="C512" t="s">
        <v>743</v>
      </c>
      <c r="D512">
        <v>1</v>
      </c>
    </row>
    <row r="513" spans="1:4" x14ac:dyDescent="0.25">
      <c r="A513" s="89">
        <v>46065</v>
      </c>
      <c r="B513" t="s">
        <v>774</v>
      </c>
      <c r="C513" t="s">
        <v>743</v>
      </c>
      <c r="D513">
        <v>1</v>
      </c>
    </row>
    <row r="514" spans="1:4" x14ac:dyDescent="0.25">
      <c r="A514" s="89">
        <v>46065</v>
      </c>
      <c r="B514" t="s">
        <v>783</v>
      </c>
      <c r="C514" t="s">
        <v>743</v>
      </c>
      <c r="D514">
        <v>1</v>
      </c>
    </row>
    <row r="515" spans="1:4" x14ac:dyDescent="0.25">
      <c r="A515" s="89">
        <v>46066</v>
      </c>
      <c r="B515" t="s">
        <v>885</v>
      </c>
      <c r="C515" t="s">
        <v>743</v>
      </c>
      <c r="D515">
        <v>2</v>
      </c>
    </row>
    <row r="516" spans="1:4" x14ac:dyDescent="0.25">
      <c r="A516" s="89">
        <v>46066</v>
      </c>
      <c r="B516" t="s">
        <v>886</v>
      </c>
      <c r="C516" t="s">
        <v>743</v>
      </c>
      <c r="D516">
        <v>4</v>
      </c>
    </row>
    <row r="517" spans="1:4" x14ac:dyDescent="0.25">
      <c r="A517" s="89">
        <v>46066</v>
      </c>
      <c r="B517" t="s">
        <v>775</v>
      </c>
      <c r="C517" t="s">
        <v>743</v>
      </c>
      <c r="D517">
        <v>4</v>
      </c>
    </row>
    <row r="518" spans="1:4" x14ac:dyDescent="0.25">
      <c r="A518" s="89">
        <v>46066</v>
      </c>
      <c r="B518" t="s">
        <v>887</v>
      </c>
      <c r="C518" t="s">
        <v>743</v>
      </c>
      <c r="D518">
        <v>2</v>
      </c>
    </row>
    <row r="519" spans="1:4" x14ac:dyDescent="0.25">
      <c r="A519" s="89">
        <v>46066</v>
      </c>
      <c r="B519" t="s">
        <v>782</v>
      </c>
      <c r="C519" t="s">
        <v>743</v>
      </c>
      <c r="D519">
        <v>2</v>
      </c>
    </row>
    <row r="520" spans="1:4" x14ac:dyDescent="0.25">
      <c r="A520" s="89">
        <v>46066</v>
      </c>
      <c r="B520" t="s">
        <v>760</v>
      </c>
      <c r="C520" t="s">
        <v>743</v>
      </c>
      <c r="D520">
        <v>2</v>
      </c>
    </row>
    <row r="521" spans="1:4" x14ac:dyDescent="0.25">
      <c r="A521" s="89">
        <v>46066</v>
      </c>
      <c r="B521" t="s">
        <v>747</v>
      </c>
      <c r="C521" t="s">
        <v>743</v>
      </c>
      <c r="D521">
        <v>2</v>
      </c>
    </row>
    <row r="522" spans="1:4" x14ac:dyDescent="0.25">
      <c r="A522" s="89">
        <v>46066</v>
      </c>
      <c r="B522" t="s">
        <v>749</v>
      </c>
      <c r="C522" t="s">
        <v>743</v>
      </c>
      <c r="D522">
        <v>2</v>
      </c>
    </row>
    <row r="523" spans="1:4" x14ac:dyDescent="0.25">
      <c r="A523" s="89">
        <v>46066</v>
      </c>
      <c r="B523" t="s">
        <v>774</v>
      </c>
      <c r="C523" t="s">
        <v>743</v>
      </c>
      <c r="D523">
        <v>2</v>
      </c>
    </row>
    <row r="524" spans="1:4" x14ac:dyDescent="0.25">
      <c r="A524" s="89">
        <v>46066</v>
      </c>
      <c r="B524" t="s">
        <v>885</v>
      </c>
      <c r="C524" t="s">
        <v>743</v>
      </c>
      <c r="D524">
        <v>2</v>
      </c>
    </row>
    <row r="525" spans="1:4" x14ac:dyDescent="0.25">
      <c r="A525" s="89">
        <v>46066</v>
      </c>
      <c r="B525" t="s">
        <v>742</v>
      </c>
      <c r="C525" t="s">
        <v>743</v>
      </c>
      <c r="D525">
        <v>2</v>
      </c>
    </row>
    <row r="526" spans="1:4" x14ac:dyDescent="0.25">
      <c r="A526" s="89">
        <v>46066</v>
      </c>
      <c r="B526" t="s">
        <v>775</v>
      </c>
      <c r="C526" t="s">
        <v>743</v>
      </c>
      <c r="D526">
        <v>2</v>
      </c>
    </row>
    <row r="527" spans="1:4" x14ac:dyDescent="0.25">
      <c r="A527" s="89">
        <v>46067</v>
      </c>
      <c r="B527" t="s">
        <v>742</v>
      </c>
      <c r="C527" t="s">
        <v>743</v>
      </c>
      <c r="D527">
        <v>2</v>
      </c>
    </row>
    <row r="528" spans="1:4" x14ac:dyDescent="0.25">
      <c r="A528" s="89">
        <v>46067</v>
      </c>
      <c r="B528" t="s">
        <v>747</v>
      </c>
      <c r="C528" t="s">
        <v>743</v>
      </c>
      <c r="D528">
        <v>2</v>
      </c>
    </row>
    <row r="529" spans="1:4" x14ac:dyDescent="0.25">
      <c r="A529" s="89">
        <v>46067</v>
      </c>
      <c r="B529" t="s">
        <v>749</v>
      </c>
      <c r="C529" t="s">
        <v>743</v>
      </c>
      <c r="D529">
        <v>2</v>
      </c>
    </row>
    <row r="530" spans="1:4" x14ac:dyDescent="0.25">
      <c r="A530" s="89">
        <v>46067</v>
      </c>
      <c r="B530" t="s">
        <v>774</v>
      </c>
      <c r="C530" t="s">
        <v>743</v>
      </c>
      <c r="D530">
        <v>2</v>
      </c>
    </row>
    <row r="531" spans="1:4" x14ac:dyDescent="0.25">
      <c r="A531" s="89">
        <v>46067</v>
      </c>
      <c r="B531" t="s">
        <v>783</v>
      </c>
      <c r="C531" t="s">
        <v>743</v>
      </c>
      <c r="D531">
        <v>2</v>
      </c>
    </row>
    <row r="532" spans="1:4" x14ac:dyDescent="0.25">
      <c r="A532" s="89">
        <v>46067</v>
      </c>
      <c r="B532" t="s">
        <v>827</v>
      </c>
      <c r="C532" t="s">
        <v>743</v>
      </c>
      <c r="D532">
        <v>2</v>
      </c>
    </row>
    <row r="533" spans="1:4" x14ac:dyDescent="0.25">
      <c r="A533" s="89">
        <v>46067</v>
      </c>
      <c r="B533" t="s">
        <v>761</v>
      </c>
      <c r="C533" t="s">
        <v>743</v>
      </c>
      <c r="D533">
        <v>2</v>
      </c>
    </row>
    <row r="534" spans="1:4" x14ac:dyDescent="0.25">
      <c r="A534" s="89">
        <v>46067</v>
      </c>
      <c r="B534" t="s">
        <v>746</v>
      </c>
      <c r="C534" t="s">
        <v>743</v>
      </c>
      <c r="D534">
        <v>2</v>
      </c>
    </row>
    <row r="535" spans="1:4" x14ac:dyDescent="0.25">
      <c r="A535" s="89">
        <v>46067</v>
      </c>
      <c r="B535" t="s">
        <v>775</v>
      </c>
      <c r="C535" t="s">
        <v>743</v>
      </c>
      <c r="D535">
        <v>2</v>
      </c>
    </row>
    <row r="536" spans="1:4" x14ac:dyDescent="0.25">
      <c r="A536" s="89">
        <v>46067</v>
      </c>
      <c r="B536" t="s">
        <v>887</v>
      </c>
      <c r="C536" t="s">
        <v>743</v>
      </c>
      <c r="D536">
        <v>2</v>
      </c>
    </row>
    <row r="537" spans="1:4" x14ac:dyDescent="0.25">
      <c r="A537" s="89">
        <v>46067</v>
      </c>
      <c r="B537" t="s">
        <v>749</v>
      </c>
      <c r="C537" t="s">
        <v>743</v>
      </c>
      <c r="D537">
        <v>2</v>
      </c>
    </row>
    <row r="538" spans="1:4" x14ac:dyDescent="0.25">
      <c r="A538" s="89">
        <v>46067</v>
      </c>
      <c r="B538" t="s">
        <v>775</v>
      </c>
      <c r="C538" t="s">
        <v>743</v>
      </c>
      <c r="D538">
        <v>2</v>
      </c>
    </row>
    <row r="539" spans="1:4" x14ac:dyDescent="0.25">
      <c r="A539" s="89">
        <v>46067</v>
      </c>
      <c r="B539" t="s">
        <v>760</v>
      </c>
      <c r="C539" t="s">
        <v>743</v>
      </c>
      <c r="D539">
        <v>2</v>
      </c>
    </row>
    <row r="540" spans="1:4" x14ac:dyDescent="0.25">
      <c r="A540" s="89">
        <v>46067</v>
      </c>
      <c r="B540" t="s">
        <v>827</v>
      </c>
      <c r="C540" t="s">
        <v>743</v>
      </c>
      <c r="D540">
        <v>2</v>
      </c>
    </row>
    <row r="541" spans="1:4" x14ac:dyDescent="0.25">
      <c r="A541" s="89">
        <v>46067</v>
      </c>
      <c r="B541" t="s">
        <v>887</v>
      </c>
      <c r="C541" t="s">
        <v>743</v>
      </c>
      <c r="D541">
        <v>2</v>
      </c>
    </row>
    <row r="542" spans="1:4" x14ac:dyDescent="0.25">
      <c r="A542" s="89">
        <v>46067</v>
      </c>
      <c r="B542" t="s">
        <v>751</v>
      </c>
      <c r="C542" t="s">
        <v>743</v>
      </c>
      <c r="D542">
        <v>2</v>
      </c>
    </row>
    <row r="543" spans="1:4" x14ac:dyDescent="0.25">
      <c r="A543" s="89">
        <v>46067</v>
      </c>
      <c r="B543" t="s">
        <v>774</v>
      </c>
      <c r="C543" t="s">
        <v>743</v>
      </c>
      <c r="D543">
        <v>2</v>
      </c>
    </row>
    <row r="544" spans="1:4" x14ac:dyDescent="0.25">
      <c r="A544" s="89">
        <v>46067</v>
      </c>
      <c r="B544" t="s">
        <v>783</v>
      </c>
      <c r="C544" t="s">
        <v>743</v>
      </c>
      <c r="D544">
        <v>2</v>
      </c>
    </row>
    <row r="545" spans="1:4" x14ac:dyDescent="0.25">
      <c r="A545" s="89">
        <v>46068</v>
      </c>
      <c r="B545" t="s">
        <v>888</v>
      </c>
      <c r="C545" t="s">
        <v>763</v>
      </c>
      <c r="D545">
        <v>2</v>
      </c>
    </row>
    <row r="546" spans="1:4" x14ac:dyDescent="0.25">
      <c r="A546" s="89">
        <v>46068</v>
      </c>
      <c r="B546" t="s">
        <v>889</v>
      </c>
      <c r="C546" t="s">
        <v>763</v>
      </c>
      <c r="D546">
        <v>4</v>
      </c>
    </row>
    <row r="547" spans="1:4" x14ac:dyDescent="0.25">
      <c r="A547" s="89">
        <v>46068</v>
      </c>
      <c r="B547" t="s">
        <v>890</v>
      </c>
      <c r="C547" t="s">
        <v>763</v>
      </c>
      <c r="D547">
        <v>2</v>
      </c>
    </row>
    <row r="548" spans="1:4" x14ac:dyDescent="0.25">
      <c r="A548" s="89">
        <v>46068</v>
      </c>
      <c r="B548" t="s">
        <v>891</v>
      </c>
      <c r="C548" t="s">
        <v>763</v>
      </c>
      <c r="D548">
        <v>2</v>
      </c>
    </row>
    <row r="549" spans="1:4" x14ac:dyDescent="0.25">
      <c r="A549" s="89">
        <v>46068</v>
      </c>
      <c r="B549" t="s">
        <v>886</v>
      </c>
      <c r="C549" t="s">
        <v>743</v>
      </c>
      <c r="D549">
        <v>2</v>
      </c>
    </row>
    <row r="550" spans="1:4" x14ac:dyDescent="0.25">
      <c r="A550" s="89">
        <v>46068</v>
      </c>
      <c r="B550" t="s">
        <v>887</v>
      </c>
      <c r="C550" t="s">
        <v>743</v>
      </c>
      <c r="D550">
        <v>2</v>
      </c>
    </row>
    <row r="551" spans="1:4" x14ac:dyDescent="0.25">
      <c r="A551" s="89">
        <v>46068</v>
      </c>
      <c r="B551" t="s">
        <v>711</v>
      </c>
      <c r="C551" t="s">
        <v>743</v>
      </c>
      <c r="D551">
        <v>2</v>
      </c>
    </row>
    <row r="552" spans="1:4" x14ac:dyDescent="0.25">
      <c r="A552" s="89">
        <v>46068</v>
      </c>
      <c r="B552" t="s">
        <v>711</v>
      </c>
      <c r="C552" t="s">
        <v>743</v>
      </c>
      <c r="D552">
        <v>4</v>
      </c>
    </row>
    <row r="553" spans="1:4" x14ac:dyDescent="0.25">
      <c r="A553" s="89">
        <v>46068</v>
      </c>
      <c r="B553" t="s">
        <v>749</v>
      </c>
      <c r="C553" t="s">
        <v>743</v>
      </c>
      <c r="D553">
        <v>2</v>
      </c>
    </row>
    <row r="554" spans="1:4" x14ac:dyDescent="0.25">
      <c r="A554" s="89">
        <v>46068</v>
      </c>
      <c r="B554" t="s">
        <v>774</v>
      </c>
      <c r="C554" t="s">
        <v>743</v>
      </c>
      <c r="D554">
        <v>2</v>
      </c>
    </row>
    <row r="555" spans="1:4" x14ac:dyDescent="0.25">
      <c r="A555" s="89">
        <v>46068</v>
      </c>
      <c r="B555" t="s">
        <v>783</v>
      </c>
      <c r="C555" t="s">
        <v>743</v>
      </c>
      <c r="D555">
        <v>4</v>
      </c>
    </row>
    <row r="556" spans="1:4" x14ac:dyDescent="0.25">
      <c r="A556" s="89">
        <v>46068</v>
      </c>
      <c r="B556" t="s">
        <v>848</v>
      </c>
      <c r="C556" t="s">
        <v>743</v>
      </c>
      <c r="D556">
        <v>2</v>
      </c>
    </row>
    <row r="557" spans="1:4" x14ac:dyDescent="0.25">
      <c r="A557" s="89">
        <v>46068</v>
      </c>
      <c r="B557" t="s">
        <v>751</v>
      </c>
      <c r="C557" t="s">
        <v>743</v>
      </c>
      <c r="D557">
        <v>2</v>
      </c>
    </row>
    <row r="558" spans="1:4" x14ac:dyDescent="0.25">
      <c r="A558" s="89">
        <v>46068</v>
      </c>
      <c r="B558" t="s">
        <v>760</v>
      </c>
      <c r="C558" t="s">
        <v>743</v>
      </c>
      <c r="D558">
        <v>2</v>
      </c>
    </row>
    <row r="559" spans="1:4" x14ac:dyDescent="0.25">
      <c r="A559" s="89">
        <v>46068</v>
      </c>
      <c r="B559" t="s">
        <v>827</v>
      </c>
      <c r="C559" t="s">
        <v>743</v>
      </c>
      <c r="D559">
        <v>2</v>
      </c>
    </row>
    <row r="560" spans="1:4" x14ac:dyDescent="0.25">
      <c r="A560" s="89">
        <v>46068</v>
      </c>
      <c r="B560" t="s">
        <v>885</v>
      </c>
      <c r="C560" t="s">
        <v>743</v>
      </c>
      <c r="D560">
        <v>2</v>
      </c>
    </row>
    <row r="561" spans="1:4" x14ac:dyDescent="0.25">
      <c r="A561" s="89">
        <v>46068</v>
      </c>
      <c r="B561" t="s">
        <v>775</v>
      </c>
      <c r="C561" t="s">
        <v>743</v>
      </c>
      <c r="D561">
        <v>4</v>
      </c>
    </row>
    <row r="562" spans="1:4" x14ac:dyDescent="0.25">
      <c r="A562" s="89">
        <v>46068</v>
      </c>
      <c r="B562" t="s">
        <v>774</v>
      </c>
      <c r="C562" t="s">
        <v>743</v>
      </c>
      <c r="D562">
        <v>2</v>
      </c>
    </row>
    <row r="563" spans="1:4" x14ac:dyDescent="0.25">
      <c r="A563" s="89">
        <v>46068</v>
      </c>
      <c r="B563" t="s">
        <v>783</v>
      </c>
      <c r="C563" t="s">
        <v>743</v>
      </c>
      <c r="D563">
        <v>2</v>
      </c>
    </row>
    <row r="564" spans="1:4" x14ac:dyDescent="0.25">
      <c r="A564" s="89">
        <v>46069</v>
      </c>
      <c r="B564" t="s">
        <v>775</v>
      </c>
      <c r="C564" t="s">
        <v>763</v>
      </c>
      <c r="D564">
        <v>6</v>
      </c>
    </row>
    <row r="565" spans="1:4" x14ac:dyDescent="0.25">
      <c r="A565" s="89">
        <v>46069</v>
      </c>
      <c r="B565" t="s">
        <v>886</v>
      </c>
      <c r="C565" t="s">
        <v>763</v>
      </c>
      <c r="D565">
        <v>4</v>
      </c>
    </row>
    <row r="566" spans="1:4" x14ac:dyDescent="0.25">
      <c r="A566" s="89">
        <v>46069</v>
      </c>
      <c r="B566" t="s">
        <v>841</v>
      </c>
      <c r="C566" t="s">
        <v>763</v>
      </c>
      <c r="D566">
        <v>4</v>
      </c>
    </row>
    <row r="567" spans="1:4" x14ac:dyDescent="0.25">
      <c r="A567" s="89">
        <v>46069</v>
      </c>
      <c r="B567" t="s">
        <v>747</v>
      </c>
      <c r="C567" t="s">
        <v>763</v>
      </c>
      <c r="D567">
        <v>2</v>
      </c>
    </row>
    <row r="568" spans="1:4" x14ac:dyDescent="0.25">
      <c r="A568" s="89">
        <v>46069</v>
      </c>
      <c r="B568" t="s">
        <v>742</v>
      </c>
      <c r="C568" t="s">
        <v>763</v>
      </c>
      <c r="D568">
        <v>4</v>
      </c>
    </row>
    <row r="569" spans="1:4" x14ac:dyDescent="0.25">
      <c r="A569" s="89">
        <v>46069</v>
      </c>
      <c r="B569" t="s">
        <v>746</v>
      </c>
      <c r="C569" t="s">
        <v>763</v>
      </c>
      <c r="D569">
        <v>2</v>
      </c>
    </row>
    <row r="570" spans="1:4" x14ac:dyDescent="0.25">
      <c r="A570" s="89">
        <v>46069</v>
      </c>
      <c r="B570" t="s">
        <v>711</v>
      </c>
      <c r="C570" t="s">
        <v>763</v>
      </c>
      <c r="D570">
        <v>4</v>
      </c>
    </row>
    <row r="571" spans="1:4" x14ac:dyDescent="0.25">
      <c r="A571" s="89">
        <v>46069</v>
      </c>
      <c r="B571" t="s">
        <v>749</v>
      </c>
      <c r="C571" t="s">
        <v>763</v>
      </c>
      <c r="D571">
        <v>2</v>
      </c>
    </row>
    <row r="572" spans="1:4" x14ac:dyDescent="0.25">
      <c r="A572" s="89">
        <v>46069</v>
      </c>
      <c r="B572" t="s">
        <v>774</v>
      </c>
      <c r="C572" t="s">
        <v>763</v>
      </c>
      <c r="D572">
        <v>6</v>
      </c>
    </row>
    <row r="573" spans="1:4" x14ac:dyDescent="0.25">
      <c r="A573" s="89">
        <v>46069</v>
      </c>
      <c r="B573" t="s">
        <v>783</v>
      </c>
      <c r="C573" t="s">
        <v>763</v>
      </c>
      <c r="D573">
        <v>6</v>
      </c>
    </row>
    <row r="574" spans="1:4" x14ac:dyDescent="0.25">
      <c r="A574" s="89">
        <v>46069</v>
      </c>
      <c r="B574" t="s">
        <v>827</v>
      </c>
      <c r="C574" t="s">
        <v>763</v>
      </c>
      <c r="D574">
        <v>2</v>
      </c>
    </row>
    <row r="575" spans="1:4" x14ac:dyDescent="0.25">
      <c r="A575" s="89">
        <v>46069</v>
      </c>
      <c r="B575" t="s">
        <v>751</v>
      </c>
      <c r="C575" t="s">
        <v>763</v>
      </c>
      <c r="D575">
        <v>2</v>
      </c>
    </row>
    <row r="576" spans="1:4" x14ac:dyDescent="0.25">
      <c r="A576" s="89">
        <v>46069</v>
      </c>
      <c r="B576" t="s">
        <v>848</v>
      </c>
      <c r="C576" t="s">
        <v>763</v>
      </c>
      <c r="D576">
        <v>2</v>
      </c>
    </row>
    <row r="577" spans="1:4" x14ac:dyDescent="0.25">
      <c r="A577" s="89">
        <v>46069</v>
      </c>
      <c r="B577" t="s">
        <v>892</v>
      </c>
      <c r="C577" t="s">
        <v>763</v>
      </c>
      <c r="D577">
        <v>2</v>
      </c>
    </row>
    <row r="578" spans="1:4" x14ac:dyDescent="0.25">
      <c r="A578" s="89">
        <v>46069</v>
      </c>
      <c r="B578" t="s">
        <v>751</v>
      </c>
      <c r="C578" t="s">
        <v>763</v>
      </c>
      <c r="D578">
        <v>2</v>
      </c>
    </row>
    <row r="579" spans="1:4" x14ac:dyDescent="0.25">
      <c r="A579" s="89">
        <v>46069</v>
      </c>
      <c r="B579" t="s">
        <v>760</v>
      </c>
      <c r="C579" t="s">
        <v>763</v>
      </c>
      <c r="D579">
        <v>2</v>
      </c>
    </row>
    <row r="580" spans="1:4" x14ac:dyDescent="0.25">
      <c r="A580" s="89">
        <v>46069</v>
      </c>
      <c r="B580" t="s">
        <v>827</v>
      </c>
      <c r="C580" t="s">
        <v>763</v>
      </c>
      <c r="D580">
        <v>2</v>
      </c>
    </row>
    <row r="581" spans="1:4" x14ac:dyDescent="0.25">
      <c r="A581" s="89">
        <v>46069</v>
      </c>
      <c r="B581" t="s">
        <v>887</v>
      </c>
      <c r="C581" t="s">
        <v>763</v>
      </c>
      <c r="D581">
        <v>4</v>
      </c>
    </row>
    <row r="582" spans="1:4" x14ac:dyDescent="0.25">
      <c r="A582" s="89">
        <v>46069</v>
      </c>
      <c r="B582" t="s">
        <v>841</v>
      </c>
      <c r="C582" t="s">
        <v>763</v>
      </c>
      <c r="D582">
        <v>2</v>
      </c>
    </row>
    <row r="583" spans="1:4" x14ac:dyDescent="0.25">
      <c r="A583" s="89">
        <v>46070</v>
      </c>
      <c r="B583" t="s">
        <v>739</v>
      </c>
      <c r="C583" t="s">
        <v>763</v>
      </c>
      <c r="D583">
        <v>2</v>
      </c>
    </row>
    <row r="584" spans="1:4" x14ac:dyDescent="0.25">
      <c r="A584" s="89">
        <v>46070</v>
      </c>
      <c r="B584" t="s">
        <v>747</v>
      </c>
      <c r="C584" t="s">
        <v>763</v>
      </c>
      <c r="D584">
        <v>2</v>
      </c>
    </row>
    <row r="585" spans="1:4" x14ac:dyDescent="0.25">
      <c r="A585" s="89">
        <v>46070</v>
      </c>
      <c r="B585" t="s">
        <v>711</v>
      </c>
      <c r="C585" t="s">
        <v>763</v>
      </c>
      <c r="D585">
        <v>2</v>
      </c>
    </row>
    <row r="586" spans="1:4" x14ac:dyDescent="0.25">
      <c r="A586" s="89">
        <v>46070</v>
      </c>
      <c r="B586" t="s">
        <v>749</v>
      </c>
      <c r="C586" t="s">
        <v>763</v>
      </c>
      <c r="D586">
        <v>2</v>
      </c>
    </row>
    <row r="587" spans="1:4" x14ac:dyDescent="0.25">
      <c r="A587" s="89">
        <v>46070</v>
      </c>
      <c r="B587" t="s">
        <v>774</v>
      </c>
      <c r="C587" t="s">
        <v>763</v>
      </c>
      <c r="D587">
        <v>2</v>
      </c>
    </row>
    <row r="588" spans="1:4" x14ac:dyDescent="0.25">
      <c r="A588" s="89">
        <v>46070</v>
      </c>
      <c r="B588" t="s">
        <v>742</v>
      </c>
      <c r="C588" t="s">
        <v>763</v>
      </c>
      <c r="D588">
        <v>4</v>
      </c>
    </row>
    <row r="589" spans="1:4" x14ac:dyDescent="0.25">
      <c r="A589" s="89">
        <v>46070</v>
      </c>
      <c r="B589" t="s">
        <v>760</v>
      </c>
      <c r="C589" t="s">
        <v>763</v>
      </c>
      <c r="D589">
        <v>2</v>
      </c>
    </row>
    <row r="590" spans="1:4" x14ac:dyDescent="0.25">
      <c r="A590" s="89">
        <v>46070</v>
      </c>
      <c r="B590" t="s">
        <v>751</v>
      </c>
      <c r="C590" t="s">
        <v>763</v>
      </c>
      <c r="D590">
        <v>2</v>
      </c>
    </row>
    <row r="591" spans="1:4" x14ac:dyDescent="0.25">
      <c r="A591" s="89">
        <v>46070</v>
      </c>
      <c r="B591" t="s">
        <v>827</v>
      </c>
      <c r="C591" t="s">
        <v>763</v>
      </c>
      <c r="D591">
        <v>2</v>
      </c>
    </row>
    <row r="592" spans="1:4" x14ac:dyDescent="0.25">
      <c r="A592" s="89">
        <v>46070</v>
      </c>
      <c r="B592" t="s">
        <v>775</v>
      </c>
      <c r="C592" t="s">
        <v>763</v>
      </c>
      <c r="D592">
        <v>4</v>
      </c>
    </row>
    <row r="593" spans="1:4" x14ac:dyDescent="0.25">
      <c r="A593" s="89">
        <v>46070</v>
      </c>
      <c r="B593" t="s">
        <v>886</v>
      </c>
      <c r="C593" t="s">
        <v>763</v>
      </c>
      <c r="D593">
        <v>2</v>
      </c>
    </row>
    <row r="594" spans="1:4" x14ac:dyDescent="0.25">
      <c r="A594" s="89">
        <v>46070</v>
      </c>
      <c r="B594" t="s">
        <v>887</v>
      </c>
      <c r="C594" t="s">
        <v>763</v>
      </c>
      <c r="D594">
        <v>2</v>
      </c>
    </row>
    <row r="595" spans="1:4" x14ac:dyDescent="0.25">
      <c r="A595" s="89">
        <v>46070</v>
      </c>
      <c r="B595" t="s">
        <v>783</v>
      </c>
      <c r="C595" t="s">
        <v>763</v>
      </c>
      <c r="D595">
        <v>4</v>
      </c>
    </row>
    <row r="596" spans="1:4" x14ac:dyDescent="0.25">
      <c r="A596" s="89">
        <v>46070</v>
      </c>
      <c r="B596" t="s">
        <v>774</v>
      </c>
      <c r="C596" t="s">
        <v>763</v>
      </c>
      <c r="D596">
        <v>4</v>
      </c>
    </row>
    <row r="597" spans="1:4" x14ac:dyDescent="0.25">
      <c r="A597" s="89">
        <v>46071</v>
      </c>
      <c r="B597" t="s">
        <v>813</v>
      </c>
      <c r="C597" t="s">
        <v>765</v>
      </c>
      <c r="D597">
        <v>1</v>
      </c>
    </row>
    <row r="598" spans="1:4" x14ac:dyDescent="0.25">
      <c r="A598" s="89">
        <v>46071</v>
      </c>
      <c r="B598" t="s">
        <v>819</v>
      </c>
      <c r="C598" t="s">
        <v>765</v>
      </c>
      <c r="D598">
        <v>1</v>
      </c>
    </row>
    <row r="599" spans="1:4" x14ac:dyDescent="0.25">
      <c r="A599" s="89">
        <v>46072</v>
      </c>
      <c r="B599" t="s">
        <v>813</v>
      </c>
      <c r="C599" t="s">
        <v>765</v>
      </c>
      <c r="D599">
        <v>1</v>
      </c>
    </row>
    <row r="600" spans="1:4" x14ac:dyDescent="0.25">
      <c r="A600" s="89">
        <v>46072</v>
      </c>
      <c r="B600" t="s">
        <v>893</v>
      </c>
      <c r="C600" t="s">
        <v>765</v>
      </c>
      <c r="D600">
        <v>1</v>
      </c>
    </row>
    <row r="601" spans="1:4" x14ac:dyDescent="0.25">
      <c r="A601" s="89">
        <v>46072</v>
      </c>
      <c r="B601" t="s">
        <v>894</v>
      </c>
      <c r="C601" t="s">
        <v>765</v>
      </c>
      <c r="D601">
        <v>1</v>
      </c>
    </row>
    <row r="602" spans="1:4" x14ac:dyDescent="0.25">
      <c r="A602" s="89">
        <v>46073</v>
      </c>
      <c r="B602" t="s">
        <v>746</v>
      </c>
      <c r="C602" t="s">
        <v>743</v>
      </c>
      <c r="D602">
        <v>1</v>
      </c>
    </row>
    <row r="603" spans="1:4" x14ac:dyDescent="0.25">
      <c r="A603" s="89">
        <v>46073</v>
      </c>
      <c r="B603" t="s">
        <v>895</v>
      </c>
      <c r="C603" t="s">
        <v>743</v>
      </c>
      <c r="D603">
        <v>1</v>
      </c>
    </row>
    <row r="604" spans="1:4" x14ac:dyDescent="0.25">
      <c r="A604" s="89">
        <v>46073</v>
      </c>
      <c r="B604" t="s">
        <v>749</v>
      </c>
      <c r="C604" t="s">
        <v>743</v>
      </c>
      <c r="D604">
        <v>1</v>
      </c>
    </row>
    <row r="605" spans="1:4" x14ac:dyDescent="0.25">
      <c r="A605" s="89">
        <v>46073</v>
      </c>
      <c r="B605" t="s">
        <v>774</v>
      </c>
      <c r="C605" t="s">
        <v>743</v>
      </c>
      <c r="D605">
        <v>1</v>
      </c>
    </row>
    <row r="606" spans="1:4" x14ac:dyDescent="0.25">
      <c r="A606" s="89">
        <v>46073</v>
      </c>
      <c r="B606" t="s">
        <v>783</v>
      </c>
      <c r="C606" t="s">
        <v>743</v>
      </c>
      <c r="D606">
        <v>1</v>
      </c>
    </row>
    <row r="607" spans="1:4" x14ac:dyDescent="0.25">
      <c r="A607" s="89">
        <v>46073</v>
      </c>
      <c r="B607" t="s">
        <v>825</v>
      </c>
      <c r="C607" t="s">
        <v>743</v>
      </c>
      <c r="D607">
        <v>1</v>
      </c>
    </row>
    <row r="608" spans="1:4" x14ac:dyDescent="0.25">
      <c r="A608" s="89">
        <v>46073</v>
      </c>
      <c r="B608" t="s">
        <v>896</v>
      </c>
      <c r="C608" t="s">
        <v>743</v>
      </c>
      <c r="D608">
        <v>1</v>
      </c>
    </row>
    <row r="609" spans="1:4" x14ac:dyDescent="0.25">
      <c r="A609" s="89">
        <v>46073</v>
      </c>
      <c r="B609" t="s">
        <v>742</v>
      </c>
      <c r="C609" t="s">
        <v>743</v>
      </c>
      <c r="D609">
        <v>1</v>
      </c>
    </row>
    <row r="610" spans="1:4" x14ac:dyDescent="0.25">
      <c r="A610" s="89">
        <v>46074</v>
      </c>
      <c r="B610" t="s">
        <v>841</v>
      </c>
      <c r="C610" t="s">
        <v>743</v>
      </c>
      <c r="D610">
        <v>1</v>
      </c>
    </row>
    <row r="611" spans="1:4" x14ac:dyDescent="0.25">
      <c r="A611" s="89">
        <v>46074</v>
      </c>
      <c r="B611" t="s">
        <v>795</v>
      </c>
      <c r="C611" t="s">
        <v>743</v>
      </c>
      <c r="D611">
        <v>1</v>
      </c>
    </row>
    <row r="612" spans="1:4" x14ac:dyDescent="0.25">
      <c r="A612" s="89">
        <v>46074</v>
      </c>
      <c r="B612" t="s">
        <v>897</v>
      </c>
      <c r="C612" t="s">
        <v>743</v>
      </c>
      <c r="D612">
        <v>1</v>
      </c>
    </row>
    <row r="613" spans="1:4" x14ac:dyDescent="0.25">
      <c r="A613" s="89">
        <v>46074</v>
      </c>
      <c r="B613" t="s">
        <v>711</v>
      </c>
      <c r="C613" t="s">
        <v>743</v>
      </c>
      <c r="D613">
        <v>1</v>
      </c>
    </row>
    <row r="614" spans="1:4" x14ac:dyDescent="0.25">
      <c r="A614" s="89">
        <v>46074</v>
      </c>
      <c r="B614" t="s">
        <v>774</v>
      </c>
      <c r="C614" t="s">
        <v>743</v>
      </c>
      <c r="D614">
        <v>1</v>
      </c>
    </row>
    <row r="615" spans="1:4" x14ac:dyDescent="0.25">
      <c r="A615" s="89">
        <v>46074</v>
      </c>
      <c r="B615" t="s">
        <v>783</v>
      </c>
      <c r="C615" t="s">
        <v>743</v>
      </c>
      <c r="D615">
        <v>1</v>
      </c>
    </row>
    <row r="616" spans="1:4" x14ac:dyDescent="0.25">
      <c r="A616" s="89">
        <v>46074</v>
      </c>
      <c r="B616" t="s">
        <v>754</v>
      </c>
      <c r="C616" t="s">
        <v>743</v>
      </c>
      <c r="D616">
        <v>1</v>
      </c>
    </row>
    <row r="617" spans="1:4" x14ac:dyDescent="0.25">
      <c r="A617" s="89">
        <v>46075</v>
      </c>
      <c r="B617" t="s">
        <v>746</v>
      </c>
      <c r="C617" t="s">
        <v>763</v>
      </c>
      <c r="D617">
        <v>1</v>
      </c>
    </row>
    <row r="618" spans="1:4" x14ac:dyDescent="0.25">
      <c r="A618" s="89">
        <v>46075</v>
      </c>
      <c r="B618" t="s">
        <v>711</v>
      </c>
      <c r="C618" t="s">
        <v>763</v>
      </c>
      <c r="D618">
        <v>1</v>
      </c>
    </row>
    <row r="619" spans="1:4" x14ac:dyDescent="0.25">
      <c r="A619" s="89">
        <v>46075</v>
      </c>
      <c r="B619" t="s">
        <v>749</v>
      </c>
      <c r="C619" t="s">
        <v>763</v>
      </c>
      <c r="D619">
        <v>1</v>
      </c>
    </row>
    <row r="620" spans="1:4" x14ac:dyDescent="0.25">
      <c r="A620" s="89">
        <v>46075</v>
      </c>
      <c r="B620" t="s">
        <v>774</v>
      </c>
      <c r="C620" t="s">
        <v>763</v>
      </c>
      <c r="D620">
        <v>1</v>
      </c>
    </row>
    <row r="621" spans="1:4" x14ac:dyDescent="0.25">
      <c r="A621" s="89">
        <v>46075</v>
      </c>
      <c r="B621" t="s">
        <v>783</v>
      </c>
      <c r="C621" t="s">
        <v>763</v>
      </c>
      <c r="D621">
        <v>1</v>
      </c>
    </row>
    <row r="622" spans="1:4" x14ac:dyDescent="0.25">
      <c r="A622" s="89">
        <v>46075</v>
      </c>
      <c r="B622" t="s">
        <v>894</v>
      </c>
      <c r="C622" t="s">
        <v>763</v>
      </c>
      <c r="D622">
        <v>1</v>
      </c>
    </row>
    <row r="623" spans="1:4" x14ac:dyDescent="0.25">
      <c r="A623" s="89">
        <v>46079</v>
      </c>
      <c r="B623" t="s">
        <v>795</v>
      </c>
      <c r="C623" t="s">
        <v>743</v>
      </c>
      <c r="D623">
        <v>1</v>
      </c>
    </row>
    <row r="624" spans="1:4" x14ac:dyDescent="0.25">
      <c r="A624" s="89">
        <v>46079</v>
      </c>
      <c r="B624" t="s">
        <v>898</v>
      </c>
      <c r="C624" t="s">
        <v>743</v>
      </c>
      <c r="D624">
        <v>1</v>
      </c>
    </row>
    <row r="625" spans="1:4" x14ac:dyDescent="0.25">
      <c r="A625" s="89">
        <v>46079</v>
      </c>
      <c r="B625" t="s">
        <v>899</v>
      </c>
      <c r="C625" t="s">
        <v>743</v>
      </c>
      <c r="D625">
        <v>1</v>
      </c>
    </row>
    <row r="626" spans="1:4" x14ac:dyDescent="0.25">
      <c r="A626" s="89">
        <v>46079</v>
      </c>
      <c r="B626" t="s">
        <v>900</v>
      </c>
      <c r="C626" t="s">
        <v>743</v>
      </c>
      <c r="D626">
        <v>1</v>
      </c>
    </row>
    <row r="627" spans="1:4" x14ac:dyDescent="0.25">
      <c r="A627" s="89">
        <v>46079</v>
      </c>
      <c r="B627" t="s">
        <v>901</v>
      </c>
      <c r="C627" t="s">
        <v>743</v>
      </c>
      <c r="D627">
        <v>1</v>
      </c>
    </row>
    <row r="628" spans="1:4" x14ac:dyDescent="0.25">
      <c r="A628" s="89">
        <v>46079</v>
      </c>
      <c r="B628" t="s">
        <v>817</v>
      </c>
      <c r="C628" t="s">
        <v>743</v>
      </c>
      <c r="D628">
        <v>1</v>
      </c>
    </row>
    <row r="629" spans="1:4" x14ac:dyDescent="0.25">
      <c r="A629" s="89">
        <v>46079</v>
      </c>
      <c r="B629" t="s">
        <v>827</v>
      </c>
      <c r="C629" t="s">
        <v>743</v>
      </c>
      <c r="D629">
        <v>1</v>
      </c>
    </row>
    <row r="630" spans="1:4" x14ac:dyDescent="0.25">
      <c r="A630" s="89">
        <v>46080</v>
      </c>
      <c r="B630" t="s">
        <v>898</v>
      </c>
      <c r="C630" t="s">
        <v>743</v>
      </c>
      <c r="D630">
        <v>1</v>
      </c>
    </row>
    <row r="631" spans="1:4" x14ac:dyDescent="0.25">
      <c r="A631" s="89">
        <v>46080</v>
      </c>
      <c r="B631" t="s">
        <v>876</v>
      </c>
      <c r="C631" t="s">
        <v>743</v>
      </c>
      <c r="D631">
        <v>1</v>
      </c>
    </row>
    <row r="632" spans="1:4" x14ac:dyDescent="0.25">
      <c r="A632" s="89">
        <v>46081</v>
      </c>
      <c r="B632" t="s">
        <v>747</v>
      </c>
      <c r="C632" t="s">
        <v>743</v>
      </c>
      <c r="D632">
        <v>1</v>
      </c>
    </row>
    <row r="633" spans="1:4" x14ac:dyDescent="0.25">
      <c r="A633" s="89">
        <v>46081</v>
      </c>
      <c r="B633" t="s">
        <v>899</v>
      </c>
      <c r="C633" t="s">
        <v>743</v>
      </c>
      <c r="D633">
        <v>2</v>
      </c>
    </row>
    <row r="634" spans="1:4" x14ac:dyDescent="0.25">
      <c r="A634" s="89">
        <v>46081</v>
      </c>
      <c r="B634" t="s">
        <v>711</v>
      </c>
      <c r="C634" t="s">
        <v>743</v>
      </c>
      <c r="D634">
        <v>1</v>
      </c>
    </row>
    <row r="635" spans="1:4" x14ac:dyDescent="0.25">
      <c r="A635" s="89">
        <v>46081</v>
      </c>
      <c r="B635" t="s">
        <v>749</v>
      </c>
      <c r="C635" t="s">
        <v>743</v>
      </c>
      <c r="D635">
        <v>1</v>
      </c>
    </row>
    <row r="636" spans="1:4" x14ac:dyDescent="0.25">
      <c r="A636" s="89">
        <v>46081</v>
      </c>
      <c r="B636" t="s">
        <v>774</v>
      </c>
      <c r="C636" t="s">
        <v>743</v>
      </c>
      <c r="D636">
        <v>1</v>
      </c>
    </row>
    <row r="637" spans="1:4" x14ac:dyDescent="0.25">
      <c r="A637" s="89">
        <v>46081</v>
      </c>
      <c r="B637" t="s">
        <v>783</v>
      </c>
      <c r="C637" t="s">
        <v>743</v>
      </c>
      <c r="D637">
        <v>1</v>
      </c>
    </row>
    <row r="638" spans="1:4" x14ac:dyDescent="0.25">
      <c r="A638" s="89">
        <v>46081</v>
      </c>
      <c r="B638" t="s">
        <v>827</v>
      </c>
      <c r="C638" t="s">
        <v>743</v>
      </c>
      <c r="D638">
        <v>1</v>
      </c>
    </row>
    <row r="639" spans="1:4" x14ac:dyDescent="0.25">
      <c r="A639" s="89">
        <v>46081</v>
      </c>
      <c r="B639" t="s">
        <v>898</v>
      </c>
      <c r="C639" t="s">
        <v>743</v>
      </c>
      <c r="D639">
        <v>1</v>
      </c>
    </row>
    <row r="640" spans="1:4" x14ac:dyDescent="0.25">
      <c r="A640" s="89">
        <v>46113</v>
      </c>
      <c r="B640" t="s">
        <v>742</v>
      </c>
      <c r="C640" t="s">
        <v>743</v>
      </c>
      <c r="D640">
        <v>2</v>
      </c>
    </row>
    <row r="641" spans="1:4" x14ac:dyDescent="0.25">
      <c r="A641" s="89">
        <v>46113</v>
      </c>
      <c r="B641" t="s">
        <v>795</v>
      </c>
      <c r="C641" t="s">
        <v>743</v>
      </c>
      <c r="D641">
        <v>1</v>
      </c>
    </row>
    <row r="642" spans="1:4" x14ac:dyDescent="0.25">
      <c r="A642" s="89">
        <v>46113</v>
      </c>
      <c r="B642" t="s">
        <v>902</v>
      </c>
      <c r="C642" t="s">
        <v>743</v>
      </c>
      <c r="D642">
        <v>1</v>
      </c>
    </row>
    <row r="643" spans="1:4" x14ac:dyDescent="0.25">
      <c r="A643" s="89">
        <v>46113</v>
      </c>
      <c r="B643" t="s">
        <v>841</v>
      </c>
      <c r="C643" t="s">
        <v>743</v>
      </c>
      <c r="D643">
        <v>1</v>
      </c>
    </row>
    <row r="644" spans="1:4" x14ac:dyDescent="0.25">
      <c r="A644" s="89">
        <v>46113</v>
      </c>
      <c r="B644" t="s">
        <v>746</v>
      </c>
      <c r="C644" t="s">
        <v>743</v>
      </c>
      <c r="D644">
        <v>1</v>
      </c>
    </row>
    <row r="645" spans="1:4" x14ac:dyDescent="0.25">
      <c r="A645" s="89">
        <v>46113</v>
      </c>
      <c r="B645" t="s">
        <v>711</v>
      </c>
      <c r="C645" t="s">
        <v>743</v>
      </c>
      <c r="D645">
        <v>1</v>
      </c>
    </row>
    <row r="646" spans="1:4" x14ac:dyDescent="0.25">
      <c r="A646" s="89">
        <v>46113</v>
      </c>
      <c r="B646" t="s">
        <v>774</v>
      </c>
      <c r="C646" t="s">
        <v>743</v>
      </c>
      <c r="D646">
        <v>1</v>
      </c>
    </row>
    <row r="647" spans="1:4" x14ac:dyDescent="0.25">
      <c r="A647" s="89">
        <v>46113</v>
      </c>
      <c r="B647" t="s">
        <v>783</v>
      </c>
      <c r="C647" t="s">
        <v>743</v>
      </c>
      <c r="D647">
        <v>1</v>
      </c>
    </row>
    <row r="648" spans="1:4" x14ac:dyDescent="0.25">
      <c r="A648" s="89">
        <v>46113</v>
      </c>
      <c r="B648" t="s">
        <v>827</v>
      </c>
      <c r="C648" t="s">
        <v>743</v>
      </c>
      <c r="D648">
        <v>1</v>
      </c>
    </row>
    <row r="649" spans="1:4" x14ac:dyDescent="0.25">
      <c r="A649" s="89">
        <v>46113</v>
      </c>
      <c r="B649" t="s">
        <v>760</v>
      </c>
      <c r="C649" t="s">
        <v>743</v>
      </c>
      <c r="D649">
        <v>1</v>
      </c>
    </row>
    <row r="650" spans="1:4" x14ac:dyDescent="0.25">
      <c r="A650" s="89">
        <v>46113</v>
      </c>
      <c r="B650" t="s">
        <v>835</v>
      </c>
      <c r="C650" t="s">
        <v>743</v>
      </c>
      <c r="D650">
        <v>1</v>
      </c>
    </row>
    <row r="651" spans="1:4" x14ac:dyDescent="0.25">
      <c r="A651" s="89">
        <v>46113</v>
      </c>
      <c r="B651" t="s">
        <v>903</v>
      </c>
      <c r="C651" t="s">
        <v>743</v>
      </c>
      <c r="D651">
        <v>1</v>
      </c>
    </row>
    <row r="652" spans="1:4" x14ac:dyDescent="0.25">
      <c r="A652" s="89">
        <v>46113</v>
      </c>
      <c r="B652" t="s">
        <v>711</v>
      </c>
      <c r="C652" t="s">
        <v>743</v>
      </c>
      <c r="D652">
        <v>1</v>
      </c>
    </row>
    <row r="653" spans="1:4" x14ac:dyDescent="0.25">
      <c r="A653" s="89">
        <v>46113</v>
      </c>
      <c r="B653" t="s">
        <v>866</v>
      </c>
      <c r="C653" t="s">
        <v>743</v>
      </c>
      <c r="D653">
        <v>1</v>
      </c>
    </row>
    <row r="654" spans="1:4" x14ac:dyDescent="0.25">
      <c r="A654" s="89">
        <v>46114</v>
      </c>
      <c r="B654" t="s">
        <v>904</v>
      </c>
      <c r="C654" t="s">
        <v>743</v>
      </c>
      <c r="D654">
        <v>1</v>
      </c>
    </row>
    <row r="655" spans="1:4" x14ac:dyDescent="0.25">
      <c r="A655" s="89">
        <v>46114</v>
      </c>
      <c r="B655" t="s">
        <v>775</v>
      </c>
      <c r="C655" t="s">
        <v>743</v>
      </c>
      <c r="D655">
        <v>1</v>
      </c>
    </row>
    <row r="656" spans="1:4" x14ac:dyDescent="0.25">
      <c r="A656" s="89">
        <v>46114</v>
      </c>
      <c r="B656" t="s">
        <v>838</v>
      </c>
      <c r="C656" t="s">
        <v>743</v>
      </c>
      <c r="D656">
        <v>1</v>
      </c>
    </row>
    <row r="657" spans="1:4" x14ac:dyDescent="0.25">
      <c r="A657" s="89">
        <v>46114</v>
      </c>
      <c r="B657" t="s">
        <v>752</v>
      </c>
      <c r="C657" t="s">
        <v>743</v>
      </c>
      <c r="D657">
        <v>1</v>
      </c>
    </row>
    <row r="658" spans="1:4" x14ac:dyDescent="0.25">
      <c r="A658" s="89">
        <v>46114</v>
      </c>
      <c r="B658" t="s">
        <v>773</v>
      </c>
      <c r="C658" t="s">
        <v>743</v>
      </c>
      <c r="D658">
        <v>1</v>
      </c>
    </row>
    <row r="659" spans="1:4" x14ac:dyDescent="0.25">
      <c r="A659" s="89">
        <v>46115</v>
      </c>
      <c r="B659" t="s">
        <v>742</v>
      </c>
      <c r="C659" t="s">
        <v>743</v>
      </c>
      <c r="D659">
        <v>2</v>
      </c>
    </row>
    <row r="660" spans="1:4" x14ac:dyDescent="0.25">
      <c r="A660" s="89">
        <v>46115</v>
      </c>
      <c r="B660" t="s">
        <v>747</v>
      </c>
      <c r="C660" t="s">
        <v>743</v>
      </c>
      <c r="D660">
        <v>1</v>
      </c>
    </row>
    <row r="661" spans="1:4" x14ac:dyDescent="0.25">
      <c r="A661" s="89">
        <v>46115</v>
      </c>
      <c r="B661" t="s">
        <v>841</v>
      </c>
      <c r="C661" t="s">
        <v>743</v>
      </c>
      <c r="D661">
        <v>1</v>
      </c>
    </row>
    <row r="662" spans="1:4" x14ac:dyDescent="0.25">
      <c r="A662" s="89">
        <v>46115</v>
      </c>
      <c r="B662" t="s">
        <v>746</v>
      </c>
      <c r="C662" t="s">
        <v>743</v>
      </c>
      <c r="D662">
        <v>1</v>
      </c>
    </row>
    <row r="663" spans="1:4" x14ac:dyDescent="0.25">
      <c r="A663" s="89">
        <v>46115</v>
      </c>
      <c r="B663" t="s">
        <v>807</v>
      </c>
      <c r="C663" t="s">
        <v>743</v>
      </c>
      <c r="D663">
        <v>1</v>
      </c>
    </row>
    <row r="664" spans="1:4" x14ac:dyDescent="0.25">
      <c r="A664" s="89">
        <v>46115</v>
      </c>
      <c r="B664" t="s">
        <v>749</v>
      </c>
      <c r="C664" t="s">
        <v>743</v>
      </c>
      <c r="D664">
        <v>1</v>
      </c>
    </row>
    <row r="665" spans="1:4" x14ac:dyDescent="0.25">
      <c r="A665" s="89">
        <v>46115</v>
      </c>
      <c r="B665" t="s">
        <v>774</v>
      </c>
      <c r="C665" t="s">
        <v>743</v>
      </c>
      <c r="D665">
        <v>1</v>
      </c>
    </row>
    <row r="666" spans="1:4" x14ac:dyDescent="0.25">
      <c r="A666" s="89">
        <v>46115</v>
      </c>
      <c r="B666" t="s">
        <v>783</v>
      </c>
      <c r="C666" t="s">
        <v>743</v>
      </c>
      <c r="D666">
        <v>1</v>
      </c>
    </row>
    <row r="667" spans="1:4" x14ac:dyDescent="0.25">
      <c r="A667" s="89">
        <v>46115</v>
      </c>
      <c r="B667" t="s">
        <v>760</v>
      </c>
      <c r="C667" t="s">
        <v>743</v>
      </c>
      <c r="D667">
        <v>1</v>
      </c>
    </row>
    <row r="668" spans="1:4" x14ac:dyDescent="0.25">
      <c r="A668" s="89">
        <v>46115</v>
      </c>
      <c r="B668" t="s">
        <v>761</v>
      </c>
      <c r="C668" t="s">
        <v>743</v>
      </c>
      <c r="D668">
        <v>1</v>
      </c>
    </row>
    <row r="669" spans="1:4" x14ac:dyDescent="0.25">
      <c r="A669" s="89">
        <v>46115</v>
      </c>
      <c r="B669" t="s">
        <v>827</v>
      </c>
      <c r="C669" t="s">
        <v>743</v>
      </c>
      <c r="D669">
        <v>1</v>
      </c>
    </row>
    <row r="670" spans="1:4" x14ac:dyDescent="0.25">
      <c r="A670" s="89">
        <v>46115</v>
      </c>
      <c r="B670" t="s">
        <v>835</v>
      </c>
      <c r="C670" t="s">
        <v>743</v>
      </c>
      <c r="D670">
        <v>1</v>
      </c>
    </row>
    <row r="671" spans="1:4" x14ac:dyDescent="0.25">
      <c r="A671" s="89">
        <v>46115</v>
      </c>
      <c r="B671" t="s">
        <v>905</v>
      </c>
      <c r="C671" t="s">
        <v>743</v>
      </c>
      <c r="D671">
        <v>1</v>
      </c>
    </row>
    <row r="672" spans="1:4" x14ac:dyDescent="0.25">
      <c r="A672" s="89">
        <v>46115</v>
      </c>
      <c r="B672" t="s">
        <v>775</v>
      </c>
      <c r="C672" t="s">
        <v>743</v>
      </c>
      <c r="D672">
        <v>1</v>
      </c>
    </row>
    <row r="673" spans="1:4" x14ac:dyDescent="0.25">
      <c r="A673" s="89">
        <v>46115</v>
      </c>
      <c r="B673" t="s">
        <v>711</v>
      </c>
      <c r="C673" t="s">
        <v>743</v>
      </c>
      <c r="D673">
        <v>1</v>
      </c>
    </row>
    <row r="674" spans="1:4" x14ac:dyDescent="0.25">
      <c r="A674" s="89">
        <v>46115</v>
      </c>
      <c r="B674" t="s">
        <v>752</v>
      </c>
      <c r="C674" t="s">
        <v>743</v>
      </c>
      <c r="D674">
        <v>1</v>
      </c>
    </row>
    <row r="675" spans="1:4" x14ac:dyDescent="0.25">
      <c r="A675" s="89">
        <v>46115</v>
      </c>
      <c r="B675" t="s">
        <v>773</v>
      </c>
      <c r="C675" t="s">
        <v>743</v>
      </c>
      <c r="D675">
        <v>1</v>
      </c>
    </row>
    <row r="676" spans="1:4" x14ac:dyDescent="0.25">
      <c r="A676" s="89">
        <v>46115</v>
      </c>
      <c r="B676" t="s">
        <v>774</v>
      </c>
      <c r="C676" t="s">
        <v>743</v>
      </c>
      <c r="D676">
        <v>1</v>
      </c>
    </row>
    <row r="677" spans="1:4" x14ac:dyDescent="0.25">
      <c r="A677" s="89">
        <v>46115</v>
      </c>
      <c r="B677" t="s">
        <v>783</v>
      </c>
      <c r="C677" t="s">
        <v>743</v>
      </c>
      <c r="D677">
        <v>1</v>
      </c>
    </row>
    <row r="678" spans="1:4" x14ac:dyDescent="0.25">
      <c r="A678" s="89">
        <v>46116</v>
      </c>
      <c r="B678" t="s">
        <v>905</v>
      </c>
      <c r="C678" t="s">
        <v>743</v>
      </c>
      <c r="D678">
        <v>1</v>
      </c>
    </row>
    <row r="679" spans="1:4" x14ac:dyDescent="0.25">
      <c r="A679" s="89">
        <v>46116</v>
      </c>
      <c r="B679" t="s">
        <v>742</v>
      </c>
      <c r="C679" t="s">
        <v>743</v>
      </c>
      <c r="D679">
        <v>2</v>
      </c>
    </row>
    <row r="680" spans="1:4" x14ac:dyDescent="0.25">
      <c r="A680" s="89">
        <v>46116</v>
      </c>
      <c r="B680" t="s">
        <v>841</v>
      </c>
      <c r="C680" t="s">
        <v>743</v>
      </c>
      <c r="D680">
        <v>1</v>
      </c>
    </row>
    <row r="681" spans="1:4" x14ac:dyDescent="0.25">
      <c r="A681" s="89">
        <v>46116</v>
      </c>
      <c r="B681" t="s">
        <v>775</v>
      </c>
      <c r="C681" t="s">
        <v>743</v>
      </c>
      <c r="D681">
        <v>2</v>
      </c>
    </row>
    <row r="682" spans="1:4" x14ac:dyDescent="0.25">
      <c r="A682" s="89">
        <v>46116</v>
      </c>
      <c r="B682" t="s">
        <v>746</v>
      </c>
      <c r="C682" t="s">
        <v>743</v>
      </c>
      <c r="D682">
        <v>1</v>
      </c>
    </row>
    <row r="683" spans="1:4" x14ac:dyDescent="0.25">
      <c r="A683" s="89">
        <v>46116</v>
      </c>
      <c r="B683" t="s">
        <v>711</v>
      </c>
      <c r="C683" t="s">
        <v>743</v>
      </c>
      <c r="D683">
        <v>1</v>
      </c>
    </row>
    <row r="684" spans="1:4" x14ac:dyDescent="0.25">
      <c r="A684" s="89">
        <v>46116</v>
      </c>
      <c r="B684" t="s">
        <v>752</v>
      </c>
      <c r="C684" t="s">
        <v>743</v>
      </c>
      <c r="D684">
        <v>1</v>
      </c>
    </row>
    <row r="685" spans="1:4" x14ac:dyDescent="0.25">
      <c r="A685" s="89">
        <v>46116</v>
      </c>
      <c r="B685" t="s">
        <v>749</v>
      </c>
      <c r="C685" t="s">
        <v>743</v>
      </c>
      <c r="D685">
        <v>2</v>
      </c>
    </row>
    <row r="686" spans="1:4" x14ac:dyDescent="0.25">
      <c r="A686" s="89">
        <v>46116</v>
      </c>
      <c r="B686" t="s">
        <v>774</v>
      </c>
      <c r="C686" t="s">
        <v>743</v>
      </c>
      <c r="D686">
        <v>1</v>
      </c>
    </row>
    <row r="687" spans="1:4" x14ac:dyDescent="0.25">
      <c r="A687" s="89">
        <v>46116</v>
      </c>
      <c r="B687" t="s">
        <v>783</v>
      </c>
      <c r="C687" t="s">
        <v>743</v>
      </c>
      <c r="D687">
        <v>1</v>
      </c>
    </row>
    <row r="688" spans="1:4" x14ac:dyDescent="0.25">
      <c r="A688" s="89">
        <v>46116</v>
      </c>
      <c r="B688" t="s">
        <v>760</v>
      </c>
      <c r="C688" t="s">
        <v>743</v>
      </c>
      <c r="D688">
        <v>1</v>
      </c>
    </row>
    <row r="689" spans="1:4" x14ac:dyDescent="0.25">
      <c r="A689" s="89">
        <v>46116</v>
      </c>
      <c r="B689" t="s">
        <v>761</v>
      </c>
      <c r="C689" t="s">
        <v>743</v>
      </c>
      <c r="D689">
        <v>1</v>
      </c>
    </row>
    <row r="690" spans="1:4" x14ac:dyDescent="0.25">
      <c r="A690" s="89">
        <v>46116</v>
      </c>
      <c r="B690" t="s">
        <v>827</v>
      </c>
      <c r="C690" t="s">
        <v>743</v>
      </c>
      <c r="D690">
        <v>1</v>
      </c>
    </row>
    <row r="691" spans="1:4" x14ac:dyDescent="0.25">
      <c r="A691" s="89">
        <v>46116</v>
      </c>
      <c r="B691" t="s">
        <v>835</v>
      </c>
      <c r="C691" t="s">
        <v>743</v>
      </c>
      <c r="D691">
        <v>1</v>
      </c>
    </row>
    <row r="692" spans="1:4" x14ac:dyDescent="0.25">
      <c r="A692" s="89">
        <v>46116</v>
      </c>
      <c r="B692" t="s">
        <v>828</v>
      </c>
      <c r="C692" t="s">
        <v>743</v>
      </c>
      <c r="D692">
        <v>1</v>
      </c>
    </row>
    <row r="693" spans="1:4" x14ac:dyDescent="0.25">
      <c r="A693" s="89">
        <v>46116</v>
      </c>
      <c r="B693" t="s">
        <v>774</v>
      </c>
      <c r="C693" t="s">
        <v>743</v>
      </c>
      <c r="D693">
        <v>1</v>
      </c>
    </row>
    <row r="694" spans="1:4" x14ac:dyDescent="0.25">
      <c r="A694" s="89">
        <v>46116</v>
      </c>
      <c r="B694" t="s">
        <v>760</v>
      </c>
      <c r="C694" t="s">
        <v>743</v>
      </c>
      <c r="D694">
        <v>1</v>
      </c>
    </row>
    <row r="695" spans="1:4" x14ac:dyDescent="0.25">
      <c r="A695" s="89">
        <v>46117</v>
      </c>
      <c r="B695" t="s">
        <v>742</v>
      </c>
      <c r="C695" t="s">
        <v>743</v>
      </c>
      <c r="D695">
        <v>2</v>
      </c>
    </row>
    <row r="696" spans="1:4" x14ac:dyDescent="0.25">
      <c r="A696" s="89">
        <v>46117</v>
      </c>
      <c r="B696" t="s">
        <v>795</v>
      </c>
      <c r="C696" t="s">
        <v>743</v>
      </c>
      <c r="D696">
        <v>1</v>
      </c>
    </row>
    <row r="697" spans="1:4" x14ac:dyDescent="0.25">
      <c r="A697" s="89">
        <v>46117</v>
      </c>
      <c r="B697" t="s">
        <v>905</v>
      </c>
      <c r="C697" t="s">
        <v>743</v>
      </c>
      <c r="D697">
        <v>1</v>
      </c>
    </row>
    <row r="698" spans="1:4" x14ac:dyDescent="0.25">
      <c r="A698" s="89">
        <v>46117</v>
      </c>
      <c r="B698" t="s">
        <v>823</v>
      </c>
      <c r="C698" t="s">
        <v>743</v>
      </c>
      <c r="D698">
        <v>1</v>
      </c>
    </row>
    <row r="699" spans="1:4" x14ac:dyDescent="0.25">
      <c r="A699" s="89">
        <v>46117</v>
      </c>
      <c r="B699" t="s">
        <v>775</v>
      </c>
      <c r="C699" t="s">
        <v>743</v>
      </c>
      <c r="D699">
        <v>3</v>
      </c>
    </row>
    <row r="700" spans="1:4" x14ac:dyDescent="0.25">
      <c r="A700" s="89">
        <v>46117</v>
      </c>
      <c r="B700" t="s">
        <v>711</v>
      </c>
      <c r="C700" t="s">
        <v>743</v>
      </c>
      <c r="D700">
        <v>2</v>
      </c>
    </row>
    <row r="701" spans="1:4" x14ac:dyDescent="0.25">
      <c r="A701" s="89">
        <v>46117</v>
      </c>
      <c r="B701" t="s">
        <v>752</v>
      </c>
      <c r="C701" t="s">
        <v>743</v>
      </c>
      <c r="D701">
        <v>2</v>
      </c>
    </row>
    <row r="702" spans="1:4" x14ac:dyDescent="0.25">
      <c r="A702" s="89">
        <v>46117</v>
      </c>
      <c r="B702" t="s">
        <v>749</v>
      </c>
      <c r="C702" t="s">
        <v>743</v>
      </c>
      <c r="D702">
        <v>1</v>
      </c>
    </row>
    <row r="703" spans="1:4" x14ac:dyDescent="0.25">
      <c r="A703" s="89">
        <v>46117</v>
      </c>
      <c r="B703" t="s">
        <v>774</v>
      </c>
      <c r="C703" t="s">
        <v>743</v>
      </c>
      <c r="D703">
        <v>1</v>
      </c>
    </row>
    <row r="704" spans="1:4" x14ac:dyDescent="0.25">
      <c r="A704" s="89">
        <v>46117</v>
      </c>
      <c r="B704" t="s">
        <v>783</v>
      </c>
      <c r="C704" t="s">
        <v>743</v>
      </c>
      <c r="D704">
        <v>1</v>
      </c>
    </row>
    <row r="705" spans="1:4" x14ac:dyDescent="0.25">
      <c r="A705" s="89">
        <v>46117</v>
      </c>
      <c r="B705" t="s">
        <v>760</v>
      </c>
      <c r="C705" t="s">
        <v>743</v>
      </c>
      <c r="D705">
        <v>2</v>
      </c>
    </row>
    <row r="706" spans="1:4" x14ac:dyDescent="0.25">
      <c r="A706" s="89">
        <v>46117</v>
      </c>
      <c r="B706" t="s">
        <v>761</v>
      </c>
      <c r="C706" t="s">
        <v>743</v>
      </c>
      <c r="D706">
        <v>1</v>
      </c>
    </row>
    <row r="707" spans="1:4" x14ac:dyDescent="0.25">
      <c r="A707" s="89">
        <v>46117</v>
      </c>
      <c r="B707" t="s">
        <v>827</v>
      </c>
      <c r="C707" t="s">
        <v>743</v>
      </c>
      <c r="D707">
        <v>1</v>
      </c>
    </row>
    <row r="708" spans="1:4" x14ac:dyDescent="0.25">
      <c r="A708" s="89">
        <v>46117</v>
      </c>
      <c r="B708" t="s">
        <v>835</v>
      </c>
      <c r="C708" t="s">
        <v>743</v>
      </c>
      <c r="D708">
        <v>1</v>
      </c>
    </row>
    <row r="709" spans="1:4" x14ac:dyDescent="0.25">
      <c r="A709" s="89">
        <v>46117</v>
      </c>
      <c r="B709" t="s">
        <v>774</v>
      </c>
      <c r="C709" t="s">
        <v>743</v>
      </c>
      <c r="D709">
        <v>1</v>
      </c>
    </row>
    <row r="710" spans="1:4" x14ac:dyDescent="0.25">
      <c r="A710" s="89">
        <v>46117</v>
      </c>
      <c r="B710" t="s">
        <v>783</v>
      </c>
      <c r="C710" t="s">
        <v>743</v>
      </c>
      <c r="D710">
        <v>1</v>
      </c>
    </row>
    <row r="711" spans="1:4" x14ac:dyDescent="0.25">
      <c r="A711" s="89">
        <v>46121</v>
      </c>
      <c r="B711" t="s">
        <v>841</v>
      </c>
      <c r="C711" t="s">
        <v>743</v>
      </c>
      <c r="D711">
        <v>1</v>
      </c>
    </row>
    <row r="712" spans="1:4" x14ac:dyDescent="0.25">
      <c r="A712" s="89">
        <v>46121</v>
      </c>
      <c r="B712" t="s">
        <v>906</v>
      </c>
      <c r="C712" t="s">
        <v>743</v>
      </c>
      <c r="D712">
        <v>1</v>
      </c>
    </row>
    <row r="713" spans="1:4" x14ac:dyDescent="0.25">
      <c r="A713" s="89">
        <v>46121</v>
      </c>
      <c r="B713" t="s">
        <v>907</v>
      </c>
      <c r="C713" t="s">
        <v>743</v>
      </c>
      <c r="D713">
        <v>1</v>
      </c>
    </row>
    <row r="714" spans="1:4" x14ac:dyDescent="0.25">
      <c r="A714" s="89">
        <v>46121</v>
      </c>
      <c r="B714" t="s">
        <v>908</v>
      </c>
      <c r="C714" t="s">
        <v>743</v>
      </c>
      <c r="D714">
        <v>1</v>
      </c>
    </row>
    <row r="715" spans="1:4" x14ac:dyDescent="0.25">
      <c r="A715" s="89">
        <v>46121</v>
      </c>
      <c r="B715" t="s">
        <v>909</v>
      </c>
      <c r="C715" t="s">
        <v>743</v>
      </c>
      <c r="D715">
        <v>1</v>
      </c>
    </row>
    <row r="716" spans="1:4" x14ac:dyDescent="0.25">
      <c r="A716" s="89">
        <v>46121</v>
      </c>
      <c r="B716" t="s">
        <v>827</v>
      </c>
      <c r="C716" t="s">
        <v>743</v>
      </c>
      <c r="D716">
        <v>1</v>
      </c>
    </row>
    <row r="717" spans="1:4" x14ac:dyDescent="0.25">
      <c r="A717" s="89">
        <v>46122</v>
      </c>
      <c r="B717" t="s">
        <v>742</v>
      </c>
      <c r="C717" t="s">
        <v>743</v>
      </c>
      <c r="D717">
        <v>1</v>
      </c>
    </row>
    <row r="718" spans="1:4" x14ac:dyDescent="0.25">
      <c r="A718" s="89">
        <v>46122</v>
      </c>
      <c r="B718" t="s">
        <v>910</v>
      </c>
      <c r="C718" t="s">
        <v>743</v>
      </c>
      <c r="D718">
        <v>1</v>
      </c>
    </row>
    <row r="719" spans="1:4" x14ac:dyDescent="0.25">
      <c r="A719" s="89">
        <v>46122</v>
      </c>
      <c r="B719" t="s">
        <v>747</v>
      </c>
      <c r="C719" t="s">
        <v>743</v>
      </c>
      <c r="D719">
        <v>1</v>
      </c>
    </row>
    <row r="720" spans="1:4" x14ac:dyDescent="0.25">
      <c r="A720" s="89">
        <v>46122</v>
      </c>
      <c r="B720" t="s">
        <v>749</v>
      </c>
      <c r="C720" t="s">
        <v>743</v>
      </c>
      <c r="D720">
        <v>1</v>
      </c>
    </row>
    <row r="721" spans="1:4" x14ac:dyDescent="0.25">
      <c r="A721" s="89">
        <v>46122</v>
      </c>
      <c r="B721" t="s">
        <v>774</v>
      </c>
      <c r="C721" t="s">
        <v>743</v>
      </c>
      <c r="D721">
        <v>1</v>
      </c>
    </row>
    <row r="722" spans="1:4" x14ac:dyDescent="0.25">
      <c r="A722" s="89">
        <v>46122</v>
      </c>
      <c r="B722" t="s">
        <v>783</v>
      </c>
      <c r="C722" t="s">
        <v>743</v>
      </c>
      <c r="D722">
        <v>1</v>
      </c>
    </row>
    <row r="723" spans="1:4" x14ac:dyDescent="0.25">
      <c r="A723" s="89">
        <v>46122</v>
      </c>
      <c r="B723" t="s">
        <v>761</v>
      </c>
      <c r="C723" t="s">
        <v>743</v>
      </c>
      <c r="D723">
        <v>1</v>
      </c>
    </row>
    <row r="724" spans="1:4" x14ac:dyDescent="0.25">
      <c r="A724" s="89">
        <v>46122</v>
      </c>
      <c r="B724" t="s">
        <v>827</v>
      </c>
      <c r="C724" t="s">
        <v>743</v>
      </c>
      <c r="D724">
        <v>1</v>
      </c>
    </row>
    <row r="725" spans="1:4" x14ac:dyDescent="0.25">
      <c r="A725" s="89">
        <v>46122</v>
      </c>
      <c r="B725" t="s">
        <v>911</v>
      </c>
      <c r="C725" t="s">
        <v>743</v>
      </c>
      <c r="D725">
        <v>1</v>
      </c>
    </row>
    <row r="726" spans="1:4" x14ac:dyDescent="0.25">
      <c r="A726" s="89">
        <v>46122</v>
      </c>
      <c r="B726" t="s">
        <v>907</v>
      </c>
      <c r="C726" t="s">
        <v>743</v>
      </c>
      <c r="D726">
        <v>1</v>
      </c>
    </row>
    <row r="727" spans="1:4" x14ac:dyDescent="0.25">
      <c r="A727" s="89">
        <v>46122</v>
      </c>
      <c r="B727" t="s">
        <v>908</v>
      </c>
      <c r="C727" t="s">
        <v>743</v>
      </c>
      <c r="D727">
        <v>1</v>
      </c>
    </row>
    <row r="728" spans="1:4" x14ac:dyDescent="0.25">
      <c r="A728" s="89">
        <v>46123</v>
      </c>
      <c r="B728" t="s">
        <v>742</v>
      </c>
      <c r="C728" t="s">
        <v>743</v>
      </c>
      <c r="D728">
        <v>2</v>
      </c>
    </row>
    <row r="729" spans="1:4" x14ac:dyDescent="0.25">
      <c r="A729" s="89">
        <v>46123</v>
      </c>
      <c r="B729" t="s">
        <v>711</v>
      </c>
      <c r="C729" t="s">
        <v>743</v>
      </c>
      <c r="D729">
        <v>1</v>
      </c>
    </row>
    <row r="730" spans="1:4" x14ac:dyDescent="0.25">
      <c r="A730" s="89">
        <v>46123</v>
      </c>
      <c r="B730" t="s">
        <v>774</v>
      </c>
      <c r="C730" t="s">
        <v>743</v>
      </c>
      <c r="D730">
        <v>1</v>
      </c>
    </row>
    <row r="731" spans="1:4" x14ac:dyDescent="0.25">
      <c r="A731" s="89">
        <v>46123</v>
      </c>
      <c r="B731" t="s">
        <v>783</v>
      </c>
      <c r="C731" t="s">
        <v>743</v>
      </c>
      <c r="D731">
        <v>1</v>
      </c>
    </row>
    <row r="732" spans="1:4" x14ac:dyDescent="0.25">
      <c r="A732" s="89">
        <v>46123</v>
      </c>
      <c r="B732" t="s">
        <v>848</v>
      </c>
      <c r="C732" t="s">
        <v>743</v>
      </c>
      <c r="D732">
        <v>1</v>
      </c>
    </row>
    <row r="733" spans="1:4" x14ac:dyDescent="0.25">
      <c r="A733" s="89">
        <v>46123</v>
      </c>
      <c r="B733" t="s">
        <v>911</v>
      </c>
      <c r="C733" t="s">
        <v>743</v>
      </c>
      <c r="D733">
        <v>1</v>
      </c>
    </row>
    <row r="734" spans="1:4" x14ac:dyDescent="0.25">
      <c r="A734" s="89">
        <v>46123</v>
      </c>
      <c r="B734" t="s">
        <v>907</v>
      </c>
      <c r="C734" t="s">
        <v>743</v>
      </c>
      <c r="D734">
        <v>1</v>
      </c>
    </row>
    <row r="735" spans="1:4" x14ac:dyDescent="0.25">
      <c r="A735" s="89">
        <v>46124</v>
      </c>
      <c r="B735" t="s">
        <v>813</v>
      </c>
      <c r="C735" t="s">
        <v>765</v>
      </c>
      <c r="D735">
        <v>1</v>
      </c>
    </row>
    <row r="736" spans="1:4" x14ac:dyDescent="0.25">
      <c r="A736" s="89">
        <v>46124</v>
      </c>
      <c r="B736" t="s">
        <v>746</v>
      </c>
      <c r="C736" t="s">
        <v>765</v>
      </c>
      <c r="D736">
        <v>1</v>
      </c>
    </row>
    <row r="737" spans="1:4" x14ac:dyDescent="0.25">
      <c r="A737" s="89">
        <v>46124</v>
      </c>
      <c r="B737" t="s">
        <v>807</v>
      </c>
      <c r="C737" t="s">
        <v>765</v>
      </c>
      <c r="D737">
        <v>1</v>
      </c>
    </row>
    <row r="738" spans="1:4" x14ac:dyDescent="0.25">
      <c r="A738" s="89">
        <v>46124</v>
      </c>
      <c r="B738" t="s">
        <v>749</v>
      </c>
      <c r="C738" t="s">
        <v>765</v>
      </c>
      <c r="D738">
        <v>1</v>
      </c>
    </row>
    <row r="739" spans="1:4" x14ac:dyDescent="0.25">
      <c r="A739" s="89">
        <v>46124</v>
      </c>
      <c r="B739" t="s">
        <v>774</v>
      </c>
      <c r="C739" t="s">
        <v>765</v>
      </c>
      <c r="D739">
        <v>1</v>
      </c>
    </row>
    <row r="740" spans="1:4" x14ac:dyDescent="0.25">
      <c r="A740" s="89">
        <v>46124</v>
      </c>
      <c r="B740" t="s">
        <v>783</v>
      </c>
      <c r="C740" t="s">
        <v>765</v>
      </c>
      <c r="D740">
        <v>1</v>
      </c>
    </row>
    <row r="741" spans="1:4" x14ac:dyDescent="0.25">
      <c r="A741" s="89">
        <v>46124</v>
      </c>
      <c r="B741" t="s">
        <v>827</v>
      </c>
      <c r="C741" t="s">
        <v>765</v>
      </c>
      <c r="D741">
        <v>1</v>
      </c>
    </row>
    <row r="742" spans="1:4" x14ac:dyDescent="0.25">
      <c r="A742" s="89">
        <v>46124</v>
      </c>
      <c r="B742" t="s">
        <v>761</v>
      </c>
      <c r="C742" t="s">
        <v>765</v>
      </c>
      <c r="D742">
        <v>1</v>
      </c>
    </row>
    <row r="743" spans="1:4" x14ac:dyDescent="0.25">
      <c r="A743" s="89">
        <v>46124</v>
      </c>
      <c r="B743" t="s">
        <v>760</v>
      </c>
      <c r="C743" t="s">
        <v>765</v>
      </c>
      <c r="D743">
        <v>1</v>
      </c>
    </row>
    <row r="744" spans="1:4" x14ac:dyDescent="0.25">
      <c r="A744" s="89">
        <v>46124</v>
      </c>
      <c r="B744" t="s">
        <v>893</v>
      </c>
      <c r="C744" t="s">
        <v>765</v>
      </c>
      <c r="D744">
        <v>2</v>
      </c>
    </row>
    <row r="745" spans="1:4" x14ac:dyDescent="0.25">
      <c r="A745" s="89">
        <v>46124</v>
      </c>
      <c r="B745" t="s">
        <v>911</v>
      </c>
      <c r="C745" t="s">
        <v>765</v>
      </c>
      <c r="D745">
        <v>2</v>
      </c>
    </row>
    <row r="746" spans="1:4" x14ac:dyDescent="0.25">
      <c r="A746" s="89">
        <v>46124</v>
      </c>
      <c r="B746" t="s">
        <v>907</v>
      </c>
      <c r="C746" t="s">
        <v>765</v>
      </c>
      <c r="D746">
        <v>1</v>
      </c>
    </row>
    <row r="747" spans="1:4" x14ac:dyDescent="0.25">
      <c r="A747" s="89">
        <v>46124</v>
      </c>
      <c r="B747" t="s">
        <v>912</v>
      </c>
      <c r="C747" t="s">
        <v>765</v>
      </c>
      <c r="D747">
        <v>1</v>
      </c>
    </row>
    <row r="748" spans="1:4" x14ac:dyDescent="0.25">
      <c r="A748" s="89">
        <v>46125</v>
      </c>
      <c r="B748" t="s">
        <v>746</v>
      </c>
      <c r="C748" t="s">
        <v>763</v>
      </c>
      <c r="D748">
        <v>1</v>
      </c>
    </row>
    <row r="749" spans="1:4" x14ac:dyDescent="0.25">
      <c r="A749" s="89">
        <v>46125</v>
      </c>
      <c r="B749" t="s">
        <v>841</v>
      </c>
      <c r="C749" t="s">
        <v>763</v>
      </c>
      <c r="D749">
        <v>1</v>
      </c>
    </row>
    <row r="750" spans="1:4" x14ac:dyDescent="0.25">
      <c r="A750" s="89">
        <v>46125</v>
      </c>
      <c r="B750" t="s">
        <v>742</v>
      </c>
      <c r="C750" t="s">
        <v>763</v>
      </c>
      <c r="D750">
        <v>1</v>
      </c>
    </row>
    <row r="751" spans="1:4" x14ac:dyDescent="0.25">
      <c r="A751" s="89">
        <v>46126</v>
      </c>
      <c r="B751" t="s">
        <v>913</v>
      </c>
      <c r="C751" t="s">
        <v>743</v>
      </c>
      <c r="D751">
        <v>1</v>
      </c>
    </row>
    <row r="752" spans="1:4" x14ac:dyDescent="0.25">
      <c r="A752" s="89">
        <v>46126</v>
      </c>
      <c r="B752" t="s">
        <v>827</v>
      </c>
      <c r="C752" t="s">
        <v>763</v>
      </c>
      <c r="D752">
        <v>1</v>
      </c>
    </row>
    <row r="753" spans="1:4" x14ac:dyDescent="0.25">
      <c r="A753" s="89">
        <v>46127</v>
      </c>
      <c r="B753" t="s">
        <v>742</v>
      </c>
      <c r="C753" t="s">
        <v>765</v>
      </c>
      <c r="D753">
        <v>1</v>
      </c>
    </row>
    <row r="754" spans="1:4" x14ac:dyDescent="0.25">
      <c r="A754" s="89">
        <v>46127</v>
      </c>
      <c r="B754" t="s">
        <v>819</v>
      </c>
      <c r="C754" t="s">
        <v>765</v>
      </c>
      <c r="D754">
        <v>1</v>
      </c>
    </row>
    <row r="755" spans="1:4" x14ac:dyDescent="0.25">
      <c r="A755" s="89">
        <v>46127</v>
      </c>
      <c r="B755" t="s">
        <v>749</v>
      </c>
      <c r="C755" t="s">
        <v>765</v>
      </c>
      <c r="D755">
        <v>1</v>
      </c>
    </row>
    <row r="756" spans="1:4" x14ac:dyDescent="0.25">
      <c r="A756" s="89">
        <v>46127</v>
      </c>
      <c r="B756" t="s">
        <v>760</v>
      </c>
      <c r="C756" t="s">
        <v>765</v>
      </c>
      <c r="D756">
        <v>1</v>
      </c>
    </row>
    <row r="757" spans="1:4" x14ac:dyDescent="0.25">
      <c r="A757" s="89">
        <v>46127</v>
      </c>
      <c r="B757" t="s">
        <v>783</v>
      </c>
      <c r="C757" t="s">
        <v>765</v>
      </c>
      <c r="D757">
        <v>1</v>
      </c>
    </row>
    <row r="758" spans="1:4" x14ac:dyDescent="0.25">
      <c r="A758" s="89">
        <v>46127</v>
      </c>
      <c r="B758" t="s">
        <v>761</v>
      </c>
      <c r="C758" t="s">
        <v>765</v>
      </c>
      <c r="D758">
        <v>1</v>
      </c>
    </row>
    <row r="759" spans="1:4" x14ac:dyDescent="0.25">
      <c r="A759" s="89">
        <v>46127</v>
      </c>
      <c r="B759" t="s">
        <v>742</v>
      </c>
      <c r="C759" t="s">
        <v>765</v>
      </c>
      <c r="D759">
        <v>2</v>
      </c>
    </row>
    <row r="760" spans="1:4" x14ac:dyDescent="0.25">
      <c r="A760" s="89">
        <v>46128</v>
      </c>
      <c r="B760" t="s">
        <v>774</v>
      </c>
      <c r="C760" t="s">
        <v>743</v>
      </c>
      <c r="D760">
        <v>1</v>
      </c>
    </row>
    <row r="761" spans="1:4" x14ac:dyDescent="0.25">
      <c r="A761" s="89">
        <v>46128</v>
      </c>
      <c r="B761" t="s">
        <v>783</v>
      </c>
      <c r="C761" t="s">
        <v>743</v>
      </c>
      <c r="D761">
        <v>1</v>
      </c>
    </row>
    <row r="762" spans="1:4" x14ac:dyDescent="0.25">
      <c r="A762" s="89">
        <v>46128</v>
      </c>
      <c r="B762" t="s">
        <v>817</v>
      </c>
      <c r="C762" t="s">
        <v>743</v>
      </c>
      <c r="D762">
        <v>1</v>
      </c>
    </row>
    <row r="763" spans="1:4" x14ac:dyDescent="0.25">
      <c r="A763" s="89">
        <v>46128</v>
      </c>
      <c r="B763" t="s">
        <v>804</v>
      </c>
      <c r="C763" t="s">
        <v>743</v>
      </c>
      <c r="D763">
        <v>2</v>
      </c>
    </row>
    <row r="764" spans="1:4" x14ac:dyDescent="0.25">
      <c r="A764" s="89">
        <v>46128</v>
      </c>
      <c r="B764" t="s">
        <v>914</v>
      </c>
      <c r="C764" t="s">
        <v>743</v>
      </c>
      <c r="D764">
        <v>1</v>
      </c>
    </row>
    <row r="765" spans="1:4" x14ac:dyDescent="0.25">
      <c r="A765" s="89">
        <v>46128</v>
      </c>
      <c r="B765" t="s">
        <v>913</v>
      </c>
      <c r="C765" t="s">
        <v>743</v>
      </c>
      <c r="D765">
        <v>1</v>
      </c>
    </row>
    <row r="766" spans="1:4" x14ac:dyDescent="0.25">
      <c r="A766" s="89">
        <v>46128</v>
      </c>
      <c r="B766" t="s">
        <v>915</v>
      </c>
      <c r="C766" t="s">
        <v>743</v>
      </c>
      <c r="D766">
        <v>1</v>
      </c>
    </row>
    <row r="767" spans="1:4" x14ac:dyDescent="0.25">
      <c r="A767" s="89">
        <v>46129</v>
      </c>
      <c r="B767" t="s">
        <v>746</v>
      </c>
      <c r="C767" t="s">
        <v>743</v>
      </c>
      <c r="D767">
        <v>1</v>
      </c>
    </row>
    <row r="768" spans="1:4" x14ac:dyDescent="0.25">
      <c r="A768" s="89">
        <v>46129</v>
      </c>
      <c r="B768" t="s">
        <v>795</v>
      </c>
      <c r="C768" t="s">
        <v>743</v>
      </c>
      <c r="D768">
        <v>1</v>
      </c>
    </row>
    <row r="769" spans="1:4" x14ac:dyDescent="0.25">
      <c r="A769" s="89">
        <v>46129</v>
      </c>
      <c r="B769" t="s">
        <v>916</v>
      </c>
      <c r="C769" t="s">
        <v>743</v>
      </c>
      <c r="D769">
        <v>2</v>
      </c>
    </row>
    <row r="770" spans="1:4" x14ac:dyDescent="0.25">
      <c r="A770" s="89">
        <v>46129</v>
      </c>
      <c r="B770" t="s">
        <v>711</v>
      </c>
      <c r="C770" t="s">
        <v>743</v>
      </c>
      <c r="D770">
        <v>1</v>
      </c>
    </row>
    <row r="771" spans="1:4" x14ac:dyDescent="0.25">
      <c r="A771" s="89">
        <v>46129</v>
      </c>
      <c r="B771" t="s">
        <v>749</v>
      </c>
      <c r="C771" t="s">
        <v>743</v>
      </c>
      <c r="D771">
        <v>1</v>
      </c>
    </row>
    <row r="772" spans="1:4" x14ac:dyDescent="0.25">
      <c r="A772" s="89">
        <v>46129</v>
      </c>
      <c r="B772" t="s">
        <v>774</v>
      </c>
      <c r="C772" t="s">
        <v>743</v>
      </c>
      <c r="D772">
        <v>1</v>
      </c>
    </row>
    <row r="773" spans="1:4" x14ac:dyDescent="0.25">
      <c r="A773" s="89">
        <v>46129</v>
      </c>
      <c r="B773" t="s">
        <v>783</v>
      </c>
      <c r="C773" t="s">
        <v>743</v>
      </c>
      <c r="D773">
        <v>1</v>
      </c>
    </row>
    <row r="774" spans="1:4" x14ac:dyDescent="0.25">
      <c r="A774" s="89">
        <v>46129</v>
      </c>
      <c r="B774" t="s">
        <v>751</v>
      </c>
      <c r="C774" t="s">
        <v>743</v>
      </c>
      <c r="D774">
        <v>1</v>
      </c>
    </row>
    <row r="775" spans="1:4" x14ac:dyDescent="0.25">
      <c r="A775" s="89">
        <v>46129</v>
      </c>
      <c r="B775" t="s">
        <v>742</v>
      </c>
      <c r="C775" t="s">
        <v>743</v>
      </c>
      <c r="D775">
        <v>1</v>
      </c>
    </row>
    <row r="776" spans="1:4" x14ac:dyDescent="0.25">
      <c r="A776" s="89">
        <v>46130</v>
      </c>
      <c r="B776" t="s">
        <v>742</v>
      </c>
      <c r="C776" t="s">
        <v>743</v>
      </c>
      <c r="D776">
        <v>1</v>
      </c>
    </row>
    <row r="777" spans="1:4" x14ac:dyDescent="0.25">
      <c r="A777" s="89">
        <v>46130</v>
      </c>
      <c r="B777" t="s">
        <v>917</v>
      </c>
      <c r="C777" t="s">
        <v>743</v>
      </c>
      <c r="D777">
        <v>1</v>
      </c>
    </row>
    <row r="778" spans="1:4" x14ac:dyDescent="0.25">
      <c r="A778" s="89">
        <v>46130</v>
      </c>
      <c r="B778" t="s">
        <v>807</v>
      </c>
      <c r="C778" t="s">
        <v>743</v>
      </c>
      <c r="D778">
        <v>2</v>
      </c>
    </row>
    <row r="779" spans="1:4" x14ac:dyDescent="0.25">
      <c r="A779" s="89">
        <v>46130</v>
      </c>
      <c r="B779" t="s">
        <v>774</v>
      </c>
      <c r="C779" t="s">
        <v>743</v>
      </c>
      <c r="D779">
        <v>1</v>
      </c>
    </row>
    <row r="780" spans="1:4" x14ac:dyDescent="0.25">
      <c r="A780" s="89">
        <v>46130</v>
      </c>
      <c r="B780" t="s">
        <v>783</v>
      </c>
      <c r="C780" t="s">
        <v>743</v>
      </c>
      <c r="D780">
        <v>1</v>
      </c>
    </row>
    <row r="781" spans="1:4" x14ac:dyDescent="0.25">
      <c r="A781" s="89">
        <v>46130</v>
      </c>
      <c r="B781" t="s">
        <v>817</v>
      </c>
      <c r="C781" t="s">
        <v>743</v>
      </c>
      <c r="D781">
        <v>1</v>
      </c>
    </row>
    <row r="782" spans="1:4" x14ac:dyDescent="0.25">
      <c r="A782" s="89">
        <v>46130</v>
      </c>
      <c r="B782" t="s">
        <v>918</v>
      </c>
      <c r="C782" t="s">
        <v>743</v>
      </c>
      <c r="D782">
        <v>1</v>
      </c>
    </row>
    <row r="783" spans="1:4" x14ac:dyDescent="0.25">
      <c r="A783" s="89">
        <v>46130</v>
      </c>
      <c r="B783" t="s">
        <v>790</v>
      </c>
      <c r="C783" t="s">
        <v>743</v>
      </c>
      <c r="D783">
        <v>2</v>
      </c>
    </row>
    <row r="784" spans="1:4" x14ac:dyDescent="0.25">
      <c r="A784" s="89">
        <v>46130</v>
      </c>
      <c r="B784" t="s">
        <v>919</v>
      </c>
      <c r="C784" t="s">
        <v>743</v>
      </c>
      <c r="D784">
        <v>1</v>
      </c>
    </row>
    <row r="785" spans="1:4" x14ac:dyDescent="0.25">
      <c r="A785" s="89">
        <v>46130</v>
      </c>
      <c r="B785" t="s">
        <v>760</v>
      </c>
      <c r="C785" t="s">
        <v>743</v>
      </c>
      <c r="D785">
        <v>1</v>
      </c>
    </row>
    <row r="786" spans="1:4" x14ac:dyDescent="0.25">
      <c r="A786" s="89">
        <v>46131</v>
      </c>
      <c r="B786" t="s">
        <v>813</v>
      </c>
      <c r="C786" t="s">
        <v>743</v>
      </c>
      <c r="D786">
        <v>1</v>
      </c>
    </row>
    <row r="787" spans="1:4" x14ac:dyDescent="0.25">
      <c r="A787" s="89">
        <v>46131</v>
      </c>
      <c r="B787" t="s">
        <v>917</v>
      </c>
      <c r="C787" t="s">
        <v>743</v>
      </c>
      <c r="D787">
        <v>1</v>
      </c>
    </row>
    <row r="788" spans="1:4" x14ac:dyDescent="0.25">
      <c r="A788" s="89">
        <v>46131</v>
      </c>
      <c r="B788" t="s">
        <v>826</v>
      </c>
      <c r="C788" t="s">
        <v>743</v>
      </c>
      <c r="D788">
        <v>2</v>
      </c>
    </row>
    <row r="789" spans="1:4" x14ac:dyDescent="0.25">
      <c r="A789" s="89">
        <v>46131</v>
      </c>
      <c r="B789" t="s">
        <v>746</v>
      </c>
      <c r="C789" t="s">
        <v>743</v>
      </c>
      <c r="D789">
        <v>1</v>
      </c>
    </row>
    <row r="790" spans="1:4" x14ac:dyDescent="0.25">
      <c r="A790" s="89">
        <v>46131</v>
      </c>
      <c r="B790" t="s">
        <v>819</v>
      </c>
      <c r="C790" t="s">
        <v>743</v>
      </c>
      <c r="D790">
        <v>1</v>
      </c>
    </row>
    <row r="791" spans="1:4" x14ac:dyDescent="0.25">
      <c r="A791" s="89">
        <v>46131</v>
      </c>
      <c r="B791" t="s">
        <v>918</v>
      </c>
      <c r="C791" t="s">
        <v>743</v>
      </c>
      <c r="D791">
        <v>1</v>
      </c>
    </row>
    <row r="792" spans="1:4" x14ac:dyDescent="0.25">
      <c r="A792" s="89">
        <v>46131</v>
      </c>
      <c r="B792" t="s">
        <v>807</v>
      </c>
      <c r="C792" t="s">
        <v>743</v>
      </c>
      <c r="D792">
        <v>1</v>
      </c>
    </row>
    <row r="793" spans="1:4" x14ac:dyDescent="0.25">
      <c r="A793" s="89">
        <v>46131</v>
      </c>
      <c r="B793" t="s">
        <v>749</v>
      </c>
      <c r="C793" t="s">
        <v>743</v>
      </c>
      <c r="D793">
        <v>1</v>
      </c>
    </row>
    <row r="794" spans="1:4" x14ac:dyDescent="0.25">
      <c r="A794" s="89">
        <v>46131</v>
      </c>
      <c r="B794" t="s">
        <v>774</v>
      </c>
      <c r="C794" t="s">
        <v>743</v>
      </c>
      <c r="D794">
        <v>1</v>
      </c>
    </row>
    <row r="795" spans="1:4" x14ac:dyDescent="0.25">
      <c r="A795" s="89">
        <v>46131</v>
      </c>
      <c r="B795" t="s">
        <v>783</v>
      </c>
      <c r="C795" t="s">
        <v>743</v>
      </c>
      <c r="D795">
        <v>1</v>
      </c>
    </row>
    <row r="796" spans="1:4" x14ac:dyDescent="0.25">
      <c r="A796" s="89">
        <v>46131</v>
      </c>
      <c r="B796" t="s">
        <v>817</v>
      </c>
      <c r="C796" t="s">
        <v>743</v>
      </c>
      <c r="D796">
        <v>1</v>
      </c>
    </row>
    <row r="797" spans="1:4" x14ac:dyDescent="0.25">
      <c r="A797" s="89">
        <v>46131</v>
      </c>
      <c r="B797" t="s">
        <v>852</v>
      </c>
      <c r="C797" t="s">
        <v>743</v>
      </c>
      <c r="D797">
        <v>1</v>
      </c>
    </row>
    <row r="798" spans="1:4" x14ac:dyDescent="0.25">
      <c r="A798" s="89">
        <v>46131</v>
      </c>
      <c r="B798" t="s">
        <v>827</v>
      </c>
      <c r="C798" t="s">
        <v>743</v>
      </c>
      <c r="D798">
        <v>1</v>
      </c>
    </row>
    <row r="799" spans="1:4" x14ac:dyDescent="0.25">
      <c r="A799" s="89">
        <v>46131</v>
      </c>
      <c r="B799" t="s">
        <v>790</v>
      </c>
      <c r="C799" t="s">
        <v>743</v>
      </c>
      <c r="D799">
        <v>2</v>
      </c>
    </row>
    <row r="800" spans="1:4" x14ac:dyDescent="0.25">
      <c r="A800" s="89">
        <v>46131</v>
      </c>
      <c r="B800" t="s">
        <v>742</v>
      </c>
      <c r="C800" t="s">
        <v>743</v>
      </c>
      <c r="D800">
        <v>1</v>
      </c>
    </row>
    <row r="801" spans="1:4" x14ac:dyDescent="0.25">
      <c r="A801" s="89">
        <v>46131</v>
      </c>
      <c r="B801" t="s">
        <v>807</v>
      </c>
      <c r="C801" t="s">
        <v>743</v>
      </c>
      <c r="D801">
        <v>1</v>
      </c>
    </row>
    <row r="802" spans="1:4" x14ac:dyDescent="0.25">
      <c r="A802" s="89">
        <v>46132</v>
      </c>
      <c r="B802" t="s">
        <v>760</v>
      </c>
      <c r="C802" t="s">
        <v>763</v>
      </c>
      <c r="D802">
        <v>1</v>
      </c>
    </row>
    <row r="803" spans="1:4" x14ac:dyDescent="0.25">
      <c r="A803" s="89">
        <v>46132</v>
      </c>
      <c r="B803" t="s">
        <v>751</v>
      </c>
      <c r="C803" t="s">
        <v>763</v>
      </c>
      <c r="D803">
        <v>1</v>
      </c>
    </row>
    <row r="804" spans="1:4" x14ac:dyDescent="0.25">
      <c r="A804" s="89">
        <v>46132</v>
      </c>
      <c r="B804" t="s">
        <v>817</v>
      </c>
      <c r="C804" t="s">
        <v>763</v>
      </c>
      <c r="D804">
        <v>1</v>
      </c>
    </row>
    <row r="805" spans="1:4" x14ac:dyDescent="0.25">
      <c r="A805" s="89">
        <v>46132</v>
      </c>
      <c r="B805" t="s">
        <v>827</v>
      </c>
      <c r="C805" t="s">
        <v>763</v>
      </c>
      <c r="D805">
        <v>1</v>
      </c>
    </row>
    <row r="806" spans="1:4" x14ac:dyDescent="0.25">
      <c r="A806" s="89">
        <v>46132</v>
      </c>
      <c r="B806" t="s">
        <v>804</v>
      </c>
      <c r="C806" t="s">
        <v>763</v>
      </c>
      <c r="D806">
        <v>4</v>
      </c>
    </row>
    <row r="807" spans="1:4" x14ac:dyDescent="0.25">
      <c r="A807" s="89">
        <v>46132</v>
      </c>
      <c r="B807" t="s">
        <v>916</v>
      </c>
      <c r="C807" t="s">
        <v>763</v>
      </c>
      <c r="D807">
        <v>2</v>
      </c>
    </row>
    <row r="808" spans="1:4" x14ac:dyDescent="0.25">
      <c r="A808" s="89">
        <v>46132</v>
      </c>
      <c r="B808" t="s">
        <v>914</v>
      </c>
      <c r="C808" t="s">
        <v>763</v>
      </c>
      <c r="D808">
        <v>1</v>
      </c>
    </row>
    <row r="809" spans="1:4" x14ac:dyDescent="0.25">
      <c r="A809" s="89">
        <v>46132</v>
      </c>
      <c r="B809" t="s">
        <v>866</v>
      </c>
      <c r="C809" t="s">
        <v>763</v>
      </c>
      <c r="D809">
        <v>1</v>
      </c>
    </row>
    <row r="810" spans="1:4" x14ac:dyDescent="0.25">
      <c r="A810" s="89">
        <v>46132</v>
      </c>
      <c r="B810" t="s">
        <v>742</v>
      </c>
      <c r="C810" t="s">
        <v>763</v>
      </c>
      <c r="D810">
        <v>1</v>
      </c>
    </row>
    <row r="811" spans="1:4" x14ac:dyDescent="0.25">
      <c r="A811" s="89">
        <v>46132</v>
      </c>
      <c r="B811" t="s">
        <v>841</v>
      </c>
      <c r="C811" t="s">
        <v>763</v>
      </c>
      <c r="D811">
        <v>1</v>
      </c>
    </row>
    <row r="812" spans="1:4" x14ac:dyDescent="0.25">
      <c r="A812" s="89">
        <v>46132</v>
      </c>
      <c r="B812" t="s">
        <v>747</v>
      </c>
      <c r="C812" t="s">
        <v>763</v>
      </c>
      <c r="D812">
        <v>1</v>
      </c>
    </row>
    <row r="813" spans="1:4" x14ac:dyDescent="0.25">
      <c r="A813" s="89">
        <v>46132</v>
      </c>
      <c r="B813" t="s">
        <v>746</v>
      </c>
      <c r="C813" t="s">
        <v>763</v>
      </c>
      <c r="D813">
        <v>1</v>
      </c>
    </row>
    <row r="814" spans="1:4" x14ac:dyDescent="0.25">
      <c r="A814" s="89">
        <v>46132</v>
      </c>
      <c r="B814" t="s">
        <v>711</v>
      </c>
      <c r="C814" t="s">
        <v>763</v>
      </c>
      <c r="D814">
        <v>1</v>
      </c>
    </row>
    <row r="815" spans="1:4" x14ac:dyDescent="0.25">
      <c r="A815" s="89">
        <v>46132</v>
      </c>
      <c r="B815" t="s">
        <v>749</v>
      </c>
      <c r="C815" t="s">
        <v>763</v>
      </c>
      <c r="D815">
        <v>1</v>
      </c>
    </row>
    <row r="816" spans="1:4" x14ac:dyDescent="0.25">
      <c r="A816" s="89">
        <v>46132</v>
      </c>
      <c r="B816" t="s">
        <v>774</v>
      </c>
      <c r="C816" t="s">
        <v>763</v>
      </c>
      <c r="D816">
        <v>1</v>
      </c>
    </row>
    <row r="817" spans="1:4" x14ac:dyDescent="0.25">
      <c r="A817" s="89">
        <v>46132</v>
      </c>
      <c r="B817" t="s">
        <v>783</v>
      </c>
      <c r="C817" t="s">
        <v>763</v>
      </c>
      <c r="D817">
        <v>1</v>
      </c>
    </row>
    <row r="818" spans="1:4" x14ac:dyDescent="0.25">
      <c r="A818" s="89">
        <v>46133</v>
      </c>
      <c r="B818" t="s">
        <v>742</v>
      </c>
      <c r="C818" t="s">
        <v>743</v>
      </c>
      <c r="D818">
        <v>2</v>
      </c>
    </row>
    <row r="819" spans="1:4" x14ac:dyDescent="0.25">
      <c r="A819" s="89">
        <v>46133</v>
      </c>
      <c r="B819" t="s">
        <v>813</v>
      </c>
      <c r="C819" t="s">
        <v>743</v>
      </c>
      <c r="D819">
        <v>1</v>
      </c>
    </row>
    <row r="820" spans="1:4" x14ac:dyDescent="0.25">
      <c r="A820" s="89">
        <v>46133</v>
      </c>
      <c r="B820" t="s">
        <v>917</v>
      </c>
      <c r="C820" t="s">
        <v>743</v>
      </c>
      <c r="D820">
        <v>1</v>
      </c>
    </row>
    <row r="821" spans="1:4" x14ac:dyDescent="0.25">
      <c r="A821" s="89">
        <v>46133</v>
      </c>
      <c r="B821" t="s">
        <v>920</v>
      </c>
      <c r="C821" t="s">
        <v>743</v>
      </c>
      <c r="D821">
        <v>1</v>
      </c>
    </row>
    <row r="822" spans="1:4" x14ac:dyDescent="0.25">
      <c r="A822" s="89">
        <v>46133</v>
      </c>
      <c r="B822" t="s">
        <v>790</v>
      </c>
      <c r="C822" t="s">
        <v>743</v>
      </c>
      <c r="D822">
        <v>2</v>
      </c>
    </row>
    <row r="823" spans="1:4" x14ac:dyDescent="0.25">
      <c r="A823" s="89">
        <v>46133</v>
      </c>
      <c r="B823" t="s">
        <v>819</v>
      </c>
      <c r="C823" t="s">
        <v>743</v>
      </c>
      <c r="D823">
        <v>1</v>
      </c>
    </row>
    <row r="824" spans="1:4" x14ac:dyDescent="0.25">
      <c r="A824" s="89">
        <v>46133</v>
      </c>
      <c r="B824" t="s">
        <v>746</v>
      </c>
      <c r="C824" t="s">
        <v>743</v>
      </c>
      <c r="D824">
        <v>1</v>
      </c>
    </row>
    <row r="825" spans="1:4" x14ac:dyDescent="0.25">
      <c r="A825" s="89">
        <v>46133</v>
      </c>
      <c r="B825" t="s">
        <v>807</v>
      </c>
      <c r="C825" t="s">
        <v>743</v>
      </c>
      <c r="D825">
        <v>1</v>
      </c>
    </row>
    <row r="826" spans="1:4" x14ac:dyDescent="0.25">
      <c r="A826" s="89">
        <v>46133</v>
      </c>
      <c r="B826" t="s">
        <v>749</v>
      </c>
      <c r="C826" t="s">
        <v>743</v>
      </c>
      <c r="D826">
        <v>1</v>
      </c>
    </row>
    <row r="827" spans="1:4" x14ac:dyDescent="0.25">
      <c r="A827" s="89">
        <v>46133</v>
      </c>
      <c r="B827" t="s">
        <v>774</v>
      </c>
      <c r="C827" t="s">
        <v>743</v>
      </c>
      <c r="D827">
        <v>1</v>
      </c>
    </row>
    <row r="828" spans="1:4" x14ac:dyDescent="0.25">
      <c r="A828" s="89">
        <v>46133</v>
      </c>
      <c r="B828" t="s">
        <v>783</v>
      </c>
      <c r="C828" t="s">
        <v>743</v>
      </c>
      <c r="D828">
        <v>1</v>
      </c>
    </row>
    <row r="829" spans="1:4" x14ac:dyDescent="0.25">
      <c r="A829" s="89">
        <v>46133</v>
      </c>
      <c r="B829" t="s">
        <v>912</v>
      </c>
      <c r="C829" t="s">
        <v>743</v>
      </c>
      <c r="D829">
        <v>1</v>
      </c>
    </row>
    <row r="830" spans="1:4" x14ac:dyDescent="0.25">
      <c r="A830" s="89">
        <v>46133</v>
      </c>
      <c r="B830" t="s">
        <v>920</v>
      </c>
      <c r="C830" t="s">
        <v>743</v>
      </c>
      <c r="D830">
        <v>1</v>
      </c>
    </row>
    <row r="831" spans="1:4" x14ac:dyDescent="0.25">
      <c r="A831" s="89">
        <v>46133</v>
      </c>
      <c r="B831" t="s">
        <v>807</v>
      </c>
      <c r="C831" t="s">
        <v>743</v>
      </c>
      <c r="D831">
        <v>1</v>
      </c>
    </row>
    <row r="832" spans="1:4" x14ac:dyDescent="0.25">
      <c r="A832" s="89">
        <v>46133</v>
      </c>
      <c r="B832" t="s">
        <v>774</v>
      </c>
      <c r="C832" t="s">
        <v>743</v>
      </c>
      <c r="D832">
        <v>1</v>
      </c>
    </row>
    <row r="833" spans="1:4" x14ac:dyDescent="0.25">
      <c r="A833" s="89">
        <v>46133</v>
      </c>
      <c r="B833" t="s">
        <v>783</v>
      </c>
      <c r="C833" t="s">
        <v>743</v>
      </c>
      <c r="D833">
        <v>1</v>
      </c>
    </row>
    <row r="834" spans="1:4" x14ac:dyDescent="0.25">
      <c r="A834" s="89">
        <v>46133</v>
      </c>
      <c r="B834" t="s">
        <v>760</v>
      </c>
      <c r="C834" t="s">
        <v>743</v>
      </c>
      <c r="D834">
        <v>1</v>
      </c>
    </row>
    <row r="835" spans="1:4" x14ac:dyDescent="0.25">
      <c r="A835" s="89">
        <v>46134</v>
      </c>
      <c r="B835" t="s">
        <v>817</v>
      </c>
      <c r="C835" t="s">
        <v>765</v>
      </c>
      <c r="D835">
        <v>1</v>
      </c>
    </row>
    <row r="836" spans="1:4" x14ac:dyDescent="0.25">
      <c r="A836" s="89">
        <v>46134</v>
      </c>
      <c r="B836" t="s">
        <v>742</v>
      </c>
      <c r="C836" t="s">
        <v>765</v>
      </c>
      <c r="D836">
        <v>1</v>
      </c>
    </row>
    <row r="837" spans="1:4" x14ac:dyDescent="0.25">
      <c r="A837" s="89">
        <v>46134</v>
      </c>
      <c r="B837" t="s">
        <v>921</v>
      </c>
      <c r="C837" t="s">
        <v>765</v>
      </c>
      <c r="D837">
        <v>1</v>
      </c>
    </row>
    <row r="838" spans="1:4" x14ac:dyDescent="0.25">
      <c r="A838" s="89">
        <v>46134</v>
      </c>
      <c r="B838" t="s">
        <v>746</v>
      </c>
      <c r="C838" t="s">
        <v>765</v>
      </c>
      <c r="D838">
        <v>1</v>
      </c>
    </row>
    <row r="839" spans="1:4" x14ac:dyDescent="0.25">
      <c r="A839" s="89">
        <v>46134</v>
      </c>
      <c r="B839" t="s">
        <v>790</v>
      </c>
      <c r="C839" t="s">
        <v>765</v>
      </c>
      <c r="D839">
        <v>1</v>
      </c>
    </row>
    <row r="840" spans="1:4" x14ac:dyDescent="0.25">
      <c r="A840" s="89">
        <v>46134</v>
      </c>
      <c r="B840" t="s">
        <v>807</v>
      </c>
      <c r="C840" t="s">
        <v>765</v>
      </c>
      <c r="D840">
        <v>1</v>
      </c>
    </row>
    <row r="841" spans="1:4" x14ac:dyDescent="0.25">
      <c r="A841" s="89">
        <v>46134</v>
      </c>
      <c r="B841" t="s">
        <v>749</v>
      </c>
      <c r="C841" t="s">
        <v>765</v>
      </c>
      <c r="D841">
        <v>1</v>
      </c>
    </row>
    <row r="842" spans="1:4" x14ac:dyDescent="0.25">
      <c r="A842" s="89">
        <v>46134</v>
      </c>
      <c r="B842" t="s">
        <v>774</v>
      </c>
      <c r="C842" t="s">
        <v>765</v>
      </c>
      <c r="D842">
        <v>1</v>
      </c>
    </row>
    <row r="843" spans="1:4" x14ac:dyDescent="0.25">
      <c r="A843" s="89">
        <v>46134</v>
      </c>
      <c r="B843" t="s">
        <v>783</v>
      </c>
      <c r="C843" t="s">
        <v>765</v>
      </c>
      <c r="D843">
        <v>1</v>
      </c>
    </row>
    <row r="844" spans="1:4" x14ac:dyDescent="0.25">
      <c r="A844" s="89">
        <v>46134</v>
      </c>
      <c r="B844" t="s">
        <v>922</v>
      </c>
      <c r="C844" t="s">
        <v>765</v>
      </c>
      <c r="D844">
        <v>1</v>
      </c>
    </row>
    <row r="845" spans="1:4" x14ac:dyDescent="0.25">
      <c r="A845" s="89">
        <v>46134</v>
      </c>
      <c r="B845" t="s">
        <v>751</v>
      </c>
      <c r="C845" t="s">
        <v>765</v>
      </c>
      <c r="D845">
        <v>1</v>
      </c>
    </row>
    <row r="846" spans="1:4" x14ac:dyDescent="0.25">
      <c r="A846" s="89">
        <v>46136</v>
      </c>
      <c r="B846" t="s">
        <v>749</v>
      </c>
      <c r="C846" t="s">
        <v>743</v>
      </c>
      <c r="D846">
        <v>1</v>
      </c>
    </row>
    <row r="847" spans="1:4" x14ac:dyDescent="0.25">
      <c r="A847" s="89">
        <v>46136</v>
      </c>
      <c r="B847" t="s">
        <v>807</v>
      </c>
      <c r="C847" t="s">
        <v>743</v>
      </c>
      <c r="D847">
        <v>1</v>
      </c>
    </row>
    <row r="848" spans="1:4" x14ac:dyDescent="0.25">
      <c r="A848" s="89">
        <v>46136</v>
      </c>
      <c r="B848" t="s">
        <v>819</v>
      </c>
      <c r="C848" t="s">
        <v>743</v>
      </c>
      <c r="D848">
        <v>1</v>
      </c>
    </row>
    <row r="849" spans="1:4" x14ac:dyDescent="0.25">
      <c r="A849" s="89">
        <v>46136</v>
      </c>
      <c r="B849" t="s">
        <v>813</v>
      </c>
      <c r="C849" t="s">
        <v>743</v>
      </c>
      <c r="D849">
        <v>1</v>
      </c>
    </row>
    <row r="850" spans="1:4" x14ac:dyDescent="0.25">
      <c r="A850" s="89">
        <v>46136</v>
      </c>
      <c r="B850" t="s">
        <v>742</v>
      </c>
      <c r="C850" t="s">
        <v>743</v>
      </c>
      <c r="D850">
        <v>1</v>
      </c>
    </row>
    <row r="851" spans="1:4" x14ac:dyDescent="0.25">
      <c r="A851" s="89">
        <v>46136</v>
      </c>
      <c r="B851" t="s">
        <v>827</v>
      </c>
      <c r="C851" t="s">
        <v>743</v>
      </c>
      <c r="D851">
        <v>1</v>
      </c>
    </row>
    <row r="852" spans="1:4" x14ac:dyDescent="0.25">
      <c r="A852" s="89">
        <v>46137</v>
      </c>
      <c r="B852" t="s">
        <v>827</v>
      </c>
      <c r="C852" t="s">
        <v>743</v>
      </c>
      <c r="D852">
        <v>1</v>
      </c>
    </row>
    <row r="853" spans="1:4" x14ac:dyDescent="0.25">
      <c r="A853" s="89">
        <v>46137</v>
      </c>
      <c r="B853" t="s">
        <v>742</v>
      </c>
      <c r="C853" t="s">
        <v>743</v>
      </c>
      <c r="D853">
        <v>2</v>
      </c>
    </row>
    <row r="854" spans="1:4" x14ac:dyDescent="0.25">
      <c r="A854" s="89">
        <v>46137</v>
      </c>
      <c r="B854" t="s">
        <v>738</v>
      </c>
      <c r="C854" t="s">
        <v>743</v>
      </c>
      <c r="D854">
        <v>1</v>
      </c>
    </row>
    <row r="855" spans="1:4" x14ac:dyDescent="0.25">
      <c r="A855" s="89">
        <v>46137</v>
      </c>
      <c r="B855" t="s">
        <v>923</v>
      </c>
      <c r="C855" t="s">
        <v>743</v>
      </c>
      <c r="D855">
        <v>1</v>
      </c>
    </row>
    <row r="856" spans="1:4" x14ac:dyDescent="0.25">
      <c r="A856" s="89">
        <v>46137</v>
      </c>
      <c r="B856" t="s">
        <v>924</v>
      </c>
      <c r="C856" t="s">
        <v>743</v>
      </c>
      <c r="D856">
        <v>2</v>
      </c>
    </row>
    <row r="857" spans="1:4" x14ac:dyDescent="0.25">
      <c r="A857" s="89">
        <v>46137</v>
      </c>
      <c r="B857" t="s">
        <v>711</v>
      </c>
      <c r="C857" t="s">
        <v>743</v>
      </c>
      <c r="D857">
        <v>1</v>
      </c>
    </row>
    <row r="858" spans="1:4" x14ac:dyDescent="0.25">
      <c r="A858" s="89">
        <v>46137</v>
      </c>
      <c r="B858" t="s">
        <v>749</v>
      </c>
      <c r="C858" t="s">
        <v>743</v>
      </c>
      <c r="D858">
        <v>1</v>
      </c>
    </row>
    <row r="859" spans="1:4" x14ac:dyDescent="0.25">
      <c r="A859" s="89">
        <v>46137</v>
      </c>
      <c r="B859" t="s">
        <v>774</v>
      </c>
      <c r="C859" t="s">
        <v>743</v>
      </c>
      <c r="D859">
        <v>1</v>
      </c>
    </row>
    <row r="860" spans="1:4" x14ac:dyDescent="0.25">
      <c r="A860" s="89">
        <v>46137</v>
      </c>
      <c r="B860" t="s">
        <v>783</v>
      </c>
      <c r="C860" t="s">
        <v>743</v>
      </c>
      <c r="D860">
        <v>1</v>
      </c>
    </row>
    <row r="861" spans="1:4" x14ac:dyDescent="0.25">
      <c r="A861" s="89">
        <v>46137</v>
      </c>
      <c r="B861" t="s">
        <v>922</v>
      </c>
      <c r="C861" t="s">
        <v>743</v>
      </c>
      <c r="D861">
        <v>1</v>
      </c>
    </row>
    <row r="862" spans="1:4" x14ac:dyDescent="0.25">
      <c r="A862" s="89">
        <v>46137</v>
      </c>
      <c r="B862" t="s">
        <v>760</v>
      </c>
      <c r="C862" t="s">
        <v>743</v>
      </c>
      <c r="D862">
        <v>1</v>
      </c>
    </row>
    <row r="863" spans="1:4" x14ac:dyDescent="0.25">
      <c r="A863" s="89">
        <v>46137</v>
      </c>
      <c r="B863" t="s">
        <v>924</v>
      </c>
      <c r="C863" t="s">
        <v>743</v>
      </c>
      <c r="D863">
        <v>2</v>
      </c>
    </row>
    <row r="864" spans="1:4" x14ac:dyDescent="0.25">
      <c r="A864" s="89">
        <v>46137</v>
      </c>
      <c r="B864" t="s">
        <v>925</v>
      </c>
      <c r="C864" t="s">
        <v>743</v>
      </c>
      <c r="D864">
        <v>1</v>
      </c>
    </row>
    <row r="865" spans="1:4" x14ac:dyDescent="0.25">
      <c r="A865" s="89">
        <v>46137</v>
      </c>
      <c r="B865" t="s">
        <v>711</v>
      </c>
      <c r="C865" t="s">
        <v>743</v>
      </c>
      <c r="D865">
        <v>1</v>
      </c>
    </row>
    <row r="866" spans="1:4" x14ac:dyDescent="0.25">
      <c r="A866" s="89">
        <v>46137</v>
      </c>
      <c r="B866" t="s">
        <v>840</v>
      </c>
      <c r="C866" t="s">
        <v>743</v>
      </c>
      <c r="D866">
        <v>1</v>
      </c>
    </row>
    <row r="867" spans="1:4" x14ac:dyDescent="0.25">
      <c r="A867" s="89">
        <v>46138</v>
      </c>
      <c r="B867" t="s">
        <v>920</v>
      </c>
      <c r="C867" t="s">
        <v>763</v>
      </c>
      <c r="D867">
        <v>1</v>
      </c>
    </row>
    <row r="868" spans="1:4" x14ac:dyDescent="0.25">
      <c r="A868" s="89">
        <v>46138</v>
      </c>
      <c r="B868" t="s">
        <v>922</v>
      </c>
      <c r="C868" t="s">
        <v>763</v>
      </c>
      <c r="D868">
        <v>1</v>
      </c>
    </row>
    <row r="869" spans="1:4" x14ac:dyDescent="0.25">
      <c r="A869" s="89">
        <v>46138</v>
      </c>
      <c r="B869" t="s">
        <v>742</v>
      </c>
      <c r="C869" t="s">
        <v>763</v>
      </c>
      <c r="D869">
        <v>2</v>
      </c>
    </row>
    <row r="870" spans="1:4" x14ac:dyDescent="0.25">
      <c r="A870" s="89">
        <v>46138</v>
      </c>
      <c r="B870" t="s">
        <v>746</v>
      </c>
      <c r="C870" t="s">
        <v>763</v>
      </c>
      <c r="D870">
        <v>1</v>
      </c>
    </row>
    <row r="871" spans="1:4" x14ac:dyDescent="0.25">
      <c r="A871" s="89">
        <v>46138</v>
      </c>
      <c r="B871" t="s">
        <v>711</v>
      </c>
      <c r="C871" t="s">
        <v>763</v>
      </c>
      <c r="D871">
        <v>1</v>
      </c>
    </row>
    <row r="872" spans="1:4" x14ac:dyDescent="0.25">
      <c r="A872" s="89">
        <v>46138</v>
      </c>
      <c r="B872" t="s">
        <v>749</v>
      </c>
      <c r="C872" t="s">
        <v>763</v>
      </c>
      <c r="D872">
        <v>1</v>
      </c>
    </row>
    <row r="873" spans="1:4" x14ac:dyDescent="0.25">
      <c r="A873" s="89">
        <v>46138</v>
      </c>
      <c r="B873" t="s">
        <v>774</v>
      </c>
      <c r="C873" t="s">
        <v>763</v>
      </c>
      <c r="D873">
        <v>1</v>
      </c>
    </row>
    <row r="874" spans="1:4" x14ac:dyDescent="0.25">
      <c r="A874" s="89">
        <v>46138</v>
      </c>
      <c r="B874" t="s">
        <v>783</v>
      </c>
      <c r="C874" t="s">
        <v>763</v>
      </c>
      <c r="D874">
        <v>1</v>
      </c>
    </row>
    <row r="875" spans="1:4" x14ac:dyDescent="0.25">
      <c r="A875" s="89">
        <v>46138</v>
      </c>
      <c r="B875" t="s">
        <v>827</v>
      </c>
      <c r="C875" t="s">
        <v>763</v>
      </c>
      <c r="D875">
        <v>1</v>
      </c>
    </row>
    <row r="876" spans="1:4" x14ac:dyDescent="0.25">
      <c r="A876" s="89">
        <v>46138</v>
      </c>
      <c r="B876" t="s">
        <v>924</v>
      </c>
      <c r="C876" t="s">
        <v>763</v>
      </c>
      <c r="D876">
        <v>1</v>
      </c>
    </row>
    <row r="877" spans="1:4" x14ac:dyDescent="0.25">
      <c r="A877" s="89">
        <v>46140</v>
      </c>
      <c r="B877" t="s">
        <v>926</v>
      </c>
      <c r="C877" t="s">
        <v>765</v>
      </c>
      <c r="D877">
        <v>1</v>
      </c>
    </row>
    <row r="878" spans="1:4" x14ac:dyDescent="0.25">
      <c r="A878" s="89">
        <v>46140</v>
      </c>
      <c r="B878" t="s">
        <v>813</v>
      </c>
      <c r="C878" t="s">
        <v>765</v>
      </c>
      <c r="D878">
        <v>1</v>
      </c>
    </row>
    <row r="879" spans="1:4" x14ac:dyDescent="0.25">
      <c r="A879" s="89">
        <v>46140</v>
      </c>
      <c r="B879" t="s">
        <v>746</v>
      </c>
      <c r="C879" t="s">
        <v>765</v>
      </c>
      <c r="D879">
        <v>1</v>
      </c>
    </row>
    <row r="880" spans="1:4" x14ac:dyDescent="0.25">
      <c r="A880" s="89">
        <v>46140</v>
      </c>
      <c r="B880" t="s">
        <v>783</v>
      </c>
      <c r="C880" t="s">
        <v>765</v>
      </c>
      <c r="D880">
        <v>1</v>
      </c>
    </row>
    <row r="881" spans="1:4" x14ac:dyDescent="0.25">
      <c r="A881" s="89">
        <v>46140</v>
      </c>
      <c r="B881" t="s">
        <v>807</v>
      </c>
      <c r="C881" t="s">
        <v>765</v>
      </c>
      <c r="D881">
        <v>1</v>
      </c>
    </row>
    <row r="882" spans="1:4" x14ac:dyDescent="0.25">
      <c r="A882" s="89">
        <v>46142</v>
      </c>
      <c r="B882" t="s">
        <v>922</v>
      </c>
      <c r="C882" t="s">
        <v>743</v>
      </c>
      <c r="D882">
        <v>1</v>
      </c>
    </row>
    <row r="883" spans="1:4" x14ac:dyDescent="0.25">
      <c r="A883" s="89">
        <v>46142</v>
      </c>
      <c r="B883" t="s">
        <v>742</v>
      </c>
      <c r="C883" t="s">
        <v>743</v>
      </c>
      <c r="D883">
        <v>1</v>
      </c>
    </row>
    <row r="884" spans="1:4" x14ac:dyDescent="0.25">
      <c r="A884" s="89">
        <v>46142</v>
      </c>
      <c r="B884" t="s">
        <v>927</v>
      </c>
      <c r="C884" t="s">
        <v>743</v>
      </c>
      <c r="D884">
        <v>1</v>
      </c>
    </row>
    <row r="885" spans="1:4" x14ac:dyDescent="0.25">
      <c r="A885" s="89">
        <v>46142</v>
      </c>
      <c r="B885" t="s">
        <v>817</v>
      </c>
      <c r="C885" t="s">
        <v>743</v>
      </c>
      <c r="D885">
        <v>1</v>
      </c>
    </row>
    <row r="886" spans="1:4" x14ac:dyDescent="0.25">
      <c r="A886" s="89">
        <v>46142</v>
      </c>
      <c r="B886" t="s">
        <v>928</v>
      </c>
      <c r="C886" t="s">
        <v>743</v>
      </c>
      <c r="D886">
        <v>1</v>
      </c>
    </row>
    <row r="887" spans="1:4" x14ac:dyDescent="0.25">
      <c r="A887" s="89">
        <v>46142</v>
      </c>
      <c r="B887" t="s">
        <v>929</v>
      </c>
      <c r="C887" t="s">
        <v>743</v>
      </c>
      <c r="D887">
        <v>1</v>
      </c>
    </row>
    <row r="888" spans="1:4" x14ac:dyDescent="0.25">
      <c r="A888" s="89">
        <v>46143</v>
      </c>
      <c r="B888" t="s">
        <v>827</v>
      </c>
      <c r="C888" t="s">
        <v>743</v>
      </c>
      <c r="D888">
        <v>1</v>
      </c>
    </row>
    <row r="889" spans="1:4" x14ac:dyDescent="0.25">
      <c r="A889" s="89">
        <v>46143</v>
      </c>
      <c r="B889" t="s">
        <v>930</v>
      </c>
      <c r="C889" t="s">
        <v>743</v>
      </c>
      <c r="D889">
        <v>1</v>
      </c>
    </row>
    <row r="890" spans="1:4" x14ac:dyDescent="0.25">
      <c r="A890" s="89">
        <v>46143</v>
      </c>
      <c r="B890" t="s">
        <v>742</v>
      </c>
      <c r="C890" t="s">
        <v>743</v>
      </c>
      <c r="D890">
        <v>2</v>
      </c>
    </row>
    <row r="891" spans="1:4" x14ac:dyDescent="0.25">
      <c r="A891" s="89">
        <v>46143</v>
      </c>
      <c r="B891" t="s">
        <v>841</v>
      </c>
      <c r="C891" t="s">
        <v>743</v>
      </c>
      <c r="D891">
        <v>1</v>
      </c>
    </row>
    <row r="892" spans="1:4" x14ac:dyDescent="0.25">
      <c r="A892" s="89">
        <v>46143</v>
      </c>
      <c r="B892" t="s">
        <v>747</v>
      </c>
      <c r="C892" t="s">
        <v>743</v>
      </c>
      <c r="D892">
        <v>1</v>
      </c>
    </row>
    <row r="893" spans="1:4" x14ac:dyDescent="0.25">
      <c r="A893" s="89">
        <v>46143</v>
      </c>
      <c r="B893" t="s">
        <v>711</v>
      </c>
      <c r="C893" t="s">
        <v>743</v>
      </c>
      <c r="D893">
        <v>1</v>
      </c>
    </row>
    <row r="894" spans="1:4" x14ac:dyDescent="0.25">
      <c r="A894" s="89">
        <v>46143</v>
      </c>
      <c r="B894" t="s">
        <v>749</v>
      </c>
      <c r="C894" t="s">
        <v>743</v>
      </c>
      <c r="D894">
        <v>1</v>
      </c>
    </row>
    <row r="895" spans="1:4" x14ac:dyDescent="0.25">
      <c r="A895" s="89">
        <v>46143</v>
      </c>
      <c r="B895" t="s">
        <v>774</v>
      </c>
      <c r="C895" t="s">
        <v>743</v>
      </c>
      <c r="D895">
        <v>1</v>
      </c>
    </row>
    <row r="896" spans="1:4" x14ac:dyDescent="0.25">
      <c r="A896" s="89">
        <v>46143</v>
      </c>
      <c r="B896" t="s">
        <v>783</v>
      </c>
      <c r="C896" t="s">
        <v>743</v>
      </c>
      <c r="D896">
        <v>1</v>
      </c>
    </row>
    <row r="897" spans="1:4" x14ac:dyDescent="0.25">
      <c r="A897" s="89">
        <v>46143</v>
      </c>
      <c r="B897" t="s">
        <v>929</v>
      </c>
      <c r="C897" t="s">
        <v>743</v>
      </c>
      <c r="D897">
        <v>1</v>
      </c>
    </row>
    <row r="898" spans="1:4" x14ac:dyDescent="0.25">
      <c r="A898" s="89">
        <v>46143</v>
      </c>
      <c r="B898" t="s">
        <v>760</v>
      </c>
      <c r="C898" t="s">
        <v>743</v>
      </c>
      <c r="D898">
        <v>1</v>
      </c>
    </row>
    <row r="899" spans="1:4" x14ac:dyDescent="0.25">
      <c r="A899" s="89">
        <v>46143</v>
      </c>
      <c r="B899" t="s">
        <v>751</v>
      </c>
      <c r="C899" t="s">
        <v>743</v>
      </c>
      <c r="D899">
        <v>1</v>
      </c>
    </row>
    <row r="900" spans="1:4" x14ac:dyDescent="0.25">
      <c r="A900" s="89">
        <v>46143</v>
      </c>
      <c r="B900" t="s">
        <v>927</v>
      </c>
      <c r="C900" t="s">
        <v>743</v>
      </c>
      <c r="D900">
        <v>1</v>
      </c>
    </row>
    <row r="901" spans="1:4" x14ac:dyDescent="0.25">
      <c r="A901" s="89">
        <v>46143</v>
      </c>
      <c r="B901" t="s">
        <v>882</v>
      </c>
      <c r="C901" t="s">
        <v>743</v>
      </c>
      <c r="D901">
        <v>1</v>
      </c>
    </row>
    <row r="902" spans="1:4" x14ac:dyDescent="0.25">
      <c r="A902" s="89">
        <v>46143</v>
      </c>
      <c r="B902" t="s">
        <v>928</v>
      </c>
      <c r="C902" t="s">
        <v>743</v>
      </c>
      <c r="D902">
        <v>1</v>
      </c>
    </row>
    <row r="903" spans="1:4" x14ac:dyDescent="0.25">
      <c r="A903" s="89">
        <v>46144</v>
      </c>
      <c r="B903" t="s">
        <v>742</v>
      </c>
      <c r="C903" t="s">
        <v>743</v>
      </c>
      <c r="D903">
        <v>2</v>
      </c>
    </row>
    <row r="904" spans="1:4" x14ac:dyDescent="0.25">
      <c r="A904" s="89">
        <v>46144</v>
      </c>
      <c r="B904" t="s">
        <v>910</v>
      </c>
      <c r="C904" t="s">
        <v>743</v>
      </c>
      <c r="D904">
        <v>1</v>
      </c>
    </row>
    <row r="905" spans="1:4" x14ac:dyDescent="0.25">
      <c r="A905" s="89">
        <v>46144</v>
      </c>
      <c r="B905" t="s">
        <v>747</v>
      </c>
      <c r="C905" t="s">
        <v>743</v>
      </c>
      <c r="D905">
        <v>1</v>
      </c>
    </row>
    <row r="906" spans="1:4" x14ac:dyDescent="0.25">
      <c r="A906" s="89">
        <v>46144</v>
      </c>
      <c r="B906" t="s">
        <v>746</v>
      </c>
      <c r="C906" t="s">
        <v>743</v>
      </c>
      <c r="D906">
        <v>1</v>
      </c>
    </row>
    <row r="907" spans="1:4" x14ac:dyDescent="0.25">
      <c r="A907" s="89">
        <v>46144</v>
      </c>
      <c r="B907" t="s">
        <v>927</v>
      </c>
      <c r="C907" t="s">
        <v>743</v>
      </c>
      <c r="D907">
        <v>1</v>
      </c>
    </row>
    <row r="908" spans="1:4" x14ac:dyDescent="0.25">
      <c r="A908" s="89">
        <v>46144</v>
      </c>
      <c r="B908" t="s">
        <v>882</v>
      </c>
      <c r="C908" t="s">
        <v>743</v>
      </c>
      <c r="D908">
        <v>1</v>
      </c>
    </row>
    <row r="909" spans="1:4" x14ac:dyDescent="0.25">
      <c r="A909" s="89">
        <v>46144</v>
      </c>
      <c r="B909" t="s">
        <v>931</v>
      </c>
      <c r="C909" t="s">
        <v>743</v>
      </c>
      <c r="D909">
        <v>1</v>
      </c>
    </row>
    <row r="910" spans="1:4" x14ac:dyDescent="0.25">
      <c r="A910" s="89">
        <v>46144</v>
      </c>
      <c r="B910" t="s">
        <v>749</v>
      </c>
      <c r="C910" t="s">
        <v>743</v>
      </c>
      <c r="D910">
        <v>1</v>
      </c>
    </row>
    <row r="911" spans="1:4" x14ac:dyDescent="0.25">
      <c r="A911" s="89">
        <v>46144</v>
      </c>
      <c r="B911" t="s">
        <v>774</v>
      </c>
      <c r="C911" t="s">
        <v>743</v>
      </c>
      <c r="D911">
        <v>2</v>
      </c>
    </row>
    <row r="912" spans="1:4" x14ac:dyDescent="0.25">
      <c r="A912" s="89">
        <v>46144</v>
      </c>
      <c r="B912" t="s">
        <v>783</v>
      </c>
      <c r="C912" t="s">
        <v>743</v>
      </c>
      <c r="D912">
        <v>2</v>
      </c>
    </row>
    <row r="913" spans="1:4" x14ac:dyDescent="0.25">
      <c r="A913" s="89">
        <v>46144</v>
      </c>
      <c r="B913" t="s">
        <v>929</v>
      </c>
      <c r="C913" t="s">
        <v>743</v>
      </c>
      <c r="D913">
        <v>2</v>
      </c>
    </row>
    <row r="914" spans="1:4" x14ac:dyDescent="0.25">
      <c r="A914" s="89">
        <v>46144</v>
      </c>
      <c r="B914" t="s">
        <v>930</v>
      </c>
      <c r="C914" t="s">
        <v>743</v>
      </c>
      <c r="D914">
        <v>1</v>
      </c>
    </row>
    <row r="915" spans="1:4" x14ac:dyDescent="0.25">
      <c r="A915" s="89">
        <v>46144</v>
      </c>
      <c r="B915" t="s">
        <v>751</v>
      </c>
      <c r="C915" t="s">
        <v>743</v>
      </c>
      <c r="D915">
        <v>1</v>
      </c>
    </row>
    <row r="916" spans="1:4" x14ac:dyDescent="0.25">
      <c r="A916" s="89">
        <v>46144</v>
      </c>
      <c r="B916" t="s">
        <v>827</v>
      </c>
      <c r="C916" t="s">
        <v>743</v>
      </c>
      <c r="D916">
        <v>2</v>
      </c>
    </row>
    <row r="917" spans="1:4" x14ac:dyDescent="0.25">
      <c r="A917" s="89">
        <v>46144</v>
      </c>
      <c r="B917" t="s">
        <v>928</v>
      </c>
      <c r="C917" t="s">
        <v>743</v>
      </c>
      <c r="D917">
        <v>1</v>
      </c>
    </row>
    <row r="918" spans="1:4" x14ac:dyDescent="0.25">
      <c r="A918" s="89">
        <v>46144</v>
      </c>
      <c r="B918" t="s">
        <v>760</v>
      </c>
      <c r="C918" t="s">
        <v>743</v>
      </c>
      <c r="D918">
        <v>3</v>
      </c>
    </row>
    <row r="919" spans="1:4" x14ac:dyDescent="0.25">
      <c r="A919" s="89">
        <v>46145</v>
      </c>
      <c r="B919" t="s">
        <v>841</v>
      </c>
      <c r="C919" t="s">
        <v>743</v>
      </c>
      <c r="D919">
        <v>4</v>
      </c>
    </row>
    <row r="920" spans="1:4" x14ac:dyDescent="0.25">
      <c r="A920" s="89">
        <v>46145</v>
      </c>
      <c r="B920" t="s">
        <v>747</v>
      </c>
      <c r="C920" t="s">
        <v>743</v>
      </c>
      <c r="D920">
        <v>4</v>
      </c>
    </row>
    <row r="921" spans="1:4" x14ac:dyDescent="0.25">
      <c r="A921" s="89">
        <v>46145</v>
      </c>
      <c r="B921" t="s">
        <v>746</v>
      </c>
      <c r="C921" t="s">
        <v>743</v>
      </c>
      <c r="D921">
        <v>5</v>
      </c>
    </row>
    <row r="922" spans="1:4" x14ac:dyDescent="0.25">
      <c r="A922" s="89">
        <v>46145</v>
      </c>
      <c r="B922" t="s">
        <v>882</v>
      </c>
      <c r="C922" t="s">
        <v>743</v>
      </c>
      <c r="D922">
        <v>1</v>
      </c>
    </row>
    <row r="923" spans="1:4" x14ac:dyDescent="0.25">
      <c r="A923" s="89">
        <v>46145</v>
      </c>
      <c r="B923" t="s">
        <v>711</v>
      </c>
      <c r="C923" t="s">
        <v>743</v>
      </c>
      <c r="D923">
        <v>3</v>
      </c>
    </row>
    <row r="924" spans="1:4" x14ac:dyDescent="0.25">
      <c r="A924" s="89">
        <v>46145</v>
      </c>
      <c r="B924" t="s">
        <v>749</v>
      </c>
      <c r="C924" t="s">
        <v>743</v>
      </c>
      <c r="D924">
        <v>3</v>
      </c>
    </row>
    <row r="925" spans="1:4" x14ac:dyDescent="0.25">
      <c r="A925" s="89">
        <v>46145</v>
      </c>
      <c r="B925" t="s">
        <v>774</v>
      </c>
      <c r="C925" t="s">
        <v>743</v>
      </c>
      <c r="D925">
        <v>5</v>
      </c>
    </row>
    <row r="926" spans="1:4" x14ac:dyDescent="0.25">
      <c r="A926" s="89">
        <v>46145</v>
      </c>
      <c r="B926" t="s">
        <v>783</v>
      </c>
      <c r="C926" t="s">
        <v>743</v>
      </c>
      <c r="D926">
        <v>6</v>
      </c>
    </row>
    <row r="927" spans="1:4" x14ac:dyDescent="0.25">
      <c r="A927" s="89">
        <v>46145</v>
      </c>
      <c r="B927" t="s">
        <v>929</v>
      </c>
      <c r="C927" t="s">
        <v>743</v>
      </c>
      <c r="D927">
        <v>2</v>
      </c>
    </row>
    <row r="928" spans="1:4" x14ac:dyDescent="0.25">
      <c r="A928" s="89">
        <v>46145</v>
      </c>
      <c r="B928" t="s">
        <v>751</v>
      </c>
      <c r="C928" t="s">
        <v>743</v>
      </c>
      <c r="D928">
        <v>1</v>
      </c>
    </row>
    <row r="929" spans="1:4" x14ac:dyDescent="0.25">
      <c r="A929" s="89">
        <v>46145</v>
      </c>
      <c r="B929" t="s">
        <v>928</v>
      </c>
      <c r="C929" t="s">
        <v>743</v>
      </c>
      <c r="D929">
        <v>1</v>
      </c>
    </row>
    <row r="930" spans="1:4" x14ac:dyDescent="0.25">
      <c r="A930" s="89">
        <v>46145</v>
      </c>
      <c r="B930" t="s">
        <v>827</v>
      </c>
      <c r="C930" t="s">
        <v>763</v>
      </c>
      <c r="D930">
        <v>1</v>
      </c>
    </row>
    <row r="931" spans="1:4" x14ac:dyDescent="0.25">
      <c r="A931" s="89">
        <v>46145</v>
      </c>
      <c r="B931" t="s">
        <v>930</v>
      </c>
      <c r="C931" t="s">
        <v>763</v>
      </c>
      <c r="D931">
        <v>1</v>
      </c>
    </row>
    <row r="932" spans="1:4" x14ac:dyDescent="0.25">
      <c r="A932" s="89">
        <v>46145</v>
      </c>
      <c r="B932" t="s">
        <v>742</v>
      </c>
      <c r="C932" t="s">
        <v>763</v>
      </c>
      <c r="D932">
        <v>2</v>
      </c>
    </row>
    <row r="933" spans="1:4" x14ac:dyDescent="0.25">
      <c r="A933" s="89">
        <v>46149</v>
      </c>
      <c r="B933" t="s">
        <v>742</v>
      </c>
      <c r="C933" t="s">
        <v>743</v>
      </c>
      <c r="D933">
        <v>8</v>
      </c>
    </row>
    <row r="934" spans="1:4" x14ac:dyDescent="0.25">
      <c r="A934" s="89">
        <v>46149</v>
      </c>
      <c r="B934" t="s">
        <v>749</v>
      </c>
      <c r="C934" t="s">
        <v>743</v>
      </c>
      <c r="D934">
        <v>3</v>
      </c>
    </row>
    <row r="935" spans="1:4" x14ac:dyDescent="0.25">
      <c r="A935" s="89">
        <v>46149</v>
      </c>
      <c r="B935" t="s">
        <v>711</v>
      </c>
      <c r="C935" t="s">
        <v>743</v>
      </c>
      <c r="D935">
        <v>6</v>
      </c>
    </row>
    <row r="936" spans="1:4" x14ac:dyDescent="0.25">
      <c r="A936" s="89">
        <v>46149</v>
      </c>
      <c r="B936" t="s">
        <v>774</v>
      </c>
      <c r="C936" t="s">
        <v>743</v>
      </c>
      <c r="D936">
        <v>3</v>
      </c>
    </row>
    <row r="937" spans="1:4" x14ac:dyDescent="0.25">
      <c r="A937" s="89">
        <v>46149</v>
      </c>
      <c r="B937" t="s">
        <v>783</v>
      </c>
      <c r="C937" t="s">
        <v>743</v>
      </c>
      <c r="D937">
        <v>3</v>
      </c>
    </row>
    <row r="938" spans="1:4" x14ac:dyDescent="0.25">
      <c r="A938" s="89">
        <v>46149</v>
      </c>
      <c r="B938" t="s">
        <v>932</v>
      </c>
      <c r="C938" t="s">
        <v>743</v>
      </c>
      <c r="D938">
        <v>1</v>
      </c>
    </row>
    <row r="939" spans="1:4" x14ac:dyDescent="0.25">
      <c r="A939" s="89">
        <v>46149</v>
      </c>
      <c r="B939" t="s">
        <v>835</v>
      </c>
      <c r="C939" t="s">
        <v>743</v>
      </c>
      <c r="D939">
        <v>3</v>
      </c>
    </row>
    <row r="940" spans="1:4" x14ac:dyDescent="0.25">
      <c r="A940" s="89">
        <v>46149</v>
      </c>
      <c r="B940" t="s">
        <v>933</v>
      </c>
      <c r="C940" t="s">
        <v>743</v>
      </c>
      <c r="D940">
        <v>2</v>
      </c>
    </row>
    <row r="941" spans="1:4" x14ac:dyDescent="0.25">
      <c r="A941" s="89">
        <v>46149</v>
      </c>
      <c r="B941" t="s">
        <v>934</v>
      </c>
      <c r="C941" t="s">
        <v>743</v>
      </c>
      <c r="D941">
        <v>4</v>
      </c>
    </row>
    <row r="942" spans="1:4" x14ac:dyDescent="0.25">
      <c r="A942" s="89">
        <v>46149</v>
      </c>
      <c r="B942" t="s">
        <v>935</v>
      </c>
      <c r="C942" t="s">
        <v>743</v>
      </c>
      <c r="D942">
        <v>5</v>
      </c>
    </row>
    <row r="943" spans="1:4" x14ac:dyDescent="0.25">
      <c r="A943" s="89">
        <v>46149</v>
      </c>
      <c r="B943" t="s">
        <v>816</v>
      </c>
      <c r="C943" t="s">
        <v>743</v>
      </c>
      <c r="D943">
        <v>2</v>
      </c>
    </row>
    <row r="944" spans="1:4" x14ac:dyDescent="0.25">
      <c r="A944" s="89">
        <v>46150</v>
      </c>
      <c r="B944" t="s">
        <v>936</v>
      </c>
      <c r="C944" t="s">
        <v>743</v>
      </c>
      <c r="D944">
        <v>3</v>
      </c>
    </row>
    <row r="945" spans="1:4" x14ac:dyDescent="0.25">
      <c r="A945" s="89">
        <v>46152</v>
      </c>
      <c r="B945" t="s">
        <v>935</v>
      </c>
      <c r="C945" t="s">
        <v>763</v>
      </c>
      <c r="D945">
        <v>2</v>
      </c>
    </row>
    <row r="946" spans="1:4" x14ac:dyDescent="0.25">
      <c r="A946" s="89">
        <v>46152</v>
      </c>
      <c r="B946" t="s">
        <v>937</v>
      </c>
      <c r="C946" t="s">
        <v>763</v>
      </c>
      <c r="D946">
        <v>1</v>
      </c>
    </row>
    <row r="947" spans="1:4" x14ac:dyDescent="0.25">
      <c r="A947" s="89">
        <v>46153</v>
      </c>
      <c r="B947" t="s">
        <v>938</v>
      </c>
      <c r="C947" t="s">
        <v>763</v>
      </c>
      <c r="D947">
        <v>1</v>
      </c>
    </row>
    <row r="948" spans="1:4" x14ac:dyDescent="0.25">
      <c r="A948" s="89">
        <v>46153</v>
      </c>
      <c r="B948" t="s">
        <v>937</v>
      </c>
      <c r="C948" t="s">
        <v>763</v>
      </c>
      <c r="D948">
        <v>1</v>
      </c>
    </row>
    <row r="949" spans="1:4" x14ac:dyDescent="0.25">
      <c r="A949" s="89">
        <v>46153</v>
      </c>
      <c r="B949" t="s">
        <v>935</v>
      </c>
      <c r="C949" t="s">
        <v>763</v>
      </c>
      <c r="D949">
        <v>1</v>
      </c>
    </row>
    <row r="950" spans="1:4" x14ac:dyDescent="0.25">
      <c r="A950" s="89">
        <v>46153</v>
      </c>
      <c r="B950" t="s">
        <v>933</v>
      </c>
      <c r="C950" t="s">
        <v>763</v>
      </c>
      <c r="D950">
        <v>1</v>
      </c>
    </row>
    <row r="951" spans="1:4" x14ac:dyDescent="0.25">
      <c r="A951" s="89">
        <v>46153</v>
      </c>
      <c r="B951" t="s">
        <v>841</v>
      </c>
      <c r="C951" t="s">
        <v>763</v>
      </c>
      <c r="D951">
        <v>1</v>
      </c>
    </row>
    <row r="952" spans="1:4" x14ac:dyDescent="0.25">
      <c r="A952" s="89">
        <v>46153</v>
      </c>
      <c r="B952" t="s">
        <v>742</v>
      </c>
      <c r="C952" t="s">
        <v>763</v>
      </c>
      <c r="D952">
        <v>1</v>
      </c>
    </row>
    <row r="953" spans="1:4" x14ac:dyDescent="0.25">
      <c r="A953" s="89">
        <v>46153</v>
      </c>
      <c r="B953" t="s">
        <v>747</v>
      </c>
      <c r="C953" t="s">
        <v>763</v>
      </c>
      <c r="D953">
        <v>1</v>
      </c>
    </row>
    <row r="954" spans="1:4" x14ac:dyDescent="0.25">
      <c r="A954" s="89">
        <v>46153</v>
      </c>
      <c r="B954" t="s">
        <v>746</v>
      </c>
      <c r="C954" t="s">
        <v>763</v>
      </c>
      <c r="D954">
        <v>1</v>
      </c>
    </row>
    <row r="955" spans="1:4" x14ac:dyDescent="0.25">
      <c r="A955" s="89">
        <v>46153</v>
      </c>
      <c r="B955" t="s">
        <v>931</v>
      </c>
      <c r="C955" t="s">
        <v>763</v>
      </c>
      <c r="D955">
        <v>1</v>
      </c>
    </row>
    <row r="956" spans="1:4" x14ac:dyDescent="0.25">
      <c r="A956" s="89">
        <v>46153</v>
      </c>
      <c r="B956" t="s">
        <v>774</v>
      </c>
      <c r="C956" t="s">
        <v>763</v>
      </c>
      <c r="D956">
        <v>1</v>
      </c>
    </row>
    <row r="957" spans="1:4" x14ac:dyDescent="0.25">
      <c r="A957" s="89">
        <v>46153</v>
      </c>
      <c r="B957" t="s">
        <v>783</v>
      </c>
      <c r="C957" t="s">
        <v>763</v>
      </c>
      <c r="D957">
        <v>1</v>
      </c>
    </row>
    <row r="958" spans="1:4" x14ac:dyDescent="0.25">
      <c r="A958" s="89">
        <v>46156</v>
      </c>
      <c r="B958" t="s">
        <v>939</v>
      </c>
      <c r="C958" t="s">
        <v>743</v>
      </c>
      <c r="D958">
        <v>1</v>
      </c>
    </row>
    <row r="959" spans="1:4" x14ac:dyDescent="0.25">
      <c r="A959" s="89">
        <v>46156</v>
      </c>
      <c r="B959" t="s">
        <v>940</v>
      </c>
      <c r="C959" t="s">
        <v>743</v>
      </c>
      <c r="D959">
        <v>3</v>
      </c>
    </row>
    <row r="960" spans="1:4" x14ac:dyDescent="0.25">
      <c r="A960" s="89">
        <v>46156</v>
      </c>
      <c r="B960" t="s">
        <v>941</v>
      </c>
      <c r="C960" t="s">
        <v>743</v>
      </c>
      <c r="D960">
        <v>1</v>
      </c>
    </row>
    <row r="961" spans="1:4" x14ac:dyDescent="0.25">
      <c r="A961" s="89">
        <v>46156</v>
      </c>
      <c r="B961" t="s">
        <v>752</v>
      </c>
      <c r="C961" t="s">
        <v>743</v>
      </c>
      <c r="D961">
        <v>3</v>
      </c>
    </row>
    <row r="962" spans="1:4" x14ac:dyDescent="0.25">
      <c r="A962" s="89">
        <v>46157</v>
      </c>
      <c r="B962" t="s">
        <v>827</v>
      </c>
      <c r="C962" t="s">
        <v>763</v>
      </c>
      <c r="D962">
        <v>1</v>
      </c>
    </row>
    <row r="963" spans="1:4" x14ac:dyDescent="0.25">
      <c r="A963" s="89">
        <v>46157</v>
      </c>
      <c r="B963" t="s">
        <v>751</v>
      </c>
      <c r="C963" t="s">
        <v>763</v>
      </c>
      <c r="D963">
        <v>1</v>
      </c>
    </row>
    <row r="964" spans="1:4" x14ac:dyDescent="0.25">
      <c r="A964" s="89">
        <v>46157</v>
      </c>
      <c r="B964" t="s">
        <v>738</v>
      </c>
      <c r="C964" t="s">
        <v>763</v>
      </c>
      <c r="D964">
        <v>1</v>
      </c>
    </row>
    <row r="965" spans="1:4" x14ac:dyDescent="0.25">
      <c r="A965" s="89">
        <v>46157</v>
      </c>
      <c r="B965" t="s">
        <v>742</v>
      </c>
      <c r="C965" t="s">
        <v>763</v>
      </c>
      <c r="D965">
        <v>1</v>
      </c>
    </row>
    <row r="966" spans="1:4" x14ac:dyDescent="0.25">
      <c r="A966" s="89">
        <v>46157</v>
      </c>
      <c r="B966" t="s">
        <v>746</v>
      </c>
      <c r="C966" t="s">
        <v>763</v>
      </c>
      <c r="D966">
        <v>2</v>
      </c>
    </row>
    <row r="967" spans="1:4" x14ac:dyDescent="0.25">
      <c r="A967" s="89">
        <v>46157</v>
      </c>
      <c r="B967" t="s">
        <v>711</v>
      </c>
      <c r="C967" t="s">
        <v>763</v>
      </c>
      <c r="D967">
        <v>1</v>
      </c>
    </row>
    <row r="968" spans="1:4" x14ac:dyDescent="0.25">
      <c r="A968" s="89">
        <v>46157</v>
      </c>
      <c r="B968" t="s">
        <v>749</v>
      </c>
      <c r="C968" t="s">
        <v>763</v>
      </c>
      <c r="D968">
        <v>2</v>
      </c>
    </row>
    <row r="969" spans="1:4" x14ac:dyDescent="0.25">
      <c r="A969" s="89">
        <v>46157</v>
      </c>
      <c r="B969" t="s">
        <v>774</v>
      </c>
      <c r="C969" t="s">
        <v>763</v>
      </c>
      <c r="D969">
        <v>1</v>
      </c>
    </row>
    <row r="970" spans="1:4" x14ac:dyDescent="0.25">
      <c r="A970" s="89">
        <v>46157</v>
      </c>
      <c r="B970" t="s">
        <v>783</v>
      </c>
      <c r="C970" t="s">
        <v>763</v>
      </c>
      <c r="D970">
        <v>1</v>
      </c>
    </row>
    <row r="971" spans="1:4" x14ac:dyDescent="0.25">
      <c r="A971" s="89">
        <v>46157</v>
      </c>
      <c r="B971" t="s">
        <v>942</v>
      </c>
      <c r="C971" t="s">
        <v>763</v>
      </c>
      <c r="D971">
        <v>1</v>
      </c>
    </row>
    <row r="972" spans="1:4" x14ac:dyDescent="0.25">
      <c r="A972" s="89">
        <v>46157</v>
      </c>
      <c r="B972" t="s">
        <v>940</v>
      </c>
      <c r="C972" t="s">
        <v>763</v>
      </c>
      <c r="D972">
        <v>1</v>
      </c>
    </row>
    <row r="973" spans="1:4" x14ac:dyDescent="0.25">
      <c r="A973" s="89">
        <v>46157</v>
      </c>
      <c r="B973" t="s">
        <v>941</v>
      </c>
      <c r="C973" t="s">
        <v>763</v>
      </c>
      <c r="D973">
        <v>2</v>
      </c>
    </row>
    <row r="974" spans="1:4" x14ac:dyDescent="0.25">
      <c r="A974" s="89">
        <v>46157</v>
      </c>
      <c r="B974" t="s">
        <v>752</v>
      </c>
      <c r="C974" t="s">
        <v>763</v>
      </c>
      <c r="D974">
        <v>1</v>
      </c>
    </row>
    <row r="975" spans="1:4" x14ac:dyDescent="0.25">
      <c r="A975" s="89">
        <v>46161</v>
      </c>
      <c r="B975" t="s">
        <v>943</v>
      </c>
      <c r="C975" t="s">
        <v>743</v>
      </c>
      <c r="D975">
        <v>1</v>
      </c>
    </row>
    <row r="976" spans="1:4" x14ac:dyDescent="0.25">
      <c r="A976" s="89">
        <v>46162</v>
      </c>
      <c r="B976" t="s">
        <v>774</v>
      </c>
      <c r="C976" t="s">
        <v>765</v>
      </c>
      <c r="D976">
        <v>1</v>
      </c>
    </row>
    <row r="977" spans="1:4" x14ac:dyDescent="0.25">
      <c r="A977" s="89">
        <v>46162</v>
      </c>
      <c r="B977" t="s">
        <v>783</v>
      </c>
      <c r="C977" t="s">
        <v>765</v>
      </c>
      <c r="D977">
        <v>1</v>
      </c>
    </row>
    <row r="978" spans="1:4" x14ac:dyDescent="0.25">
      <c r="A978" s="89">
        <v>46162</v>
      </c>
      <c r="B978" t="s">
        <v>827</v>
      </c>
      <c r="C978" t="s">
        <v>765</v>
      </c>
      <c r="D978">
        <v>1</v>
      </c>
    </row>
    <row r="979" spans="1:4" x14ac:dyDescent="0.25">
      <c r="A979" s="89">
        <v>46162</v>
      </c>
      <c r="B979" t="s">
        <v>760</v>
      </c>
      <c r="C979" t="s">
        <v>765</v>
      </c>
      <c r="D979">
        <v>1</v>
      </c>
    </row>
    <row r="980" spans="1:4" x14ac:dyDescent="0.25">
      <c r="A980" s="89">
        <v>46163</v>
      </c>
      <c r="B980" t="s">
        <v>742</v>
      </c>
      <c r="C980" t="s">
        <v>743</v>
      </c>
      <c r="D980">
        <v>1</v>
      </c>
    </row>
    <row r="981" spans="1:4" x14ac:dyDescent="0.25">
      <c r="A981" s="89">
        <v>46163</v>
      </c>
      <c r="B981" t="s">
        <v>899</v>
      </c>
      <c r="C981" t="s">
        <v>743</v>
      </c>
      <c r="D981">
        <v>1</v>
      </c>
    </row>
    <row r="982" spans="1:4" x14ac:dyDescent="0.25">
      <c r="A982" s="89">
        <v>46163</v>
      </c>
      <c r="B982" t="s">
        <v>944</v>
      </c>
      <c r="C982" t="s">
        <v>743</v>
      </c>
      <c r="D982">
        <v>1</v>
      </c>
    </row>
    <row r="983" spans="1:4" x14ac:dyDescent="0.25">
      <c r="A983" s="89">
        <v>46163</v>
      </c>
      <c r="B983" t="s">
        <v>945</v>
      </c>
      <c r="C983" t="s">
        <v>743</v>
      </c>
      <c r="D983">
        <v>1</v>
      </c>
    </row>
    <row r="984" spans="1:4" x14ac:dyDescent="0.25">
      <c r="A984" s="89">
        <v>46163</v>
      </c>
      <c r="B984" t="s">
        <v>946</v>
      </c>
      <c r="C984" t="s">
        <v>743</v>
      </c>
      <c r="D984">
        <v>1</v>
      </c>
    </row>
    <row r="985" spans="1:4" x14ac:dyDescent="0.25">
      <c r="A985" s="89">
        <v>46163</v>
      </c>
      <c r="B985" t="s">
        <v>827</v>
      </c>
      <c r="C985" t="s">
        <v>743</v>
      </c>
      <c r="D985">
        <v>1</v>
      </c>
    </row>
    <row r="986" spans="1:4" x14ac:dyDescent="0.25">
      <c r="A986" s="89">
        <v>46163</v>
      </c>
      <c r="B986" t="s">
        <v>835</v>
      </c>
      <c r="C986" t="s">
        <v>743</v>
      </c>
      <c r="D986">
        <v>1</v>
      </c>
    </row>
    <row r="987" spans="1:4" x14ac:dyDescent="0.25">
      <c r="A987" s="89">
        <v>46164</v>
      </c>
      <c r="B987" t="s">
        <v>738</v>
      </c>
      <c r="C987" t="s">
        <v>743</v>
      </c>
      <c r="D987">
        <v>1</v>
      </c>
    </row>
    <row r="988" spans="1:4" x14ac:dyDescent="0.25">
      <c r="A988" s="89">
        <v>46164</v>
      </c>
      <c r="B988" t="s">
        <v>742</v>
      </c>
      <c r="C988" t="s">
        <v>743</v>
      </c>
      <c r="D988">
        <v>1</v>
      </c>
    </row>
    <row r="989" spans="1:4" x14ac:dyDescent="0.25">
      <c r="A989" s="89">
        <v>46164</v>
      </c>
      <c r="B989" t="s">
        <v>747</v>
      </c>
      <c r="C989" t="s">
        <v>743</v>
      </c>
      <c r="D989">
        <v>1</v>
      </c>
    </row>
    <row r="990" spans="1:4" x14ac:dyDescent="0.25">
      <c r="A990" s="89">
        <v>46164</v>
      </c>
      <c r="B990" t="s">
        <v>746</v>
      </c>
      <c r="C990" t="s">
        <v>743</v>
      </c>
      <c r="D990">
        <v>1</v>
      </c>
    </row>
    <row r="991" spans="1:4" x14ac:dyDescent="0.25">
      <c r="A991" s="89">
        <v>46164</v>
      </c>
      <c r="B991" t="s">
        <v>711</v>
      </c>
      <c r="C991" t="s">
        <v>743</v>
      </c>
      <c r="D991">
        <v>1</v>
      </c>
    </row>
    <row r="992" spans="1:4" x14ac:dyDescent="0.25">
      <c r="A992" s="89">
        <v>46164</v>
      </c>
      <c r="B992" t="s">
        <v>749</v>
      </c>
      <c r="C992" t="s">
        <v>743</v>
      </c>
      <c r="D992">
        <v>1</v>
      </c>
    </row>
    <row r="993" spans="1:4" x14ac:dyDescent="0.25">
      <c r="A993" s="89">
        <v>46164</v>
      </c>
      <c r="B993" t="s">
        <v>774</v>
      </c>
      <c r="C993" t="s">
        <v>743</v>
      </c>
      <c r="D993">
        <v>1</v>
      </c>
    </row>
    <row r="994" spans="1:4" x14ac:dyDescent="0.25">
      <c r="A994" s="89">
        <v>46164</v>
      </c>
      <c r="B994" t="s">
        <v>783</v>
      </c>
      <c r="C994" t="s">
        <v>743</v>
      </c>
      <c r="D994">
        <v>1</v>
      </c>
    </row>
    <row r="995" spans="1:4" x14ac:dyDescent="0.25">
      <c r="A995" s="89">
        <v>46164</v>
      </c>
      <c r="B995" t="s">
        <v>947</v>
      </c>
      <c r="C995" t="s">
        <v>743</v>
      </c>
      <c r="D995">
        <v>2</v>
      </c>
    </row>
    <row r="996" spans="1:4" x14ac:dyDescent="0.25">
      <c r="A996" s="89">
        <v>46164</v>
      </c>
      <c r="B996" t="s">
        <v>899</v>
      </c>
      <c r="C996" t="s">
        <v>743</v>
      </c>
      <c r="D996">
        <v>1</v>
      </c>
    </row>
    <row r="997" spans="1:4" x14ac:dyDescent="0.25">
      <c r="A997" s="89">
        <v>46164</v>
      </c>
      <c r="B997" t="s">
        <v>944</v>
      </c>
      <c r="C997" t="s">
        <v>743</v>
      </c>
      <c r="D997">
        <v>1</v>
      </c>
    </row>
    <row r="998" spans="1:4" x14ac:dyDescent="0.25">
      <c r="A998" s="89">
        <v>46164</v>
      </c>
      <c r="B998" t="s">
        <v>948</v>
      </c>
      <c r="C998" t="s">
        <v>743</v>
      </c>
      <c r="D998">
        <v>1</v>
      </c>
    </row>
    <row r="999" spans="1:4" x14ac:dyDescent="0.25">
      <c r="A999" s="89">
        <v>46165</v>
      </c>
      <c r="B999" t="s">
        <v>899</v>
      </c>
      <c r="C999" t="s">
        <v>743</v>
      </c>
      <c r="D999">
        <v>1</v>
      </c>
    </row>
    <row r="1000" spans="1:4" x14ac:dyDescent="0.25">
      <c r="A1000" s="89">
        <v>46165</v>
      </c>
      <c r="B1000" t="s">
        <v>711</v>
      </c>
      <c r="C1000" t="s">
        <v>743</v>
      </c>
      <c r="D1000">
        <v>1</v>
      </c>
    </row>
    <row r="1001" spans="1:4" x14ac:dyDescent="0.25">
      <c r="A1001" s="89">
        <v>46165</v>
      </c>
      <c r="B1001" t="s">
        <v>774</v>
      </c>
      <c r="C1001" t="s">
        <v>743</v>
      </c>
      <c r="D1001">
        <v>1</v>
      </c>
    </row>
    <row r="1002" spans="1:4" x14ac:dyDescent="0.25">
      <c r="A1002" s="89">
        <v>46165</v>
      </c>
      <c r="B1002" t="s">
        <v>783</v>
      </c>
      <c r="C1002" t="s">
        <v>743</v>
      </c>
      <c r="D1002">
        <v>1</v>
      </c>
    </row>
    <row r="1003" spans="1:4" x14ac:dyDescent="0.25">
      <c r="A1003" s="89">
        <v>46165</v>
      </c>
      <c r="B1003" t="s">
        <v>772</v>
      </c>
      <c r="C1003" t="s">
        <v>743</v>
      </c>
      <c r="D1003">
        <v>1</v>
      </c>
    </row>
    <row r="1004" spans="1:4" x14ac:dyDescent="0.25">
      <c r="A1004" s="89">
        <v>46165</v>
      </c>
      <c r="B1004" t="s">
        <v>742</v>
      </c>
      <c r="C1004" t="s">
        <v>743</v>
      </c>
      <c r="D1004">
        <v>1</v>
      </c>
    </row>
    <row r="1005" spans="1:4" x14ac:dyDescent="0.25">
      <c r="A1005" s="89">
        <v>46165</v>
      </c>
      <c r="B1005" t="s">
        <v>944</v>
      </c>
      <c r="C1005" t="s">
        <v>743</v>
      </c>
      <c r="D1005">
        <v>1</v>
      </c>
    </row>
    <row r="1006" spans="1:4" x14ac:dyDescent="0.25">
      <c r="A1006" s="89">
        <v>46165</v>
      </c>
      <c r="B1006" t="s">
        <v>945</v>
      </c>
      <c r="C1006" t="s">
        <v>743</v>
      </c>
      <c r="D1006">
        <v>1</v>
      </c>
    </row>
    <row r="1007" spans="1:4" x14ac:dyDescent="0.25">
      <c r="A1007" s="89">
        <v>46165</v>
      </c>
      <c r="B1007" t="s">
        <v>947</v>
      </c>
      <c r="C1007" t="s">
        <v>743</v>
      </c>
      <c r="D1007">
        <v>1</v>
      </c>
    </row>
    <row r="1008" spans="1:4" x14ac:dyDescent="0.25">
      <c r="A1008" s="89">
        <v>46166</v>
      </c>
      <c r="B1008" t="s">
        <v>746</v>
      </c>
      <c r="C1008" t="s">
        <v>765</v>
      </c>
      <c r="D1008">
        <v>1</v>
      </c>
    </row>
    <row r="1009" spans="1:4" x14ac:dyDescent="0.25">
      <c r="A1009" s="89">
        <v>46166</v>
      </c>
      <c r="B1009" t="s">
        <v>807</v>
      </c>
      <c r="C1009" t="s">
        <v>765</v>
      </c>
      <c r="D1009">
        <v>1</v>
      </c>
    </row>
    <row r="1010" spans="1:4" x14ac:dyDescent="0.25">
      <c r="A1010" s="89">
        <v>46166</v>
      </c>
      <c r="B1010" t="s">
        <v>774</v>
      </c>
      <c r="C1010" t="s">
        <v>765</v>
      </c>
      <c r="D1010">
        <v>1</v>
      </c>
    </row>
    <row r="1011" spans="1:4" x14ac:dyDescent="0.25">
      <c r="A1011" s="89">
        <v>46166</v>
      </c>
      <c r="B1011" t="s">
        <v>783</v>
      </c>
      <c r="C1011" t="s">
        <v>765</v>
      </c>
      <c r="D1011">
        <v>1</v>
      </c>
    </row>
    <row r="1012" spans="1:4" x14ac:dyDescent="0.25">
      <c r="A1012" s="89">
        <v>46166</v>
      </c>
      <c r="B1012" t="s">
        <v>749</v>
      </c>
      <c r="C1012" t="s">
        <v>765</v>
      </c>
      <c r="D1012">
        <v>1</v>
      </c>
    </row>
    <row r="1013" spans="1:4" x14ac:dyDescent="0.25">
      <c r="A1013" s="89">
        <v>46166</v>
      </c>
      <c r="B1013" t="s">
        <v>827</v>
      </c>
      <c r="C1013" t="s">
        <v>765</v>
      </c>
      <c r="D1013">
        <v>1</v>
      </c>
    </row>
    <row r="1014" spans="1:4" x14ac:dyDescent="0.25">
      <c r="A1014" s="89">
        <v>46166</v>
      </c>
      <c r="B1014" t="s">
        <v>826</v>
      </c>
      <c r="C1014" t="s">
        <v>765</v>
      </c>
      <c r="D1014">
        <v>1</v>
      </c>
    </row>
    <row r="1015" spans="1:4" x14ac:dyDescent="0.25">
      <c r="A1015" s="89">
        <v>46167</v>
      </c>
      <c r="B1015" t="s">
        <v>949</v>
      </c>
      <c r="C1015" t="s">
        <v>763</v>
      </c>
      <c r="D1015">
        <v>1</v>
      </c>
    </row>
    <row r="1016" spans="1:4" x14ac:dyDescent="0.25">
      <c r="A1016" s="89">
        <v>46167</v>
      </c>
      <c r="B1016" t="s">
        <v>749</v>
      </c>
      <c r="C1016" t="s">
        <v>763</v>
      </c>
      <c r="D1016">
        <v>1</v>
      </c>
    </row>
    <row r="1017" spans="1:4" x14ac:dyDescent="0.25">
      <c r="A1017" s="89">
        <v>46168</v>
      </c>
      <c r="B1017" t="s">
        <v>772</v>
      </c>
      <c r="C1017" t="s">
        <v>743</v>
      </c>
      <c r="D1017">
        <v>1</v>
      </c>
    </row>
    <row r="1018" spans="1:4" x14ac:dyDescent="0.25">
      <c r="A1018" s="89">
        <v>46170</v>
      </c>
      <c r="B1018" t="s">
        <v>746</v>
      </c>
      <c r="C1018" t="s">
        <v>765</v>
      </c>
      <c r="D1018">
        <v>1</v>
      </c>
    </row>
    <row r="1019" spans="1:4" x14ac:dyDescent="0.25">
      <c r="A1019" s="89">
        <v>46170</v>
      </c>
      <c r="B1019" t="s">
        <v>807</v>
      </c>
      <c r="C1019" t="s">
        <v>765</v>
      </c>
      <c r="D1019">
        <v>1</v>
      </c>
    </row>
    <row r="1020" spans="1:4" x14ac:dyDescent="0.25">
      <c r="A1020" s="89">
        <v>46170</v>
      </c>
      <c r="B1020" t="s">
        <v>774</v>
      </c>
      <c r="C1020" t="s">
        <v>765</v>
      </c>
      <c r="D1020">
        <v>1</v>
      </c>
    </row>
    <row r="1021" spans="1:4" x14ac:dyDescent="0.25">
      <c r="A1021" s="89">
        <v>46170</v>
      </c>
      <c r="B1021" t="s">
        <v>783</v>
      </c>
      <c r="C1021" t="s">
        <v>765</v>
      </c>
      <c r="D1021">
        <v>1</v>
      </c>
    </row>
    <row r="1022" spans="1:4" x14ac:dyDescent="0.25">
      <c r="A1022" s="89">
        <v>46170</v>
      </c>
      <c r="B1022" t="s">
        <v>760</v>
      </c>
      <c r="C1022" t="s">
        <v>765</v>
      </c>
      <c r="D1022">
        <v>1</v>
      </c>
    </row>
    <row r="1023" spans="1:4" x14ac:dyDescent="0.25">
      <c r="A1023" s="89">
        <v>46170</v>
      </c>
      <c r="B1023" t="s">
        <v>848</v>
      </c>
      <c r="C1023" t="s">
        <v>765</v>
      </c>
      <c r="D1023">
        <v>1</v>
      </c>
    </row>
    <row r="1024" spans="1:4" x14ac:dyDescent="0.25">
      <c r="A1024" s="89">
        <v>46170</v>
      </c>
      <c r="B1024" t="s">
        <v>827</v>
      </c>
      <c r="C1024" t="s">
        <v>765</v>
      </c>
      <c r="D1024">
        <v>1</v>
      </c>
    </row>
    <row r="1025" spans="1:4" x14ac:dyDescent="0.25">
      <c r="A1025" s="89">
        <v>46170</v>
      </c>
      <c r="B1025" t="s">
        <v>749</v>
      </c>
      <c r="C1025" t="s">
        <v>765</v>
      </c>
      <c r="D1025">
        <v>1</v>
      </c>
    </row>
    <row r="1026" spans="1:4" x14ac:dyDescent="0.25">
      <c r="A1026" s="89">
        <v>46171</v>
      </c>
      <c r="B1026" t="s">
        <v>775</v>
      </c>
      <c r="C1026" t="s">
        <v>743</v>
      </c>
      <c r="D1026">
        <v>2</v>
      </c>
    </row>
    <row r="1027" spans="1:4" x14ac:dyDescent="0.25">
      <c r="A1027" s="89">
        <v>46171</v>
      </c>
      <c r="B1027" t="s">
        <v>887</v>
      </c>
      <c r="C1027" t="s">
        <v>743</v>
      </c>
      <c r="D1027">
        <v>1</v>
      </c>
    </row>
    <row r="1028" spans="1:4" x14ac:dyDescent="0.25">
      <c r="A1028" s="89">
        <v>46171</v>
      </c>
      <c r="B1028" t="s">
        <v>711</v>
      </c>
      <c r="C1028" t="s">
        <v>743</v>
      </c>
      <c r="D1028">
        <v>1</v>
      </c>
    </row>
    <row r="1029" spans="1:4" x14ac:dyDescent="0.25">
      <c r="A1029" s="89">
        <v>46171</v>
      </c>
      <c r="B1029" t="s">
        <v>774</v>
      </c>
      <c r="C1029" t="s">
        <v>743</v>
      </c>
      <c r="D1029">
        <v>1</v>
      </c>
    </row>
    <row r="1030" spans="1:4" x14ac:dyDescent="0.25">
      <c r="A1030" s="89">
        <v>46171</v>
      </c>
      <c r="B1030" t="s">
        <v>783</v>
      </c>
      <c r="C1030" t="s">
        <v>743</v>
      </c>
      <c r="D1030">
        <v>1</v>
      </c>
    </row>
    <row r="1031" spans="1:4" x14ac:dyDescent="0.25">
      <c r="A1031" s="89">
        <v>46172</v>
      </c>
      <c r="B1031" t="s">
        <v>742</v>
      </c>
      <c r="C1031" t="s">
        <v>743</v>
      </c>
      <c r="D1031">
        <v>1</v>
      </c>
    </row>
    <row r="1032" spans="1:4" x14ac:dyDescent="0.25">
      <c r="A1032" s="89">
        <v>46172</v>
      </c>
      <c r="B1032" t="s">
        <v>775</v>
      </c>
      <c r="C1032" t="s">
        <v>743</v>
      </c>
      <c r="D1032">
        <v>2</v>
      </c>
    </row>
    <row r="1033" spans="1:4" x14ac:dyDescent="0.25">
      <c r="A1033" s="89">
        <v>46172</v>
      </c>
      <c r="B1033" t="s">
        <v>887</v>
      </c>
      <c r="C1033" t="s">
        <v>743</v>
      </c>
      <c r="D1033">
        <v>1</v>
      </c>
    </row>
    <row r="1034" spans="1:4" x14ac:dyDescent="0.25">
      <c r="A1034" s="89">
        <v>46172</v>
      </c>
      <c r="B1034" t="s">
        <v>711</v>
      </c>
      <c r="C1034" t="s">
        <v>743</v>
      </c>
      <c r="D1034">
        <v>1</v>
      </c>
    </row>
    <row r="1035" spans="1:4" x14ac:dyDescent="0.25">
      <c r="A1035" s="89">
        <v>46172</v>
      </c>
      <c r="B1035" t="s">
        <v>827</v>
      </c>
      <c r="C1035" t="s">
        <v>743</v>
      </c>
      <c r="D1035">
        <v>1</v>
      </c>
    </row>
    <row r="1036" spans="1:4" x14ac:dyDescent="0.25">
      <c r="A1036" s="89">
        <v>46172</v>
      </c>
      <c r="B1036" t="s">
        <v>742</v>
      </c>
      <c r="C1036" t="s">
        <v>743</v>
      </c>
      <c r="D1036">
        <v>1</v>
      </c>
    </row>
    <row r="1037" spans="1:4" x14ac:dyDescent="0.25">
      <c r="A1037" s="89">
        <v>46173</v>
      </c>
      <c r="B1037" t="s">
        <v>775</v>
      </c>
      <c r="C1037" t="s">
        <v>763</v>
      </c>
      <c r="D1037">
        <v>2</v>
      </c>
    </row>
    <row r="1038" spans="1:4" x14ac:dyDescent="0.25">
      <c r="A1038" s="89">
        <v>46173</v>
      </c>
      <c r="B1038" t="s">
        <v>950</v>
      </c>
      <c r="C1038" t="s">
        <v>763</v>
      </c>
      <c r="D1038">
        <v>1</v>
      </c>
    </row>
    <row r="1039" spans="1:4" x14ac:dyDescent="0.25">
      <c r="A1039" s="89">
        <v>46173</v>
      </c>
      <c r="B1039" t="s">
        <v>887</v>
      </c>
      <c r="C1039" t="s">
        <v>763</v>
      </c>
      <c r="D1039">
        <v>1</v>
      </c>
    </row>
    <row r="1040" spans="1:4" x14ac:dyDescent="0.25">
      <c r="A1040" s="89">
        <v>46173</v>
      </c>
      <c r="B1040" t="s">
        <v>742</v>
      </c>
      <c r="C1040" t="s">
        <v>763</v>
      </c>
      <c r="D1040">
        <v>1</v>
      </c>
    </row>
    <row r="1041" spans="1:4" x14ac:dyDescent="0.25">
      <c r="A1041" s="89">
        <v>46173</v>
      </c>
      <c r="B1041" t="s">
        <v>746</v>
      </c>
      <c r="C1041" t="s">
        <v>763</v>
      </c>
      <c r="D1041">
        <v>1</v>
      </c>
    </row>
    <row r="1042" spans="1:4" x14ac:dyDescent="0.25">
      <c r="A1042" s="89">
        <v>46173</v>
      </c>
      <c r="B1042" t="s">
        <v>711</v>
      </c>
      <c r="C1042" t="s">
        <v>763</v>
      </c>
      <c r="D1042">
        <v>1</v>
      </c>
    </row>
    <row r="1043" spans="1:4" x14ac:dyDescent="0.25">
      <c r="A1043" s="89">
        <v>46173</v>
      </c>
      <c r="B1043" t="s">
        <v>749</v>
      </c>
      <c r="C1043" t="s">
        <v>763</v>
      </c>
      <c r="D1043">
        <v>1</v>
      </c>
    </row>
    <row r="1044" spans="1:4" x14ac:dyDescent="0.25">
      <c r="A1044" s="89">
        <v>46173</v>
      </c>
      <c r="B1044" t="s">
        <v>783</v>
      </c>
      <c r="C1044" t="s">
        <v>763</v>
      </c>
      <c r="D1044">
        <v>1</v>
      </c>
    </row>
    <row r="1045" spans="1:4" x14ac:dyDescent="0.25">
      <c r="A1045" s="89">
        <v>46177</v>
      </c>
      <c r="B1045" t="s">
        <v>738</v>
      </c>
      <c r="C1045" t="s">
        <v>743</v>
      </c>
      <c r="D1045">
        <v>3</v>
      </c>
    </row>
    <row r="1046" spans="1:4" x14ac:dyDescent="0.25">
      <c r="A1046" s="89">
        <v>46177</v>
      </c>
      <c r="B1046" t="s">
        <v>951</v>
      </c>
      <c r="C1046" t="s">
        <v>743</v>
      </c>
      <c r="D1046">
        <v>2</v>
      </c>
    </row>
    <row r="1047" spans="1:4" x14ac:dyDescent="0.25">
      <c r="A1047" s="89">
        <v>46177</v>
      </c>
      <c r="B1047" t="s">
        <v>742</v>
      </c>
      <c r="C1047" t="s">
        <v>743</v>
      </c>
      <c r="D1047">
        <v>4</v>
      </c>
    </row>
    <row r="1048" spans="1:4" x14ac:dyDescent="0.25">
      <c r="A1048" s="89">
        <v>46177</v>
      </c>
      <c r="B1048" t="s">
        <v>795</v>
      </c>
      <c r="C1048" t="s">
        <v>743</v>
      </c>
      <c r="D1048">
        <v>2</v>
      </c>
    </row>
    <row r="1049" spans="1:4" x14ac:dyDescent="0.25">
      <c r="A1049" s="89">
        <v>46177</v>
      </c>
      <c r="B1049" t="s">
        <v>746</v>
      </c>
      <c r="C1049" t="s">
        <v>743</v>
      </c>
      <c r="D1049">
        <v>3</v>
      </c>
    </row>
    <row r="1050" spans="1:4" x14ac:dyDescent="0.25">
      <c r="A1050" s="89">
        <v>46177</v>
      </c>
      <c r="B1050" t="s">
        <v>881</v>
      </c>
      <c r="C1050" t="s">
        <v>743</v>
      </c>
      <c r="D1050">
        <v>4</v>
      </c>
    </row>
    <row r="1051" spans="1:4" x14ac:dyDescent="0.25">
      <c r="A1051" s="89">
        <v>46177</v>
      </c>
      <c r="B1051" t="s">
        <v>749</v>
      </c>
      <c r="C1051" t="s">
        <v>743</v>
      </c>
      <c r="D1051">
        <v>4</v>
      </c>
    </row>
    <row r="1052" spans="1:4" x14ac:dyDescent="0.25">
      <c r="A1052" s="89">
        <v>46177</v>
      </c>
      <c r="B1052" t="s">
        <v>774</v>
      </c>
      <c r="C1052" t="s">
        <v>743</v>
      </c>
      <c r="D1052">
        <v>3</v>
      </c>
    </row>
    <row r="1053" spans="1:4" x14ac:dyDescent="0.25">
      <c r="A1053" s="89">
        <v>46177</v>
      </c>
      <c r="B1053" t="s">
        <v>773</v>
      </c>
      <c r="C1053" t="s">
        <v>743</v>
      </c>
      <c r="D1053">
        <v>4</v>
      </c>
    </row>
    <row r="1054" spans="1:4" x14ac:dyDescent="0.25">
      <c r="A1054" s="89">
        <v>46177</v>
      </c>
      <c r="B1054" t="s">
        <v>783</v>
      </c>
      <c r="C1054" t="s">
        <v>743</v>
      </c>
      <c r="D1054">
        <v>5</v>
      </c>
    </row>
    <row r="1055" spans="1:4" x14ac:dyDescent="0.25">
      <c r="A1055" s="89">
        <v>46177</v>
      </c>
      <c r="B1055" t="s">
        <v>848</v>
      </c>
      <c r="C1055" t="s">
        <v>743</v>
      </c>
      <c r="D1055">
        <v>1</v>
      </c>
    </row>
    <row r="1056" spans="1:4" x14ac:dyDescent="0.25">
      <c r="A1056" s="89">
        <v>46178</v>
      </c>
      <c r="B1056" t="s">
        <v>791</v>
      </c>
      <c r="C1056" t="s">
        <v>743</v>
      </c>
      <c r="D1056">
        <v>3</v>
      </c>
    </row>
    <row r="1057" spans="1:4" x14ac:dyDescent="0.25">
      <c r="A1057" s="89">
        <v>46178</v>
      </c>
      <c r="B1057" t="s">
        <v>931</v>
      </c>
      <c r="C1057" t="s">
        <v>743</v>
      </c>
      <c r="D1057">
        <v>3</v>
      </c>
    </row>
    <row r="1058" spans="1:4" x14ac:dyDescent="0.25">
      <c r="A1058" s="89">
        <v>46178</v>
      </c>
      <c r="B1058" t="s">
        <v>760</v>
      </c>
      <c r="C1058" t="s">
        <v>743</v>
      </c>
      <c r="D1058">
        <v>2</v>
      </c>
    </row>
    <row r="1059" spans="1:4" x14ac:dyDescent="0.25">
      <c r="A1059" s="89">
        <v>46178</v>
      </c>
      <c r="B1059" t="s">
        <v>827</v>
      </c>
      <c r="C1059" t="s">
        <v>743</v>
      </c>
      <c r="D1059">
        <v>1</v>
      </c>
    </row>
    <row r="1060" spans="1:4" x14ac:dyDescent="0.25">
      <c r="A1060" s="89">
        <v>46178</v>
      </c>
      <c r="B1060" t="s">
        <v>848</v>
      </c>
      <c r="C1060" t="s">
        <v>743</v>
      </c>
      <c r="D1060">
        <v>1</v>
      </c>
    </row>
    <row r="1061" spans="1:4" x14ac:dyDescent="0.25">
      <c r="A1061" s="89">
        <v>46181</v>
      </c>
      <c r="B1061" t="s">
        <v>827</v>
      </c>
      <c r="C1061" t="s">
        <v>763</v>
      </c>
      <c r="D1061">
        <v>1</v>
      </c>
    </row>
    <row r="1062" spans="1:4" x14ac:dyDescent="0.25">
      <c r="A1062" s="89">
        <v>46181</v>
      </c>
      <c r="B1062" t="s">
        <v>952</v>
      </c>
      <c r="C1062" t="s">
        <v>763</v>
      </c>
      <c r="D1062">
        <v>1</v>
      </c>
    </row>
    <row r="1063" spans="1:4" x14ac:dyDescent="0.25">
      <c r="A1063" s="89">
        <v>46183</v>
      </c>
      <c r="B1063" t="s">
        <v>953</v>
      </c>
      <c r="C1063" t="s">
        <v>743</v>
      </c>
      <c r="D1063">
        <v>1</v>
      </c>
    </row>
    <row r="1064" spans="1:4" x14ac:dyDescent="0.25">
      <c r="A1064" s="89">
        <v>46183</v>
      </c>
      <c r="B1064" t="s">
        <v>924</v>
      </c>
      <c r="C1064" t="s">
        <v>743</v>
      </c>
      <c r="D1064">
        <v>1</v>
      </c>
    </row>
    <row r="1065" spans="1:4" x14ac:dyDescent="0.25">
      <c r="A1065" s="89">
        <v>46185</v>
      </c>
      <c r="B1065" t="s">
        <v>774</v>
      </c>
      <c r="C1065" t="s">
        <v>743</v>
      </c>
      <c r="D1065">
        <v>1</v>
      </c>
    </row>
    <row r="1066" spans="1:4" x14ac:dyDescent="0.25">
      <c r="A1066" s="89">
        <v>46185</v>
      </c>
      <c r="B1066" t="s">
        <v>894</v>
      </c>
      <c r="C1066" t="s">
        <v>743</v>
      </c>
      <c r="D1066">
        <v>1</v>
      </c>
    </row>
    <row r="1067" spans="1:4" x14ac:dyDescent="0.25">
      <c r="A1067" s="89">
        <v>46186</v>
      </c>
      <c r="B1067" t="s">
        <v>954</v>
      </c>
      <c r="C1067" t="s">
        <v>743</v>
      </c>
      <c r="D1067">
        <v>1</v>
      </c>
    </row>
    <row r="1068" spans="1:4" x14ac:dyDescent="0.25">
      <c r="A1068" s="89">
        <v>46186</v>
      </c>
      <c r="B1068" t="s">
        <v>742</v>
      </c>
      <c r="C1068" t="s">
        <v>743</v>
      </c>
      <c r="D1068">
        <v>1</v>
      </c>
    </row>
    <row r="1069" spans="1:4" x14ac:dyDescent="0.25">
      <c r="A1069" s="89">
        <v>46186</v>
      </c>
      <c r="B1069" t="s">
        <v>746</v>
      </c>
      <c r="C1069" t="s">
        <v>743</v>
      </c>
      <c r="D1069">
        <v>1</v>
      </c>
    </row>
    <row r="1070" spans="1:4" x14ac:dyDescent="0.25">
      <c r="A1070" s="89">
        <v>46186</v>
      </c>
      <c r="B1070" t="s">
        <v>711</v>
      </c>
      <c r="C1070" t="s">
        <v>743</v>
      </c>
      <c r="D1070">
        <v>1</v>
      </c>
    </row>
    <row r="1071" spans="1:4" x14ac:dyDescent="0.25">
      <c r="A1071" s="89">
        <v>46186</v>
      </c>
      <c r="B1071" t="s">
        <v>749</v>
      </c>
      <c r="C1071" t="s">
        <v>743</v>
      </c>
      <c r="D1071">
        <v>1</v>
      </c>
    </row>
    <row r="1072" spans="1:4" x14ac:dyDescent="0.25">
      <c r="A1072" s="89">
        <v>46186</v>
      </c>
      <c r="B1072" t="s">
        <v>955</v>
      </c>
      <c r="C1072" t="s">
        <v>743</v>
      </c>
      <c r="D1072">
        <v>1</v>
      </c>
    </row>
    <row r="1073" spans="1:4" x14ac:dyDescent="0.25">
      <c r="A1073" s="89">
        <v>46187</v>
      </c>
      <c r="B1073" t="s">
        <v>859</v>
      </c>
      <c r="C1073" t="s">
        <v>763</v>
      </c>
      <c r="D1073">
        <v>1</v>
      </c>
    </row>
    <row r="1074" spans="1:4" x14ac:dyDescent="0.25">
      <c r="A1074" s="89">
        <v>46187</v>
      </c>
      <c r="B1074" t="s">
        <v>751</v>
      </c>
      <c r="C1074" t="s">
        <v>763</v>
      </c>
      <c r="D1074">
        <v>1</v>
      </c>
    </row>
    <row r="1075" spans="1:4" x14ac:dyDescent="0.25">
      <c r="A1075" s="89">
        <v>46187</v>
      </c>
      <c r="B1075" t="s">
        <v>738</v>
      </c>
      <c r="C1075" t="s">
        <v>763</v>
      </c>
      <c r="D1075">
        <v>1</v>
      </c>
    </row>
    <row r="1076" spans="1:4" x14ac:dyDescent="0.25">
      <c r="A1076" s="89">
        <v>46187</v>
      </c>
      <c r="B1076" t="s">
        <v>795</v>
      </c>
      <c r="C1076" t="s">
        <v>763</v>
      </c>
      <c r="D1076">
        <v>1</v>
      </c>
    </row>
    <row r="1077" spans="1:4" x14ac:dyDescent="0.25">
      <c r="A1077" s="89">
        <v>46187</v>
      </c>
      <c r="B1077" t="s">
        <v>894</v>
      </c>
      <c r="C1077" t="s">
        <v>763</v>
      </c>
      <c r="D1077">
        <v>1</v>
      </c>
    </row>
    <row r="1078" spans="1:4" x14ac:dyDescent="0.25">
      <c r="A1078" s="89">
        <v>46188</v>
      </c>
      <c r="B1078" t="s">
        <v>956</v>
      </c>
      <c r="C1078" t="s">
        <v>743</v>
      </c>
      <c r="D1078">
        <v>1</v>
      </c>
    </row>
    <row r="1079" spans="1:4" x14ac:dyDescent="0.25">
      <c r="A1079" s="89">
        <v>46190</v>
      </c>
      <c r="B1079" t="s">
        <v>876</v>
      </c>
      <c r="C1079" t="s">
        <v>765</v>
      </c>
      <c r="D1079">
        <v>1</v>
      </c>
    </row>
    <row r="1080" spans="1:4" x14ac:dyDescent="0.25">
      <c r="A1080" s="89">
        <v>46190</v>
      </c>
      <c r="B1080" t="s">
        <v>783</v>
      </c>
      <c r="C1080" t="s">
        <v>765</v>
      </c>
      <c r="D1080">
        <v>1</v>
      </c>
    </row>
    <row r="1081" spans="1:4" x14ac:dyDescent="0.25">
      <c r="A1081" s="89">
        <v>46191</v>
      </c>
      <c r="B1081" t="s">
        <v>774</v>
      </c>
      <c r="C1081" t="s">
        <v>765</v>
      </c>
      <c r="D1081">
        <v>1</v>
      </c>
    </row>
    <row r="1082" spans="1:4" x14ac:dyDescent="0.25">
      <c r="A1082" s="89">
        <v>46191</v>
      </c>
      <c r="B1082" t="s">
        <v>957</v>
      </c>
      <c r="C1082" t="s">
        <v>765</v>
      </c>
      <c r="D1082">
        <v>1</v>
      </c>
    </row>
    <row r="1083" spans="1:4" x14ac:dyDescent="0.25">
      <c r="A1083" s="89">
        <v>46191</v>
      </c>
      <c r="B1083" t="s">
        <v>958</v>
      </c>
      <c r="C1083" t="s">
        <v>765</v>
      </c>
      <c r="D1083">
        <v>1</v>
      </c>
    </row>
    <row r="1084" spans="1:4" x14ac:dyDescent="0.25">
      <c r="A1084" s="89">
        <v>46191</v>
      </c>
      <c r="B1084" t="s">
        <v>959</v>
      </c>
      <c r="C1084" t="s">
        <v>765</v>
      </c>
      <c r="D1084">
        <v>1</v>
      </c>
    </row>
    <row r="1085" spans="1:4" x14ac:dyDescent="0.25">
      <c r="A1085" s="89">
        <v>46191</v>
      </c>
      <c r="B1085" t="s">
        <v>876</v>
      </c>
      <c r="C1085" t="s">
        <v>765</v>
      </c>
      <c r="D1085">
        <v>1</v>
      </c>
    </row>
    <row r="1086" spans="1:4" x14ac:dyDescent="0.25">
      <c r="A1086" s="89">
        <v>46192</v>
      </c>
      <c r="B1086" t="s">
        <v>783</v>
      </c>
      <c r="C1086" t="s">
        <v>765</v>
      </c>
      <c r="D1086">
        <v>1</v>
      </c>
    </row>
    <row r="1087" spans="1:4" x14ac:dyDescent="0.25">
      <c r="A1087" s="89">
        <v>46192</v>
      </c>
      <c r="B1087" t="s">
        <v>827</v>
      </c>
      <c r="C1087" t="s">
        <v>765</v>
      </c>
      <c r="D1087">
        <v>1</v>
      </c>
    </row>
    <row r="1088" spans="1:4" x14ac:dyDescent="0.25">
      <c r="A1088" s="89">
        <v>46192</v>
      </c>
      <c r="B1088" t="s">
        <v>835</v>
      </c>
      <c r="C1088" t="s">
        <v>765</v>
      </c>
      <c r="D1088">
        <v>1</v>
      </c>
    </row>
    <row r="1089" spans="1:4" x14ac:dyDescent="0.25">
      <c r="A1089" s="89">
        <v>46192</v>
      </c>
      <c r="B1089" t="s">
        <v>957</v>
      </c>
      <c r="C1089" t="s">
        <v>765</v>
      </c>
      <c r="D1089">
        <v>1</v>
      </c>
    </row>
    <row r="1090" spans="1:4" x14ac:dyDescent="0.25">
      <c r="A1090" s="89">
        <v>46192</v>
      </c>
      <c r="B1090" t="s">
        <v>958</v>
      </c>
      <c r="C1090" t="s">
        <v>765</v>
      </c>
      <c r="D1090">
        <v>1</v>
      </c>
    </row>
    <row r="1091" spans="1:4" x14ac:dyDescent="0.25">
      <c r="A1091" s="89">
        <v>46192</v>
      </c>
      <c r="B1091" t="s">
        <v>959</v>
      </c>
      <c r="C1091" t="s">
        <v>765</v>
      </c>
      <c r="D1091">
        <v>1</v>
      </c>
    </row>
    <row r="1092" spans="1:4" x14ac:dyDescent="0.25">
      <c r="A1092" s="89">
        <v>46193</v>
      </c>
      <c r="B1092" t="s">
        <v>746</v>
      </c>
      <c r="C1092" t="s">
        <v>765</v>
      </c>
      <c r="D1092">
        <v>1</v>
      </c>
    </row>
    <row r="1093" spans="1:4" x14ac:dyDescent="0.25">
      <c r="A1093" s="89">
        <v>46193</v>
      </c>
      <c r="B1093" t="s">
        <v>807</v>
      </c>
      <c r="C1093" t="s">
        <v>765</v>
      </c>
      <c r="D1093">
        <v>1</v>
      </c>
    </row>
    <row r="1094" spans="1:4" x14ac:dyDescent="0.25">
      <c r="A1094" s="89">
        <v>46193</v>
      </c>
      <c r="B1094" t="s">
        <v>749</v>
      </c>
      <c r="C1094" t="s">
        <v>765</v>
      </c>
      <c r="D1094">
        <v>1</v>
      </c>
    </row>
    <row r="1095" spans="1:4" x14ac:dyDescent="0.25">
      <c r="A1095" s="89">
        <v>46193</v>
      </c>
      <c r="B1095" t="s">
        <v>774</v>
      </c>
      <c r="C1095" t="s">
        <v>765</v>
      </c>
      <c r="D1095">
        <v>1</v>
      </c>
    </row>
    <row r="1096" spans="1:4" x14ac:dyDescent="0.25">
      <c r="A1096" s="89">
        <v>46193</v>
      </c>
      <c r="B1096" t="s">
        <v>783</v>
      </c>
      <c r="C1096" t="s">
        <v>765</v>
      </c>
      <c r="D1096">
        <v>1</v>
      </c>
    </row>
    <row r="1097" spans="1:4" x14ac:dyDescent="0.25">
      <c r="A1097" s="89">
        <v>46194</v>
      </c>
      <c r="B1097" t="s">
        <v>813</v>
      </c>
      <c r="C1097" t="s">
        <v>765</v>
      </c>
      <c r="D1097">
        <v>1</v>
      </c>
    </row>
    <row r="1098" spans="1:4" x14ac:dyDescent="0.25">
      <c r="A1098" s="89">
        <v>46194</v>
      </c>
      <c r="B1098" t="s">
        <v>957</v>
      </c>
      <c r="C1098" t="s">
        <v>765</v>
      </c>
      <c r="D1098">
        <v>1</v>
      </c>
    </row>
    <row r="1099" spans="1:4" x14ac:dyDescent="0.25">
      <c r="A1099" s="89">
        <v>46194</v>
      </c>
      <c r="B1099" t="s">
        <v>958</v>
      </c>
      <c r="C1099" t="s">
        <v>765</v>
      </c>
      <c r="D1099">
        <v>1</v>
      </c>
    </row>
    <row r="1100" spans="1:4" x14ac:dyDescent="0.25">
      <c r="A1100" s="89">
        <v>46194</v>
      </c>
      <c r="B1100" t="s">
        <v>807</v>
      </c>
      <c r="C1100" t="s">
        <v>765</v>
      </c>
      <c r="D1100">
        <v>1</v>
      </c>
    </row>
    <row r="1101" spans="1:4" x14ac:dyDescent="0.25">
      <c r="A1101" s="89">
        <v>46194</v>
      </c>
      <c r="B1101" t="s">
        <v>783</v>
      </c>
      <c r="C1101" t="s">
        <v>765</v>
      </c>
      <c r="D1101">
        <v>1</v>
      </c>
    </row>
    <row r="1102" spans="1:4" x14ac:dyDescent="0.25">
      <c r="A1102" s="89">
        <v>46194</v>
      </c>
      <c r="B1102" t="s">
        <v>760</v>
      </c>
      <c r="C1102" t="s">
        <v>765</v>
      </c>
      <c r="D1102">
        <v>1</v>
      </c>
    </row>
    <row r="1103" spans="1:4" x14ac:dyDescent="0.25">
      <c r="A1103" s="89">
        <v>46195</v>
      </c>
      <c r="B1103" t="s">
        <v>872</v>
      </c>
      <c r="C1103" t="s">
        <v>765</v>
      </c>
      <c r="D1103">
        <v>1</v>
      </c>
    </row>
    <row r="1104" spans="1:4" x14ac:dyDescent="0.25">
      <c r="A1104" s="89">
        <v>46195</v>
      </c>
      <c r="B1104" t="s">
        <v>960</v>
      </c>
      <c r="C1104" t="s">
        <v>765</v>
      </c>
      <c r="D1104">
        <v>1</v>
      </c>
    </row>
    <row r="1105" spans="1:4" x14ac:dyDescent="0.25">
      <c r="A1105" s="89">
        <v>46195</v>
      </c>
      <c r="B1105" t="s">
        <v>961</v>
      </c>
      <c r="C1105" t="s">
        <v>765</v>
      </c>
      <c r="D1105">
        <v>1</v>
      </c>
    </row>
    <row r="1106" spans="1:4" x14ac:dyDescent="0.25">
      <c r="A1106" s="89">
        <v>46195</v>
      </c>
      <c r="B1106" t="s">
        <v>962</v>
      </c>
      <c r="C1106" t="s">
        <v>765</v>
      </c>
      <c r="D1106">
        <v>1</v>
      </c>
    </row>
    <row r="1107" spans="1:4" x14ac:dyDescent="0.25">
      <c r="A1107" s="89">
        <v>46196</v>
      </c>
      <c r="B1107" t="s">
        <v>742</v>
      </c>
      <c r="C1107" t="s">
        <v>765</v>
      </c>
      <c r="D1107">
        <v>1</v>
      </c>
    </row>
    <row r="1108" spans="1:4" x14ac:dyDescent="0.25">
      <c r="A1108" s="89">
        <v>46196</v>
      </c>
      <c r="B1108" t="s">
        <v>819</v>
      </c>
      <c r="C1108" t="s">
        <v>765</v>
      </c>
      <c r="D1108">
        <v>1</v>
      </c>
    </row>
    <row r="1109" spans="1:4" x14ac:dyDescent="0.25">
      <c r="A1109" s="89">
        <v>46196</v>
      </c>
      <c r="B1109" t="s">
        <v>749</v>
      </c>
      <c r="C1109" t="s">
        <v>765</v>
      </c>
      <c r="D1109">
        <v>1</v>
      </c>
    </row>
    <row r="1110" spans="1:4" x14ac:dyDescent="0.25">
      <c r="A1110" s="89">
        <v>46196</v>
      </c>
      <c r="B1110" t="s">
        <v>774</v>
      </c>
      <c r="C1110" t="s">
        <v>765</v>
      </c>
      <c r="D1110">
        <v>1</v>
      </c>
    </row>
    <row r="1111" spans="1:4" x14ac:dyDescent="0.25">
      <c r="A1111" s="89">
        <v>46196</v>
      </c>
      <c r="B1111" t="s">
        <v>827</v>
      </c>
      <c r="C1111" t="s">
        <v>765</v>
      </c>
      <c r="D1111">
        <v>1</v>
      </c>
    </row>
    <row r="1112" spans="1:4" x14ac:dyDescent="0.25">
      <c r="A1112" s="89">
        <v>46196</v>
      </c>
      <c r="B1112" t="s">
        <v>962</v>
      </c>
      <c r="C1112" t="s">
        <v>765</v>
      </c>
      <c r="D1112">
        <v>1</v>
      </c>
    </row>
    <row r="1113" spans="1:4" x14ac:dyDescent="0.25">
      <c r="A1113" s="89">
        <v>46200</v>
      </c>
      <c r="B1113" t="s">
        <v>813</v>
      </c>
      <c r="C1113" t="s">
        <v>743</v>
      </c>
      <c r="D1113">
        <v>1</v>
      </c>
    </row>
    <row r="1114" spans="1:4" x14ac:dyDescent="0.25">
      <c r="A1114" s="89">
        <v>46200</v>
      </c>
      <c r="B1114" t="s">
        <v>876</v>
      </c>
      <c r="C1114" t="s">
        <v>743</v>
      </c>
      <c r="D1114">
        <v>1</v>
      </c>
    </row>
    <row r="1115" spans="1:4" x14ac:dyDescent="0.25">
      <c r="A1115" s="89">
        <v>46200</v>
      </c>
      <c r="B1115" t="s">
        <v>746</v>
      </c>
      <c r="C1115" t="s">
        <v>743</v>
      </c>
      <c r="D1115">
        <v>1</v>
      </c>
    </row>
    <row r="1116" spans="1:4" x14ac:dyDescent="0.25">
      <c r="A1116" s="89">
        <v>46200</v>
      </c>
      <c r="B1116" t="s">
        <v>749</v>
      </c>
      <c r="C1116" t="s">
        <v>743</v>
      </c>
      <c r="D1116">
        <v>1</v>
      </c>
    </row>
    <row r="1117" spans="1:4" x14ac:dyDescent="0.25">
      <c r="A1117" s="89">
        <v>46200</v>
      </c>
      <c r="B1117" t="s">
        <v>774</v>
      </c>
      <c r="C1117" t="s">
        <v>743</v>
      </c>
      <c r="D1117">
        <v>1</v>
      </c>
    </row>
    <row r="1118" spans="1:4" x14ac:dyDescent="0.25">
      <c r="A1118" s="89">
        <v>46200</v>
      </c>
      <c r="B1118" t="s">
        <v>783</v>
      </c>
      <c r="C1118" t="s">
        <v>743</v>
      </c>
      <c r="D1118">
        <v>1</v>
      </c>
    </row>
    <row r="1119" spans="1:4" x14ac:dyDescent="0.25">
      <c r="A1119" s="89">
        <v>46200</v>
      </c>
      <c r="B1119" t="s">
        <v>962</v>
      </c>
      <c r="C1119" t="s">
        <v>743</v>
      </c>
      <c r="D1119">
        <v>1</v>
      </c>
    </row>
    <row r="1120" spans="1:4" x14ac:dyDescent="0.25">
      <c r="A1120" s="89">
        <v>46200</v>
      </c>
      <c r="B1120" t="s">
        <v>827</v>
      </c>
      <c r="C1120" t="s">
        <v>743</v>
      </c>
      <c r="D1120">
        <v>1</v>
      </c>
    </row>
    <row r="1121" spans="1:4" x14ac:dyDescent="0.25">
      <c r="A1121" s="89">
        <v>46200</v>
      </c>
      <c r="B1121" t="s">
        <v>827</v>
      </c>
      <c r="C1121" t="s">
        <v>765</v>
      </c>
      <c r="D1121">
        <v>1</v>
      </c>
    </row>
    <row r="1122" spans="1:4" x14ac:dyDescent="0.25">
      <c r="A1122" s="89">
        <v>46203</v>
      </c>
      <c r="B1122" t="s">
        <v>813</v>
      </c>
      <c r="C1122" t="s">
        <v>765</v>
      </c>
      <c r="D1122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14"/>
  <sheetViews>
    <sheetView workbookViewId="0"/>
  </sheetViews>
  <sheetFormatPr defaultRowHeight="15" x14ac:dyDescent="0.25"/>
  <sheetData>
    <row r="1" spans="1:19" x14ac:dyDescent="0.25">
      <c r="A1" t="s">
        <v>675</v>
      </c>
      <c r="B1" t="s">
        <v>963</v>
      </c>
      <c r="C1" t="s">
        <v>964</v>
      </c>
      <c r="D1" t="s">
        <v>965</v>
      </c>
      <c r="E1" t="s">
        <v>966</v>
      </c>
      <c r="F1" t="s">
        <v>967</v>
      </c>
      <c r="G1" t="s">
        <v>968</v>
      </c>
      <c r="H1" t="s">
        <v>969</v>
      </c>
      <c r="I1" t="s">
        <v>970</v>
      </c>
      <c r="J1" t="s">
        <v>971</v>
      </c>
      <c r="K1" t="s">
        <v>972</v>
      </c>
      <c r="L1" t="s">
        <v>973</v>
      </c>
      <c r="M1" t="s">
        <v>974</v>
      </c>
      <c r="N1" t="s">
        <v>975</v>
      </c>
      <c r="O1" t="s">
        <v>976</v>
      </c>
      <c r="P1" t="s">
        <v>977</v>
      </c>
      <c r="Q1" t="s">
        <v>978</v>
      </c>
      <c r="R1" t="s">
        <v>979</v>
      </c>
      <c r="S1" t="s">
        <v>980</v>
      </c>
    </row>
    <row r="2" spans="1:19" x14ac:dyDescent="0.25">
      <c r="A2" t="s">
        <v>737</v>
      </c>
      <c r="B2">
        <v>173</v>
      </c>
      <c r="C2">
        <v>9</v>
      </c>
      <c r="D2">
        <v>24</v>
      </c>
      <c r="E2">
        <v>8</v>
      </c>
      <c r="F2">
        <v>21</v>
      </c>
      <c r="G2">
        <v>16</v>
      </c>
      <c r="H2">
        <v>7.1</v>
      </c>
      <c r="I2">
        <v>13</v>
      </c>
      <c r="J2">
        <v>4.5</v>
      </c>
      <c r="K2">
        <v>21</v>
      </c>
      <c r="L2">
        <v>3.4</v>
      </c>
      <c r="M2">
        <v>5</v>
      </c>
      <c r="N2">
        <v>0</v>
      </c>
      <c r="O2">
        <v>0</v>
      </c>
      <c r="P2">
        <v>54</v>
      </c>
      <c r="Q2">
        <v>2</v>
      </c>
      <c r="R2" t="s">
        <v>981</v>
      </c>
      <c r="S2" t="s">
        <v>981</v>
      </c>
    </row>
    <row r="3" spans="1:19" x14ac:dyDescent="0.25">
      <c r="A3" t="s">
        <v>739</v>
      </c>
      <c r="B3">
        <v>207</v>
      </c>
      <c r="C3">
        <v>10</v>
      </c>
      <c r="D3">
        <v>27</v>
      </c>
      <c r="E3">
        <v>9</v>
      </c>
      <c r="F3">
        <v>24</v>
      </c>
      <c r="G3">
        <v>20</v>
      </c>
      <c r="H3">
        <v>9.3000000000000007</v>
      </c>
      <c r="I3">
        <v>17</v>
      </c>
      <c r="J3">
        <v>5.0999999999999996</v>
      </c>
      <c r="K3">
        <v>23</v>
      </c>
      <c r="L3">
        <v>3.7</v>
      </c>
      <c r="M3">
        <v>5</v>
      </c>
      <c r="N3">
        <v>0</v>
      </c>
      <c r="O3">
        <v>1</v>
      </c>
      <c r="P3">
        <v>53</v>
      </c>
      <c r="Q3">
        <v>2</v>
      </c>
      <c r="R3" t="s">
        <v>981</v>
      </c>
      <c r="S3" t="s">
        <v>981</v>
      </c>
    </row>
    <row r="4" spans="1:19" x14ac:dyDescent="0.25">
      <c r="A4" t="s">
        <v>982</v>
      </c>
      <c r="B4">
        <v>185</v>
      </c>
      <c r="C4">
        <v>9</v>
      </c>
      <c r="D4">
        <v>27</v>
      </c>
      <c r="E4">
        <v>9</v>
      </c>
      <c r="F4">
        <v>23</v>
      </c>
      <c r="G4">
        <v>18</v>
      </c>
      <c r="H4">
        <v>6.7</v>
      </c>
      <c r="I4">
        <v>12</v>
      </c>
      <c r="J4">
        <v>3.3</v>
      </c>
      <c r="K4">
        <v>15</v>
      </c>
      <c r="L4">
        <v>3.7</v>
      </c>
      <c r="M4">
        <v>5</v>
      </c>
      <c r="N4">
        <v>0</v>
      </c>
      <c r="O4">
        <v>1</v>
      </c>
      <c r="P4">
        <v>55</v>
      </c>
      <c r="Q4">
        <v>2</v>
      </c>
      <c r="R4" t="s">
        <v>981</v>
      </c>
      <c r="S4" t="s">
        <v>981</v>
      </c>
    </row>
    <row r="5" spans="1:19" x14ac:dyDescent="0.25">
      <c r="A5" t="s">
        <v>738</v>
      </c>
      <c r="B5">
        <v>180</v>
      </c>
      <c r="C5">
        <v>9</v>
      </c>
      <c r="D5">
        <v>29</v>
      </c>
      <c r="E5">
        <v>10</v>
      </c>
      <c r="F5">
        <v>23</v>
      </c>
      <c r="G5">
        <v>19</v>
      </c>
      <c r="H5">
        <v>5.5</v>
      </c>
      <c r="I5">
        <v>10</v>
      </c>
      <c r="J5">
        <v>3.5</v>
      </c>
      <c r="K5">
        <v>16</v>
      </c>
      <c r="L5">
        <v>3.8</v>
      </c>
      <c r="M5">
        <v>5</v>
      </c>
      <c r="N5">
        <v>0</v>
      </c>
      <c r="O5">
        <v>0</v>
      </c>
      <c r="P5">
        <v>58</v>
      </c>
      <c r="Q5">
        <v>2</v>
      </c>
      <c r="R5" t="s">
        <v>981</v>
      </c>
      <c r="S5" t="s">
        <v>981</v>
      </c>
    </row>
    <row r="6" spans="1:19" x14ac:dyDescent="0.25">
      <c r="A6" t="s">
        <v>718</v>
      </c>
      <c r="B6">
        <v>190</v>
      </c>
      <c r="C6">
        <v>9</v>
      </c>
      <c r="D6">
        <v>30</v>
      </c>
      <c r="E6">
        <v>10</v>
      </c>
      <c r="F6">
        <v>26</v>
      </c>
      <c r="G6">
        <v>18</v>
      </c>
      <c r="H6">
        <v>5.6</v>
      </c>
      <c r="I6">
        <v>10</v>
      </c>
      <c r="J6">
        <v>3.5</v>
      </c>
      <c r="K6">
        <v>16</v>
      </c>
      <c r="L6">
        <v>5.2</v>
      </c>
      <c r="M6">
        <v>7</v>
      </c>
      <c r="N6">
        <v>0</v>
      </c>
      <c r="O6">
        <v>0</v>
      </c>
      <c r="P6">
        <v>172</v>
      </c>
      <c r="Q6">
        <v>7</v>
      </c>
      <c r="R6" t="s">
        <v>981</v>
      </c>
      <c r="S6" t="s">
        <v>981</v>
      </c>
    </row>
    <row r="7" spans="1:19" x14ac:dyDescent="0.25">
      <c r="A7" t="s">
        <v>711</v>
      </c>
      <c r="B7">
        <v>219</v>
      </c>
      <c r="C7">
        <v>11</v>
      </c>
      <c r="D7">
        <v>25</v>
      </c>
      <c r="E7">
        <v>8</v>
      </c>
      <c r="F7">
        <v>22</v>
      </c>
      <c r="G7">
        <v>17</v>
      </c>
      <c r="H7">
        <v>11.1</v>
      </c>
      <c r="I7">
        <v>20</v>
      </c>
      <c r="J7">
        <v>3.1</v>
      </c>
      <c r="K7">
        <v>14</v>
      </c>
      <c r="L7">
        <v>4.7</v>
      </c>
      <c r="M7">
        <v>6</v>
      </c>
      <c r="N7">
        <v>0.8</v>
      </c>
      <c r="O7">
        <v>3</v>
      </c>
      <c r="P7">
        <v>108</v>
      </c>
      <c r="Q7">
        <v>4</v>
      </c>
      <c r="R7" t="s">
        <v>981</v>
      </c>
      <c r="S7" t="s">
        <v>981</v>
      </c>
    </row>
    <row r="8" spans="1:19" x14ac:dyDescent="0.25">
      <c r="A8" t="s">
        <v>681</v>
      </c>
      <c r="B8">
        <v>186</v>
      </c>
      <c r="C8">
        <v>9</v>
      </c>
      <c r="D8">
        <v>23</v>
      </c>
      <c r="E8">
        <v>8</v>
      </c>
      <c r="F8">
        <v>18</v>
      </c>
      <c r="G8">
        <v>12</v>
      </c>
      <c r="H8">
        <v>8.6</v>
      </c>
      <c r="I8">
        <v>16</v>
      </c>
      <c r="J8">
        <v>3.1</v>
      </c>
      <c r="K8">
        <v>14</v>
      </c>
      <c r="L8">
        <v>5.4</v>
      </c>
      <c r="M8">
        <v>7</v>
      </c>
      <c r="N8">
        <v>1</v>
      </c>
      <c r="O8">
        <v>4</v>
      </c>
      <c r="P8">
        <v>148</v>
      </c>
      <c r="Q8">
        <v>6</v>
      </c>
      <c r="R8" t="s">
        <v>981</v>
      </c>
      <c r="S8" t="s">
        <v>981</v>
      </c>
    </row>
    <row r="9" spans="1:19" x14ac:dyDescent="0.25">
      <c r="A9" t="s">
        <v>736</v>
      </c>
      <c r="B9">
        <v>195</v>
      </c>
      <c r="C9">
        <v>10</v>
      </c>
      <c r="D9">
        <v>25</v>
      </c>
      <c r="E9">
        <v>8</v>
      </c>
      <c r="F9">
        <v>20</v>
      </c>
      <c r="G9">
        <v>14</v>
      </c>
      <c r="H9">
        <v>9.4</v>
      </c>
      <c r="I9">
        <v>17</v>
      </c>
      <c r="J9">
        <v>5.8</v>
      </c>
      <c r="K9">
        <v>26</v>
      </c>
      <c r="L9">
        <v>4.5</v>
      </c>
      <c r="M9">
        <v>6</v>
      </c>
      <c r="N9">
        <v>2.1</v>
      </c>
      <c r="O9">
        <v>8</v>
      </c>
      <c r="P9">
        <v>53</v>
      </c>
      <c r="Q9">
        <v>2</v>
      </c>
      <c r="R9" t="s">
        <v>981</v>
      </c>
      <c r="S9" t="s">
        <v>981</v>
      </c>
    </row>
    <row r="10" spans="1:19" x14ac:dyDescent="0.25">
      <c r="A10" t="s">
        <v>983</v>
      </c>
      <c r="B10">
        <v>178</v>
      </c>
      <c r="C10">
        <v>9</v>
      </c>
      <c r="D10">
        <v>26</v>
      </c>
      <c r="E10">
        <v>9</v>
      </c>
      <c r="F10">
        <v>18</v>
      </c>
      <c r="G10">
        <v>14</v>
      </c>
      <c r="H10">
        <v>7.6</v>
      </c>
      <c r="I10">
        <v>14</v>
      </c>
      <c r="J10">
        <v>3.4</v>
      </c>
      <c r="K10">
        <v>16</v>
      </c>
      <c r="L10">
        <v>4.9000000000000004</v>
      </c>
      <c r="M10">
        <v>6</v>
      </c>
      <c r="N10">
        <v>2.4</v>
      </c>
      <c r="O10">
        <v>9</v>
      </c>
      <c r="P10">
        <v>40</v>
      </c>
      <c r="Q10">
        <v>2</v>
      </c>
      <c r="R10" t="s">
        <v>981</v>
      </c>
      <c r="S10" t="s">
        <v>981</v>
      </c>
    </row>
    <row r="11" spans="1:19" x14ac:dyDescent="0.25">
      <c r="A11" t="s">
        <v>295</v>
      </c>
      <c r="B11">
        <v>111</v>
      </c>
      <c r="C11">
        <v>6</v>
      </c>
      <c r="D11">
        <v>27</v>
      </c>
      <c r="E11">
        <v>9</v>
      </c>
      <c r="F11">
        <v>21</v>
      </c>
      <c r="G11">
        <v>19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1.1000000000000001</v>
      </c>
      <c r="O11">
        <v>4</v>
      </c>
      <c r="P11">
        <v>0</v>
      </c>
      <c r="Q11">
        <v>0</v>
      </c>
      <c r="R11" t="s">
        <v>984</v>
      </c>
      <c r="S11" t="s">
        <v>981</v>
      </c>
    </row>
    <row r="12" spans="1:19" x14ac:dyDescent="0.25">
      <c r="A12" t="s">
        <v>985</v>
      </c>
      <c r="B12">
        <v>109</v>
      </c>
      <c r="C12">
        <v>5</v>
      </c>
      <c r="D12">
        <v>27</v>
      </c>
      <c r="E12">
        <v>9</v>
      </c>
      <c r="F12">
        <v>20</v>
      </c>
      <c r="G12">
        <v>20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1.7</v>
      </c>
      <c r="O12">
        <v>7</v>
      </c>
      <c r="P12">
        <v>6</v>
      </c>
      <c r="Q12">
        <v>0</v>
      </c>
      <c r="R12" t="s">
        <v>984</v>
      </c>
      <c r="S12" t="s">
        <v>981</v>
      </c>
    </row>
    <row r="13" spans="1:19" x14ac:dyDescent="0.25">
      <c r="A13" t="s">
        <v>147</v>
      </c>
      <c r="B13">
        <v>121</v>
      </c>
      <c r="C13">
        <v>6</v>
      </c>
      <c r="D13">
        <v>6</v>
      </c>
      <c r="E13">
        <v>2</v>
      </c>
      <c r="F13">
        <v>5.3</v>
      </c>
      <c r="G13">
        <v>0</v>
      </c>
      <c r="H13">
        <v>6.5</v>
      </c>
      <c r="I13">
        <v>12</v>
      </c>
      <c r="J13">
        <v>5.2</v>
      </c>
      <c r="K13">
        <v>23</v>
      </c>
      <c r="L13">
        <v>3.3</v>
      </c>
      <c r="M13">
        <v>4</v>
      </c>
      <c r="N13">
        <v>3.4</v>
      </c>
      <c r="O13">
        <v>14</v>
      </c>
      <c r="P13">
        <v>53</v>
      </c>
      <c r="Q13">
        <v>2</v>
      </c>
      <c r="R13" t="s">
        <v>981</v>
      </c>
      <c r="S13" t="s">
        <v>984</v>
      </c>
    </row>
    <row r="14" spans="1:19" x14ac:dyDescent="0.25">
      <c r="A14" t="s">
        <v>156</v>
      </c>
      <c r="B14">
        <v>123</v>
      </c>
      <c r="C14">
        <v>6</v>
      </c>
      <c r="D14">
        <v>7.3</v>
      </c>
      <c r="E14">
        <v>2</v>
      </c>
      <c r="F14">
        <v>5.5</v>
      </c>
      <c r="G14">
        <v>0</v>
      </c>
      <c r="H14">
        <v>5.9</v>
      </c>
      <c r="I14">
        <v>11</v>
      </c>
      <c r="J14">
        <v>2</v>
      </c>
      <c r="K14">
        <v>9</v>
      </c>
      <c r="L14">
        <v>4.5999999999999996</v>
      </c>
      <c r="M14">
        <v>6</v>
      </c>
      <c r="N14">
        <v>4.0999999999999996</v>
      </c>
      <c r="O14">
        <v>16</v>
      </c>
      <c r="P14">
        <v>99</v>
      </c>
      <c r="Q14">
        <v>4</v>
      </c>
      <c r="R14" t="s">
        <v>981</v>
      </c>
      <c r="S14" t="s">
        <v>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Lançamentos</vt:lpstr>
      <vt:lpstr>Detalhado</vt:lpstr>
      <vt:lpstr>Estoque</vt:lpstr>
      <vt:lpstr>Cartão Crédito</vt:lpstr>
      <vt:lpstr>Boletos Futuros</vt:lpstr>
      <vt:lpstr>NOV_25</vt:lpstr>
      <vt:lpstr>DEZ_25</vt:lpstr>
      <vt:lpstr>JAN_26</vt:lpstr>
      <vt:lpstr>FEV_25</vt:lpstr>
      <vt:lpstr>MAR_26</vt:lpstr>
      <vt:lpstr>ABR_26</vt:lpstr>
      <vt:lpstr>JUN_26</vt:lpstr>
      <vt:lpstr>MAIO_26</vt:lpstr>
      <vt:lpstr>Valor_Cuba</vt:lpstr>
      <vt:lpstr>Producao_Cubas</vt:lpstr>
      <vt:lpstr>Nutricional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Ciop</cp:lastModifiedBy>
  <dcterms:created xsi:type="dcterms:W3CDTF">2025-11-02T20:34:46Z</dcterms:created>
  <dcterms:modified xsi:type="dcterms:W3CDTF">2026-07-09T14:53:05Z</dcterms:modified>
</cp:coreProperties>
</file>
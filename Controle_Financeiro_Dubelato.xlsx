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dubelato-flat-v37\"/>
    </mc:Choice>
  </mc:AlternateContent>
  <xr:revisionPtr revIDLastSave="0" documentId="13_ncr:1_{A4AAD4E2-9A09-4EFE-A660-261E00324730}" xr6:coauthVersionLast="47" xr6:coauthVersionMax="47" xr10:uidLastSave="{00000000-0000-0000-0000-000000000000}"/>
  <bookViews>
    <workbookView xWindow="615" yWindow="1575" windowWidth="26085" windowHeight="12720" firstSheet="9" activeTab="13" xr2:uid="{00000000-000D-0000-FFFF-FFFF00000000}"/>
  </bookViews>
  <sheets>
    <sheet name="Lançamentos" sheetId="1" r:id="rId1"/>
    <sheet name="Detalhado" sheetId="2" r:id="rId2"/>
    <sheet name="Estoque" sheetId="3" r:id="rId3"/>
    <sheet name="Cartão Crédito" sheetId="4" r:id="rId4"/>
    <sheet name="Boletos Futuros" sheetId="5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  <sheet name="Sabores_Receitas" sheetId="18" r:id="rId14"/>
    <sheet name="Valor_Cuba" sheetId="14" r:id="rId15"/>
    <sheet name="Producao_Cubas" sheetId="15" r:id="rId16"/>
    <sheet name="Nutricional" sheetId="16" r:id="rId17"/>
    <sheet name="Metas" sheetId="17" r:id="rId18"/>
  </sheets>
  <definedNames>
    <definedName name="_xlnm._FilterDatabase" localSheetId="4" hidden="1">'Boletos Futuros'!$N$2:$P$26</definedName>
    <definedName name="_xlnm._FilterDatabase" localSheetId="6" hidden="1">DEZ_25!$A$1:$K$195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6" i="12" l="1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X50" i="5"/>
  <c r="T50" i="5"/>
  <c r="P50" i="5"/>
  <c r="L50" i="5"/>
  <c r="H50" i="5"/>
  <c r="D50" i="5"/>
  <c r="E4" i="4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206" i="2" s="1"/>
  <c r="B188" i="2"/>
  <c r="B187" i="2"/>
  <c r="B206" i="2" s="1"/>
  <c r="C186" i="2"/>
  <c r="B186" i="2"/>
  <c r="D186" i="2" s="1"/>
  <c r="C183" i="2"/>
  <c r="B183" i="2"/>
  <c r="C160" i="2"/>
  <c r="B160" i="2"/>
  <c r="C137" i="2"/>
  <c r="B137" i="2"/>
  <c r="C114" i="2"/>
  <c r="B114" i="2"/>
  <c r="C94" i="2"/>
  <c r="B94" i="2"/>
  <c r="D94" i="2" s="1"/>
  <c r="C68" i="2"/>
  <c r="C65" i="2"/>
  <c r="C59" i="2"/>
  <c r="B51" i="2"/>
  <c r="B50" i="2"/>
  <c r="B68" i="2" s="1"/>
  <c r="C49" i="2"/>
  <c r="B49" i="2"/>
  <c r="D49" i="2" s="1"/>
  <c r="C46" i="2"/>
  <c r="B46" i="2"/>
  <c r="B4" i="2"/>
  <c r="B3" i="2"/>
  <c r="B5" i="2" s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J3" i="1"/>
  <c r="K84" i="12" l="1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</calcChain>
</file>

<file path=xl/sharedStrings.xml><?xml version="1.0" encoding="utf-8"?>
<sst xmlns="http://schemas.openxmlformats.org/spreadsheetml/2006/main" count="16653" uniqueCount="1225">
  <si>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</si>
  <si>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</si>
  <si>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</si>
  <si>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</si>
  <si>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</si>
  <si>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</si>
  <si>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</si>
  <si>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</si>
  <si>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</si>
  <si>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</si>
  <si>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</si>
  <si>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</si>
  <si>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</si>
  <si>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</si>
  <si>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</si>
  <si>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</si>
  <si>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</si>
  <si>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</si>
  <si>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</si>
  <si>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</si>
  <si>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</si>
  <si>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</si>
  <si>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</si>
  <si>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</si>
  <si>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</si>
  <si>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</si>
  <si>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</si>
  <si>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</si>
  <si>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</si>
  <si>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</si>
  <si>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Tais salário 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</si>
  <si>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</si>
  <si>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</si>
  <si>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</si>
  <si>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</si>
  <si>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</si>
  <si>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</si>
  <si>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</si>
  <si>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</si>
  <si>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</si>
  <si>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</si>
  <si>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</si>
  <si>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</si>
  <si>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</si>
  <si>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</si>
  <si>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</si>
  <si>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</si>
  <si>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</si>
  <si>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</si>
  <si>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</si>
  <si>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</si>
  <si>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</si>
  <si>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</si>
  <si>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</si>
  <si>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</si>
  <si>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</si>
  <si>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</si>
  <si>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</si>
  <si>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</si>
  <si>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</si>
  <si>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</si>
  <si>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</si>
  <si>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</si>
  <si>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</si>
  <si>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</si>
  <si>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</si>
  <si>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</si>
  <si>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</si>
  <si>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</si>
  <si>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</si>
  <si>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</si>
  <si>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</si>
  <si>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</si>
  <si>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</si>
  <si>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</si>
  <si>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</si>
  <si>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</si>
  <si>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</si>
  <si>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</si>
  <si>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</si>
  <si>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</si>
  <si>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</si>
  <si>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</si>
  <si>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</si>
  <si>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</si>
  <si>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</si>
  <si>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</si>
  <si>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</si>
  <si>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</si>
  <si>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</si>
  <si>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</si>
  <si>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</si>
  <si>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</si>
  <si>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</si>
  <si>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</si>
  <si>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</si>
  <si>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</si>
  <si>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</si>
  <si>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</si>
  <si>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</si>
  <si>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</si>
  <si>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</si>
  <si>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</si>
  <si>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</si>
  <si>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</si>
  <si>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</si>
  <si>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</si>
  <si>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</si>
  <si>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</si>
  <si>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</si>
  <si>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</si>
  <si>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2caixas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</si>
  <si>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</si>
  <si>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</si>
  <si>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</si>
  <si>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</si>
  <si>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</si>
  <si>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</si>
  <si>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</si>
  <si>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</si>
  <si>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</si>
  <si>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</si>
  <si>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</si>
  <si>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</si>
  <si>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</si>
  <si>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</si>
  <si>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</si>
  <si>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</si>
  <si>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</si>
  <si>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</si>
  <si>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</si>
  <si>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</si>
  <si>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</si>
  <si>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</si>
  <si>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</si>
  <si>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</si>
  <si>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</si>
  <si>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</si>
  <si>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</si>
  <si>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</si>
  <si>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</si>
  <si>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</si>
  <si>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</si>
  <si>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</si>
  <si>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Genuine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</si>
  <si>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</si>
  <si>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</si>
  <si>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</si>
  <si>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</si>
  <si>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</si>
  <si>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</si>
  <si>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</si>
  <si>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</si>
  <si>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</si>
  <si>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</si>
  <si>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</si>
  <si>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</si>
  <si>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</si>
  <si>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</si>
  <si>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</si>
  <si>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</si>
  <si>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</si>
  <si>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</si>
  <si>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</si>
  <si>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</si>
  <si>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</si>
  <si>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</si>
  <si>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</si>
  <si>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</si>
  <si>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</si>
  <si>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</si>
  <si>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</si>
  <si>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</si>
  <si>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</si>
  <si>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</si>
  <si>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</si>
  <si>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</si>
  <si>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</si>
  <si>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</si>
  <si>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</si>
  <si>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</si>
  <si>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</si>
  <si>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</si>
  <si>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</si>
  <si>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</si>
  <si>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</si>
  <si>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</si>
  <si>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</si>
  <si>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</si>
  <si>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</si>
  <si>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</si>
  <si>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</si>
  <si>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</si>
  <si>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</si>
  <si>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</si>
  <si>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</si>
  <si>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</si>
  <si>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</si>
  <si>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</si>
  <si>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</si>
  <si>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</si>
  <si>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</si>
  <si>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</si>
  <si>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</si>
  <si>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</si>
  <si>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</si>
  <si>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</si>
  <si>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</si>
  <si>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</si>
  <si>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</si>
  <si>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</si>
  <si>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</si>
  <si>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</si>
  <si>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</si>
  <si>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</si>
  <si>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</si>
  <si>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</si>
  <si>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</si>
  <si>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</si>
  <si>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</si>
  <si>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</si>
  <si>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</si>
  <si>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</si>
  <si>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</si>
  <si>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</si>
  <si>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</si>
  <si>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</si>
  <si>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</si>
  <si>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</si>
  <si>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</si>
  <si>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</si>
  <si>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</si>
  <si>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</si>
  <si>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</si>
  <si>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</si>
  <si>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</si>
  <si>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</si>
  <si>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</si>
  <si>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</si>
  <si>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</si>
  <si>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</si>
  <si>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</si>
  <si>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</si>
  <si>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</si>
  <si>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</si>
  <si>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</si>
  <si>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</si>
  <si>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</si>
  <si>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</si>
  <si>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</si>
  <si>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</si>
  <si>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</si>
  <si>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</si>
  <si>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</si>
  <si>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</si>
  <si>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</si>
  <si>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</si>
  <si>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</si>
  <si>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</si>
  <si>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</si>
  <si>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</si>
  <si>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</si>
  <si>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</si>
  <si>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</si>
  <si>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</si>
  <si>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</si>
  <si>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</si>
  <si>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</si>
  <si>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</si>
  <si>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</si>
  <si>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</si>
  <si>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</si>
  <si>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</si>
  <si>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</si>
  <si>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</si>
  <si>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</si>
  <si>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</si>
  <si>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</si>
  <si>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</si>
  <si>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</si>
  <si>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</si>
  <si>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</si>
  <si>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</si>
  <si>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</si>
  <si>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</si>
  <si>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</si>
  <si>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</si>
  <si>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</si>
  <si>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</si>
  <si>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</si>
  <si>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</si>
  <si>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</si>
  <si>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</si>
  <si>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</si>
  <si>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</si>
  <si>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</si>
  <si>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</si>
  <si>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</si>
  <si>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</si>
  <si>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</si>
  <si>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</si>
  <si>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</si>
  <si>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</si>
  <si>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</si>
  <si>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</si>
  <si>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</si>
  <si>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</si>
  <si>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</si>
  <si>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</si>
  <si>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</si>
  <si>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</si>
  <si>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</si>
  <si>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</si>
  <si>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</si>
  <si>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</si>
  <si>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</si>
  <si>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</si>
  <si>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</si>
  <si>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</si>
  <si>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</si>
  <si>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</si>
  <si>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</si>
  <si>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</si>
  <si>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</si>
  <si>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</si>
  <si>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</si>
  <si>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</si>
  <si>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</si>
  <si>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</si>
  <si>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</si>
  <si>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</si>
  <si>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</si>
  <si>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</si>
  <si>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</si>
  <si>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</si>
  <si>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</si>
  <si>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</si>
  <si>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</si>
  <si>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</si>
  <si>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</si>
  <si>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</si>
  <si>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</si>
  <si>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</si>
  <si>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</si>
  <si>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</si>
  <si>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</si>
  <si>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</si>
  <si>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</si>
  <si>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</si>
  <si>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</si>
  <si>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</si>
  <si>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</si>
  <si>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</si>
  <si>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</si>
  <si>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</si>
  <si>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</si>
  <si>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</si>
  <si>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</si>
  <si>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</si>
  <si>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</si>
  <si>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</si>
  <si>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</si>
  <si>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</si>
  <si>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</si>
  <si>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</si>
  <si>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</si>
  <si>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</si>
  <si>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</si>
  <si>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</si>
  <si>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</si>
  <si>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</si>
  <si>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</si>
  <si>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</si>
  <si>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</si>
  <si>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</si>
  <si>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</si>
  <si>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</si>
  <si>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</si>
  <si>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</si>
  <si>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</si>
  <si>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</si>
  <si>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</si>
  <si>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</si>
  <si>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</si>
  <si>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</si>
  <si>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</si>
  <si>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</si>
  <si>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</si>
  <si>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</si>
  <si>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</si>
  <si>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</si>
  <si>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</si>
  <si>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</si>
  <si>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</si>
  <si>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</si>
  <si>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</si>
  <si>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</si>
  <si>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</si>
  <si>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</si>
  <si>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</si>
  <si>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</si>
  <si>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</si>
  <si>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</si>
  <si>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</si>
  <si>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</si>
  <si>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</si>
  <si>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</si>
  <si>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</si>
  <si>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</si>
  <si>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</si>
  <si>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</si>
  <si>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</si>
  <si>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</si>
  <si>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</si>
  <si>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</si>
  <si>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</si>
  <si>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</si>
  <si>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</si>
  <si>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</si>
  <si>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</si>
  <si>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</si>
  <si>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</si>
  <si>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</si>
  <si>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</si>
  <si>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</si>
  <si>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</si>
  <si>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</si>
  <si>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</si>
  <si>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</si>
  <si>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</si>
  <si>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</si>
  <si>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</si>
  <si>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</si>
  <si>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</si>
  <si>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</si>
  <si>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</si>
  <si>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</si>
  <si>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</si>
  <si>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</si>
  <si>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</si>
  <si>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</si>
  <si>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</si>
  <si>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</si>
  <si>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</si>
  <si>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</si>
  <si>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</si>
  <si>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</si>
  <si>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</si>
  <si>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</si>
  <si>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</si>
  <si>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</si>
  <si>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</si>
  <si>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</si>
  <si>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</si>
  <si>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</si>
  <si>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</si>
  <si>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</si>
  <si>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</si>
  <si>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</si>
  <si>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</si>
  <si>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</si>
  <si>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</si>
  <si>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</si>
  <si>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</si>
  <si>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</si>
  <si>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</si>
  <si>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</si>
  <si>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</si>
  <si>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</si>
  <si>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</si>
  <si>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</si>
  <si>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</si>
  <si>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</si>
  <si>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</si>
  <si>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</si>
  <si>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</si>
  <si>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</si>
  <si>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</si>
  <si>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</si>
  <si>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</si>
  <si>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</si>
  <si>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</si>
  <si>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</si>
  <si>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</si>
  <si>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</si>
  <si>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</si>
  <si>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</si>
  <si>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</si>
  <si>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</si>
  <si>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</si>
  <si>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</si>
  <si>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</si>
  <si>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</si>
  <si>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</si>
  <si>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</si>
  <si>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</si>
  <si>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</si>
  <si>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</si>
  <si>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</si>
  <si>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</si>
  <si>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</si>
  <si>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</si>
  <si>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</si>
  <si>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</si>
  <si>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</si>
  <si>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</si>
  <si>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</si>
  <si>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</si>
  <si>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</si>
  <si>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</si>
  <si>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</si>
  <si>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</si>
  <si>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</si>
  <si>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</si>
  <si>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</si>
  <si>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</si>
  <si>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</si>
  <si>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</si>
  <si>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</si>
  <si>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</si>
  <si>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</si>
  <si>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</si>
  <si>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</si>
  <si>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</si>
  <si>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</si>
  <si>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</si>
  <si>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</si>
  <si>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</si>
  <si>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</si>
  <si>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</si>
  <si>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</si>
  <si>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</si>
  <si>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</si>
  <si>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</si>
  <si>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</si>
  <si>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</si>
  <si>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</si>
  <si>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</si>
  <si>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</si>
  <si>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</si>
  <si>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</si>
  <si>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</si>
  <si>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</si>
  <si>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</si>
  <si>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</si>
  <si>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</si>
  <si>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</si>
  <si>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</si>
  <si>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</si>
  <si>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</si>
  <si>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</si>
  <si>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</si>
  <si>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</si>
  <si>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</si>
  <si>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</si>
  <si>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</si>
  <si>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</si>
  <si>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</si>
  <si>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</si>
  <si>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</si>
  <si>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</si>
  <si>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</si>
  <si>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</si>
  <si>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</si>
  <si>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</si>
  <si>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</si>
  <si>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</si>
  <si>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</si>
  <si>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</si>
  <si>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</si>
  <si>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</si>
  <si>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</si>
  <si>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</si>
  <si>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</si>
  <si>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</si>
  <si>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</si>
  <si>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</si>
  <si>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</si>
  <si>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</si>
  <si>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</si>
  <si>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</si>
  <si>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</si>
  <si>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</si>
  <si>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</si>
  <si>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</si>
  <si>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</si>
  <si>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</si>
  <si>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</si>
  <si>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</si>
  <si>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</si>
  <si>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</si>
  <si>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</si>
  <si>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</si>
  <si>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</si>
  <si>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</si>
  <si>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</si>
  <si>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</si>
  <si>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</si>
  <si>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</si>
  <si>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</si>
  <si>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</si>
  <si>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</si>
  <si>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</si>
  <si>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</si>
  <si>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</si>
  <si>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</si>
  <si>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</si>
  <si>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</si>
  <si>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</si>
  <si>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</si>
  <si>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</si>
  <si>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</si>
  <si>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</si>
  <si>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</si>
  <si>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</si>
  <si>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</si>
  <si>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</si>
  <si>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</si>
  <si>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</si>
  <si>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</si>
  <si>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</si>
  <si>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</si>
  <si>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</si>
  <si>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</si>
  <si>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</si>
  <si>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</si>
  <si>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</si>
  <si>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</si>
  <si>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</si>
  <si>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</si>
  <si>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</si>
  <si>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</si>
  <si>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</si>
  <si>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</si>
  <si>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</si>
  <si>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</si>
  <si>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</si>
  <si>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</si>
  <si>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</si>
  <si>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</si>
  <si>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</si>
  <si>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</si>
  <si>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</si>
  <si>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</si>
  <si>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</si>
  <si>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</si>
  <si>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</si>
  <si>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</si>
  <si>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</si>
  <si>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</si>
  <si>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</si>
  <si>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</si>
  <si>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</si>
  <si>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</si>
  <si>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</si>
  <si>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</si>
  <si>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</si>
  <si>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</si>
  <si>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</si>
  <si>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</si>
  <si>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</si>
  <si>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</si>
  <si>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</si>
  <si>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</si>
  <si>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</si>
  <si>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</si>
  <si>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</si>
  <si>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</si>
  <si>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</si>
  <si>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</si>
  <si>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</si>
  <si>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</si>
  <si>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</si>
  <si>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</si>
  <si>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</si>
  <si>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</si>
  <si>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</si>
  <si>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</si>
  <si>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</si>
  <si>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</si>
  <si>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</si>
  <si>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</si>
  <si>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</si>
  <si>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</si>
  <si>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</si>
  <si>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</si>
  <si>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</si>
  <si>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</si>
  <si>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</si>
  <si>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</si>
  <si>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</si>
  <si>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</si>
  <si>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</si>
  <si>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</si>
  <si>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</si>
  <si>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</si>
  <si>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</si>
  <si>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</si>
  <si>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</si>
  <si>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</si>
  <si>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</si>
  <si>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</si>
  <si>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</si>
  <si>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</si>
  <si>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</si>
  <si>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</si>
  <si>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</si>
  <si>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</si>
  <si>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</si>
  <si>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</si>
  <si>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</si>
  <si>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</si>
  <si>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</si>
  <si>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</si>
  <si>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</si>
  <si>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</si>
  <si>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</si>
  <si>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</si>
  <si>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</si>
  <si>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</si>
  <si>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</si>
  <si>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</si>
  <si>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</si>
  <si>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</si>
  <si>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</si>
  <si>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</si>
  <si>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</si>
  <si>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</si>
  <si>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</si>
  <si>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</si>
  <si>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</si>
  <si>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</si>
  <si>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</si>
  <si>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</si>
  <si>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</si>
  <si>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</si>
  <si>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</si>
  <si>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</si>
  <si>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</si>
  <si>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</si>
  <si>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</si>
  <si>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</si>
  <si>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</si>
  <si>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</si>
  <si>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</si>
  <si>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</si>
  <si>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</si>
  <si>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</si>
  <si>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</si>
  <si>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</si>
  <si>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</si>
  <si>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</si>
  <si>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</si>
  <si>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</si>
  <si>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</si>
  <si>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</si>
  <si>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</si>
  <si>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</si>
  <si>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</si>
  <si>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</si>
  <si>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</si>
  <si>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</si>
  <si>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</si>
  <si>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</si>
  <si>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</si>
  <si>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</si>
  <si>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</si>
  <si>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</si>
  <si>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</si>
  <si>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</si>
  <si>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</si>
  <si>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</si>
  <si>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</si>
  <si>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</si>
  <si>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</si>
  <si>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</si>
  <si>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</si>
  <si>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</si>
  <si>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</si>
  <si>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</si>
  <si>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</si>
  <si>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</si>
  <si>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</si>
  <si>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</si>
  <si>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</si>
  <si>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</si>
  <si>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</si>
  <si>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</si>
  <si>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</si>
  <si>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</si>
  <si>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</si>
  <si>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</si>
  <si>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</si>
  <si>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</si>
  <si>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</si>
  <si>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</si>
  <si>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</si>
  <si>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</si>
  <si>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</si>
  <si>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</si>
  <si>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</si>
  <si>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</si>
  <si>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</si>
  <si>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</si>
  <si>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</si>
  <si>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</si>
  <si>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</si>
  <si>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</si>
  <si>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</si>
  <si>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</si>
  <si>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</si>
  <si>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</si>
  <si>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</si>
  <si>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</si>
  <si>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</si>
  <si>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</si>
  <si>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</si>
  <si>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</si>
  <si>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</si>
  <si>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</si>
  <si>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</si>
  <si>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</si>
  <si>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</si>
  <si>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</si>
  <si>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</si>
  <si>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</si>
  <si>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</si>
  <si>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</si>
  <si>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</si>
  <si>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</si>
  <si>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</si>
  <si>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</si>
  <si>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</si>
  <si>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</si>
  <si>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</si>
  <si>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</si>
  <si>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</si>
  <si>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</si>
  <si>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</si>
  <si>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</si>
  <si>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</si>
  <si>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</si>
  <si>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</si>
  <si>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</si>
  <si>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</si>
  <si>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</si>
  <si>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</si>
  <si>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</si>
  <si>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</si>
  <si>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</si>
  <si>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</si>
  <si>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</si>
  <si>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</si>
  <si>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</si>
  <si>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</si>
  <si>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</si>
  <si>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</si>
  <si>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</si>
  <si>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</si>
  <si>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</si>
  <si>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</si>
  <si>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</si>
  <si>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</si>
  <si>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</si>
  <si>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</si>
  <si>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</si>
  <si>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</si>
  <si>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</si>
  <si>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</si>
  <si>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</si>
  <si>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</si>
  <si>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</si>
  <si>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</si>
  <si>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</si>
  <si>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</si>
  <si>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</si>
  <si>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</si>
  <si>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</si>
  <si>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</si>
  <si>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</si>
  <si>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</si>
  <si>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</si>
  <si>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</si>
  <si>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</si>
  <si>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</si>
  <si>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</si>
  <si>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</si>
  <si>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</si>
  <si>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</si>
  <si>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</si>
  <si>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</si>
  <si>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</si>
  <si>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</si>
  <si>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</si>
  <si>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</si>
  <si>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</si>
  <si>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</si>
  <si>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</si>
  <si>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</si>
  <si>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</si>
  <si>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</si>
  <si>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</si>
  <si>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</si>
  <si>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</si>
  <si>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</si>
  <si>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</si>
  <si>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</si>
  <si>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</si>
  <si>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</si>
  <si>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</si>
  <si>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</si>
  <si>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</si>
  <si>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</si>
  <si>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</si>
  <si>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</si>
  <si>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</si>
  <si>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</si>
  <si>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</si>
  <si>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</si>
  <si>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</si>
  <si>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</si>
  <si>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</si>
  <si>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</si>
  <si>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</si>
  <si>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</si>
  <si>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</si>
  <si>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</si>
  <si>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</si>
  <si>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</si>
  <si>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</si>
  <si>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</si>
  <si>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</si>
  <si>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</si>
  <si>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</si>
  <si>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</si>
  <si>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</si>
  <si>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</si>
  <si>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</si>
  <si>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</si>
  <si>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</si>
  <si>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</si>
  <si>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</si>
  <si>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</si>
  <si>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</si>
  <si>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</si>
  <si>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</si>
  <si>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</si>
  <si>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</si>
  <si>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</si>
  <si>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</si>
  <si>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</si>
  <si>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</si>
  <si>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</si>
  <si>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</si>
  <si>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</si>
  <si>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</si>
  <si>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</si>
  <si>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</si>
  <si>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</si>
  <si>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</si>
  <si>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</si>
  <si>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</si>
  <si>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</si>
  <si>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</si>
  <si>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</si>
  <si>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</si>
  <si>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</si>
  <si>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</si>
  <si>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</si>
  <si>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</si>
  <si>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</si>
  <si>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</si>
  <si>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</si>
  <si>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</si>
  <si>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</si>
  <si>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</si>
  <si>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</si>
  <si>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</si>
  <si>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</si>
  <si>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</si>
  <si>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</si>
  <si>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</si>
  <si>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</si>
  <si>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</si>
  <si>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</si>
  <si>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</si>
  <si>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</si>
  <si>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</si>
  <si>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>Indicador</t>
  </si>
  <si>
    <t>Meta</t>
  </si>
  <si>
    <t>Faturamento mensal</t>
  </si>
  <si>
    <t>R$ — ajuste conforme a estação</t>
  </si>
  <si>
    <t>CMV %</t>
  </si>
  <si>
    <t>percentual máximo sobre o faturamento</t>
  </si>
  <si>
    <t>Folha %</t>
  </si>
  <si>
    <t>Marketing %</t>
  </si>
  <si>
    <t>Resultado mensal</t>
  </si>
  <si>
    <t>R$ — lucro operacional desejado</t>
  </si>
  <si>
    <t>Ingrediente</t>
  </si>
  <si>
    <t>Unidade</t>
  </si>
  <si>
    <t>Abacaxi</t>
  </si>
  <si>
    <t>Sorbet</t>
  </si>
  <si>
    <t>Base Fruta</t>
  </si>
  <si>
    <t>Fibra</t>
  </si>
  <si>
    <t>Abacaxi com hortelã</t>
  </si>
  <si>
    <t>Hortelã</t>
  </si>
  <si>
    <t>Framboesa</t>
  </si>
  <si>
    <t>Goiaba</t>
  </si>
  <si>
    <t>Goiabada</t>
  </si>
  <si>
    <t>Laranja</t>
  </si>
  <si>
    <t>Limão</t>
  </si>
  <si>
    <t>Manga</t>
  </si>
  <si>
    <t>Manga e Maracujá</t>
  </si>
  <si>
    <t>fibra</t>
  </si>
  <si>
    <t>Maracujá alcoolico</t>
  </si>
  <si>
    <t>cachaça</t>
  </si>
  <si>
    <t>Morango com Laranja</t>
  </si>
  <si>
    <t>Cacau em Pó Cargil Vermelho</t>
  </si>
  <si>
    <t>Chocolate Barry Calebaut 70%</t>
  </si>
  <si>
    <t>Tomate</t>
  </si>
  <si>
    <t>sal</t>
  </si>
  <si>
    <t>Abacate</t>
  </si>
  <si>
    <t>abacate</t>
  </si>
  <si>
    <t>Abacaxi ao vinho</t>
  </si>
  <si>
    <t>Amarena Crocante</t>
  </si>
  <si>
    <t>sacarose</t>
  </si>
  <si>
    <t>Amêndoas</t>
  </si>
  <si>
    <t>Mandorla doce pasta</t>
  </si>
  <si>
    <t>Stracciatella amarga</t>
  </si>
  <si>
    <t>Amendoim salgado</t>
  </si>
  <si>
    <t>Amendoim Pasta</t>
  </si>
  <si>
    <t>Banana</t>
  </si>
  <si>
    <t>Banana com Nutella</t>
  </si>
  <si>
    <t>Bannoffe</t>
  </si>
  <si>
    <t>Brunella caramelo</t>
  </si>
  <si>
    <t>Baunilha Francesa</t>
  </si>
  <si>
    <t>Baunilha french Pasta</t>
  </si>
  <si>
    <t>Baunilha com Doce de Leite e Macadamia</t>
  </si>
  <si>
    <t>Macadâmia</t>
  </si>
  <si>
    <t>Baunilha Com Frutas vermelhas</t>
  </si>
  <si>
    <t>Baunilha French Pasta</t>
  </si>
  <si>
    <t>Stracciatela Branca</t>
  </si>
  <si>
    <t>Baunilha Com Nozes caramelada</t>
  </si>
  <si>
    <t>Baunilha Com Ovomaltine</t>
  </si>
  <si>
    <t>Ovomaltine</t>
  </si>
  <si>
    <t>Beijinho de coco Queimado</t>
  </si>
  <si>
    <t>Coco Ralado Queimado</t>
  </si>
  <si>
    <t>Coco ralado</t>
  </si>
  <si>
    <t>Bolo de Cenoura</t>
  </si>
  <si>
    <t>Cenoura</t>
  </si>
  <si>
    <t>Manteiga</t>
  </si>
  <si>
    <t>Cacau em pó cargil vermelho</t>
  </si>
  <si>
    <t>Brigadeiro</t>
  </si>
  <si>
    <t>Café com Chocolate</t>
  </si>
  <si>
    <t>Café pasta</t>
  </si>
  <si>
    <t>Stracciatella Amarga</t>
  </si>
  <si>
    <t>Café com Doce de Leite e Crumble</t>
  </si>
  <si>
    <t>Canela em Pó</t>
  </si>
  <si>
    <t>Canela com Frutas Vermelhas</t>
  </si>
  <si>
    <t>canela em pó</t>
  </si>
  <si>
    <t>Caribe</t>
  </si>
  <si>
    <t>Rum Montila</t>
  </si>
  <si>
    <t>água</t>
  </si>
  <si>
    <t>Castanha de Caju</t>
  </si>
  <si>
    <t>Champanhe</t>
  </si>
  <si>
    <t>Champanhe 11°</t>
  </si>
  <si>
    <t>Cheese Cake com Arancia</t>
  </si>
  <si>
    <t>Cheese Cake com Limone</t>
  </si>
  <si>
    <t>Fior di Limone</t>
  </si>
  <si>
    <t>Cheese Cake com Maracujá</t>
  </si>
  <si>
    <t>Fior di Maracujá</t>
  </si>
  <si>
    <t>Chocobiscoito</t>
  </si>
  <si>
    <t>Biscoito</t>
  </si>
  <si>
    <t>Chocolate Meio Amargo Harald</t>
  </si>
  <si>
    <t>Chocolate Amargo com Nibs de Cacau e Avelã</t>
  </si>
  <si>
    <t>Nibs de cacau</t>
  </si>
  <si>
    <t>Chocolate Branco</t>
  </si>
  <si>
    <t>Chocolate Branco com Framboesa</t>
  </si>
  <si>
    <t>Stracciatella Branca</t>
  </si>
  <si>
    <t>Chocolate com Amarula</t>
  </si>
  <si>
    <t>Amarula</t>
  </si>
  <si>
    <t>Chocolate com Bombom de Amarena</t>
  </si>
  <si>
    <t>Chocolate blend</t>
  </si>
  <si>
    <t>Chocolate meio amargo com castanha do Brasil</t>
  </si>
  <si>
    <t>Ganache</t>
  </si>
  <si>
    <t>Chocolate com Frutas Vermelhas Zero</t>
  </si>
  <si>
    <t>Base G Creme</t>
  </si>
  <si>
    <t>Frutas Vermelhas Zero J&amp;B</t>
  </si>
  <si>
    <t>Chocolate com Licor de Menta</t>
  </si>
  <si>
    <t>Licor de Menta</t>
  </si>
  <si>
    <t>Chocolate com Pimenta</t>
  </si>
  <si>
    <t>Cacau em pó holandês</t>
  </si>
  <si>
    <t>Pimenta</t>
  </si>
  <si>
    <t>Zabaione</t>
  </si>
  <si>
    <t>Churros</t>
  </si>
  <si>
    <t>Coco Branco</t>
  </si>
  <si>
    <t>Coco Branco com Abacaxi e Doce de Leite</t>
  </si>
  <si>
    <t>Doce de Abacaxi</t>
  </si>
  <si>
    <t>Coco Diet</t>
  </si>
  <si>
    <t>Leite integral Fresco</t>
  </si>
  <si>
    <t>Base g creme</t>
  </si>
  <si>
    <t>Cremino</t>
  </si>
  <si>
    <t>Cremino de Pistache</t>
  </si>
  <si>
    <t>Trufa de Pistache</t>
  </si>
  <si>
    <t>Pasta de morango</t>
  </si>
  <si>
    <t>Diamante Negro</t>
  </si>
  <si>
    <t>Crocante de Amendoim</t>
  </si>
  <si>
    <t>Ferrero Rocher Dubelato</t>
  </si>
  <si>
    <t>Nocciola pasta</t>
  </si>
  <si>
    <t>Bombom R Pasta</t>
  </si>
  <si>
    <t>Bombom R Mescla</t>
  </si>
  <si>
    <t>Creme de Leite 35%</t>
  </si>
  <si>
    <t>Stracciatela branca</t>
  </si>
  <si>
    <t>Floresta Negra</t>
  </si>
  <si>
    <t>Framboesa Sorbet</t>
  </si>
  <si>
    <t>Framboesa com Chocolate Branco</t>
  </si>
  <si>
    <t>Franuí</t>
  </si>
  <si>
    <t>Gianduia Diet</t>
  </si>
  <si>
    <t>Goiaba Sorbet</t>
  </si>
  <si>
    <t>Goiaba Sorbet Diet</t>
  </si>
  <si>
    <t>Base G Frutte</t>
  </si>
  <si>
    <t>Gorgonzola</t>
  </si>
  <si>
    <t>Iogurte com Laranja</t>
  </si>
  <si>
    <t>Fior di arancia</t>
  </si>
  <si>
    <t>Kinder Ovo</t>
  </si>
  <si>
    <t>Kit Kat</t>
  </si>
  <si>
    <t>Kit Kat mescla</t>
  </si>
  <si>
    <t>Kokadinha</t>
  </si>
  <si>
    <t>Kokadinha Pesto</t>
  </si>
  <si>
    <t>Kokadinha mescla</t>
  </si>
  <si>
    <t>La Cubanera</t>
  </si>
  <si>
    <t>Quella Branca</t>
  </si>
  <si>
    <t>Crumble de cacau</t>
  </si>
  <si>
    <t>Laranja Sorbet</t>
  </si>
  <si>
    <t>Leite Moça</t>
  </si>
  <si>
    <t>Leite Ninho Zero</t>
  </si>
  <si>
    <t>Leite Ninho com Banana Zero</t>
  </si>
  <si>
    <t>Leite Ninho com Manga Zero</t>
  </si>
  <si>
    <t>Leite Ninho com Maracujá Zero</t>
  </si>
  <si>
    <t>Leite Ninho com Morango Zero</t>
  </si>
  <si>
    <t>Leite Ninho Trufado Zero</t>
  </si>
  <si>
    <t>Trufa de Chocolate Zero</t>
  </si>
  <si>
    <t>Leite Ninho Trufado</t>
  </si>
  <si>
    <t>Leite Ninho com Nutella</t>
  </si>
  <si>
    <t>Banana Trufada zero</t>
  </si>
  <si>
    <t>Trufa de chocolate Zero</t>
  </si>
  <si>
    <t>Creme de leite 70%</t>
  </si>
  <si>
    <t>Macadâmia Pesto</t>
  </si>
  <si>
    <t>Macadâmia mescla</t>
  </si>
  <si>
    <t>Mamão com cassis</t>
  </si>
  <si>
    <t>Mamão</t>
  </si>
  <si>
    <t>Cassis licor</t>
  </si>
  <si>
    <t>Manga Sorbet Diet</t>
  </si>
  <si>
    <t>Maracujá com Nutella</t>
  </si>
  <si>
    <t>Marolo</t>
  </si>
  <si>
    <t>Mascarpone com Figo</t>
  </si>
  <si>
    <t>Quarkmix</t>
  </si>
  <si>
    <t>Mascarpone com Goiabada</t>
  </si>
  <si>
    <t>Mascarpone com Laranja e Pistache</t>
  </si>
  <si>
    <t>Mel com Gengibre</t>
  </si>
  <si>
    <t>Gengibre</t>
  </si>
  <si>
    <t>Menta com Chocolate</t>
  </si>
  <si>
    <t>Menta Pasta</t>
  </si>
  <si>
    <t>Morango com Maracujá Sorbet Diet</t>
  </si>
  <si>
    <t>Milho Verde</t>
  </si>
  <si>
    <t>Curau de milho</t>
  </si>
  <si>
    <t>Morango com Ninho</t>
  </si>
  <si>
    <t>Pasta de Morango</t>
  </si>
  <si>
    <t>Creme Ninho</t>
  </si>
  <si>
    <t>Morango com Nutella</t>
  </si>
  <si>
    <t>Morango Sorbet</t>
  </si>
  <si>
    <t>Morango Sorbet Diet</t>
  </si>
  <si>
    <t>Mousse de limão com Chocolate branco</t>
  </si>
  <si>
    <t>Limão fabbri pó</t>
  </si>
  <si>
    <t>Mousse de Maracujá</t>
  </si>
  <si>
    <t>Mousse de Maracujá com Nutella</t>
  </si>
  <si>
    <t>Mousse de maracujá com Trufa de chocolate ZERO</t>
  </si>
  <si>
    <t>trufa de chocolate Zero</t>
  </si>
  <si>
    <t>Mousse de Morango com Leite Ninho</t>
  </si>
  <si>
    <t>trufa de ninho Zero</t>
  </si>
  <si>
    <t>Nozes com Doce de Leite</t>
  </si>
  <si>
    <t>Nozes pasta</t>
  </si>
  <si>
    <t>Nozes com Figo</t>
  </si>
  <si>
    <t>Oreo</t>
  </si>
  <si>
    <t>Oreonero</t>
  </si>
  <si>
    <t>Maltovo</t>
  </si>
  <si>
    <t>Paçoca Zero</t>
  </si>
  <si>
    <t>Paçoquita Zero</t>
  </si>
  <si>
    <t>Pasta de amendoim</t>
  </si>
  <si>
    <t>Paçoca</t>
  </si>
  <si>
    <t>Pão de mel</t>
  </si>
  <si>
    <t>Canela em pó</t>
  </si>
  <si>
    <t>Cravo</t>
  </si>
  <si>
    <t>Panetone</t>
  </si>
  <si>
    <t>Frutas Cristalizadas</t>
  </si>
  <si>
    <t>Parmesão</t>
  </si>
  <si>
    <t>Passione e Pistacchio</t>
  </si>
  <si>
    <t>Trufa de pistache</t>
  </si>
  <si>
    <t>Pistache Granel</t>
  </si>
  <si>
    <t>Pavê</t>
  </si>
  <si>
    <t>ganache</t>
  </si>
  <si>
    <t>Pistache Zero</t>
  </si>
  <si>
    <t>Prestígio</t>
  </si>
  <si>
    <t>Raffaello</t>
  </si>
  <si>
    <t>amêndoas</t>
  </si>
  <si>
    <t>Red velvet mescla</t>
  </si>
  <si>
    <t>Snickers</t>
  </si>
  <si>
    <t>Stella di Natale</t>
  </si>
  <si>
    <t>Cookies Spicy</t>
  </si>
  <si>
    <t>Talento</t>
  </si>
  <si>
    <t>Cacau em pó Cargil vermelho</t>
  </si>
  <si>
    <t>Tiramisu creme</t>
  </si>
  <si>
    <t>Torta de Limão</t>
  </si>
  <si>
    <t>Torta de limão Mescla</t>
  </si>
  <si>
    <t>Whisky</t>
  </si>
  <si>
    <t>Whisky Aromitalia</t>
  </si>
  <si>
    <t>Chocolate com Whisky</t>
  </si>
  <si>
    <t>Whisky Red Label</t>
  </si>
  <si>
    <t>Abacaxi Sorbet Diet</t>
  </si>
  <si>
    <t>Diet</t>
  </si>
  <si>
    <t>Abacaxi com Morango Sorbet Diet</t>
  </si>
  <si>
    <t>Ameixa Diet</t>
  </si>
  <si>
    <t>Ameixa</t>
  </si>
  <si>
    <t>Amendoim Salgado Diet</t>
  </si>
  <si>
    <t>Avelã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</si>
</sst>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4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11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0" fillId="0" borderId="0" xfId="0" applyNumberFormat="1"/>
    <xf numFmtId="0" fontId="6" fillId="6" borderId="2" xfId="0" applyFont="1" applyFill="1" applyBorder="1" applyAlignment="1">
      <alignment horizontal="center" vertical="center" textRotation="255"/>
    </xf>
    <xf numFmtId="0" fontId="0" fillId="0" borderId="7" xfId="0" applyBorder="1"/>
    <xf numFmtId="0" fontId="0" fillId="0" borderId="8" xfId="0" applyBorder="1"/>
    <xf numFmtId="0" fontId="5" fillId="0" borderId="2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2" xfId="0" applyFont="1" applyFill="1" applyBorder="1" applyAlignment="1">
      <alignment horizontal="center"/>
    </xf>
    <xf numFmtId="168" fontId="10" fillId="14" borderId="2" xfId="0" applyNumberFormat="1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5" fillId="14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13" fillId="17" borderId="13" xfId="1" applyFont="1" applyFill="1" applyBorder="1" applyAlignment="1">
      <alignment horizontal="center"/>
    </xf>
    <xf numFmtId="0" fontId="12" fillId="0" borderId="0" xfId="1"/>
    <xf numFmtId="0" fontId="12" fillId="18" borderId="13" xfId="1" applyFill="1" applyBorder="1" applyAlignment="1">
      <alignment horizontal="center"/>
    </xf>
    <xf numFmtId="1" fontId="12" fillId="18" borderId="13" xfId="1" applyNumberFormat="1" applyFill="1" applyBorder="1" applyAlignment="1">
      <alignment horizontal="center"/>
    </xf>
    <xf numFmtId="0" fontId="12" fillId="0" borderId="13" xfId="1" applyBorder="1" applyAlignment="1">
      <alignment horizontal="center"/>
    </xf>
    <xf numFmtId="1" fontId="12" fillId="0" borderId="13" xfId="1" applyNumberFormat="1" applyBorder="1" applyAlignment="1">
      <alignment horizontal="center"/>
    </xf>
    <xf numFmtId="0" fontId="12" fillId="19" borderId="13" xfId="1" applyFill="1" applyBorder="1" applyAlignment="1">
      <alignment horizontal="center"/>
    </xf>
    <xf numFmtId="0" fontId="12" fillId="19" borderId="13" xfId="1" applyFill="1" applyBorder="1" applyAlignment="1">
      <alignment horizontal="center" vertical="center"/>
    </xf>
    <xf numFmtId="1" fontId="12" fillId="0" borderId="13" xfId="1" applyNumberFormat="1" applyBorder="1" applyAlignment="1">
      <alignment horizontal="center" vertical="center"/>
    </xf>
    <xf numFmtId="0" fontId="12" fillId="18" borderId="13" xfId="1" applyFill="1" applyBorder="1" applyAlignment="1">
      <alignment horizontal="center" vertical="center"/>
    </xf>
    <xf numFmtId="1" fontId="12" fillId="18" borderId="13" xfId="1" applyNumberFormat="1" applyFill="1" applyBorder="1" applyAlignment="1">
      <alignment horizontal="center" vertical="center"/>
    </xf>
    <xf numFmtId="0" fontId="12" fillId="0" borderId="13" xfId="1" applyBorder="1" applyAlignment="1">
      <alignment horizontal="center" vertical="center"/>
    </xf>
  </cellXfs>
  <cellStyles count="2">
    <cellStyle name="Normal" xfId="0" builtinId="0"/>
    <cellStyle name="Normal 2" xfId="1" xr:uid="{76B83339-281E-424F-8701-FDC425B290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>
        <v>0.01</v>
      </c>
      <c r="H3" s="7"/>
      <c r="I3" s="5"/>
      <c r="J3" s="5" t="str">
        <f t="shared" ref="J3:J34" si="0">TEXT(A3,"yyyy-mm")</f>
        <v>yyyy-07</v>
      </c>
      <c r="K3" s="7">
        <f>G3</f>
        <v>0.01</v>
      </c>
    </row>
    <row r="4" spans="1:11" x14ac:dyDescent="0.25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>
        <v>0.01</v>
      </c>
      <c r="H4" s="7"/>
      <c r="I4" s="5"/>
      <c r="J4" s="5" t="str">
        <f t="shared" si="0"/>
        <v>yyyy-07</v>
      </c>
      <c r="K4" s="7">
        <f t="shared" ref="K4:K35" si="1"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5">
      <c r="A11" s="8">
        <v>46204</v>
      </c>
      <c r="B11" s="9" t="s">
        <v>30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5">
      <c r="A16" s="8">
        <v>46206</v>
      </c>
      <c r="B16" s="9" t="s">
        <v>31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5">
      <c r="A19" s="8">
        <v>46206</v>
      </c>
      <c r="B19" s="9" t="s">
        <v>32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5">
      <c r="A21" s="8">
        <v>46206</v>
      </c>
      <c r="B21" s="9" t="s">
        <v>33</v>
      </c>
      <c r="C21" s="6" t="s">
        <v>12</v>
      </c>
      <c r="D21" s="6" t="s">
        <v>34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5">
      <c r="A22" s="8">
        <v>46207</v>
      </c>
      <c r="B22" s="9" t="s">
        <v>31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5">
      <c r="A23" s="8">
        <v>46207</v>
      </c>
      <c r="B23" s="9" t="s">
        <v>35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5">
      <c r="A25" s="8">
        <v>46207</v>
      </c>
      <c r="B25" s="9" t="s">
        <v>34</v>
      </c>
      <c r="C25" s="6" t="s">
        <v>12</v>
      </c>
      <c r="D25" s="6" t="s">
        <v>34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5">
      <c r="A26" s="8">
        <v>46178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yyyy-06</v>
      </c>
      <c r="K26" s="7">
        <f t="shared" si="1"/>
        <v>10537.2</v>
      </c>
    </row>
    <row r="27" spans="1:11" ht="15.75" customHeight="1" x14ac:dyDescent="0.25">
      <c r="A27" s="8">
        <v>46178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yyyy-06</v>
      </c>
      <c r="K27" s="7">
        <f t="shared" si="1"/>
        <v>10931.2</v>
      </c>
    </row>
    <row r="28" spans="1:11" ht="15.75" customHeight="1" x14ac:dyDescent="0.25">
      <c r="A28" s="8">
        <v>46178</v>
      </c>
      <c r="B28" s="9" t="s">
        <v>36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yyyy-06</v>
      </c>
      <c r="K28" s="7">
        <f t="shared" si="1"/>
        <v>10896.2</v>
      </c>
    </row>
    <row r="29" spans="1:11" ht="15.75" customHeight="1" x14ac:dyDescent="0.25">
      <c r="A29" s="8">
        <v>46178</v>
      </c>
      <c r="B29" s="9" t="s">
        <v>34</v>
      </c>
      <c r="C29" s="6" t="s">
        <v>12</v>
      </c>
      <c r="D29" s="6" t="s">
        <v>34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yyyy-06</v>
      </c>
      <c r="K29" s="7">
        <f t="shared" si="1"/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/>
      <c r="H30" s="10"/>
      <c r="I30" s="9"/>
      <c r="J30" s="5" t="str">
        <f t="shared" si="0"/>
        <v>yyyy-07</v>
      </c>
      <c r="K30" s="7">
        <f t="shared" si="1"/>
        <v>10746.2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/>
      <c r="H31" s="10"/>
      <c r="I31" s="9"/>
      <c r="J31" s="5" t="str">
        <f t="shared" si="0"/>
        <v>yyyy-07</v>
      </c>
      <c r="K31" s="7">
        <f t="shared" si="1"/>
        <v>10746.2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/>
      <c r="H32" s="10"/>
      <c r="I32" s="9"/>
      <c r="J32" s="5" t="str">
        <f t="shared" si="0"/>
        <v>yyyy-07</v>
      </c>
      <c r="K32" s="7">
        <f t="shared" si="1"/>
        <v>10746.2</v>
      </c>
    </row>
    <row r="33" spans="1:11" ht="15.75" customHeight="1" x14ac:dyDescent="0.25">
      <c r="A33" s="8">
        <v>46209</v>
      </c>
      <c r="B33" s="9" t="s">
        <v>37</v>
      </c>
      <c r="C33" s="6" t="s">
        <v>12</v>
      </c>
      <c r="D33" s="6" t="s">
        <v>34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10446.200000000001</v>
      </c>
    </row>
    <row r="34" spans="1:11" ht="15.75" customHeight="1" x14ac:dyDescent="0.25">
      <c r="A34" s="8">
        <v>46209</v>
      </c>
      <c r="B34" s="9" t="s">
        <v>38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10221.200000000001</v>
      </c>
    </row>
    <row r="35" spans="1:11" ht="15.75" customHeight="1" x14ac:dyDescent="0.25">
      <c r="A35" s="8">
        <v>46209</v>
      </c>
      <c r="B35" s="9" t="s">
        <v>39</v>
      </c>
      <c r="C35" s="6" t="s">
        <v>12</v>
      </c>
      <c r="D35" s="6" t="s">
        <v>40</v>
      </c>
      <c r="E35" s="6" t="s">
        <v>17</v>
      </c>
      <c r="F35" s="9"/>
      <c r="G35" s="7">
        <v>8918.64</v>
      </c>
      <c r="H35" s="10"/>
      <c r="I35" s="9"/>
      <c r="J35" s="5" t="str">
        <f t="shared" ref="J35:J66" si="2">TEXT(A35,"yyyy-mm")</f>
        <v>yyyy-07</v>
      </c>
      <c r="K35" s="7">
        <f t="shared" si="1"/>
        <v>1302.5600000000013</v>
      </c>
    </row>
    <row r="36" spans="1:11" ht="15.75" customHeight="1" x14ac:dyDescent="0.25">
      <c r="A36" s="8">
        <v>46209</v>
      </c>
      <c r="B36" s="9" t="s">
        <v>41</v>
      </c>
      <c r="C36" s="6" t="s">
        <v>12</v>
      </c>
      <c r="D36" s="6" t="s">
        <v>40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2"/>
        <v>yyyy-07</v>
      </c>
      <c r="K36" s="7">
        <f t="shared" ref="K36:K67" si="3">K35 + IF(C36="Entrada", G36, -G36)</f>
        <v>1207.6600000000012</v>
      </c>
    </row>
    <row r="37" spans="1:11" ht="15.75" customHeight="1" x14ac:dyDescent="0.25">
      <c r="A37" s="8">
        <v>46209</v>
      </c>
      <c r="B37" s="9" t="s">
        <v>42</v>
      </c>
      <c r="C37" s="6" t="s">
        <v>12</v>
      </c>
      <c r="D37" s="6" t="s">
        <v>40</v>
      </c>
      <c r="E37" s="6" t="s">
        <v>17</v>
      </c>
      <c r="F37" s="9"/>
      <c r="G37" s="7">
        <v>100</v>
      </c>
      <c r="H37" s="10"/>
      <c r="I37" s="9"/>
      <c r="J37" s="5" t="str">
        <f t="shared" si="2"/>
        <v>yyyy-07</v>
      </c>
      <c r="K37" s="7">
        <f t="shared" si="3"/>
        <v>1107.6600000000012</v>
      </c>
    </row>
    <row r="38" spans="1:11" ht="15.75" customHeight="1" x14ac:dyDescent="0.25">
      <c r="A38" s="8">
        <v>46209</v>
      </c>
      <c r="B38" s="9" t="s">
        <v>43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2"/>
        <v>yyyy-07</v>
      </c>
      <c r="K38" s="7">
        <f t="shared" si="3"/>
        <v>929.80000000000121</v>
      </c>
    </row>
    <row r="39" spans="1:11" ht="15.75" customHeight="1" x14ac:dyDescent="0.25">
      <c r="A39" s="8">
        <v>46209</v>
      </c>
      <c r="B39" s="9" t="s">
        <v>43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2"/>
        <v>yyyy-07</v>
      </c>
      <c r="K39" s="7">
        <f t="shared" si="3"/>
        <v>608.73000000000116</v>
      </c>
    </row>
    <row r="40" spans="1:11" ht="15.75" customHeight="1" x14ac:dyDescent="0.25">
      <c r="A40" s="8">
        <v>46211</v>
      </c>
      <c r="B40" s="9" t="s">
        <v>44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2"/>
        <v>yyyy-07</v>
      </c>
      <c r="K40" s="7">
        <f t="shared" si="3"/>
        <v>79.230000000001155</v>
      </c>
    </row>
    <row r="41" spans="1:11" ht="15.75" customHeight="1" x14ac:dyDescent="0.25">
      <c r="A41" s="8">
        <v>46211</v>
      </c>
      <c r="B41" s="9" t="s">
        <v>31</v>
      </c>
      <c r="C41" s="6" t="s">
        <v>20</v>
      </c>
      <c r="D41" s="6" t="s">
        <v>13</v>
      </c>
      <c r="E41" s="9"/>
      <c r="F41" s="9"/>
      <c r="G41" s="10"/>
      <c r="H41" s="10"/>
      <c r="I41" s="9"/>
      <c r="J41" s="5" t="str">
        <f t="shared" si="2"/>
        <v>yyyy-07</v>
      </c>
      <c r="K41" s="7">
        <f t="shared" si="3"/>
        <v>79.230000000001155</v>
      </c>
    </row>
    <row r="42" spans="1:11" ht="15.75" customHeight="1" x14ac:dyDescent="0.25">
      <c r="A42" s="8">
        <v>46211</v>
      </c>
      <c r="B42" s="9" t="s">
        <v>45</v>
      </c>
      <c r="C42" s="6" t="s">
        <v>20</v>
      </c>
      <c r="D42" s="6" t="s">
        <v>22</v>
      </c>
      <c r="E42" s="6" t="s">
        <v>17</v>
      </c>
      <c r="F42" s="9"/>
      <c r="G42" s="10"/>
      <c r="H42" s="10"/>
      <c r="I42" s="9"/>
      <c r="J42" s="5" t="str">
        <f t="shared" si="2"/>
        <v>yyyy-07</v>
      </c>
      <c r="K42" s="7">
        <f t="shared" si="3"/>
        <v>79.230000000001155</v>
      </c>
    </row>
    <row r="43" spans="1:11" ht="15.75" customHeight="1" x14ac:dyDescent="0.25">
      <c r="A43" s="8">
        <v>46211</v>
      </c>
      <c r="B43" s="9" t="s">
        <v>46</v>
      </c>
      <c r="C43" s="6" t="s">
        <v>12</v>
      </c>
      <c r="D43" s="6" t="s">
        <v>24</v>
      </c>
      <c r="E43" s="6" t="s">
        <v>17</v>
      </c>
      <c r="F43" s="6" t="s">
        <v>25</v>
      </c>
      <c r="G43" s="10"/>
      <c r="H43" s="10"/>
      <c r="I43" s="9"/>
      <c r="J43" s="5" t="str">
        <f t="shared" si="2"/>
        <v>yyyy-07</v>
      </c>
      <c r="K43" s="7">
        <f t="shared" si="3"/>
        <v>79.230000000001155</v>
      </c>
    </row>
    <row r="44" spans="1:11" ht="15.75" customHeight="1" x14ac:dyDescent="0.25">
      <c r="A44" s="3"/>
      <c r="B44" s="9"/>
      <c r="C44" s="9"/>
      <c r="D44" s="9"/>
      <c r="E44" s="9"/>
      <c r="F44" s="9"/>
      <c r="G44" s="10"/>
      <c r="H44" s="10"/>
      <c r="I44" s="9"/>
      <c r="J44" s="5" t="str">
        <f t="shared" si="2"/>
        <v>yyyy-01</v>
      </c>
      <c r="K44" s="7">
        <f t="shared" si="3"/>
        <v>79.230000000001155</v>
      </c>
    </row>
    <row r="45" spans="1:11" ht="15.75" customHeight="1" x14ac:dyDescent="0.25">
      <c r="A45" s="3"/>
      <c r="B45" s="4"/>
      <c r="C45" s="5"/>
      <c r="D45" s="6"/>
      <c r="E45" s="6"/>
      <c r="F45" s="6"/>
      <c r="G45" s="7"/>
      <c r="H45" s="7"/>
      <c r="I45" s="5"/>
      <c r="J45" s="5" t="str">
        <f t="shared" si="2"/>
        <v>yyyy-01</v>
      </c>
      <c r="K45" s="7">
        <f t="shared" si="3"/>
        <v>79.230000000001155</v>
      </c>
    </row>
    <row r="46" spans="1:11" ht="15.75" customHeight="1" x14ac:dyDescent="0.25">
      <c r="A46" s="3"/>
      <c r="B46" s="4"/>
      <c r="C46" s="5"/>
      <c r="D46" s="6"/>
      <c r="E46" s="6"/>
      <c r="F46" s="6"/>
      <c r="G46" s="7"/>
      <c r="H46" s="7"/>
      <c r="I46" s="5"/>
      <c r="J46" s="5" t="str">
        <f t="shared" si="2"/>
        <v>yyyy-01</v>
      </c>
      <c r="K46" s="7">
        <f t="shared" si="3"/>
        <v>79.230000000001155</v>
      </c>
    </row>
    <row r="47" spans="1:11" ht="15.75" customHeight="1" x14ac:dyDescent="0.25">
      <c r="A47" s="3"/>
      <c r="B47" s="4"/>
      <c r="C47" s="5"/>
      <c r="D47" s="6"/>
      <c r="E47" s="6"/>
      <c r="F47" s="6"/>
      <c r="G47" s="7"/>
      <c r="H47" s="7"/>
      <c r="I47" s="5"/>
      <c r="J47" s="5" t="str">
        <f t="shared" si="2"/>
        <v>yyyy-01</v>
      </c>
      <c r="K47" s="7">
        <f t="shared" si="3"/>
        <v>79.230000000001155</v>
      </c>
    </row>
    <row r="48" spans="1:11" ht="15.75" customHeight="1" x14ac:dyDescent="0.25">
      <c r="A48" s="3"/>
      <c r="B48" s="9"/>
      <c r="C48" s="7"/>
      <c r="D48" s="6"/>
      <c r="E48" s="6"/>
      <c r="F48" s="6"/>
      <c r="G48" s="7"/>
      <c r="H48" s="7"/>
      <c r="I48" s="5"/>
      <c r="J48" s="5" t="str">
        <f t="shared" si="2"/>
        <v>yyyy-01</v>
      </c>
      <c r="K48" s="7">
        <f t="shared" si="3"/>
        <v>79.230000000001155</v>
      </c>
    </row>
    <row r="49" spans="1:11" ht="15.75" customHeight="1" x14ac:dyDescent="0.25">
      <c r="A49" s="3"/>
      <c r="B49" s="4"/>
      <c r="C49" s="5"/>
      <c r="D49" s="6"/>
      <c r="E49" s="6"/>
      <c r="F49" s="6"/>
      <c r="G49" s="7"/>
      <c r="H49" s="7"/>
      <c r="I49" s="5"/>
      <c r="J49" s="5" t="str">
        <f t="shared" si="2"/>
        <v>yyyy-01</v>
      </c>
      <c r="K49" s="7">
        <f t="shared" si="3"/>
        <v>79.230000000001155</v>
      </c>
    </row>
    <row r="50" spans="1:11" ht="15.75" customHeight="1" x14ac:dyDescent="0.25">
      <c r="A50" s="3"/>
      <c r="B50" s="4"/>
      <c r="C50" s="5"/>
      <c r="D50" s="6"/>
      <c r="E50" s="6"/>
      <c r="F50" s="6"/>
      <c r="G50" s="7"/>
      <c r="H50" s="7"/>
      <c r="I50" s="5"/>
      <c r="J50" s="5" t="str">
        <f t="shared" si="2"/>
        <v>yyyy-01</v>
      </c>
      <c r="K50" s="7">
        <f t="shared" si="3"/>
        <v>79.230000000001155</v>
      </c>
    </row>
    <row r="51" spans="1:11" ht="15.75" customHeight="1" x14ac:dyDescent="0.25">
      <c r="A51" s="3"/>
      <c r="B51" s="4"/>
      <c r="C51" s="5"/>
      <c r="D51" s="6"/>
      <c r="E51" s="6"/>
      <c r="F51" s="6"/>
      <c r="G51" s="7"/>
      <c r="H51" s="7"/>
      <c r="I51" s="5"/>
      <c r="J51" s="5" t="str">
        <f t="shared" si="2"/>
        <v>yyyy-01</v>
      </c>
      <c r="K51" s="7">
        <f t="shared" si="3"/>
        <v>79.230000000001155</v>
      </c>
    </row>
    <row r="52" spans="1:11" ht="15.75" customHeight="1" x14ac:dyDescent="0.25">
      <c r="A52" s="3"/>
      <c r="B52" s="4"/>
      <c r="C52" s="5"/>
      <c r="D52" s="6"/>
      <c r="E52" s="6"/>
      <c r="F52" s="6"/>
      <c r="G52" s="7"/>
      <c r="H52" s="7"/>
      <c r="I52" s="5"/>
      <c r="J52" s="5" t="str">
        <f t="shared" si="2"/>
        <v>yyyy-01</v>
      </c>
      <c r="K52" s="7">
        <f t="shared" si="3"/>
        <v>79.230000000001155</v>
      </c>
    </row>
    <row r="53" spans="1:11" ht="15.75" customHeight="1" x14ac:dyDescent="0.25">
      <c r="A53" s="3"/>
      <c r="B53" s="4"/>
      <c r="C53" s="5"/>
      <c r="D53" s="6"/>
      <c r="E53" s="6"/>
      <c r="F53" s="6"/>
      <c r="G53" s="7"/>
      <c r="H53" s="7"/>
      <c r="I53" s="5"/>
      <c r="J53" s="5" t="str">
        <f t="shared" si="2"/>
        <v>yyyy-01</v>
      </c>
      <c r="K53" s="7">
        <f t="shared" si="3"/>
        <v>79.230000000001155</v>
      </c>
    </row>
    <row r="54" spans="1:11" ht="15.75" customHeight="1" x14ac:dyDescent="0.25">
      <c r="A54" s="3"/>
      <c r="B54" s="4"/>
      <c r="C54" s="5"/>
      <c r="D54" s="6"/>
      <c r="E54" s="6"/>
      <c r="F54" s="6"/>
      <c r="G54" s="7"/>
      <c r="H54" s="7"/>
      <c r="I54" s="5"/>
      <c r="J54" s="5" t="str">
        <f t="shared" si="2"/>
        <v>yyyy-01</v>
      </c>
      <c r="K54" s="7">
        <f t="shared" si="3"/>
        <v>79.230000000001155</v>
      </c>
    </row>
    <row r="55" spans="1:11" ht="15.75" customHeight="1" x14ac:dyDescent="0.25">
      <c r="A55" s="3"/>
      <c r="B55" s="4"/>
      <c r="C55" s="5"/>
      <c r="D55" s="6"/>
      <c r="E55" s="6"/>
      <c r="F55" s="6"/>
      <c r="G55" s="7"/>
      <c r="H55" s="7"/>
      <c r="I55" s="5"/>
      <c r="J55" s="5" t="str">
        <f t="shared" si="2"/>
        <v>yyyy-01</v>
      </c>
      <c r="K55" s="7">
        <f t="shared" si="3"/>
        <v>79.230000000001155</v>
      </c>
    </row>
    <row r="56" spans="1:11" ht="15.75" customHeight="1" x14ac:dyDescent="0.25">
      <c r="A56" s="3"/>
      <c r="B56" s="4"/>
      <c r="C56" s="5"/>
      <c r="D56" s="6"/>
      <c r="E56" s="6"/>
      <c r="F56" s="6"/>
      <c r="G56" s="7"/>
      <c r="H56" s="7"/>
      <c r="I56" s="5"/>
      <c r="J56" s="5" t="str">
        <f t="shared" si="2"/>
        <v>yyyy-01</v>
      </c>
      <c r="K56" s="7">
        <f t="shared" si="3"/>
        <v>79.230000000001155</v>
      </c>
    </row>
    <row r="57" spans="1:11" ht="15.75" customHeight="1" x14ac:dyDescent="0.25">
      <c r="A57" s="3"/>
      <c r="B57" s="4"/>
      <c r="C57" s="5"/>
      <c r="D57" s="6"/>
      <c r="E57" s="6"/>
      <c r="F57" s="6"/>
      <c r="G57" s="7"/>
      <c r="H57" s="7"/>
      <c r="I57" s="5"/>
      <c r="J57" s="5" t="str">
        <f t="shared" si="2"/>
        <v>yyyy-01</v>
      </c>
      <c r="K57" s="7">
        <f t="shared" si="3"/>
        <v>79.230000000001155</v>
      </c>
    </row>
    <row r="58" spans="1:11" ht="15.75" customHeight="1" x14ac:dyDescent="0.25">
      <c r="A58" s="3"/>
      <c r="B58" s="4"/>
      <c r="C58" s="5"/>
      <c r="D58" s="6"/>
      <c r="E58" s="6"/>
      <c r="F58" s="6"/>
      <c r="G58" s="7"/>
      <c r="H58" s="7"/>
      <c r="I58" s="5"/>
      <c r="J58" s="5" t="str">
        <f t="shared" si="2"/>
        <v>yyyy-01</v>
      </c>
      <c r="K58" s="7">
        <f t="shared" si="3"/>
        <v>79.230000000001155</v>
      </c>
    </row>
    <row r="59" spans="1:11" ht="15.75" customHeight="1" x14ac:dyDescent="0.25">
      <c r="A59" s="3"/>
      <c r="B59" s="4"/>
      <c r="C59" s="5"/>
      <c r="D59" s="6"/>
      <c r="E59" s="6"/>
      <c r="F59" s="6"/>
      <c r="G59" s="7"/>
      <c r="H59" s="7"/>
      <c r="I59" s="5"/>
      <c r="J59" s="5" t="str">
        <f t="shared" si="2"/>
        <v>yyyy-01</v>
      </c>
      <c r="K59" s="7">
        <f t="shared" si="3"/>
        <v>79.230000000001155</v>
      </c>
    </row>
    <row r="60" spans="1:11" ht="15.75" customHeight="1" x14ac:dyDescent="0.25">
      <c r="A60" s="3"/>
      <c r="B60" s="4"/>
      <c r="C60" s="5"/>
      <c r="D60" s="6"/>
      <c r="E60" s="6"/>
      <c r="F60" s="6"/>
      <c r="G60" s="7"/>
      <c r="H60" s="7"/>
      <c r="I60" s="5"/>
      <c r="J60" s="5" t="str">
        <f t="shared" si="2"/>
        <v>yyyy-01</v>
      </c>
      <c r="K60" s="7">
        <f t="shared" si="3"/>
        <v>79.230000000001155</v>
      </c>
    </row>
    <row r="61" spans="1:11" ht="15.75" customHeight="1" x14ac:dyDescent="0.25">
      <c r="A61" s="3"/>
      <c r="B61" s="4"/>
      <c r="C61" s="5"/>
      <c r="D61" s="6"/>
      <c r="E61" s="6"/>
      <c r="F61" s="6"/>
      <c r="G61" s="7"/>
      <c r="H61" s="7"/>
      <c r="I61" s="5"/>
      <c r="J61" s="5" t="str">
        <f t="shared" si="2"/>
        <v>yyyy-01</v>
      </c>
      <c r="K61" s="7">
        <f t="shared" si="3"/>
        <v>79.230000000001155</v>
      </c>
    </row>
    <row r="62" spans="1:11" ht="15.75" customHeight="1" x14ac:dyDescent="0.25">
      <c r="A62" s="3"/>
      <c r="B62" s="4"/>
      <c r="C62" s="5"/>
      <c r="D62" s="6"/>
      <c r="E62" s="6"/>
      <c r="F62" s="6"/>
      <c r="G62" s="7"/>
      <c r="H62" s="7"/>
      <c r="I62" s="5"/>
      <c r="J62" s="5" t="str">
        <f t="shared" si="2"/>
        <v>yyyy-01</v>
      </c>
      <c r="K62" s="7">
        <f t="shared" si="3"/>
        <v>79.230000000001155</v>
      </c>
    </row>
    <row r="63" spans="1:11" ht="15.75" customHeight="1" x14ac:dyDescent="0.25">
      <c r="A63" s="3"/>
      <c r="B63" s="4"/>
      <c r="C63" s="5"/>
      <c r="D63" s="6"/>
      <c r="E63" s="6"/>
      <c r="F63" s="6"/>
      <c r="G63" s="7"/>
      <c r="H63" s="7"/>
      <c r="I63" s="5"/>
      <c r="J63" s="5" t="str">
        <f t="shared" si="2"/>
        <v>yyyy-01</v>
      </c>
      <c r="K63" s="7">
        <f t="shared" si="3"/>
        <v>79.230000000001155</v>
      </c>
    </row>
    <row r="64" spans="1:11" ht="15.75" customHeight="1" x14ac:dyDescent="0.25">
      <c r="A64" s="3"/>
      <c r="B64" s="4"/>
      <c r="C64" s="5"/>
      <c r="D64" s="6"/>
      <c r="E64" s="6"/>
      <c r="F64" s="6"/>
      <c r="G64" s="7"/>
      <c r="H64" s="7"/>
      <c r="I64" s="5"/>
      <c r="J64" s="5" t="str">
        <f t="shared" si="2"/>
        <v>yyyy-01</v>
      </c>
      <c r="K64" s="7">
        <f t="shared" si="3"/>
        <v>79.230000000001155</v>
      </c>
    </row>
    <row r="65" spans="1:11" ht="15.75" customHeight="1" x14ac:dyDescent="0.25">
      <c r="A65" s="3"/>
      <c r="B65" s="4"/>
      <c r="C65" s="5"/>
      <c r="D65" s="6"/>
      <c r="E65" s="6"/>
      <c r="F65" s="6"/>
      <c r="G65" s="7"/>
      <c r="H65" s="7"/>
      <c r="I65" s="5"/>
      <c r="J65" s="5" t="str">
        <f t="shared" si="2"/>
        <v>yyyy-01</v>
      </c>
      <c r="K65" s="7">
        <f t="shared" si="3"/>
        <v>79.230000000001155</v>
      </c>
    </row>
    <row r="66" spans="1:11" ht="15.75" customHeight="1" x14ac:dyDescent="0.25">
      <c r="A66" s="3"/>
      <c r="B66" s="4"/>
      <c r="C66" s="5"/>
      <c r="D66" s="6"/>
      <c r="E66" s="6"/>
      <c r="F66" s="6"/>
      <c r="G66" s="7"/>
      <c r="H66" s="7"/>
      <c r="I66" s="5"/>
      <c r="J66" s="5" t="str">
        <f t="shared" si="2"/>
        <v>yyyy-01</v>
      </c>
      <c r="K66" s="7">
        <f t="shared" si="3"/>
        <v>79.230000000001155</v>
      </c>
    </row>
    <row r="67" spans="1:11" ht="15.75" customHeight="1" x14ac:dyDescent="0.25">
      <c r="A67" s="3"/>
      <c r="B67" s="4"/>
      <c r="C67" s="5"/>
      <c r="D67" s="6"/>
      <c r="E67" s="6"/>
      <c r="F67" s="6"/>
      <c r="G67" s="7"/>
      <c r="H67" s="7"/>
      <c r="I67" s="5"/>
      <c r="J67" s="5" t="str">
        <f t="shared" ref="J67:J98" si="4">TEXT(A67,"yyyy-mm")</f>
        <v>yyyy-01</v>
      </c>
      <c r="K67" s="7">
        <f t="shared" si="3"/>
        <v>79.230000000001155</v>
      </c>
    </row>
    <row r="68" spans="1:11" ht="15.75" customHeight="1" x14ac:dyDescent="0.25">
      <c r="A68" s="3"/>
      <c r="B68" s="4"/>
      <c r="C68" s="5"/>
      <c r="D68" s="6"/>
      <c r="E68" s="6"/>
      <c r="F68" s="6"/>
      <c r="G68" s="7"/>
      <c r="H68" s="7"/>
      <c r="I68" s="5"/>
      <c r="J68" s="5" t="str">
        <f t="shared" si="4"/>
        <v>yyyy-01</v>
      </c>
      <c r="K68" s="7">
        <f t="shared" ref="K68:K99" si="5">K67 + IF(C68="Entrada", G68, -G68)</f>
        <v>79.230000000001155</v>
      </c>
    </row>
    <row r="69" spans="1:11" ht="15.75" customHeight="1" x14ac:dyDescent="0.25">
      <c r="A69" s="3"/>
      <c r="B69" s="4"/>
      <c r="C69" s="5"/>
      <c r="D69" s="6"/>
      <c r="E69" s="6"/>
      <c r="F69" s="6"/>
      <c r="G69" s="7"/>
      <c r="H69" s="7"/>
      <c r="I69" s="5"/>
      <c r="J69" s="5" t="str">
        <f t="shared" si="4"/>
        <v>yyyy-01</v>
      </c>
      <c r="K69" s="7">
        <f t="shared" si="5"/>
        <v>79.230000000001155</v>
      </c>
    </row>
    <row r="70" spans="1:11" ht="15.75" customHeight="1" x14ac:dyDescent="0.25">
      <c r="A70" s="3"/>
      <c r="B70" s="4"/>
      <c r="C70" s="5"/>
      <c r="D70" s="6"/>
      <c r="E70" s="6"/>
      <c r="F70" s="6"/>
      <c r="G70" s="7"/>
      <c r="H70" s="7"/>
      <c r="I70" s="5"/>
      <c r="J70" s="5" t="str">
        <f t="shared" si="4"/>
        <v>yyyy-01</v>
      </c>
      <c r="K70" s="7">
        <f t="shared" si="5"/>
        <v>79.230000000001155</v>
      </c>
    </row>
    <row r="71" spans="1:11" ht="15.75" customHeight="1" x14ac:dyDescent="0.25">
      <c r="A71" s="3"/>
      <c r="B71" s="4"/>
      <c r="C71" s="5"/>
      <c r="D71" s="6"/>
      <c r="E71" s="6"/>
      <c r="F71" s="6"/>
      <c r="G71" s="7"/>
      <c r="H71" s="7"/>
      <c r="I71" s="5"/>
      <c r="J71" s="5" t="str">
        <f t="shared" si="4"/>
        <v>yyyy-01</v>
      </c>
      <c r="K71" s="7">
        <f t="shared" si="5"/>
        <v>79.230000000001155</v>
      </c>
    </row>
    <row r="72" spans="1:11" ht="15.75" customHeight="1" x14ac:dyDescent="0.25">
      <c r="A72" s="3"/>
      <c r="B72" s="4"/>
      <c r="C72" s="5"/>
      <c r="D72" s="6"/>
      <c r="E72" s="6"/>
      <c r="F72" s="6"/>
      <c r="G72" s="7"/>
      <c r="H72" s="7"/>
      <c r="I72" s="5"/>
      <c r="J72" s="5" t="str">
        <f t="shared" si="4"/>
        <v>yyyy-01</v>
      </c>
      <c r="K72" s="7">
        <f t="shared" si="5"/>
        <v>79.230000000001155</v>
      </c>
    </row>
    <row r="73" spans="1:11" ht="15.75" customHeight="1" x14ac:dyDescent="0.25">
      <c r="A73" s="3"/>
      <c r="B73" s="4"/>
      <c r="C73" s="5"/>
      <c r="D73" s="6"/>
      <c r="E73" s="6"/>
      <c r="F73" s="6"/>
      <c r="G73" s="7"/>
      <c r="H73" s="7"/>
      <c r="I73" s="5"/>
      <c r="J73" s="5" t="str">
        <f t="shared" si="4"/>
        <v>yyyy-01</v>
      </c>
      <c r="K73" s="7">
        <f t="shared" si="5"/>
        <v>79.230000000001155</v>
      </c>
    </row>
    <row r="74" spans="1:11" ht="15.75" customHeight="1" x14ac:dyDescent="0.25">
      <c r="A74" s="3"/>
      <c r="B74" s="4"/>
      <c r="C74" s="5"/>
      <c r="D74" s="6"/>
      <c r="E74" s="6"/>
      <c r="F74" s="6"/>
      <c r="G74" s="7"/>
      <c r="H74" s="7"/>
      <c r="I74" s="5"/>
      <c r="J74" s="5" t="str">
        <f t="shared" si="4"/>
        <v>yyyy-01</v>
      </c>
      <c r="K74" s="7">
        <f t="shared" si="5"/>
        <v>79.230000000001155</v>
      </c>
    </row>
    <row r="75" spans="1:11" ht="15.75" customHeight="1" x14ac:dyDescent="0.25">
      <c r="A75" s="12"/>
      <c r="B75" s="4"/>
      <c r="C75" s="5"/>
      <c r="D75" s="6"/>
      <c r="E75" s="6"/>
      <c r="F75" s="6"/>
      <c r="G75" s="7"/>
      <c r="H75" s="7"/>
      <c r="I75" s="5"/>
      <c r="J75" s="5" t="str">
        <f t="shared" si="4"/>
        <v>yyyy-01</v>
      </c>
      <c r="K75" s="7">
        <f t="shared" si="5"/>
        <v>79.230000000001155</v>
      </c>
    </row>
    <row r="76" spans="1:11" ht="15.75" customHeight="1" x14ac:dyDescent="0.25">
      <c r="A76" s="3"/>
      <c r="B76" s="4"/>
      <c r="C76" s="5"/>
      <c r="D76" s="6"/>
      <c r="E76" s="6"/>
      <c r="F76" s="6"/>
      <c r="G76" s="7"/>
      <c r="H76" s="7"/>
      <c r="I76" s="5"/>
      <c r="J76" s="5" t="str">
        <f t="shared" si="4"/>
        <v>yyyy-01</v>
      </c>
      <c r="K76" s="7">
        <f t="shared" si="5"/>
        <v>79.230000000001155</v>
      </c>
    </row>
    <row r="77" spans="1:11" ht="15.75" customHeight="1" x14ac:dyDescent="0.25">
      <c r="A77" s="3"/>
      <c r="B77" s="4"/>
      <c r="C77" s="5"/>
      <c r="D77" s="6"/>
      <c r="E77" s="6"/>
      <c r="F77" s="6"/>
      <c r="G77" s="7"/>
      <c r="H77" s="7"/>
      <c r="I77" s="5"/>
      <c r="J77" s="5" t="str">
        <f t="shared" si="4"/>
        <v>yyyy-01</v>
      </c>
      <c r="K77" s="7">
        <f t="shared" si="5"/>
        <v>79.230000000001155</v>
      </c>
    </row>
    <row r="78" spans="1:11" ht="15.75" customHeight="1" x14ac:dyDescent="0.25">
      <c r="A78" s="3"/>
      <c r="B78" s="4"/>
      <c r="C78" s="5"/>
      <c r="D78" s="6"/>
      <c r="E78" s="6"/>
      <c r="F78" s="6"/>
      <c r="G78" s="7"/>
      <c r="H78" s="7"/>
      <c r="I78" s="5"/>
      <c r="J78" s="5" t="str">
        <f t="shared" si="4"/>
        <v>yyyy-01</v>
      </c>
      <c r="K78" s="7">
        <f t="shared" si="5"/>
        <v>79.230000000001155</v>
      </c>
    </row>
    <row r="79" spans="1:11" ht="15.75" customHeight="1" x14ac:dyDescent="0.25">
      <c r="A79" s="3"/>
      <c r="B79" s="4"/>
      <c r="C79" s="5"/>
      <c r="D79" s="6"/>
      <c r="E79" s="6"/>
      <c r="F79" s="6"/>
      <c r="G79" s="7"/>
      <c r="H79" s="7"/>
      <c r="I79" s="5"/>
      <c r="J79" s="5" t="str">
        <f t="shared" si="4"/>
        <v>yyyy-01</v>
      </c>
      <c r="K79" s="7">
        <f t="shared" si="5"/>
        <v>79.230000000001155</v>
      </c>
    </row>
    <row r="80" spans="1:11" ht="15.75" customHeight="1" x14ac:dyDescent="0.25">
      <c r="A80" s="3"/>
      <c r="B80" s="4"/>
      <c r="C80" s="5"/>
      <c r="D80" s="6"/>
      <c r="E80" s="6"/>
      <c r="F80" s="6"/>
      <c r="G80" s="7"/>
      <c r="H80" s="7"/>
      <c r="I80" s="5"/>
      <c r="J80" s="5" t="str">
        <f t="shared" si="4"/>
        <v>yyyy-01</v>
      </c>
      <c r="K80" s="7">
        <f t="shared" si="5"/>
        <v>79.230000000001155</v>
      </c>
    </row>
    <row r="81" spans="1:11" ht="15.75" customHeight="1" x14ac:dyDescent="0.25">
      <c r="A81" s="3"/>
      <c r="B81" s="4"/>
      <c r="C81" s="5"/>
      <c r="D81" s="6"/>
      <c r="E81" s="6"/>
      <c r="F81" s="6"/>
      <c r="G81" s="7"/>
      <c r="H81" s="7"/>
      <c r="I81" s="5"/>
      <c r="J81" s="5" t="str">
        <f t="shared" si="4"/>
        <v>yyyy-01</v>
      </c>
      <c r="K81" s="7">
        <f t="shared" si="5"/>
        <v>79.230000000001155</v>
      </c>
    </row>
    <row r="82" spans="1:11" ht="15.75" customHeight="1" x14ac:dyDescent="0.25">
      <c r="A82" s="12"/>
      <c r="B82" s="4"/>
      <c r="C82" s="5"/>
      <c r="D82" s="6"/>
      <c r="E82" s="6"/>
      <c r="F82" s="6"/>
      <c r="G82" s="7"/>
      <c r="H82" s="7"/>
      <c r="I82" s="5"/>
      <c r="J82" s="5" t="str">
        <f t="shared" si="4"/>
        <v>yyyy-01</v>
      </c>
      <c r="K82" s="7">
        <f t="shared" si="5"/>
        <v>79.230000000001155</v>
      </c>
    </row>
    <row r="83" spans="1:11" ht="15.75" customHeight="1" x14ac:dyDescent="0.25">
      <c r="A83" s="12"/>
      <c r="B83" s="4"/>
      <c r="C83" s="5"/>
      <c r="D83" s="6"/>
      <c r="E83" s="6"/>
      <c r="F83" s="6"/>
      <c r="G83" s="7"/>
      <c r="H83" s="7"/>
      <c r="I83" s="5"/>
      <c r="J83" s="5" t="str">
        <f t="shared" si="4"/>
        <v>yyyy-01</v>
      </c>
      <c r="K83" s="7">
        <f t="shared" si="5"/>
        <v>79.230000000001155</v>
      </c>
    </row>
    <row r="84" spans="1:11" ht="15.75" customHeight="1" x14ac:dyDescent="0.25">
      <c r="A84" s="3"/>
      <c r="B84" s="4"/>
      <c r="C84" s="5"/>
      <c r="D84" s="6"/>
      <c r="E84" s="6"/>
      <c r="F84" s="6"/>
      <c r="G84" s="7"/>
      <c r="H84" s="7"/>
      <c r="I84" s="5"/>
      <c r="J84" s="5" t="str">
        <f t="shared" si="4"/>
        <v>yyyy-01</v>
      </c>
      <c r="K84" s="7">
        <f t="shared" si="5"/>
        <v>79.230000000001155</v>
      </c>
    </row>
    <row r="85" spans="1:11" ht="15.75" customHeight="1" x14ac:dyDescent="0.25">
      <c r="A85" s="3"/>
      <c r="B85" s="4"/>
      <c r="C85" s="5"/>
      <c r="D85" s="6"/>
      <c r="E85" s="6"/>
      <c r="F85" s="6"/>
      <c r="G85" s="7"/>
      <c r="H85" s="7"/>
      <c r="I85" s="5"/>
      <c r="J85" s="5" t="str">
        <f t="shared" si="4"/>
        <v>yyyy-01</v>
      </c>
      <c r="K85" s="7">
        <f t="shared" si="5"/>
        <v>79.230000000001155</v>
      </c>
    </row>
    <row r="86" spans="1:11" ht="15.75" customHeight="1" x14ac:dyDescent="0.25">
      <c r="A86" s="3"/>
      <c r="B86" s="4"/>
      <c r="C86" s="5"/>
      <c r="D86" s="6"/>
      <c r="E86" s="6"/>
      <c r="F86" s="6"/>
      <c r="G86" s="7"/>
      <c r="H86" s="7"/>
      <c r="I86" s="5"/>
      <c r="J86" s="5" t="str">
        <f t="shared" si="4"/>
        <v>yyyy-01</v>
      </c>
      <c r="K86" s="7">
        <f t="shared" si="5"/>
        <v>79.230000000001155</v>
      </c>
    </row>
    <row r="87" spans="1:11" ht="15.75" customHeight="1" x14ac:dyDescent="0.25">
      <c r="A87" s="12"/>
      <c r="B87" s="4"/>
      <c r="C87" s="5"/>
      <c r="D87" s="6"/>
      <c r="E87" s="6"/>
      <c r="F87" s="6"/>
      <c r="G87" s="7"/>
      <c r="H87" s="7"/>
      <c r="I87" s="5"/>
      <c r="J87" s="5" t="str">
        <f t="shared" si="4"/>
        <v>yyyy-01</v>
      </c>
      <c r="K87" s="7">
        <f t="shared" si="5"/>
        <v>79.230000000001155</v>
      </c>
    </row>
    <row r="88" spans="1:11" ht="15.75" customHeight="1" x14ac:dyDescent="0.25">
      <c r="A88" s="3"/>
      <c r="B88" s="4"/>
      <c r="C88" s="5"/>
      <c r="D88" s="6"/>
      <c r="E88" s="6"/>
      <c r="F88" s="6"/>
      <c r="G88" s="7"/>
      <c r="H88" s="7"/>
      <c r="I88" s="5"/>
      <c r="J88" s="5" t="str">
        <f t="shared" si="4"/>
        <v>yyyy-01</v>
      </c>
      <c r="K88" s="7">
        <f t="shared" si="5"/>
        <v>79.230000000001155</v>
      </c>
    </row>
    <row r="89" spans="1:11" ht="15.75" customHeight="1" x14ac:dyDescent="0.25">
      <c r="A89" s="3"/>
      <c r="B89" s="4"/>
      <c r="C89" s="5"/>
      <c r="D89" s="6"/>
      <c r="E89" s="6"/>
      <c r="F89" s="6"/>
      <c r="G89" s="7"/>
      <c r="H89" s="7"/>
      <c r="I89" s="5"/>
      <c r="J89" s="5" t="str">
        <f t="shared" si="4"/>
        <v>yyyy-01</v>
      </c>
      <c r="K89" s="7">
        <f t="shared" si="5"/>
        <v>79.230000000001155</v>
      </c>
    </row>
    <row r="90" spans="1:11" ht="15.75" customHeight="1" x14ac:dyDescent="0.25">
      <c r="A90" s="3"/>
      <c r="B90" s="4"/>
      <c r="C90" s="5"/>
      <c r="D90" s="6"/>
      <c r="E90" s="6"/>
      <c r="F90" s="6"/>
      <c r="G90" s="7"/>
      <c r="H90" s="7"/>
      <c r="I90" s="5"/>
      <c r="J90" s="5" t="str">
        <f t="shared" si="4"/>
        <v>yyyy-01</v>
      </c>
      <c r="K90" s="7">
        <f t="shared" si="5"/>
        <v>79.230000000001155</v>
      </c>
    </row>
    <row r="91" spans="1:11" ht="15.75" customHeight="1" x14ac:dyDescent="0.25">
      <c r="A91" s="3"/>
      <c r="B91" s="4"/>
      <c r="C91" s="5"/>
      <c r="D91" s="6"/>
      <c r="E91" s="6"/>
      <c r="F91" s="6"/>
      <c r="G91" s="7"/>
      <c r="H91" s="7"/>
      <c r="I91" s="5"/>
      <c r="J91" s="5" t="str">
        <f t="shared" si="4"/>
        <v>yyyy-01</v>
      </c>
      <c r="K91" s="7">
        <f t="shared" si="5"/>
        <v>79.230000000001155</v>
      </c>
    </row>
    <row r="92" spans="1:11" ht="15.75" customHeight="1" x14ac:dyDescent="0.25">
      <c r="A92" s="3"/>
      <c r="B92" s="4"/>
      <c r="C92" s="5"/>
      <c r="D92" s="6"/>
      <c r="E92" s="6"/>
      <c r="F92" s="6"/>
      <c r="G92" s="7"/>
      <c r="H92" s="7"/>
      <c r="I92" s="5"/>
      <c r="J92" s="5" t="str">
        <f t="shared" si="4"/>
        <v>yyyy-01</v>
      </c>
      <c r="K92" s="7">
        <f t="shared" si="5"/>
        <v>79.230000000001155</v>
      </c>
    </row>
    <row r="93" spans="1:11" ht="15.75" customHeight="1" x14ac:dyDescent="0.25">
      <c r="A93" s="3"/>
      <c r="B93" s="4"/>
      <c r="C93" s="5"/>
      <c r="D93" s="6"/>
      <c r="E93" s="6"/>
      <c r="F93" s="6"/>
      <c r="G93" s="7"/>
      <c r="H93" s="7"/>
      <c r="I93" s="5"/>
      <c r="J93" s="5" t="str">
        <f t="shared" si="4"/>
        <v>yyyy-01</v>
      </c>
      <c r="K93" s="7">
        <f t="shared" si="5"/>
        <v>79.230000000001155</v>
      </c>
    </row>
    <row r="94" spans="1:11" ht="15.75" customHeight="1" x14ac:dyDescent="0.25">
      <c r="A94" s="3"/>
      <c r="B94" s="4"/>
      <c r="C94" s="5"/>
      <c r="D94" s="6"/>
      <c r="E94" s="6"/>
      <c r="F94" s="6"/>
      <c r="G94" s="7"/>
      <c r="H94" s="7"/>
      <c r="I94" s="5"/>
      <c r="J94" s="5" t="str">
        <f t="shared" si="4"/>
        <v>yyyy-01</v>
      </c>
      <c r="K94" s="7">
        <f t="shared" si="5"/>
        <v>79.230000000001155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4"/>
        <v>yyyy-01</v>
      </c>
      <c r="K95" s="7">
        <f t="shared" si="5"/>
        <v>79.230000000001155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4"/>
        <v>yyyy-01</v>
      </c>
      <c r="K96" s="7">
        <f t="shared" si="5"/>
        <v>79.230000000001155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4"/>
        <v>yyyy-01</v>
      </c>
      <c r="K97" s="7">
        <f t="shared" si="5"/>
        <v>79.230000000001155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4"/>
        <v>yyyy-01</v>
      </c>
      <c r="K98" s="7">
        <f t="shared" si="5"/>
        <v>79.230000000001155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ref="J99:J130" si="6">TEXT(A99,"yyyy-mm")</f>
        <v>yyyy-01</v>
      </c>
      <c r="K99" s="7">
        <f t="shared" si="5"/>
        <v>79.230000000001155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6"/>
        <v>yyyy-01</v>
      </c>
      <c r="K100" s="7">
        <f t="shared" ref="K100:K131" si="7">K99 + IF(C100="Entrada", G100, -G100)</f>
        <v>79.230000000001155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6"/>
        <v>yyyy-01</v>
      </c>
      <c r="K101" s="7">
        <f t="shared" si="7"/>
        <v>79.230000000001155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6"/>
        <v>yyyy-01</v>
      </c>
      <c r="K102" s="7">
        <f t="shared" si="7"/>
        <v>79.230000000001155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6"/>
        <v>yyyy-01</v>
      </c>
      <c r="K103" s="7">
        <f t="shared" si="7"/>
        <v>79.230000000001155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6"/>
        <v>yyyy-01</v>
      </c>
      <c r="K104" s="7">
        <f t="shared" si="7"/>
        <v>79.230000000001155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6"/>
        <v>yyyy-01</v>
      </c>
      <c r="K105" s="7">
        <f t="shared" si="7"/>
        <v>79.230000000001155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6"/>
        <v>yyyy-01</v>
      </c>
      <c r="K106" s="7">
        <f t="shared" si="7"/>
        <v>79.230000000001155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6"/>
        <v>yyyy-01</v>
      </c>
      <c r="K107" s="7">
        <f t="shared" si="7"/>
        <v>79.230000000001155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6"/>
        <v>yyyy-01</v>
      </c>
      <c r="K108" s="7">
        <f t="shared" si="7"/>
        <v>79.230000000001155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6"/>
        <v>yyyy-01</v>
      </c>
      <c r="K109" s="7">
        <f t="shared" si="7"/>
        <v>79.230000000001155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6"/>
        <v>yyyy-01</v>
      </c>
      <c r="K110" s="7">
        <f t="shared" si="7"/>
        <v>79.230000000001155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6"/>
        <v>yyyy-01</v>
      </c>
      <c r="K111" s="7">
        <f t="shared" si="7"/>
        <v>79.230000000001155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6"/>
        <v>yyyy-01</v>
      </c>
      <c r="K112" s="7">
        <f t="shared" si="7"/>
        <v>79.230000000001155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6"/>
        <v>yyyy-01</v>
      </c>
      <c r="K113" s="7">
        <f t="shared" si="7"/>
        <v>79.230000000001155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6"/>
        <v>yyyy-01</v>
      </c>
      <c r="K114" s="7">
        <f t="shared" si="7"/>
        <v>79.230000000001155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6"/>
        <v>yyyy-01</v>
      </c>
      <c r="K115" s="7">
        <f t="shared" si="7"/>
        <v>79.230000000001155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6"/>
        <v>yyyy-01</v>
      </c>
      <c r="K116" s="7">
        <f t="shared" si="7"/>
        <v>79.230000000001155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6"/>
        <v>yyyy-01</v>
      </c>
      <c r="K117" s="7">
        <f t="shared" si="7"/>
        <v>79.230000000001155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6"/>
        <v>yyyy-01</v>
      </c>
      <c r="K118" s="7">
        <f t="shared" si="7"/>
        <v>79.230000000001155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6"/>
        <v>yyyy-01</v>
      </c>
      <c r="K119" s="7">
        <f t="shared" si="7"/>
        <v>79.230000000001155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6"/>
        <v>yyyy-01</v>
      </c>
      <c r="K120" s="7">
        <f t="shared" si="7"/>
        <v>79.230000000001155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6"/>
        <v>yyyy-01</v>
      </c>
      <c r="K121" s="7">
        <f t="shared" si="7"/>
        <v>79.230000000001155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6"/>
        <v>yyyy-01</v>
      </c>
      <c r="K122" s="7">
        <f t="shared" si="7"/>
        <v>79.230000000001155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6"/>
        <v>yyyy-01</v>
      </c>
      <c r="K123" s="7">
        <f t="shared" si="7"/>
        <v>79.230000000001155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6"/>
        <v>yyyy-01</v>
      </c>
      <c r="K124" s="7">
        <f t="shared" si="7"/>
        <v>79.230000000001155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6"/>
        <v>yyyy-01</v>
      </c>
      <c r="K125" s="7">
        <f t="shared" si="7"/>
        <v>79.230000000001155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6"/>
        <v>yyyy-01</v>
      </c>
      <c r="K126" s="7">
        <f t="shared" si="7"/>
        <v>79.230000000001155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6"/>
        <v>yyyy-01</v>
      </c>
      <c r="K127" s="7">
        <f t="shared" si="7"/>
        <v>79.230000000001155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6"/>
        <v>yyyy-01</v>
      </c>
      <c r="K128" s="7">
        <f t="shared" si="7"/>
        <v>79.230000000001155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6"/>
        <v>yyyy-01</v>
      </c>
      <c r="K129" s="7">
        <f t="shared" si="7"/>
        <v>79.230000000001155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6"/>
        <v>yyyy-01</v>
      </c>
      <c r="K130" s="7">
        <f t="shared" si="7"/>
        <v>79.230000000001155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ref="J131:J162" si="8">TEXT(A131,"yyyy-mm")</f>
        <v>yyyy-01</v>
      </c>
      <c r="K131" s="7">
        <f t="shared" si="7"/>
        <v>79.230000000001155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8"/>
        <v>yyyy-01</v>
      </c>
      <c r="K132" s="7">
        <f t="shared" ref="K132:K163" si="9">K131 + IF(C132="Entrada", G132, -G132)</f>
        <v>79.230000000001155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8"/>
        <v>yyyy-01</v>
      </c>
      <c r="K133" s="7">
        <f t="shared" si="9"/>
        <v>79.230000000001155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8"/>
        <v>yyyy-01</v>
      </c>
      <c r="K134" s="7">
        <f t="shared" si="9"/>
        <v>79.230000000001155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8"/>
        <v>yyyy-01</v>
      </c>
      <c r="K135" s="7">
        <f t="shared" si="9"/>
        <v>79.230000000001155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8"/>
        <v>yyyy-01</v>
      </c>
      <c r="K136" s="7">
        <f t="shared" si="9"/>
        <v>79.230000000001155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8"/>
        <v>yyyy-01</v>
      </c>
      <c r="K137" s="7">
        <f t="shared" si="9"/>
        <v>79.230000000001155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8"/>
        <v>yyyy-01</v>
      </c>
      <c r="K138" s="7">
        <f t="shared" si="9"/>
        <v>79.230000000001155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8"/>
        <v>yyyy-01</v>
      </c>
      <c r="K139" s="7">
        <f t="shared" si="9"/>
        <v>79.230000000001155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8"/>
        <v>yyyy-01</v>
      </c>
      <c r="K140" s="7">
        <f t="shared" si="9"/>
        <v>79.230000000001155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8"/>
        <v>yyyy-01</v>
      </c>
      <c r="K141" s="7">
        <f t="shared" si="9"/>
        <v>79.230000000001155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8"/>
        <v>yyyy-01</v>
      </c>
      <c r="K142" s="7">
        <f t="shared" si="9"/>
        <v>79.230000000001155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8"/>
        <v>yyyy-01</v>
      </c>
      <c r="K143" s="7">
        <f t="shared" si="9"/>
        <v>79.230000000001155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8"/>
        <v>yyyy-01</v>
      </c>
      <c r="K144" s="7">
        <f t="shared" si="9"/>
        <v>79.230000000001155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8"/>
        <v>yyyy-01</v>
      </c>
      <c r="K145" s="7">
        <f t="shared" si="9"/>
        <v>79.230000000001155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8"/>
        <v>yyyy-01</v>
      </c>
      <c r="K146" s="7">
        <f t="shared" si="9"/>
        <v>79.230000000001155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8"/>
        <v>yyyy-01</v>
      </c>
      <c r="K147" s="7">
        <f t="shared" si="9"/>
        <v>79.230000000001155</v>
      </c>
    </row>
    <row r="148" spans="1:11" ht="15.75" customHeight="1" x14ac:dyDescent="0.25">
      <c r="A148" s="13"/>
      <c r="B148" s="4"/>
      <c r="C148" s="5"/>
      <c r="D148" s="6"/>
      <c r="E148" s="6"/>
      <c r="F148" s="6"/>
      <c r="G148" s="7"/>
      <c r="H148" s="7"/>
      <c r="I148" s="5"/>
      <c r="J148" s="5" t="str">
        <f t="shared" si="8"/>
        <v>yyyy-01</v>
      </c>
      <c r="K148" s="7">
        <f t="shared" si="9"/>
        <v>79.230000000001155</v>
      </c>
    </row>
    <row r="149" spans="1:11" ht="15.75" customHeight="1" x14ac:dyDescent="0.25">
      <c r="A149" s="3"/>
      <c r="B149" s="4"/>
      <c r="C149" s="5"/>
      <c r="D149" s="6"/>
      <c r="E149" s="6"/>
      <c r="F149" s="6"/>
      <c r="G149" s="7"/>
      <c r="H149" s="7"/>
      <c r="I149" s="5"/>
      <c r="J149" s="5" t="str">
        <f t="shared" si="8"/>
        <v>yyyy-01</v>
      </c>
      <c r="K149" s="7">
        <f t="shared" si="9"/>
        <v>79.230000000001155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8"/>
        <v>yyyy-01</v>
      </c>
      <c r="K150" s="7">
        <f t="shared" si="9"/>
        <v>79.230000000001155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8"/>
        <v>yyyy-01</v>
      </c>
      <c r="K151" s="7">
        <f t="shared" si="9"/>
        <v>79.230000000001155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8"/>
        <v>yyyy-01</v>
      </c>
      <c r="K152" s="7">
        <f t="shared" si="9"/>
        <v>79.230000000001155</v>
      </c>
    </row>
    <row r="153" spans="1:11" ht="15.75" customHeight="1" x14ac:dyDescent="0.25">
      <c r="A153" s="13"/>
      <c r="B153" s="4"/>
      <c r="C153" s="5"/>
      <c r="D153" s="6"/>
      <c r="E153" s="6"/>
      <c r="F153" s="6"/>
      <c r="G153" s="7"/>
      <c r="H153" s="7"/>
      <c r="I153" s="5"/>
      <c r="J153" s="5" t="str">
        <f t="shared" si="8"/>
        <v>yyyy-01</v>
      </c>
      <c r="K153" s="7">
        <f t="shared" si="9"/>
        <v>79.230000000001155</v>
      </c>
    </row>
    <row r="154" spans="1:11" ht="15.75" customHeight="1" x14ac:dyDescent="0.25">
      <c r="A154" s="3"/>
      <c r="B154" s="4"/>
      <c r="C154" s="5"/>
      <c r="D154" s="6"/>
      <c r="E154" s="6"/>
      <c r="F154" s="6"/>
      <c r="G154" s="7"/>
      <c r="H154" s="7"/>
      <c r="I154" s="5"/>
      <c r="J154" s="5" t="str">
        <f t="shared" si="8"/>
        <v>yyyy-01</v>
      </c>
      <c r="K154" s="7">
        <f t="shared" si="9"/>
        <v>79.230000000001155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8"/>
        <v>yyyy-01</v>
      </c>
      <c r="K155" s="7">
        <f t="shared" si="9"/>
        <v>79.230000000001155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8"/>
        <v>yyyy-01</v>
      </c>
      <c r="K156" s="7">
        <f t="shared" si="9"/>
        <v>79.230000000001155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8"/>
        <v>yyyy-01</v>
      </c>
      <c r="K157" s="7">
        <f t="shared" si="9"/>
        <v>79.230000000001155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8"/>
        <v>yyyy-01</v>
      </c>
      <c r="K158" s="7">
        <f t="shared" si="9"/>
        <v>79.230000000001155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8"/>
        <v>yyyy-01</v>
      </c>
      <c r="K159" s="7">
        <f t="shared" si="9"/>
        <v>79.230000000001155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8"/>
        <v>yyyy-01</v>
      </c>
      <c r="K160" s="7">
        <f t="shared" si="9"/>
        <v>79.230000000001155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8"/>
        <v>yyyy-01</v>
      </c>
      <c r="K161" s="7">
        <f t="shared" si="9"/>
        <v>79.230000000001155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8"/>
        <v>yyyy-01</v>
      </c>
      <c r="K162" s="7">
        <f t="shared" si="9"/>
        <v>79.230000000001155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ref="J163:J177" si="10">TEXT(A163,"yyyy-mm")</f>
        <v>yyyy-01</v>
      </c>
      <c r="K163" s="7">
        <f t="shared" si="9"/>
        <v>79.230000000001155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10"/>
        <v>yyyy-01</v>
      </c>
      <c r="K164" s="7">
        <f t="shared" ref="K164:K177" si="11">K163 + IF(C164="Entrada", G164, -G164)</f>
        <v>79.230000000001155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10"/>
        <v>yyyy-01</v>
      </c>
      <c r="K165" s="7">
        <f t="shared" si="11"/>
        <v>79.230000000001155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10"/>
        <v>yyyy-01</v>
      </c>
      <c r="K166" s="7">
        <f t="shared" si="11"/>
        <v>79.230000000001155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10"/>
        <v>yyyy-01</v>
      </c>
      <c r="K167" s="7">
        <f t="shared" si="11"/>
        <v>79.230000000001155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10"/>
        <v>yyyy-01</v>
      </c>
      <c r="K168" s="7">
        <f t="shared" si="11"/>
        <v>79.230000000001155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10"/>
        <v>yyyy-01</v>
      </c>
      <c r="K169" s="7">
        <f t="shared" si="11"/>
        <v>79.230000000001155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10"/>
        <v>yyyy-01</v>
      </c>
      <c r="K170" s="7">
        <f t="shared" si="11"/>
        <v>79.230000000001155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10"/>
        <v>yyyy-01</v>
      </c>
      <c r="K171" s="7">
        <f t="shared" si="11"/>
        <v>79.230000000001155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10"/>
        <v>yyyy-01</v>
      </c>
      <c r="K172" s="7">
        <f t="shared" si="11"/>
        <v>79.230000000001155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10"/>
        <v>yyyy-01</v>
      </c>
      <c r="K173" s="7">
        <f t="shared" si="11"/>
        <v>79.230000000001155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10"/>
        <v>yyyy-01</v>
      </c>
      <c r="K174" s="7">
        <f t="shared" si="11"/>
        <v>79.230000000001155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10"/>
        <v>yyyy-01</v>
      </c>
      <c r="K175" s="7">
        <f t="shared" si="11"/>
        <v>79.230000000001155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10"/>
        <v>yyyy-01</v>
      </c>
      <c r="K176" s="7">
        <f t="shared" si="11"/>
        <v>79.230000000001155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10"/>
        <v>yyyy-01</v>
      </c>
      <c r="K177" s="7">
        <f t="shared" si="11"/>
        <v>79.230000000001155</v>
      </c>
    </row>
    <row r="178" spans="1:11" ht="15.75" customHeight="1" x14ac:dyDescent="0.25">
      <c r="J178" s="5" t="str">
        <f t="shared" ref="J178:J217" si="12">TEXT(A5,"yyyy-mm")</f>
        <v>yyyy-07</v>
      </c>
      <c r="K178" s="7">
        <f t="shared" ref="K178:K217" si="13">K177 + IF(C5="Entrada", G5, -G5)</f>
        <v>-36.569999999998842</v>
      </c>
    </row>
    <row r="179" spans="1:11" ht="15.75" customHeight="1" x14ac:dyDescent="0.25">
      <c r="J179" s="5" t="str">
        <f t="shared" si="12"/>
        <v>yyyy-07</v>
      </c>
      <c r="K179" s="7">
        <f t="shared" si="13"/>
        <v>1725.4300000000012</v>
      </c>
    </row>
    <row r="180" spans="1:11" ht="15.75" customHeight="1" x14ac:dyDescent="0.25">
      <c r="J180" s="5" t="str">
        <f t="shared" si="12"/>
        <v>yyyy-07</v>
      </c>
      <c r="K180" s="7">
        <f t="shared" si="13"/>
        <v>1807.4300000000012</v>
      </c>
    </row>
    <row r="181" spans="1:11" ht="15.75" customHeight="1" x14ac:dyDescent="0.25">
      <c r="J181" s="5" t="str">
        <f t="shared" si="12"/>
        <v>yyyy-07</v>
      </c>
      <c r="K181" s="7">
        <f t="shared" si="13"/>
        <v>1798.4300000000012</v>
      </c>
    </row>
    <row r="182" spans="1:11" ht="15.75" customHeight="1" x14ac:dyDescent="0.25">
      <c r="J182" s="5" t="str">
        <f t="shared" si="12"/>
        <v>yyyy-07</v>
      </c>
      <c r="K182" s="7">
        <f t="shared" si="13"/>
        <v>698.4300000000012</v>
      </c>
    </row>
    <row r="183" spans="1:11" ht="15.75" customHeight="1" x14ac:dyDescent="0.25">
      <c r="J183" s="5" t="str">
        <f t="shared" si="12"/>
        <v>yyyy-07</v>
      </c>
      <c r="K183" s="7">
        <f t="shared" si="13"/>
        <v>298.4300000000012</v>
      </c>
    </row>
    <row r="184" spans="1:11" ht="15.75" customHeight="1" x14ac:dyDescent="0.25">
      <c r="J184" s="5" t="str">
        <f t="shared" si="12"/>
        <v>yyyy-07</v>
      </c>
      <c r="K184" s="7">
        <f t="shared" si="13"/>
        <v>-2701.5699999999988</v>
      </c>
    </row>
    <row r="185" spans="1:11" ht="15.75" customHeight="1" x14ac:dyDescent="0.25">
      <c r="J185" s="5" t="str">
        <f t="shared" si="12"/>
        <v>yyyy-07</v>
      </c>
      <c r="K185" s="7">
        <f t="shared" si="13"/>
        <v>-1042.5699999999988</v>
      </c>
    </row>
    <row r="186" spans="1:11" ht="15.75" customHeight="1" x14ac:dyDescent="0.25">
      <c r="J186" s="5" t="str">
        <f t="shared" si="12"/>
        <v>yyyy-07</v>
      </c>
      <c r="K186" s="7">
        <f t="shared" si="13"/>
        <v>-1042.5699999999988</v>
      </c>
    </row>
    <row r="187" spans="1:11" ht="15.75" customHeight="1" x14ac:dyDescent="0.25">
      <c r="J187" s="5" t="str">
        <f t="shared" si="12"/>
        <v>yyyy-07</v>
      </c>
      <c r="K187" s="7">
        <f t="shared" si="13"/>
        <v>-1042.5699999999988</v>
      </c>
    </row>
    <row r="188" spans="1:11" ht="15.75" customHeight="1" x14ac:dyDescent="0.25">
      <c r="J188" s="5" t="str">
        <f t="shared" si="12"/>
        <v>yyyy-07</v>
      </c>
      <c r="K188" s="7">
        <f t="shared" si="13"/>
        <v>-1282.5699999999988</v>
      </c>
    </row>
    <row r="189" spans="1:11" ht="15.75" customHeight="1" x14ac:dyDescent="0.25">
      <c r="J189" s="5" t="str">
        <f t="shared" si="12"/>
        <v>yyyy-07</v>
      </c>
      <c r="K189" s="7">
        <f t="shared" si="13"/>
        <v>1963.4300000000012</v>
      </c>
    </row>
    <row r="190" spans="1:11" ht="15.75" customHeight="1" x14ac:dyDescent="0.25">
      <c r="J190" s="5" t="str">
        <f t="shared" si="12"/>
        <v>yyyy-07</v>
      </c>
      <c r="K190" s="7">
        <f t="shared" si="13"/>
        <v>2069.4300000000012</v>
      </c>
    </row>
    <row r="191" spans="1:11" ht="15.75" customHeight="1" x14ac:dyDescent="0.25">
      <c r="J191" s="5" t="str">
        <f t="shared" si="12"/>
        <v>yyyy-07</v>
      </c>
      <c r="K191" s="7">
        <f t="shared" si="13"/>
        <v>2051.4300000000012</v>
      </c>
    </row>
    <row r="192" spans="1:11" ht="15.75" customHeight="1" x14ac:dyDescent="0.25">
      <c r="J192" s="5" t="str">
        <f t="shared" si="12"/>
        <v>yyyy-07</v>
      </c>
      <c r="K192" s="7">
        <f t="shared" si="13"/>
        <v>1887.4300000000012</v>
      </c>
    </row>
    <row r="193" spans="10:11" ht="15.75" customHeight="1" x14ac:dyDescent="0.25">
      <c r="J193" s="5" t="str">
        <f t="shared" si="12"/>
        <v>yyyy-07</v>
      </c>
      <c r="K193" s="7">
        <f t="shared" si="13"/>
        <v>1511.4300000000012</v>
      </c>
    </row>
    <row r="194" spans="10:11" ht="15.75" customHeight="1" x14ac:dyDescent="0.25">
      <c r="J194" s="5" t="str">
        <f t="shared" si="12"/>
        <v>yyyy-07</v>
      </c>
      <c r="K194" s="7">
        <f t="shared" si="13"/>
        <v>1361.4300000000012</v>
      </c>
    </row>
    <row r="195" spans="10:11" ht="15.75" customHeight="1" x14ac:dyDescent="0.25">
      <c r="J195" s="5" t="str">
        <f t="shared" si="12"/>
        <v>yyyy-07</v>
      </c>
      <c r="K195" s="7">
        <f t="shared" si="13"/>
        <v>6567.4300000000012</v>
      </c>
    </row>
    <row r="196" spans="10:11" ht="15.75" customHeight="1" x14ac:dyDescent="0.25">
      <c r="J196" s="5" t="str">
        <f t="shared" si="12"/>
        <v>yyyy-07</v>
      </c>
      <c r="K196" s="7">
        <f t="shared" si="13"/>
        <v>6717.4300000000012</v>
      </c>
    </row>
    <row r="197" spans="10:11" ht="15.75" customHeight="1" x14ac:dyDescent="0.25">
      <c r="J197" s="5" t="str">
        <f t="shared" si="12"/>
        <v>yyyy-07</v>
      </c>
      <c r="K197" s="7">
        <f t="shared" si="13"/>
        <v>6682.4300000000012</v>
      </c>
    </row>
    <row r="198" spans="10:11" ht="15.75" customHeight="1" x14ac:dyDescent="0.25">
      <c r="J198" s="5" t="str">
        <f t="shared" si="12"/>
        <v>yyyy-07</v>
      </c>
      <c r="K198" s="7">
        <f t="shared" si="13"/>
        <v>6532.4300000000012</v>
      </c>
    </row>
    <row r="199" spans="10:11" ht="15.75" customHeight="1" x14ac:dyDescent="0.25">
      <c r="J199" s="5" t="str">
        <f t="shared" si="12"/>
        <v>yyyy-06</v>
      </c>
      <c r="K199" s="7">
        <f t="shared" si="13"/>
        <v>10616.43</v>
      </c>
    </row>
    <row r="200" spans="10:11" ht="15.75" customHeight="1" x14ac:dyDescent="0.25">
      <c r="J200" s="5" t="str">
        <f t="shared" si="12"/>
        <v>yyyy-06</v>
      </c>
      <c r="K200" s="7">
        <f t="shared" si="13"/>
        <v>11010.43</v>
      </c>
    </row>
    <row r="201" spans="10:11" ht="15.75" customHeight="1" x14ac:dyDescent="0.25">
      <c r="J201" s="5" t="str">
        <f t="shared" si="12"/>
        <v>yyyy-06</v>
      </c>
      <c r="K201" s="7">
        <f t="shared" si="13"/>
        <v>10975.43</v>
      </c>
    </row>
    <row r="202" spans="10:11" ht="15.75" customHeight="1" x14ac:dyDescent="0.25">
      <c r="J202" s="5" t="str">
        <f t="shared" si="12"/>
        <v>yyyy-06</v>
      </c>
      <c r="K202" s="7">
        <f t="shared" si="13"/>
        <v>10825.43</v>
      </c>
    </row>
    <row r="203" spans="10:11" ht="15.75" customHeight="1" x14ac:dyDescent="0.25">
      <c r="J203" s="5" t="str">
        <f t="shared" si="12"/>
        <v>yyyy-07</v>
      </c>
      <c r="K203" s="7">
        <f t="shared" si="13"/>
        <v>10825.43</v>
      </c>
    </row>
    <row r="204" spans="10:11" ht="15.75" customHeight="1" x14ac:dyDescent="0.25">
      <c r="J204" s="5" t="str">
        <f t="shared" si="12"/>
        <v>yyyy-07</v>
      </c>
      <c r="K204" s="7">
        <f t="shared" si="13"/>
        <v>10825.43</v>
      </c>
    </row>
    <row r="205" spans="10:11" ht="15.75" customHeight="1" x14ac:dyDescent="0.25">
      <c r="J205" s="5" t="str">
        <f t="shared" si="12"/>
        <v>yyyy-07</v>
      </c>
      <c r="K205" s="7">
        <f t="shared" si="13"/>
        <v>10825.43</v>
      </c>
    </row>
    <row r="206" spans="10:11" ht="15.75" customHeight="1" x14ac:dyDescent="0.25">
      <c r="J206" s="5" t="str">
        <f t="shared" si="12"/>
        <v>yyyy-07</v>
      </c>
      <c r="K206" s="7">
        <f t="shared" si="13"/>
        <v>10525.43</v>
      </c>
    </row>
    <row r="207" spans="10:11" ht="15.75" customHeight="1" x14ac:dyDescent="0.25">
      <c r="J207" s="5" t="str">
        <f t="shared" si="12"/>
        <v>yyyy-07</v>
      </c>
      <c r="K207" s="7">
        <f t="shared" si="13"/>
        <v>10300.43</v>
      </c>
    </row>
    <row r="208" spans="10:11" ht="15.75" customHeight="1" x14ac:dyDescent="0.25">
      <c r="J208" s="5" t="str">
        <f t="shared" si="12"/>
        <v>yyyy-07</v>
      </c>
      <c r="K208" s="7">
        <f t="shared" si="13"/>
        <v>1381.7900000000009</v>
      </c>
    </row>
    <row r="209" spans="1:11" ht="15.75" customHeight="1" x14ac:dyDescent="0.25">
      <c r="J209" s="5" t="str">
        <f t="shared" si="12"/>
        <v>yyyy-07</v>
      </c>
      <c r="K209" s="7">
        <f t="shared" si="13"/>
        <v>1286.8900000000008</v>
      </c>
    </row>
    <row r="210" spans="1:11" ht="15.75" customHeight="1" x14ac:dyDescent="0.25">
      <c r="J210" s="5" t="str">
        <f t="shared" si="12"/>
        <v>yyyy-07</v>
      </c>
      <c r="K210" s="7">
        <f t="shared" si="13"/>
        <v>1186.8900000000008</v>
      </c>
    </row>
    <row r="211" spans="1:11" ht="15.75" customHeight="1" x14ac:dyDescent="0.25">
      <c r="J211" s="5" t="str">
        <f t="shared" si="12"/>
        <v>yyyy-07</v>
      </c>
      <c r="K211" s="7">
        <f t="shared" si="13"/>
        <v>1009.0300000000008</v>
      </c>
    </row>
    <row r="212" spans="1:11" ht="15.75" customHeight="1" x14ac:dyDescent="0.25">
      <c r="J212" s="5" t="str">
        <f t="shared" si="12"/>
        <v>yyyy-07</v>
      </c>
      <c r="K212" s="7">
        <f t="shared" si="13"/>
        <v>687.96000000000072</v>
      </c>
    </row>
    <row r="213" spans="1:11" ht="15.75" customHeight="1" x14ac:dyDescent="0.25">
      <c r="J213" s="5" t="str">
        <f t="shared" si="12"/>
        <v>yyyy-07</v>
      </c>
      <c r="K213" s="7">
        <f t="shared" si="13"/>
        <v>158.46000000000072</v>
      </c>
    </row>
    <row r="214" spans="1:11" ht="15.75" customHeight="1" x14ac:dyDescent="0.25">
      <c r="J214" s="5" t="str">
        <f t="shared" si="12"/>
        <v>yyyy-07</v>
      </c>
      <c r="K214" s="7">
        <f t="shared" si="13"/>
        <v>158.46000000000072</v>
      </c>
    </row>
    <row r="215" spans="1:11" ht="15.75" customHeight="1" x14ac:dyDescent="0.25">
      <c r="J215" s="5" t="str">
        <f t="shared" si="12"/>
        <v>yyyy-07</v>
      </c>
      <c r="K215" s="7">
        <f t="shared" si="13"/>
        <v>158.46000000000072</v>
      </c>
    </row>
    <row r="216" spans="1:11" ht="15.75" customHeight="1" x14ac:dyDescent="0.25">
      <c r="J216" s="5" t="str">
        <f t="shared" si="12"/>
        <v>yyyy-07</v>
      </c>
      <c r="K216" s="7">
        <f t="shared" si="13"/>
        <v>158.46000000000072</v>
      </c>
    </row>
    <row r="217" spans="1:11" ht="15.75" customHeight="1" x14ac:dyDescent="0.25">
      <c r="J217" s="5" t="str">
        <f t="shared" si="12"/>
        <v>yyyy-01</v>
      </c>
      <c r="K217" s="7">
        <f t="shared" si="13"/>
        <v>158.46000000000072</v>
      </c>
    </row>
    <row r="218" spans="1:11" ht="15.75" customHeight="1" x14ac:dyDescent="0.25">
      <c r="A218" s="3"/>
      <c r="B218" s="9"/>
      <c r="C218" s="9"/>
      <c r="D218" s="9"/>
      <c r="E218" s="9"/>
      <c r="F218" s="9"/>
      <c r="G218" s="10"/>
      <c r="H218" s="10"/>
      <c r="I218" s="9"/>
      <c r="J218" s="5" t="str">
        <f t="shared" ref="J218:J281" si="14">TEXT(A218,"yyyy-mm")</f>
        <v>yyyy-01</v>
      </c>
      <c r="K218" s="7">
        <f t="shared" ref="K218:K281" si="15">K217 + IF(C218="Entrada", G218, -G218)</f>
        <v>158.46000000000072</v>
      </c>
    </row>
    <row r="219" spans="1:11" ht="15.75" customHeight="1" x14ac:dyDescent="0.25">
      <c r="A219" s="3"/>
      <c r="B219" s="4"/>
      <c r="C219" s="5"/>
      <c r="D219" s="6"/>
      <c r="E219" s="6"/>
      <c r="F219" s="6"/>
      <c r="G219" s="7"/>
      <c r="H219" s="7"/>
      <c r="I219" s="5"/>
      <c r="J219" s="5" t="str">
        <f t="shared" si="14"/>
        <v>yyyy-01</v>
      </c>
      <c r="K219" s="7">
        <f t="shared" si="15"/>
        <v>158.46000000000072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14"/>
        <v>yyyy-01</v>
      </c>
      <c r="K220" s="7">
        <f t="shared" si="15"/>
        <v>158.46000000000072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14"/>
        <v>yyyy-01</v>
      </c>
      <c r="K221" s="7">
        <f t="shared" si="15"/>
        <v>158.46000000000072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14"/>
        <v>yyyy-01</v>
      </c>
      <c r="K222" s="7">
        <f t="shared" si="15"/>
        <v>158.46000000000072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14"/>
        <v>yyyy-01</v>
      </c>
      <c r="K223" s="7">
        <f t="shared" si="15"/>
        <v>158.46000000000072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14"/>
        <v>yyyy-01</v>
      </c>
      <c r="K224" s="7">
        <f t="shared" si="15"/>
        <v>158.46000000000072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14"/>
        <v>yyyy-01</v>
      </c>
      <c r="K225" s="7">
        <f t="shared" si="15"/>
        <v>158.46000000000072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14"/>
        <v>yyyy-01</v>
      </c>
      <c r="K226" s="7">
        <f t="shared" si="15"/>
        <v>158.46000000000072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14"/>
        <v>yyyy-01</v>
      </c>
      <c r="K227" s="7">
        <f t="shared" si="15"/>
        <v>158.46000000000072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14"/>
        <v>yyyy-01</v>
      </c>
      <c r="K228" s="7">
        <f t="shared" si="15"/>
        <v>158.46000000000072</v>
      </c>
    </row>
    <row r="229" spans="1:11" ht="15.75" customHeight="1" x14ac:dyDescent="0.25">
      <c r="A229" s="12"/>
      <c r="B229" s="4"/>
      <c r="C229" s="5"/>
      <c r="D229" s="6"/>
      <c r="E229" s="6"/>
      <c r="F229" s="6"/>
      <c r="G229" s="7"/>
      <c r="H229" s="7"/>
      <c r="I229" s="5"/>
      <c r="J229" s="5" t="str">
        <f t="shared" si="14"/>
        <v>yyyy-01</v>
      </c>
      <c r="K229" s="7">
        <f t="shared" si="15"/>
        <v>158.46000000000072</v>
      </c>
    </row>
    <row r="230" spans="1:11" ht="15.75" customHeight="1" x14ac:dyDescent="0.25">
      <c r="A230" s="3"/>
      <c r="B230" s="4"/>
      <c r="C230" s="5"/>
      <c r="D230" s="6"/>
      <c r="E230" s="6"/>
      <c r="F230" s="6"/>
      <c r="G230" s="7"/>
      <c r="H230" s="7"/>
      <c r="I230" s="5"/>
      <c r="J230" s="5" t="str">
        <f t="shared" si="14"/>
        <v>yyyy-01</v>
      </c>
      <c r="K230" s="7">
        <f t="shared" si="15"/>
        <v>158.46000000000072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14"/>
        <v>yyyy-01</v>
      </c>
      <c r="K231" s="7">
        <f t="shared" si="15"/>
        <v>158.46000000000072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14"/>
        <v>yyyy-01</v>
      </c>
      <c r="K232" s="7">
        <f t="shared" si="15"/>
        <v>158.46000000000072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14"/>
        <v>yyyy-01</v>
      </c>
      <c r="K233" s="7">
        <f t="shared" si="15"/>
        <v>158.46000000000072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14"/>
        <v>yyyy-01</v>
      </c>
      <c r="K234" s="7">
        <f t="shared" si="15"/>
        <v>158.46000000000072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14"/>
        <v>yyyy-01</v>
      </c>
      <c r="K235" s="7">
        <f t="shared" si="15"/>
        <v>158.46000000000072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14"/>
        <v>yyyy-01</v>
      </c>
      <c r="K236" s="7">
        <f t="shared" si="15"/>
        <v>158.46000000000072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14"/>
        <v>yyyy-01</v>
      </c>
      <c r="K237" s="7">
        <f t="shared" si="15"/>
        <v>158.46000000000072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14"/>
        <v>yyyy-01</v>
      </c>
      <c r="K238" s="7">
        <f t="shared" si="15"/>
        <v>158.46000000000072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14"/>
        <v>yyyy-01</v>
      </c>
      <c r="K239" s="7">
        <f t="shared" si="15"/>
        <v>158.46000000000072</v>
      </c>
    </row>
    <row r="240" spans="1:11" ht="15.75" customHeight="1" x14ac:dyDescent="0.25">
      <c r="A240" s="14"/>
      <c r="C240" s="15"/>
      <c r="D240" s="15"/>
      <c r="E240" s="15"/>
      <c r="F240" s="15"/>
      <c r="G240" s="16"/>
      <c r="H240" s="16"/>
      <c r="I240" s="15"/>
      <c r="J240" s="15" t="str">
        <f t="shared" si="14"/>
        <v>yyyy-01</v>
      </c>
      <c r="K240" s="17">
        <f t="shared" si="15"/>
        <v>158.46000000000072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 t="shared" si="14"/>
        <v>yyyy-01</v>
      </c>
      <c r="K241" s="18">
        <f t="shared" si="15"/>
        <v>158.46000000000072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 t="shared" si="14"/>
        <v>yyyy-01</v>
      </c>
      <c r="K242" s="18">
        <f t="shared" si="15"/>
        <v>158.46000000000072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 t="shared" si="14"/>
        <v>yyyy-01</v>
      </c>
      <c r="K243" s="18">
        <f t="shared" si="15"/>
        <v>158.46000000000072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 t="shared" si="14"/>
        <v>yyyy-01</v>
      </c>
      <c r="K244" s="18">
        <f t="shared" si="15"/>
        <v>158.46000000000072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 t="shared" si="14"/>
        <v>yyyy-01</v>
      </c>
      <c r="K245" s="18">
        <f t="shared" si="15"/>
        <v>158.46000000000072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 t="shared" si="14"/>
        <v>yyyy-01</v>
      </c>
      <c r="K246" s="18">
        <f t="shared" si="15"/>
        <v>158.46000000000072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 t="shared" si="14"/>
        <v>yyyy-01</v>
      </c>
      <c r="K247" s="16">
        <f t="shared" si="15"/>
        <v>158.46000000000072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 t="shared" si="14"/>
        <v>yyyy-01</v>
      </c>
      <c r="K248" s="16">
        <f t="shared" si="15"/>
        <v>158.46000000000072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 t="shared" si="14"/>
        <v>yyyy-01</v>
      </c>
      <c r="K249" s="16">
        <f t="shared" si="15"/>
        <v>158.46000000000072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 t="shared" si="14"/>
        <v>yyyy-01</v>
      </c>
      <c r="K250" s="16">
        <f t="shared" si="15"/>
        <v>158.46000000000072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 t="shared" si="14"/>
        <v>yyyy-01</v>
      </c>
      <c r="K251" s="16">
        <f t="shared" si="15"/>
        <v>158.46000000000072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 t="shared" si="14"/>
        <v>yyyy-01</v>
      </c>
      <c r="K252" s="16">
        <f t="shared" si="15"/>
        <v>158.46000000000072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 t="shared" si="14"/>
        <v>yyyy-01</v>
      </c>
      <c r="K253" s="16">
        <f t="shared" si="15"/>
        <v>158.46000000000072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 t="shared" si="14"/>
        <v>yyyy-01</v>
      </c>
      <c r="K254" s="16">
        <f t="shared" si="15"/>
        <v>158.46000000000072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 t="shared" si="14"/>
        <v>yyyy-01</v>
      </c>
      <c r="K255" s="16">
        <f t="shared" si="15"/>
        <v>158.46000000000072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 t="shared" si="14"/>
        <v>yyyy-01</v>
      </c>
      <c r="K256" s="16">
        <f t="shared" si="15"/>
        <v>158.46000000000072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 t="shared" si="14"/>
        <v>yyyy-01</v>
      </c>
      <c r="K257" s="16">
        <f t="shared" si="15"/>
        <v>158.46000000000072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 t="shared" si="14"/>
        <v>yyyy-01</v>
      </c>
      <c r="K258" s="16">
        <f t="shared" si="15"/>
        <v>158.46000000000072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 t="shared" si="14"/>
        <v>yyyy-01</v>
      </c>
      <c r="K259" s="16">
        <f t="shared" si="15"/>
        <v>158.46000000000072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 t="shared" si="14"/>
        <v>yyyy-01</v>
      </c>
      <c r="K260" s="16">
        <f t="shared" si="15"/>
        <v>158.46000000000072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 t="shared" si="14"/>
        <v>yyyy-01</v>
      </c>
      <c r="K261" s="16">
        <f t="shared" si="15"/>
        <v>158.46000000000072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 t="shared" si="14"/>
        <v>yyyy-01</v>
      </c>
      <c r="K262" s="16">
        <f t="shared" si="15"/>
        <v>158.46000000000072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 t="shared" si="14"/>
        <v>yyyy-01</v>
      </c>
      <c r="K263" s="16">
        <f t="shared" si="15"/>
        <v>158.46000000000072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 t="shared" si="14"/>
        <v>yyyy-01</v>
      </c>
      <c r="K264" s="16">
        <f t="shared" si="15"/>
        <v>158.46000000000072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 t="shared" si="14"/>
        <v>yyyy-01</v>
      </c>
      <c r="K265" s="16">
        <f t="shared" si="15"/>
        <v>158.46000000000072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 t="shared" si="14"/>
        <v>yyyy-01</v>
      </c>
      <c r="K266" s="16">
        <f t="shared" si="15"/>
        <v>158.46000000000072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 t="shared" si="14"/>
        <v>yyyy-01</v>
      </c>
      <c r="K267" s="16">
        <f t="shared" si="15"/>
        <v>158.46000000000072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 t="shared" si="14"/>
        <v>yyyy-01</v>
      </c>
      <c r="K268" s="16">
        <f t="shared" si="15"/>
        <v>158.46000000000072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 t="shared" si="14"/>
        <v>yyyy-01</v>
      </c>
      <c r="K269" s="16">
        <f t="shared" si="15"/>
        <v>158.46000000000072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 t="shared" si="14"/>
        <v>yyyy-01</v>
      </c>
      <c r="K270" s="16">
        <f t="shared" si="15"/>
        <v>158.46000000000072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 t="shared" si="14"/>
        <v>yyyy-01</v>
      </c>
      <c r="K271" s="16">
        <f t="shared" si="15"/>
        <v>158.46000000000072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 t="shared" si="14"/>
        <v>yyyy-01</v>
      </c>
      <c r="K272" s="16">
        <f t="shared" si="15"/>
        <v>158.46000000000072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 t="shared" si="14"/>
        <v>yyyy-01</v>
      </c>
      <c r="K273" s="16">
        <f t="shared" si="15"/>
        <v>158.46000000000072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 t="shared" si="14"/>
        <v>yyyy-01</v>
      </c>
      <c r="K274" s="16">
        <f t="shared" si="15"/>
        <v>158.46000000000072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 t="shared" si="14"/>
        <v>yyyy-01</v>
      </c>
      <c r="K275" s="16">
        <f t="shared" si="15"/>
        <v>158.46000000000072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 t="shared" si="14"/>
        <v>yyyy-01</v>
      </c>
      <c r="K276" s="16">
        <f t="shared" si="15"/>
        <v>158.46000000000072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 t="shared" si="14"/>
        <v>yyyy-01</v>
      </c>
      <c r="K277" s="16">
        <f t="shared" si="15"/>
        <v>158.46000000000072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 t="shared" si="14"/>
        <v>yyyy-01</v>
      </c>
      <c r="K278" s="16">
        <f t="shared" si="15"/>
        <v>158.46000000000072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 t="shared" si="14"/>
        <v>yyyy-01</v>
      </c>
      <c r="K279" s="16">
        <f t="shared" si="15"/>
        <v>158.46000000000072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 t="shared" si="14"/>
        <v>yyyy-01</v>
      </c>
      <c r="K280" s="16">
        <f t="shared" si="15"/>
        <v>158.46000000000072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 t="shared" si="14"/>
        <v>yyyy-01</v>
      </c>
      <c r="K281" s="16">
        <f t="shared" si="15"/>
        <v>158.46000000000072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 t="shared" ref="J282:J345" si="16">TEXT(A282,"yyyy-mm")</f>
        <v>yyyy-01</v>
      </c>
      <c r="K282" s="16">
        <f t="shared" ref="K282:K345" si="17">K281 + IF(C282="Entrada", G282, -G282)</f>
        <v>158.46000000000072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 t="shared" si="16"/>
        <v>yyyy-01</v>
      </c>
      <c r="K283" s="16">
        <f t="shared" si="17"/>
        <v>158.46000000000072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 t="shared" si="16"/>
        <v>yyyy-01</v>
      </c>
      <c r="K284" s="16">
        <f t="shared" si="17"/>
        <v>158.46000000000072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 t="shared" si="16"/>
        <v>yyyy-01</v>
      </c>
      <c r="K285" s="16">
        <f t="shared" si="17"/>
        <v>158.46000000000072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 t="shared" si="16"/>
        <v>yyyy-01</v>
      </c>
      <c r="K286" s="16">
        <f t="shared" si="17"/>
        <v>158.46000000000072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 t="shared" si="16"/>
        <v>yyyy-01</v>
      </c>
      <c r="K287" s="16">
        <f t="shared" si="17"/>
        <v>158.46000000000072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 t="shared" si="16"/>
        <v>yyyy-01</v>
      </c>
      <c r="K288" s="16">
        <f t="shared" si="17"/>
        <v>158.46000000000072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 t="shared" si="16"/>
        <v>yyyy-01</v>
      </c>
      <c r="K289" s="16">
        <f t="shared" si="17"/>
        <v>158.46000000000072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 t="shared" si="16"/>
        <v>yyyy-01</v>
      </c>
      <c r="K290" s="16">
        <f t="shared" si="17"/>
        <v>158.46000000000072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 t="shared" si="16"/>
        <v>yyyy-01</v>
      </c>
      <c r="K291" s="16">
        <f t="shared" si="17"/>
        <v>158.46000000000072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 t="shared" si="16"/>
        <v>yyyy-01</v>
      </c>
      <c r="K292" s="16">
        <f t="shared" si="17"/>
        <v>158.46000000000072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 t="shared" si="16"/>
        <v>yyyy-01</v>
      </c>
      <c r="K293" s="16">
        <f t="shared" si="17"/>
        <v>158.46000000000072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 t="shared" si="16"/>
        <v>yyyy-01</v>
      </c>
      <c r="K294" s="16">
        <f t="shared" si="17"/>
        <v>158.46000000000072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 t="shared" si="16"/>
        <v>yyyy-01</v>
      </c>
      <c r="K295" s="16">
        <f t="shared" si="17"/>
        <v>158.46000000000072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 t="shared" si="16"/>
        <v>yyyy-01</v>
      </c>
      <c r="K296" s="16">
        <f t="shared" si="17"/>
        <v>158.46000000000072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 t="shared" si="16"/>
        <v>yyyy-01</v>
      </c>
      <c r="K297" s="16">
        <f t="shared" si="17"/>
        <v>158.46000000000072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 t="shared" si="16"/>
        <v>yyyy-01</v>
      </c>
      <c r="K298" s="16">
        <f t="shared" si="17"/>
        <v>158.46000000000072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 t="shared" si="16"/>
        <v>yyyy-01</v>
      </c>
      <c r="K299" s="16">
        <f t="shared" si="17"/>
        <v>158.46000000000072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 t="shared" si="16"/>
        <v>yyyy-01</v>
      </c>
      <c r="K300" s="16">
        <f t="shared" si="17"/>
        <v>158.46000000000072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 t="shared" si="16"/>
        <v>yyyy-01</v>
      </c>
      <c r="K301" s="16">
        <f t="shared" si="17"/>
        <v>158.46000000000072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 t="shared" si="16"/>
        <v>yyyy-01</v>
      </c>
      <c r="K302" s="16">
        <f t="shared" si="17"/>
        <v>158.46000000000072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 t="shared" si="16"/>
        <v>yyyy-01</v>
      </c>
      <c r="K303" s="16">
        <f t="shared" si="17"/>
        <v>158.46000000000072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 t="shared" si="16"/>
        <v>yyyy-01</v>
      </c>
      <c r="K304" s="16">
        <f t="shared" si="17"/>
        <v>158.46000000000072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 t="shared" si="16"/>
        <v>yyyy-01</v>
      </c>
      <c r="K305" s="16">
        <f t="shared" si="17"/>
        <v>158.46000000000072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 t="shared" si="16"/>
        <v>yyyy-01</v>
      </c>
      <c r="K306" s="16">
        <f t="shared" si="17"/>
        <v>158.46000000000072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 t="shared" si="16"/>
        <v>yyyy-01</v>
      </c>
      <c r="K307" s="16">
        <f t="shared" si="17"/>
        <v>158.46000000000072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 t="shared" si="16"/>
        <v>yyyy-01</v>
      </c>
      <c r="K308" s="16">
        <f t="shared" si="17"/>
        <v>158.46000000000072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 t="shared" si="16"/>
        <v>yyyy-01</v>
      </c>
      <c r="K309" s="16">
        <f t="shared" si="17"/>
        <v>158.46000000000072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 t="shared" si="16"/>
        <v>yyyy-01</v>
      </c>
      <c r="K310" s="16">
        <f t="shared" si="17"/>
        <v>158.46000000000072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 t="shared" si="16"/>
        <v>yyyy-01</v>
      </c>
      <c r="K311" s="16">
        <f t="shared" si="17"/>
        <v>158.46000000000072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 t="shared" si="16"/>
        <v>yyyy-01</v>
      </c>
      <c r="K312" s="16">
        <f t="shared" si="17"/>
        <v>158.46000000000072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 t="shared" si="16"/>
        <v>yyyy-01</v>
      </c>
      <c r="K313" s="16">
        <f t="shared" si="17"/>
        <v>158.46000000000072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 t="shared" si="16"/>
        <v>yyyy-01</v>
      </c>
      <c r="K314" s="16">
        <f t="shared" si="17"/>
        <v>158.46000000000072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 t="shared" si="16"/>
        <v>yyyy-01</v>
      </c>
      <c r="K315" s="16">
        <f t="shared" si="17"/>
        <v>158.46000000000072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 t="shared" si="16"/>
        <v>yyyy-01</v>
      </c>
      <c r="K316" s="16">
        <f t="shared" si="17"/>
        <v>158.46000000000072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 t="shared" si="16"/>
        <v>yyyy-01</v>
      </c>
      <c r="K317" s="16">
        <f t="shared" si="17"/>
        <v>158.46000000000072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 t="shared" si="16"/>
        <v>yyyy-01</v>
      </c>
      <c r="K318" s="16">
        <f t="shared" si="17"/>
        <v>158.46000000000072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 t="shared" si="16"/>
        <v>yyyy-01</v>
      </c>
      <c r="K319" s="16">
        <f t="shared" si="17"/>
        <v>158.46000000000072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 t="shared" si="16"/>
        <v>yyyy-01</v>
      </c>
      <c r="K320" s="16">
        <f t="shared" si="17"/>
        <v>158.46000000000072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 t="shared" si="16"/>
        <v>yyyy-01</v>
      </c>
      <c r="K321" s="16">
        <f t="shared" si="17"/>
        <v>158.46000000000072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 t="shared" si="16"/>
        <v>yyyy-01</v>
      </c>
      <c r="K322" s="16">
        <f t="shared" si="17"/>
        <v>158.46000000000072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 t="shared" si="16"/>
        <v>yyyy-01</v>
      </c>
      <c r="K323" s="16">
        <f t="shared" si="17"/>
        <v>158.46000000000072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 t="shared" si="16"/>
        <v>yyyy-01</v>
      </c>
      <c r="K324" s="16">
        <f t="shared" si="17"/>
        <v>158.46000000000072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 t="shared" si="16"/>
        <v>yyyy-01</v>
      </c>
      <c r="K325" s="16">
        <f t="shared" si="17"/>
        <v>158.46000000000072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 t="shared" si="16"/>
        <v>yyyy-01</v>
      </c>
      <c r="K326" s="16">
        <f t="shared" si="17"/>
        <v>158.46000000000072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 t="shared" si="16"/>
        <v>yyyy-01</v>
      </c>
      <c r="K327" s="16">
        <f t="shared" si="17"/>
        <v>158.46000000000072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 t="shared" si="16"/>
        <v>yyyy-01</v>
      </c>
      <c r="K328" s="16">
        <f t="shared" si="17"/>
        <v>158.46000000000072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 t="shared" si="16"/>
        <v>yyyy-01</v>
      </c>
      <c r="K329" s="16">
        <f t="shared" si="17"/>
        <v>158.46000000000072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 t="shared" si="16"/>
        <v>yyyy-01</v>
      </c>
      <c r="K330" s="16">
        <f t="shared" si="17"/>
        <v>158.46000000000072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 t="shared" si="16"/>
        <v>yyyy-01</v>
      </c>
      <c r="K331" s="16">
        <f t="shared" si="17"/>
        <v>158.46000000000072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 t="shared" si="16"/>
        <v>yyyy-01</v>
      </c>
      <c r="K332" s="16">
        <f t="shared" si="17"/>
        <v>158.46000000000072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 t="shared" si="16"/>
        <v>yyyy-01</v>
      </c>
      <c r="K333" s="16">
        <f t="shared" si="17"/>
        <v>158.46000000000072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 t="shared" si="16"/>
        <v>yyyy-01</v>
      </c>
      <c r="K334" s="16">
        <f t="shared" si="17"/>
        <v>158.46000000000072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 t="shared" si="16"/>
        <v>yyyy-01</v>
      </c>
      <c r="K335" s="16">
        <f t="shared" si="17"/>
        <v>158.46000000000072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 t="shared" si="16"/>
        <v>yyyy-01</v>
      </c>
      <c r="K336" s="16">
        <f t="shared" si="17"/>
        <v>158.46000000000072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 t="shared" si="16"/>
        <v>yyyy-01</v>
      </c>
      <c r="K337" s="16">
        <f t="shared" si="17"/>
        <v>158.46000000000072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 t="shared" si="16"/>
        <v>yyyy-01</v>
      </c>
      <c r="K338" s="16">
        <f t="shared" si="17"/>
        <v>158.46000000000072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 t="shared" si="16"/>
        <v>yyyy-01</v>
      </c>
      <c r="K339" s="16">
        <f t="shared" si="17"/>
        <v>158.46000000000072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 t="shared" si="16"/>
        <v>yyyy-01</v>
      </c>
      <c r="K340" s="16">
        <f t="shared" si="17"/>
        <v>158.46000000000072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 t="shared" si="16"/>
        <v>yyyy-01</v>
      </c>
      <c r="K341" s="16">
        <f t="shared" si="17"/>
        <v>158.46000000000072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 t="shared" si="16"/>
        <v>yyyy-01</v>
      </c>
      <c r="K342" s="16">
        <f t="shared" si="17"/>
        <v>158.46000000000072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 t="shared" si="16"/>
        <v>yyyy-01</v>
      </c>
      <c r="K343" s="16">
        <f t="shared" si="17"/>
        <v>158.46000000000072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 t="shared" si="16"/>
        <v>yyyy-01</v>
      </c>
      <c r="K344" s="16">
        <f t="shared" si="17"/>
        <v>158.46000000000072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 t="shared" si="16"/>
        <v>yyyy-01</v>
      </c>
      <c r="K345" s="16">
        <f t="shared" si="17"/>
        <v>158.46000000000072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 t="shared" ref="J346:J409" si="18">TEXT(A346,"yyyy-mm")</f>
        <v>yyyy-01</v>
      </c>
      <c r="K346" s="16">
        <f t="shared" ref="K346:K409" si="19">K345 + IF(C346="Entrada", G346, -G346)</f>
        <v>158.46000000000072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 t="shared" si="18"/>
        <v>yyyy-01</v>
      </c>
      <c r="K347" s="16">
        <f t="shared" si="19"/>
        <v>158.46000000000072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 t="shared" si="18"/>
        <v>yyyy-01</v>
      </c>
      <c r="K348" s="16">
        <f t="shared" si="19"/>
        <v>158.46000000000072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 t="shared" si="18"/>
        <v>yyyy-01</v>
      </c>
      <c r="K349" s="16">
        <f t="shared" si="19"/>
        <v>158.46000000000072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 t="shared" si="18"/>
        <v>yyyy-01</v>
      </c>
      <c r="K350" s="16">
        <f t="shared" si="19"/>
        <v>158.46000000000072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 t="shared" si="18"/>
        <v>yyyy-01</v>
      </c>
      <c r="K351" s="16">
        <f t="shared" si="19"/>
        <v>158.46000000000072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 t="shared" si="18"/>
        <v>yyyy-01</v>
      </c>
      <c r="K352" s="16">
        <f t="shared" si="19"/>
        <v>158.46000000000072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 t="shared" si="18"/>
        <v>yyyy-01</v>
      </c>
      <c r="K353" s="16">
        <f t="shared" si="19"/>
        <v>158.46000000000072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 t="shared" si="18"/>
        <v>yyyy-01</v>
      </c>
      <c r="K354" s="16">
        <f t="shared" si="19"/>
        <v>158.46000000000072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 t="shared" si="18"/>
        <v>yyyy-01</v>
      </c>
      <c r="K355" s="16">
        <f t="shared" si="19"/>
        <v>158.46000000000072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 t="shared" si="18"/>
        <v>yyyy-01</v>
      </c>
      <c r="K356" s="16">
        <f t="shared" si="19"/>
        <v>158.46000000000072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 t="shared" si="18"/>
        <v>yyyy-01</v>
      </c>
      <c r="K357" s="16">
        <f t="shared" si="19"/>
        <v>158.46000000000072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 t="shared" si="18"/>
        <v>yyyy-01</v>
      </c>
      <c r="K358" s="16">
        <f t="shared" si="19"/>
        <v>158.46000000000072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 t="shared" si="18"/>
        <v>yyyy-01</v>
      </c>
      <c r="K359" s="16">
        <f t="shared" si="19"/>
        <v>158.46000000000072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 t="shared" si="18"/>
        <v>yyyy-01</v>
      </c>
      <c r="K360" s="16">
        <f t="shared" si="19"/>
        <v>158.46000000000072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 t="shared" si="18"/>
        <v>yyyy-01</v>
      </c>
      <c r="K361" s="16">
        <f t="shared" si="19"/>
        <v>158.46000000000072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 t="shared" si="18"/>
        <v>yyyy-01</v>
      </c>
      <c r="K362" s="16">
        <f t="shared" si="19"/>
        <v>158.46000000000072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 t="shared" si="18"/>
        <v>yyyy-01</v>
      </c>
      <c r="K363" s="16">
        <f t="shared" si="19"/>
        <v>158.46000000000072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 t="shared" si="18"/>
        <v>yyyy-01</v>
      </c>
      <c r="K364" s="16">
        <f t="shared" si="19"/>
        <v>158.46000000000072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 t="shared" si="18"/>
        <v>yyyy-01</v>
      </c>
      <c r="K365" s="16">
        <f t="shared" si="19"/>
        <v>158.46000000000072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 t="shared" si="18"/>
        <v>yyyy-01</v>
      </c>
      <c r="K366" s="16">
        <f t="shared" si="19"/>
        <v>158.46000000000072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 t="shared" si="18"/>
        <v>yyyy-01</v>
      </c>
      <c r="K367" s="16">
        <f t="shared" si="19"/>
        <v>158.46000000000072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 t="shared" si="18"/>
        <v>yyyy-01</v>
      </c>
      <c r="K368" s="16">
        <f t="shared" si="19"/>
        <v>158.46000000000072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 t="shared" si="18"/>
        <v>yyyy-01</v>
      </c>
      <c r="K369" s="16">
        <f t="shared" si="19"/>
        <v>158.46000000000072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 t="shared" si="18"/>
        <v>yyyy-01</v>
      </c>
      <c r="K370" s="16">
        <f t="shared" si="19"/>
        <v>158.46000000000072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 t="shared" si="18"/>
        <v>yyyy-01</v>
      </c>
      <c r="K371" s="16">
        <f t="shared" si="19"/>
        <v>158.46000000000072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 t="shared" si="18"/>
        <v>yyyy-01</v>
      </c>
      <c r="K372" s="16">
        <f t="shared" si="19"/>
        <v>158.46000000000072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 t="shared" si="18"/>
        <v>yyyy-01</v>
      </c>
      <c r="K373" s="16">
        <f t="shared" si="19"/>
        <v>158.46000000000072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 t="shared" si="18"/>
        <v>yyyy-01</v>
      </c>
      <c r="K374" s="16">
        <f t="shared" si="19"/>
        <v>158.46000000000072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 t="shared" si="18"/>
        <v>yyyy-01</v>
      </c>
      <c r="K375" s="16">
        <f t="shared" si="19"/>
        <v>158.46000000000072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 t="shared" si="18"/>
        <v>yyyy-01</v>
      </c>
      <c r="K376" s="16">
        <f t="shared" si="19"/>
        <v>158.46000000000072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 t="shared" si="18"/>
        <v>yyyy-01</v>
      </c>
      <c r="K377" s="16">
        <f t="shared" si="19"/>
        <v>158.46000000000072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 t="shared" si="18"/>
        <v>yyyy-01</v>
      </c>
      <c r="K378" s="16">
        <f t="shared" si="19"/>
        <v>158.46000000000072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 t="shared" si="18"/>
        <v>yyyy-01</v>
      </c>
      <c r="K379" s="16">
        <f t="shared" si="19"/>
        <v>158.46000000000072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 t="shared" si="18"/>
        <v>yyyy-01</v>
      </c>
      <c r="K380" s="16">
        <f t="shared" si="19"/>
        <v>158.46000000000072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 t="shared" si="18"/>
        <v>yyyy-01</v>
      </c>
      <c r="K381" s="16">
        <f t="shared" si="19"/>
        <v>158.46000000000072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 t="shared" si="18"/>
        <v>yyyy-01</v>
      </c>
      <c r="K382" s="16">
        <f t="shared" si="19"/>
        <v>158.46000000000072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 t="shared" si="18"/>
        <v>yyyy-01</v>
      </c>
      <c r="K383" s="16">
        <f t="shared" si="19"/>
        <v>158.46000000000072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 t="shared" si="18"/>
        <v>yyyy-01</v>
      </c>
      <c r="K384" s="16">
        <f t="shared" si="19"/>
        <v>158.46000000000072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 t="shared" si="18"/>
        <v>yyyy-01</v>
      </c>
      <c r="K385" s="16">
        <f t="shared" si="19"/>
        <v>158.46000000000072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 t="shared" si="18"/>
        <v>yyyy-01</v>
      </c>
      <c r="K386" s="16">
        <f t="shared" si="19"/>
        <v>158.46000000000072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 t="shared" si="18"/>
        <v>yyyy-01</v>
      </c>
      <c r="K387" s="16">
        <f t="shared" si="19"/>
        <v>158.46000000000072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 t="shared" si="18"/>
        <v>yyyy-01</v>
      </c>
      <c r="K388" s="16">
        <f t="shared" si="19"/>
        <v>158.46000000000072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 t="shared" si="18"/>
        <v>yyyy-01</v>
      </c>
      <c r="K389" s="16">
        <f t="shared" si="19"/>
        <v>158.46000000000072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 t="shared" si="18"/>
        <v>yyyy-01</v>
      </c>
      <c r="K390" s="16">
        <f t="shared" si="19"/>
        <v>158.46000000000072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 t="shared" si="18"/>
        <v>yyyy-01</v>
      </c>
      <c r="K391" s="16">
        <f t="shared" si="19"/>
        <v>158.46000000000072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 t="shared" si="18"/>
        <v>yyyy-01</v>
      </c>
      <c r="K392" s="16">
        <f t="shared" si="19"/>
        <v>158.46000000000072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 t="shared" si="18"/>
        <v>yyyy-01</v>
      </c>
      <c r="K393" s="16">
        <f t="shared" si="19"/>
        <v>158.46000000000072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 t="shared" si="18"/>
        <v>yyyy-01</v>
      </c>
      <c r="K394" s="16">
        <f t="shared" si="19"/>
        <v>158.46000000000072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 t="shared" si="18"/>
        <v>yyyy-01</v>
      </c>
      <c r="K395" s="16">
        <f t="shared" si="19"/>
        <v>158.46000000000072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 t="shared" si="18"/>
        <v>yyyy-01</v>
      </c>
      <c r="K396" s="16">
        <f t="shared" si="19"/>
        <v>158.46000000000072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 t="shared" si="18"/>
        <v>yyyy-01</v>
      </c>
      <c r="K397" s="16">
        <f t="shared" si="19"/>
        <v>158.46000000000072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 t="shared" si="18"/>
        <v>yyyy-01</v>
      </c>
      <c r="K398" s="16">
        <f t="shared" si="19"/>
        <v>158.46000000000072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 t="shared" si="18"/>
        <v>yyyy-01</v>
      </c>
      <c r="K399" s="16">
        <f t="shared" si="19"/>
        <v>158.46000000000072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 t="shared" si="18"/>
        <v>yyyy-01</v>
      </c>
      <c r="K400" s="16">
        <f t="shared" si="19"/>
        <v>158.46000000000072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 t="shared" si="18"/>
        <v>yyyy-01</v>
      </c>
      <c r="K401" s="16">
        <f t="shared" si="19"/>
        <v>158.46000000000072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 t="shared" si="18"/>
        <v>yyyy-01</v>
      </c>
      <c r="K402" s="16">
        <f t="shared" si="19"/>
        <v>158.46000000000072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 t="shared" si="18"/>
        <v>yyyy-01</v>
      </c>
      <c r="K403" s="16">
        <f t="shared" si="19"/>
        <v>158.46000000000072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 t="shared" si="18"/>
        <v>yyyy-01</v>
      </c>
      <c r="K404" s="16">
        <f t="shared" si="19"/>
        <v>158.46000000000072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 t="shared" si="18"/>
        <v>yyyy-01</v>
      </c>
      <c r="K405" s="16">
        <f t="shared" si="19"/>
        <v>158.46000000000072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 t="shared" si="18"/>
        <v>yyyy-01</v>
      </c>
      <c r="K406" s="16">
        <f t="shared" si="19"/>
        <v>158.46000000000072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 t="shared" si="18"/>
        <v>yyyy-01</v>
      </c>
      <c r="K407" s="16">
        <f t="shared" si="19"/>
        <v>158.46000000000072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 t="shared" si="18"/>
        <v>yyyy-01</v>
      </c>
      <c r="K408" s="16">
        <f t="shared" si="19"/>
        <v>158.46000000000072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 t="shared" si="18"/>
        <v>yyyy-01</v>
      </c>
      <c r="K409" s="16">
        <f t="shared" si="19"/>
        <v>158.46000000000072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 t="shared" ref="J410:J473" si="20">TEXT(A410,"yyyy-mm")</f>
        <v>yyyy-01</v>
      </c>
      <c r="K410" s="16">
        <f t="shared" ref="K410:K473" si="21">K409 + IF(C410="Entrada", G410, -G410)</f>
        <v>158.46000000000072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 t="shared" si="20"/>
        <v>yyyy-01</v>
      </c>
      <c r="K411" s="16">
        <f t="shared" si="21"/>
        <v>158.46000000000072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 t="shared" si="20"/>
        <v>yyyy-01</v>
      </c>
      <c r="K412" s="16">
        <f t="shared" si="21"/>
        <v>158.46000000000072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 t="shared" si="20"/>
        <v>yyyy-01</v>
      </c>
      <c r="K413" s="16">
        <f t="shared" si="21"/>
        <v>158.46000000000072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 t="shared" si="20"/>
        <v>yyyy-01</v>
      </c>
      <c r="K414" s="16">
        <f t="shared" si="21"/>
        <v>158.46000000000072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 t="shared" si="20"/>
        <v>yyyy-01</v>
      </c>
      <c r="K415" s="16">
        <f t="shared" si="21"/>
        <v>158.46000000000072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 t="shared" si="20"/>
        <v>yyyy-01</v>
      </c>
      <c r="K416" s="16">
        <f t="shared" si="21"/>
        <v>158.46000000000072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 t="shared" si="20"/>
        <v>yyyy-01</v>
      </c>
      <c r="K417" s="16">
        <f t="shared" si="21"/>
        <v>158.46000000000072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 t="shared" si="20"/>
        <v>yyyy-01</v>
      </c>
      <c r="K418" s="16">
        <f t="shared" si="21"/>
        <v>158.46000000000072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 t="shared" si="20"/>
        <v>yyyy-01</v>
      </c>
      <c r="K419" s="16">
        <f t="shared" si="21"/>
        <v>158.46000000000072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 t="shared" si="20"/>
        <v>yyyy-01</v>
      </c>
      <c r="K420" s="16">
        <f t="shared" si="21"/>
        <v>158.46000000000072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 t="shared" si="20"/>
        <v>yyyy-01</v>
      </c>
      <c r="K421" s="16">
        <f t="shared" si="21"/>
        <v>158.46000000000072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 t="shared" si="20"/>
        <v>yyyy-01</v>
      </c>
      <c r="K422" s="16">
        <f t="shared" si="21"/>
        <v>158.46000000000072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 t="shared" si="20"/>
        <v>yyyy-01</v>
      </c>
      <c r="K423" s="16">
        <f t="shared" si="21"/>
        <v>158.46000000000072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 t="shared" si="20"/>
        <v>yyyy-01</v>
      </c>
      <c r="K424" s="16">
        <f t="shared" si="21"/>
        <v>158.46000000000072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 t="shared" si="20"/>
        <v>yyyy-01</v>
      </c>
      <c r="K425" s="16">
        <f t="shared" si="21"/>
        <v>158.46000000000072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 t="shared" si="20"/>
        <v>yyyy-01</v>
      </c>
      <c r="K426" s="16">
        <f t="shared" si="21"/>
        <v>158.46000000000072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 t="shared" si="20"/>
        <v>yyyy-01</v>
      </c>
      <c r="K427" s="16">
        <f t="shared" si="21"/>
        <v>158.46000000000072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 t="shared" si="20"/>
        <v>yyyy-01</v>
      </c>
      <c r="K428" s="16">
        <f t="shared" si="21"/>
        <v>158.46000000000072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 t="shared" si="20"/>
        <v>yyyy-01</v>
      </c>
      <c r="K429" s="16">
        <f t="shared" si="21"/>
        <v>158.46000000000072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 t="shared" si="20"/>
        <v>yyyy-01</v>
      </c>
      <c r="K430" s="16">
        <f t="shared" si="21"/>
        <v>158.46000000000072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 t="shared" si="20"/>
        <v>yyyy-01</v>
      </c>
      <c r="K431" s="16">
        <f t="shared" si="21"/>
        <v>158.46000000000072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 t="shared" si="20"/>
        <v>yyyy-01</v>
      </c>
      <c r="K432" s="16">
        <f t="shared" si="21"/>
        <v>158.46000000000072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 t="shared" si="20"/>
        <v>yyyy-01</v>
      </c>
      <c r="K433" s="16">
        <f t="shared" si="21"/>
        <v>158.46000000000072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 t="shared" si="20"/>
        <v>yyyy-01</v>
      </c>
      <c r="K434" s="16">
        <f t="shared" si="21"/>
        <v>158.46000000000072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 t="shared" si="20"/>
        <v>yyyy-01</v>
      </c>
      <c r="K435" s="16">
        <f t="shared" si="21"/>
        <v>158.46000000000072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 t="shared" si="20"/>
        <v>yyyy-01</v>
      </c>
      <c r="K436" s="16">
        <f t="shared" si="21"/>
        <v>158.46000000000072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 t="shared" si="20"/>
        <v>yyyy-01</v>
      </c>
      <c r="K437" s="16">
        <f t="shared" si="21"/>
        <v>158.46000000000072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 t="shared" si="20"/>
        <v>yyyy-01</v>
      </c>
      <c r="K438" s="16">
        <f t="shared" si="21"/>
        <v>158.46000000000072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 t="shared" si="20"/>
        <v>yyyy-01</v>
      </c>
      <c r="K439" s="16">
        <f t="shared" si="21"/>
        <v>158.46000000000072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 t="shared" si="20"/>
        <v>yyyy-01</v>
      </c>
      <c r="K440" s="16">
        <f t="shared" si="21"/>
        <v>158.46000000000072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 t="shared" si="20"/>
        <v>yyyy-01</v>
      </c>
      <c r="K441" s="16">
        <f t="shared" si="21"/>
        <v>158.46000000000072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 t="shared" si="20"/>
        <v>yyyy-01</v>
      </c>
      <c r="K442" s="16">
        <f t="shared" si="21"/>
        <v>158.46000000000072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 t="shared" si="20"/>
        <v>yyyy-01</v>
      </c>
      <c r="K443" s="16">
        <f t="shared" si="21"/>
        <v>158.46000000000072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 t="shared" si="20"/>
        <v>yyyy-01</v>
      </c>
      <c r="K444" s="16">
        <f t="shared" si="21"/>
        <v>158.46000000000072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 t="shared" si="20"/>
        <v>yyyy-01</v>
      </c>
      <c r="K445" s="16">
        <f t="shared" si="21"/>
        <v>158.46000000000072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 t="shared" si="20"/>
        <v>yyyy-01</v>
      </c>
      <c r="K446" s="16">
        <f t="shared" si="21"/>
        <v>158.46000000000072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 t="shared" si="20"/>
        <v>yyyy-01</v>
      </c>
      <c r="K447" s="16">
        <f t="shared" si="21"/>
        <v>158.46000000000072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 t="shared" si="20"/>
        <v>yyyy-01</v>
      </c>
      <c r="K448" s="16">
        <f t="shared" si="21"/>
        <v>158.46000000000072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 t="shared" si="20"/>
        <v>yyyy-01</v>
      </c>
      <c r="K449" s="16">
        <f t="shared" si="21"/>
        <v>158.46000000000072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 t="shared" si="20"/>
        <v>yyyy-01</v>
      </c>
      <c r="K450" s="16">
        <f t="shared" si="21"/>
        <v>158.46000000000072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 t="shared" si="20"/>
        <v>yyyy-01</v>
      </c>
      <c r="K451" s="16">
        <f t="shared" si="21"/>
        <v>158.46000000000072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 t="shared" si="20"/>
        <v>yyyy-01</v>
      </c>
      <c r="K452" s="16">
        <f t="shared" si="21"/>
        <v>158.46000000000072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 t="shared" si="20"/>
        <v>yyyy-01</v>
      </c>
      <c r="K453" s="16">
        <f t="shared" si="21"/>
        <v>158.46000000000072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 t="shared" si="20"/>
        <v>yyyy-01</v>
      </c>
      <c r="K454" s="16">
        <f t="shared" si="21"/>
        <v>158.46000000000072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 t="shared" si="20"/>
        <v>yyyy-01</v>
      </c>
      <c r="K455" s="16">
        <f t="shared" si="21"/>
        <v>158.46000000000072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 t="shared" si="20"/>
        <v>yyyy-01</v>
      </c>
      <c r="K456" s="16">
        <f t="shared" si="21"/>
        <v>158.46000000000072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 t="shared" si="20"/>
        <v>yyyy-01</v>
      </c>
      <c r="K457" s="16">
        <f t="shared" si="21"/>
        <v>158.46000000000072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 t="shared" si="20"/>
        <v>yyyy-01</v>
      </c>
      <c r="K458" s="16">
        <f t="shared" si="21"/>
        <v>158.46000000000072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 t="shared" si="20"/>
        <v>yyyy-01</v>
      </c>
      <c r="K459" s="16">
        <f t="shared" si="21"/>
        <v>158.46000000000072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 t="shared" si="20"/>
        <v>yyyy-01</v>
      </c>
      <c r="K460" s="16">
        <f t="shared" si="21"/>
        <v>158.46000000000072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 t="shared" si="20"/>
        <v>yyyy-01</v>
      </c>
      <c r="K461" s="16">
        <f t="shared" si="21"/>
        <v>158.46000000000072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 t="shared" si="20"/>
        <v>yyyy-01</v>
      </c>
      <c r="K462" s="16">
        <f t="shared" si="21"/>
        <v>158.46000000000072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 t="shared" si="20"/>
        <v>yyyy-01</v>
      </c>
      <c r="K463" s="16">
        <f t="shared" si="21"/>
        <v>158.46000000000072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 t="shared" si="20"/>
        <v>yyyy-01</v>
      </c>
      <c r="K464" s="16">
        <f t="shared" si="21"/>
        <v>158.46000000000072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 t="shared" si="20"/>
        <v>yyyy-01</v>
      </c>
      <c r="K465" s="16">
        <f t="shared" si="21"/>
        <v>158.46000000000072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 t="shared" si="20"/>
        <v>yyyy-01</v>
      </c>
      <c r="K466" s="16">
        <f t="shared" si="21"/>
        <v>158.46000000000072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 t="shared" si="20"/>
        <v>yyyy-01</v>
      </c>
      <c r="K467" s="16">
        <f t="shared" si="21"/>
        <v>158.46000000000072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 t="shared" si="20"/>
        <v>yyyy-01</v>
      </c>
      <c r="K468" s="16">
        <f t="shared" si="21"/>
        <v>158.46000000000072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 t="shared" si="20"/>
        <v>yyyy-01</v>
      </c>
      <c r="K469" s="16">
        <f t="shared" si="21"/>
        <v>158.46000000000072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 t="shared" si="20"/>
        <v>yyyy-01</v>
      </c>
      <c r="K470" s="16">
        <f t="shared" si="21"/>
        <v>158.46000000000072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 t="shared" si="20"/>
        <v>yyyy-01</v>
      </c>
      <c r="K471" s="16">
        <f t="shared" si="21"/>
        <v>158.46000000000072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 t="shared" si="20"/>
        <v>yyyy-01</v>
      </c>
      <c r="K472" s="16">
        <f t="shared" si="21"/>
        <v>158.46000000000072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 t="shared" si="20"/>
        <v>yyyy-01</v>
      </c>
      <c r="K473" s="16">
        <f t="shared" si="21"/>
        <v>158.46000000000072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537" si="22">TEXT(A474,"yyyy-mm")</f>
        <v>yyyy-01</v>
      </c>
      <c r="K474" s="16">
        <f t="shared" ref="K474:K537" si="23">K473 + IF(C474="Entrada", G474, -G474)</f>
        <v>158.46000000000072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 t="shared" si="22"/>
        <v>yyyy-01</v>
      </c>
      <c r="K475" s="16">
        <f t="shared" si="23"/>
        <v>158.46000000000072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 t="shared" si="22"/>
        <v>yyyy-01</v>
      </c>
      <c r="K476" s="16">
        <f t="shared" si="23"/>
        <v>158.46000000000072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 t="shared" si="22"/>
        <v>yyyy-01</v>
      </c>
      <c r="K477" s="16">
        <f t="shared" si="23"/>
        <v>158.46000000000072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 t="shared" si="22"/>
        <v>yyyy-01</v>
      </c>
      <c r="K478" s="16">
        <f t="shared" si="23"/>
        <v>158.46000000000072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 t="shared" si="22"/>
        <v>yyyy-01</v>
      </c>
      <c r="K479" s="16">
        <f t="shared" si="23"/>
        <v>158.46000000000072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 t="shared" si="22"/>
        <v>yyyy-01</v>
      </c>
      <c r="K480" s="16">
        <f t="shared" si="23"/>
        <v>158.46000000000072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 t="shared" si="22"/>
        <v>yyyy-01</v>
      </c>
      <c r="K481" s="16">
        <f t="shared" si="23"/>
        <v>158.46000000000072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 t="shared" si="22"/>
        <v>yyyy-01</v>
      </c>
      <c r="K482" s="16">
        <f t="shared" si="23"/>
        <v>158.46000000000072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 t="shared" si="22"/>
        <v>yyyy-01</v>
      </c>
      <c r="K483" s="16">
        <f t="shared" si="23"/>
        <v>158.46000000000072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 t="shared" si="22"/>
        <v>yyyy-01</v>
      </c>
      <c r="K484" s="16">
        <f t="shared" si="23"/>
        <v>158.46000000000072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 t="shared" si="22"/>
        <v>yyyy-01</v>
      </c>
      <c r="K485" s="16">
        <f t="shared" si="23"/>
        <v>158.46000000000072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 t="shared" si="22"/>
        <v>yyyy-01</v>
      </c>
      <c r="K486" s="16">
        <f t="shared" si="23"/>
        <v>158.46000000000072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 t="shared" si="22"/>
        <v>yyyy-01</v>
      </c>
      <c r="K487" s="16">
        <f t="shared" si="23"/>
        <v>158.46000000000072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 t="shared" si="22"/>
        <v>yyyy-01</v>
      </c>
      <c r="K488" s="16">
        <f t="shared" si="23"/>
        <v>158.46000000000072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 t="shared" si="22"/>
        <v>yyyy-01</v>
      </c>
      <c r="K489" s="16">
        <f t="shared" si="23"/>
        <v>158.46000000000072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 t="shared" si="22"/>
        <v>yyyy-01</v>
      </c>
      <c r="K490" s="16">
        <f t="shared" si="23"/>
        <v>158.46000000000072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 t="shared" si="22"/>
        <v>yyyy-01</v>
      </c>
      <c r="K491" s="16">
        <f t="shared" si="23"/>
        <v>158.46000000000072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 t="shared" si="22"/>
        <v>yyyy-01</v>
      </c>
      <c r="K492" s="16">
        <f t="shared" si="23"/>
        <v>158.46000000000072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 t="shared" si="22"/>
        <v>yyyy-01</v>
      </c>
      <c r="K493" s="16">
        <f t="shared" si="23"/>
        <v>158.46000000000072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 t="shared" si="22"/>
        <v>yyyy-01</v>
      </c>
      <c r="K494" s="16">
        <f t="shared" si="23"/>
        <v>158.46000000000072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 t="shared" si="22"/>
        <v>yyyy-01</v>
      </c>
      <c r="K495" s="16">
        <f t="shared" si="23"/>
        <v>158.46000000000072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 t="shared" si="22"/>
        <v>yyyy-01</v>
      </c>
      <c r="K496" s="16">
        <f t="shared" si="23"/>
        <v>158.46000000000072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 t="shared" si="22"/>
        <v>yyyy-01</v>
      </c>
      <c r="K497" s="16">
        <f t="shared" si="23"/>
        <v>158.46000000000072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 t="shared" si="22"/>
        <v>yyyy-01</v>
      </c>
      <c r="K498" s="16">
        <f t="shared" si="23"/>
        <v>158.46000000000072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 t="shared" si="22"/>
        <v>yyyy-01</v>
      </c>
      <c r="K499" s="16">
        <f t="shared" si="23"/>
        <v>158.46000000000072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 t="shared" si="22"/>
        <v>yyyy-01</v>
      </c>
      <c r="K500" s="16">
        <f t="shared" si="23"/>
        <v>158.46000000000072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 t="shared" si="22"/>
        <v>yyyy-01</v>
      </c>
      <c r="K501" s="16">
        <f t="shared" si="23"/>
        <v>158.46000000000072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 t="shared" si="22"/>
        <v>yyyy-01</v>
      </c>
      <c r="K502" s="16">
        <f t="shared" si="23"/>
        <v>158.46000000000072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 t="shared" si="22"/>
        <v>yyyy-01</v>
      </c>
      <c r="K503" s="16">
        <f t="shared" si="23"/>
        <v>158.46000000000072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 t="shared" si="22"/>
        <v>yyyy-01</v>
      </c>
      <c r="K504" s="16">
        <f t="shared" si="23"/>
        <v>158.46000000000072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 t="shared" si="22"/>
        <v>yyyy-01</v>
      </c>
      <c r="K505" s="16">
        <f t="shared" si="23"/>
        <v>158.46000000000072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 t="shared" si="22"/>
        <v>yyyy-01</v>
      </c>
      <c r="K506" s="16">
        <f t="shared" si="23"/>
        <v>158.46000000000072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 t="shared" si="22"/>
        <v>yyyy-01</v>
      </c>
      <c r="K507" s="16">
        <f t="shared" si="23"/>
        <v>158.46000000000072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 t="shared" si="22"/>
        <v>yyyy-01</v>
      </c>
      <c r="K508" s="16">
        <f t="shared" si="23"/>
        <v>158.46000000000072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 t="shared" si="22"/>
        <v>yyyy-01</v>
      </c>
      <c r="K509" s="16">
        <f t="shared" si="23"/>
        <v>158.46000000000072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 t="shared" si="22"/>
        <v>yyyy-01</v>
      </c>
      <c r="K510" s="16">
        <f t="shared" si="23"/>
        <v>158.46000000000072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 t="shared" si="22"/>
        <v>yyyy-01</v>
      </c>
      <c r="K511" s="16">
        <f t="shared" si="23"/>
        <v>158.46000000000072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 t="shared" si="22"/>
        <v>yyyy-01</v>
      </c>
      <c r="K512" s="16">
        <f t="shared" si="23"/>
        <v>158.46000000000072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 t="shared" si="22"/>
        <v>yyyy-01</v>
      </c>
      <c r="K513" s="16">
        <f t="shared" si="23"/>
        <v>158.46000000000072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 t="shared" si="22"/>
        <v>yyyy-01</v>
      </c>
      <c r="K514" s="16">
        <f t="shared" si="23"/>
        <v>158.46000000000072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 t="shared" si="22"/>
        <v>yyyy-01</v>
      </c>
      <c r="K515" s="16">
        <f t="shared" si="23"/>
        <v>158.46000000000072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 t="shared" si="22"/>
        <v>yyyy-01</v>
      </c>
      <c r="K516" s="16">
        <f t="shared" si="23"/>
        <v>158.46000000000072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 t="shared" si="22"/>
        <v>yyyy-01</v>
      </c>
      <c r="K517" s="16">
        <f t="shared" si="23"/>
        <v>158.46000000000072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 t="shared" si="22"/>
        <v>yyyy-01</v>
      </c>
      <c r="K518" s="16">
        <f t="shared" si="23"/>
        <v>158.46000000000072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 t="shared" si="22"/>
        <v>yyyy-01</v>
      </c>
      <c r="K519" s="16">
        <f t="shared" si="23"/>
        <v>158.46000000000072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 t="shared" si="22"/>
        <v>yyyy-01</v>
      </c>
      <c r="K520" s="16">
        <f t="shared" si="23"/>
        <v>158.46000000000072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 t="shared" si="22"/>
        <v>yyyy-01</v>
      </c>
      <c r="K521" s="16">
        <f t="shared" si="23"/>
        <v>158.46000000000072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 t="shared" si="22"/>
        <v>yyyy-01</v>
      </c>
      <c r="K522" s="16">
        <f t="shared" si="23"/>
        <v>158.46000000000072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 t="shared" si="22"/>
        <v>yyyy-01</v>
      </c>
      <c r="K523" s="16">
        <f t="shared" si="23"/>
        <v>158.46000000000072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 t="shared" si="22"/>
        <v>yyyy-01</v>
      </c>
      <c r="K524" s="16">
        <f t="shared" si="23"/>
        <v>158.46000000000072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 t="shared" si="22"/>
        <v>yyyy-01</v>
      </c>
      <c r="K525" s="16">
        <f t="shared" si="23"/>
        <v>158.46000000000072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 t="shared" si="22"/>
        <v>yyyy-01</v>
      </c>
      <c r="K526" s="16">
        <f t="shared" si="23"/>
        <v>158.46000000000072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 t="shared" si="22"/>
        <v>yyyy-01</v>
      </c>
      <c r="K527" s="16">
        <f t="shared" si="23"/>
        <v>158.46000000000072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 t="shared" si="22"/>
        <v>yyyy-01</v>
      </c>
      <c r="K528" s="16">
        <f t="shared" si="23"/>
        <v>158.46000000000072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 t="shared" si="22"/>
        <v>yyyy-01</v>
      </c>
      <c r="K529" s="16">
        <f t="shared" si="23"/>
        <v>158.46000000000072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 t="shared" si="22"/>
        <v>yyyy-01</v>
      </c>
      <c r="K530" s="16">
        <f t="shared" si="23"/>
        <v>158.46000000000072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 t="shared" si="22"/>
        <v>yyyy-01</v>
      </c>
      <c r="K531" s="16">
        <f t="shared" si="23"/>
        <v>158.46000000000072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 t="shared" si="22"/>
        <v>yyyy-01</v>
      </c>
      <c r="K532" s="16">
        <f t="shared" si="23"/>
        <v>158.46000000000072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 t="shared" si="22"/>
        <v>yyyy-01</v>
      </c>
      <c r="K533" s="16">
        <f t="shared" si="23"/>
        <v>158.46000000000072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 t="shared" si="22"/>
        <v>yyyy-01</v>
      </c>
      <c r="K534" s="16">
        <f t="shared" si="23"/>
        <v>158.46000000000072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 t="shared" si="22"/>
        <v>yyyy-01</v>
      </c>
      <c r="K535" s="16">
        <f t="shared" si="23"/>
        <v>158.46000000000072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 t="shared" si="22"/>
        <v>yyyy-01</v>
      </c>
      <c r="K536" s="16">
        <f t="shared" si="23"/>
        <v>158.46000000000072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 t="shared" si="22"/>
        <v>yyyy-01</v>
      </c>
      <c r="K537" s="16">
        <f t="shared" si="23"/>
        <v>158.46000000000072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 t="shared" ref="J538:J601" si="24">TEXT(A538,"yyyy-mm")</f>
        <v>yyyy-01</v>
      </c>
      <c r="K538" s="16">
        <f t="shared" ref="K538:K601" si="25">K537 + IF(C538="Entrada", G538, -G538)</f>
        <v>158.46000000000072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 t="shared" si="24"/>
        <v>yyyy-01</v>
      </c>
      <c r="K539" s="16">
        <f t="shared" si="25"/>
        <v>158.46000000000072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 t="shared" si="24"/>
        <v>yyyy-01</v>
      </c>
      <c r="K540" s="16">
        <f t="shared" si="25"/>
        <v>158.46000000000072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 t="shared" si="24"/>
        <v>yyyy-01</v>
      </c>
      <c r="K541" s="16">
        <f t="shared" si="25"/>
        <v>158.46000000000072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 t="shared" si="24"/>
        <v>yyyy-01</v>
      </c>
      <c r="K542" s="16">
        <f t="shared" si="25"/>
        <v>158.46000000000072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 t="shared" si="24"/>
        <v>yyyy-01</v>
      </c>
      <c r="K543" s="16">
        <f t="shared" si="25"/>
        <v>158.46000000000072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 t="shared" si="24"/>
        <v>yyyy-01</v>
      </c>
      <c r="K544" s="16">
        <f t="shared" si="25"/>
        <v>158.46000000000072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 t="shared" si="24"/>
        <v>yyyy-01</v>
      </c>
      <c r="K545" s="16">
        <f t="shared" si="25"/>
        <v>158.46000000000072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 t="shared" si="24"/>
        <v>yyyy-01</v>
      </c>
      <c r="K546" s="16">
        <f t="shared" si="25"/>
        <v>158.46000000000072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 t="shared" si="24"/>
        <v>yyyy-01</v>
      </c>
      <c r="K547" s="16">
        <f t="shared" si="25"/>
        <v>158.46000000000072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 t="shared" si="24"/>
        <v>yyyy-01</v>
      </c>
      <c r="K548" s="16">
        <f t="shared" si="25"/>
        <v>158.46000000000072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 t="shared" si="24"/>
        <v>yyyy-01</v>
      </c>
      <c r="K549" s="16">
        <f t="shared" si="25"/>
        <v>158.46000000000072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 t="shared" si="24"/>
        <v>yyyy-01</v>
      </c>
      <c r="K550" s="16">
        <f t="shared" si="25"/>
        <v>158.46000000000072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 t="shared" si="24"/>
        <v>yyyy-01</v>
      </c>
      <c r="K551" s="16">
        <f t="shared" si="25"/>
        <v>158.46000000000072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 t="shared" si="24"/>
        <v>yyyy-01</v>
      </c>
      <c r="K552" s="16">
        <f t="shared" si="25"/>
        <v>158.46000000000072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 t="shared" si="24"/>
        <v>yyyy-01</v>
      </c>
      <c r="K553" s="16">
        <f t="shared" si="25"/>
        <v>158.46000000000072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 t="shared" si="24"/>
        <v>yyyy-01</v>
      </c>
      <c r="K554" s="16">
        <f t="shared" si="25"/>
        <v>158.46000000000072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 t="shared" si="24"/>
        <v>yyyy-01</v>
      </c>
      <c r="K555" s="16">
        <f t="shared" si="25"/>
        <v>158.46000000000072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 t="shared" si="24"/>
        <v>yyyy-01</v>
      </c>
      <c r="K556" s="16">
        <f t="shared" si="25"/>
        <v>158.46000000000072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 t="shared" si="24"/>
        <v>yyyy-01</v>
      </c>
      <c r="K557" s="16">
        <f t="shared" si="25"/>
        <v>158.46000000000072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 t="shared" si="24"/>
        <v>yyyy-01</v>
      </c>
      <c r="K558" s="16">
        <f t="shared" si="25"/>
        <v>158.46000000000072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 t="shared" si="24"/>
        <v>yyyy-01</v>
      </c>
      <c r="K559" s="16">
        <f t="shared" si="25"/>
        <v>158.46000000000072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 t="shared" si="24"/>
        <v>yyyy-01</v>
      </c>
      <c r="K560" s="16">
        <f t="shared" si="25"/>
        <v>158.46000000000072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 t="shared" si="24"/>
        <v>yyyy-01</v>
      </c>
      <c r="K561" s="16">
        <f t="shared" si="25"/>
        <v>158.46000000000072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 t="shared" si="24"/>
        <v>yyyy-01</v>
      </c>
      <c r="K562" s="16">
        <f t="shared" si="25"/>
        <v>158.46000000000072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 t="shared" si="24"/>
        <v>yyyy-01</v>
      </c>
      <c r="K563" s="16">
        <f t="shared" si="25"/>
        <v>158.46000000000072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 t="shared" si="24"/>
        <v>yyyy-01</v>
      </c>
      <c r="K564" s="16">
        <f t="shared" si="25"/>
        <v>158.46000000000072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 t="shared" si="24"/>
        <v>yyyy-01</v>
      </c>
      <c r="K565" s="16">
        <f t="shared" si="25"/>
        <v>158.46000000000072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 t="shared" si="24"/>
        <v>yyyy-01</v>
      </c>
      <c r="K566" s="16">
        <f t="shared" si="25"/>
        <v>158.46000000000072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 t="shared" si="24"/>
        <v>yyyy-01</v>
      </c>
      <c r="K567" s="16">
        <f t="shared" si="25"/>
        <v>158.46000000000072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 t="shared" si="24"/>
        <v>yyyy-01</v>
      </c>
      <c r="K568" s="16">
        <f t="shared" si="25"/>
        <v>158.46000000000072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 t="shared" si="24"/>
        <v>yyyy-01</v>
      </c>
      <c r="K569" s="16">
        <f t="shared" si="25"/>
        <v>158.46000000000072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 t="shared" si="24"/>
        <v>yyyy-01</v>
      </c>
      <c r="K570" s="16">
        <f t="shared" si="25"/>
        <v>158.46000000000072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 t="shared" si="24"/>
        <v>yyyy-01</v>
      </c>
      <c r="K571" s="16">
        <f t="shared" si="25"/>
        <v>158.46000000000072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 t="shared" si="24"/>
        <v>yyyy-01</v>
      </c>
      <c r="K572" s="16">
        <f t="shared" si="25"/>
        <v>158.46000000000072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 t="shared" si="24"/>
        <v>yyyy-01</v>
      </c>
      <c r="K573" s="16">
        <f t="shared" si="25"/>
        <v>158.46000000000072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 t="shared" si="24"/>
        <v>yyyy-01</v>
      </c>
      <c r="K574" s="16">
        <f t="shared" si="25"/>
        <v>158.46000000000072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 t="shared" si="24"/>
        <v>yyyy-01</v>
      </c>
      <c r="K575" s="16">
        <f t="shared" si="25"/>
        <v>158.46000000000072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 t="shared" si="24"/>
        <v>yyyy-01</v>
      </c>
      <c r="K576" s="16">
        <f t="shared" si="25"/>
        <v>158.46000000000072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 t="shared" si="24"/>
        <v>yyyy-01</v>
      </c>
      <c r="K577" s="16">
        <f t="shared" si="25"/>
        <v>158.46000000000072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 t="shared" si="24"/>
        <v>yyyy-01</v>
      </c>
      <c r="K578" s="16">
        <f t="shared" si="25"/>
        <v>158.46000000000072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 t="shared" si="24"/>
        <v>yyyy-01</v>
      </c>
      <c r="K579" s="16">
        <f t="shared" si="25"/>
        <v>158.46000000000072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 t="shared" si="24"/>
        <v>yyyy-01</v>
      </c>
      <c r="K580" s="16">
        <f t="shared" si="25"/>
        <v>158.46000000000072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 t="shared" si="24"/>
        <v>yyyy-01</v>
      </c>
      <c r="K581" s="16">
        <f t="shared" si="25"/>
        <v>158.46000000000072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 t="shared" si="24"/>
        <v>yyyy-01</v>
      </c>
      <c r="K582" s="16">
        <f t="shared" si="25"/>
        <v>158.46000000000072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 t="shared" si="24"/>
        <v>yyyy-01</v>
      </c>
      <c r="K583" s="16">
        <f t="shared" si="25"/>
        <v>158.46000000000072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 t="shared" si="24"/>
        <v>yyyy-01</v>
      </c>
      <c r="K584" s="16">
        <f t="shared" si="25"/>
        <v>158.46000000000072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 t="shared" si="24"/>
        <v>yyyy-01</v>
      </c>
      <c r="K585" s="16">
        <f t="shared" si="25"/>
        <v>158.46000000000072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 t="shared" si="24"/>
        <v>yyyy-01</v>
      </c>
      <c r="K586" s="16">
        <f t="shared" si="25"/>
        <v>158.46000000000072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 t="shared" si="24"/>
        <v>yyyy-01</v>
      </c>
      <c r="K587" s="16">
        <f t="shared" si="25"/>
        <v>158.46000000000072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 t="shared" si="24"/>
        <v>yyyy-01</v>
      </c>
      <c r="K588" s="16">
        <f t="shared" si="25"/>
        <v>158.46000000000072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 t="shared" si="24"/>
        <v>yyyy-01</v>
      </c>
      <c r="K589" s="16">
        <f t="shared" si="25"/>
        <v>158.46000000000072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 t="shared" si="24"/>
        <v>yyyy-01</v>
      </c>
      <c r="K590" s="16">
        <f t="shared" si="25"/>
        <v>158.46000000000072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 t="shared" si="24"/>
        <v>yyyy-01</v>
      </c>
      <c r="K591" s="16">
        <f t="shared" si="25"/>
        <v>158.46000000000072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 t="shared" si="24"/>
        <v>yyyy-01</v>
      </c>
      <c r="K592" s="16">
        <f t="shared" si="25"/>
        <v>158.46000000000072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 t="shared" si="24"/>
        <v>yyyy-01</v>
      </c>
      <c r="K593" s="16">
        <f t="shared" si="25"/>
        <v>158.46000000000072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 t="shared" si="24"/>
        <v>yyyy-01</v>
      </c>
      <c r="K594" s="16">
        <f t="shared" si="25"/>
        <v>158.46000000000072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 t="shared" si="24"/>
        <v>yyyy-01</v>
      </c>
      <c r="K595" s="16">
        <f t="shared" si="25"/>
        <v>158.46000000000072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 t="shared" si="24"/>
        <v>yyyy-01</v>
      </c>
      <c r="K596" s="16">
        <f t="shared" si="25"/>
        <v>158.46000000000072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 t="shared" si="24"/>
        <v>yyyy-01</v>
      </c>
      <c r="K597" s="16">
        <f t="shared" si="25"/>
        <v>158.46000000000072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 t="shared" si="24"/>
        <v>yyyy-01</v>
      </c>
      <c r="K598" s="16">
        <f t="shared" si="25"/>
        <v>158.46000000000072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 t="shared" si="24"/>
        <v>yyyy-01</v>
      </c>
      <c r="K599" s="16">
        <f t="shared" si="25"/>
        <v>158.46000000000072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 t="shared" si="24"/>
        <v>yyyy-01</v>
      </c>
      <c r="K600" s="16">
        <f t="shared" si="25"/>
        <v>158.46000000000072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 t="shared" si="24"/>
        <v>yyyy-01</v>
      </c>
      <c r="K601" s="16">
        <f t="shared" si="25"/>
        <v>158.46000000000072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 t="shared" ref="J602:J665" si="26">TEXT(A602,"yyyy-mm")</f>
        <v>yyyy-01</v>
      </c>
      <c r="K602" s="16">
        <f t="shared" ref="K602:K665" si="27">K601 + IF(C602="Entrada", G602, -G602)</f>
        <v>158.46000000000072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 t="shared" si="26"/>
        <v>yyyy-01</v>
      </c>
      <c r="K603" s="16">
        <f t="shared" si="27"/>
        <v>158.46000000000072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 t="shared" si="26"/>
        <v>yyyy-01</v>
      </c>
      <c r="K604" s="16">
        <f t="shared" si="27"/>
        <v>158.46000000000072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 t="shared" si="26"/>
        <v>yyyy-01</v>
      </c>
      <c r="K605" s="16">
        <f t="shared" si="27"/>
        <v>158.46000000000072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 t="shared" si="26"/>
        <v>yyyy-01</v>
      </c>
      <c r="K606" s="16">
        <f t="shared" si="27"/>
        <v>158.46000000000072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 t="shared" si="26"/>
        <v>yyyy-01</v>
      </c>
      <c r="K607" s="16">
        <f t="shared" si="27"/>
        <v>158.46000000000072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 t="shared" si="26"/>
        <v>yyyy-01</v>
      </c>
      <c r="K608" s="16">
        <f t="shared" si="27"/>
        <v>158.46000000000072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 t="shared" si="26"/>
        <v>yyyy-01</v>
      </c>
      <c r="K609" s="16">
        <f t="shared" si="27"/>
        <v>158.46000000000072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 t="shared" si="26"/>
        <v>yyyy-01</v>
      </c>
      <c r="K610" s="16">
        <f t="shared" si="27"/>
        <v>158.46000000000072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 t="shared" si="26"/>
        <v>yyyy-01</v>
      </c>
      <c r="K611" s="16">
        <f t="shared" si="27"/>
        <v>158.46000000000072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 t="shared" si="26"/>
        <v>yyyy-01</v>
      </c>
      <c r="K612" s="16">
        <f t="shared" si="27"/>
        <v>158.46000000000072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 t="shared" si="26"/>
        <v>yyyy-01</v>
      </c>
      <c r="K613" s="16">
        <f t="shared" si="27"/>
        <v>158.46000000000072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 t="shared" si="26"/>
        <v>yyyy-01</v>
      </c>
      <c r="K614" s="16">
        <f t="shared" si="27"/>
        <v>158.46000000000072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 t="shared" si="26"/>
        <v>yyyy-01</v>
      </c>
      <c r="K615" s="16">
        <f t="shared" si="27"/>
        <v>158.46000000000072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 t="shared" si="26"/>
        <v>yyyy-01</v>
      </c>
      <c r="K616" s="16">
        <f t="shared" si="27"/>
        <v>158.46000000000072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 t="shared" si="26"/>
        <v>yyyy-01</v>
      </c>
      <c r="K617" s="16">
        <f t="shared" si="27"/>
        <v>158.46000000000072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 t="shared" si="26"/>
        <v>yyyy-01</v>
      </c>
      <c r="K618" s="16">
        <f t="shared" si="27"/>
        <v>158.46000000000072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 t="shared" si="26"/>
        <v>yyyy-01</v>
      </c>
      <c r="K619" s="16">
        <f t="shared" si="27"/>
        <v>158.46000000000072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 t="shared" si="26"/>
        <v>yyyy-01</v>
      </c>
      <c r="K620" s="16">
        <f t="shared" si="27"/>
        <v>158.46000000000072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 t="shared" si="26"/>
        <v>yyyy-01</v>
      </c>
      <c r="K621" s="16">
        <f t="shared" si="27"/>
        <v>158.46000000000072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 t="shared" si="26"/>
        <v>yyyy-01</v>
      </c>
      <c r="K622" s="16">
        <f t="shared" si="27"/>
        <v>158.46000000000072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 t="shared" si="26"/>
        <v>yyyy-01</v>
      </c>
      <c r="K623" s="16">
        <f t="shared" si="27"/>
        <v>158.46000000000072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 t="shared" si="26"/>
        <v>yyyy-01</v>
      </c>
      <c r="K624" s="16">
        <f t="shared" si="27"/>
        <v>158.46000000000072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 t="shared" si="26"/>
        <v>yyyy-01</v>
      </c>
      <c r="K625" s="16">
        <f t="shared" si="27"/>
        <v>158.46000000000072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 t="shared" si="26"/>
        <v>yyyy-01</v>
      </c>
      <c r="K626" s="16">
        <f t="shared" si="27"/>
        <v>158.46000000000072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 t="shared" si="26"/>
        <v>yyyy-01</v>
      </c>
      <c r="K627" s="16">
        <f t="shared" si="27"/>
        <v>158.46000000000072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 t="shared" si="26"/>
        <v>yyyy-01</v>
      </c>
      <c r="K628" s="16">
        <f t="shared" si="27"/>
        <v>158.46000000000072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 t="shared" si="26"/>
        <v>yyyy-01</v>
      </c>
      <c r="K629" s="16">
        <f t="shared" si="27"/>
        <v>158.46000000000072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 t="shared" si="26"/>
        <v>yyyy-01</v>
      </c>
      <c r="K630" s="16">
        <f t="shared" si="27"/>
        <v>158.46000000000072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 t="shared" si="26"/>
        <v>yyyy-01</v>
      </c>
      <c r="K631" s="16">
        <f t="shared" si="27"/>
        <v>158.46000000000072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 t="shared" si="26"/>
        <v>yyyy-01</v>
      </c>
      <c r="K632" s="16">
        <f t="shared" si="27"/>
        <v>158.46000000000072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 t="shared" si="26"/>
        <v>yyyy-01</v>
      </c>
      <c r="K633" s="16">
        <f t="shared" si="27"/>
        <v>158.46000000000072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 t="shared" si="26"/>
        <v>yyyy-01</v>
      </c>
      <c r="K634" s="16">
        <f t="shared" si="27"/>
        <v>158.46000000000072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 t="shared" si="26"/>
        <v>yyyy-01</v>
      </c>
      <c r="K635" s="16">
        <f t="shared" si="27"/>
        <v>158.46000000000072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 t="shared" si="26"/>
        <v>yyyy-01</v>
      </c>
      <c r="K636" s="16">
        <f t="shared" si="27"/>
        <v>158.46000000000072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 t="shared" si="26"/>
        <v>yyyy-01</v>
      </c>
      <c r="K637" s="16">
        <f t="shared" si="27"/>
        <v>158.46000000000072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 t="shared" si="26"/>
        <v>yyyy-01</v>
      </c>
      <c r="K638" s="16">
        <f t="shared" si="27"/>
        <v>158.46000000000072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 t="shared" si="26"/>
        <v>yyyy-01</v>
      </c>
      <c r="K639" s="16">
        <f t="shared" si="27"/>
        <v>158.46000000000072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 t="shared" si="26"/>
        <v>yyyy-01</v>
      </c>
      <c r="K640" s="16">
        <f t="shared" si="27"/>
        <v>158.46000000000072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 t="shared" si="26"/>
        <v>yyyy-01</v>
      </c>
      <c r="K641" s="16">
        <f t="shared" si="27"/>
        <v>158.46000000000072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 t="shared" si="26"/>
        <v>yyyy-01</v>
      </c>
      <c r="K642" s="16">
        <f t="shared" si="27"/>
        <v>158.46000000000072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 t="shared" si="26"/>
        <v>yyyy-01</v>
      </c>
      <c r="K643" s="16">
        <f t="shared" si="27"/>
        <v>158.46000000000072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 t="shared" si="26"/>
        <v>yyyy-01</v>
      </c>
      <c r="K644" s="16">
        <f t="shared" si="27"/>
        <v>158.46000000000072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 t="shared" si="26"/>
        <v>yyyy-01</v>
      </c>
      <c r="K645" s="16">
        <f t="shared" si="27"/>
        <v>158.46000000000072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 t="shared" si="26"/>
        <v>yyyy-01</v>
      </c>
      <c r="K646" s="16">
        <f t="shared" si="27"/>
        <v>158.46000000000072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 t="shared" si="26"/>
        <v>yyyy-01</v>
      </c>
      <c r="K647" s="16">
        <f t="shared" si="27"/>
        <v>158.46000000000072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 t="shared" si="26"/>
        <v>yyyy-01</v>
      </c>
      <c r="K648" s="16">
        <f t="shared" si="27"/>
        <v>158.46000000000072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 t="shared" si="26"/>
        <v>yyyy-01</v>
      </c>
      <c r="K649" s="16">
        <f t="shared" si="27"/>
        <v>158.46000000000072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 t="shared" si="26"/>
        <v>yyyy-01</v>
      </c>
      <c r="K650" s="16">
        <f t="shared" si="27"/>
        <v>158.46000000000072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 t="shared" si="26"/>
        <v>yyyy-01</v>
      </c>
      <c r="K651" s="16">
        <f t="shared" si="27"/>
        <v>158.46000000000072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 t="shared" si="26"/>
        <v>yyyy-01</v>
      </c>
      <c r="K652" s="16">
        <f t="shared" si="27"/>
        <v>158.46000000000072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 t="shared" si="26"/>
        <v>yyyy-01</v>
      </c>
      <c r="K653" s="16">
        <f t="shared" si="27"/>
        <v>158.46000000000072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 t="shared" si="26"/>
        <v>yyyy-01</v>
      </c>
      <c r="K654" s="16">
        <f t="shared" si="27"/>
        <v>158.46000000000072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 t="shared" si="26"/>
        <v>yyyy-01</v>
      </c>
      <c r="K655" s="16">
        <f t="shared" si="27"/>
        <v>158.46000000000072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 t="shared" si="26"/>
        <v>yyyy-01</v>
      </c>
      <c r="K656" s="16">
        <f t="shared" si="27"/>
        <v>158.46000000000072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 t="shared" si="26"/>
        <v>yyyy-01</v>
      </c>
      <c r="K657" s="16">
        <f t="shared" si="27"/>
        <v>158.46000000000072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 t="shared" si="26"/>
        <v>yyyy-01</v>
      </c>
      <c r="K658" s="16">
        <f t="shared" si="27"/>
        <v>158.46000000000072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 t="shared" si="26"/>
        <v>yyyy-01</v>
      </c>
      <c r="K659" s="16">
        <f t="shared" si="27"/>
        <v>158.46000000000072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 t="shared" si="26"/>
        <v>yyyy-01</v>
      </c>
      <c r="K660" s="16">
        <f t="shared" si="27"/>
        <v>158.46000000000072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 t="shared" si="26"/>
        <v>yyyy-01</v>
      </c>
      <c r="K661" s="16">
        <f t="shared" si="27"/>
        <v>158.46000000000072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 t="shared" si="26"/>
        <v>yyyy-01</v>
      </c>
      <c r="K662" s="16">
        <f t="shared" si="27"/>
        <v>158.46000000000072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 t="shared" si="26"/>
        <v>yyyy-01</v>
      </c>
      <c r="K663" s="16">
        <f t="shared" si="27"/>
        <v>158.46000000000072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 t="shared" si="26"/>
        <v>yyyy-01</v>
      </c>
      <c r="K664" s="16">
        <f t="shared" si="27"/>
        <v>158.46000000000072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 t="shared" si="26"/>
        <v>yyyy-01</v>
      </c>
      <c r="K665" s="16">
        <f t="shared" si="27"/>
        <v>158.46000000000072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 t="shared" ref="J666:J729" si="28">TEXT(A666,"yyyy-mm")</f>
        <v>yyyy-01</v>
      </c>
      <c r="K666" s="16">
        <f t="shared" ref="K666:K729" si="29">K665 + IF(C666="Entrada", G666, -G666)</f>
        <v>158.46000000000072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 t="shared" si="28"/>
        <v>yyyy-01</v>
      </c>
      <c r="K667" s="16">
        <f t="shared" si="29"/>
        <v>158.46000000000072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 t="shared" si="28"/>
        <v>yyyy-01</v>
      </c>
      <c r="K668" s="16">
        <f t="shared" si="29"/>
        <v>158.46000000000072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 t="shared" si="28"/>
        <v>yyyy-01</v>
      </c>
      <c r="K669" s="16">
        <f t="shared" si="29"/>
        <v>158.46000000000072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 t="shared" si="28"/>
        <v>yyyy-01</v>
      </c>
      <c r="K670" s="16">
        <f t="shared" si="29"/>
        <v>158.46000000000072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 t="shared" si="28"/>
        <v>yyyy-01</v>
      </c>
      <c r="K671" s="16">
        <f t="shared" si="29"/>
        <v>158.46000000000072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 t="shared" si="28"/>
        <v>yyyy-01</v>
      </c>
      <c r="K672" s="16">
        <f t="shared" si="29"/>
        <v>158.46000000000072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 t="shared" si="28"/>
        <v>yyyy-01</v>
      </c>
      <c r="K673" s="16">
        <f t="shared" si="29"/>
        <v>158.46000000000072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 t="shared" si="28"/>
        <v>yyyy-01</v>
      </c>
      <c r="K674" s="16">
        <f t="shared" si="29"/>
        <v>158.46000000000072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 t="shared" si="28"/>
        <v>yyyy-01</v>
      </c>
      <c r="K675" s="16">
        <f t="shared" si="29"/>
        <v>158.46000000000072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 t="shared" si="28"/>
        <v>yyyy-01</v>
      </c>
      <c r="K676" s="16">
        <f t="shared" si="29"/>
        <v>158.46000000000072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 t="shared" si="28"/>
        <v>yyyy-01</v>
      </c>
      <c r="K677" s="16">
        <f t="shared" si="29"/>
        <v>158.46000000000072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 t="shared" si="28"/>
        <v>yyyy-01</v>
      </c>
      <c r="K678" s="16">
        <f t="shared" si="29"/>
        <v>158.46000000000072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 t="shared" si="28"/>
        <v>yyyy-01</v>
      </c>
      <c r="K679" s="16">
        <f t="shared" si="29"/>
        <v>158.46000000000072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 t="shared" si="28"/>
        <v>yyyy-01</v>
      </c>
      <c r="K680" s="16">
        <f t="shared" si="29"/>
        <v>158.46000000000072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 t="shared" si="28"/>
        <v>yyyy-01</v>
      </c>
      <c r="K681" s="16">
        <f t="shared" si="29"/>
        <v>158.46000000000072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 t="shared" si="28"/>
        <v>yyyy-01</v>
      </c>
      <c r="K682" s="16">
        <f t="shared" si="29"/>
        <v>158.46000000000072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 t="shared" si="28"/>
        <v>yyyy-01</v>
      </c>
      <c r="K683" s="16">
        <f t="shared" si="29"/>
        <v>158.46000000000072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 t="shared" si="28"/>
        <v>yyyy-01</v>
      </c>
      <c r="K684" s="16">
        <f t="shared" si="29"/>
        <v>158.46000000000072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 t="shared" si="28"/>
        <v>yyyy-01</v>
      </c>
      <c r="K685" s="16">
        <f t="shared" si="29"/>
        <v>158.46000000000072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 t="shared" si="28"/>
        <v>yyyy-01</v>
      </c>
      <c r="K686" s="16">
        <f t="shared" si="29"/>
        <v>158.46000000000072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 t="shared" si="28"/>
        <v>yyyy-01</v>
      </c>
      <c r="K687" s="16">
        <f t="shared" si="29"/>
        <v>158.46000000000072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 t="shared" si="28"/>
        <v>yyyy-01</v>
      </c>
      <c r="K688" s="16">
        <f t="shared" si="29"/>
        <v>158.46000000000072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 t="shared" si="28"/>
        <v>yyyy-01</v>
      </c>
      <c r="K689" s="16">
        <f t="shared" si="29"/>
        <v>158.46000000000072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 t="shared" si="28"/>
        <v>yyyy-01</v>
      </c>
      <c r="K690" s="16">
        <f t="shared" si="29"/>
        <v>158.46000000000072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 t="shared" si="28"/>
        <v>yyyy-01</v>
      </c>
      <c r="K691" s="16">
        <f t="shared" si="29"/>
        <v>158.46000000000072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 t="shared" si="28"/>
        <v>yyyy-01</v>
      </c>
      <c r="K692" s="16">
        <f t="shared" si="29"/>
        <v>158.46000000000072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 t="shared" si="28"/>
        <v>yyyy-01</v>
      </c>
      <c r="K693" s="16">
        <f t="shared" si="29"/>
        <v>158.46000000000072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 t="shared" si="28"/>
        <v>yyyy-01</v>
      </c>
      <c r="K694" s="16">
        <f t="shared" si="29"/>
        <v>158.46000000000072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 t="shared" si="28"/>
        <v>yyyy-01</v>
      </c>
      <c r="K695" s="16">
        <f t="shared" si="29"/>
        <v>158.46000000000072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 t="shared" si="28"/>
        <v>yyyy-01</v>
      </c>
      <c r="K696" s="16">
        <f t="shared" si="29"/>
        <v>158.46000000000072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 t="shared" si="28"/>
        <v>yyyy-01</v>
      </c>
      <c r="K697" s="16">
        <f t="shared" si="29"/>
        <v>158.46000000000072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 t="shared" si="28"/>
        <v>yyyy-01</v>
      </c>
      <c r="K698" s="16">
        <f t="shared" si="29"/>
        <v>158.46000000000072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 t="shared" si="28"/>
        <v>yyyy-01</v>
      </c>
      <c r="K699" s="16">
        <f t="shared" si="29"/>
        <v>158.46000000000072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 t="shared" si="28"/>
        <v>yyyy-01</v>
      </c>
      <c r="K700" s="16">
        <f t="shared" si="29"/>
        <v>158.46000000000072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 t="shared" si="28"/>
        <v>yyyy-01</v>
      </c>
      <c r="K701" s="16">
        <f t="shared" si="29"/>
        <v>158.46000000000072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 t="shared" si="28"/>
        <v>yyyy-01</v>
      </c>
      <c r="K702" s="16">
        <f t="shared" si="29"/>
        <v>158.46000000000072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 t="shared" si="28"/>
        <v>yyyy-01</v>
      </c>
      <c r="K703" s="16">
        <f t="shared" si="29"/>
        <v>158.46000000000072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 t="shared" si="28"/>
        <v>yyyy-01</v>
      </c>
      <c r="K704" s="16">
        <f t="shared" si="29"/>
        <v>158.46000000000072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 t="shared" si="28"/>
        <v>yyyy-01</v>
      </c>
      <c r="K705" s="16">
        <f t="shared" si="29"/>
        <v>158.46000000000072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 t="shared" si="28"/>
        <v>yyyy-01</v>
      </c>
      <c r="K706" s="16">
        <f t="shared" si="29"/>
        <v>158.46000000000072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 t="shared" si="28"/>
        <v>yyyy-01</v>
      </c>
      <c r="K707" s="16">
        <f t="shared" si="29"/>
        <v>158.46000000000072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 t="shared" si="28"/>
        <v>yyyy-01</v>
      </c>
      <c r="K708" s="16">
        <f t="shared" si="29"/>
        <v>158.46000000000072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 t="shared" si="28"/>
        <v>yyyy-01</v>
      </c>
      <c r="K709" s="16">
        <f t="shared" si="29"/>
        <v>158.46000000000072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 t="shared" si="28"/>
        <v>yyyy-01</v>
      </c>
      <c r="K710" s="16">
        <f t="shared" si="29"/>
        <v>158.46000000000072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 t="shared" si="28"/>
        <v>yyyy-01</v>
      </c>
      <c r="K711" s="16">
        <f t="shared" si="29"/>
        <v>158.46000000000072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 t="shared" si="28"/>
        <v>yyyy-01</v>
      </c>
      <c r="K712" s="16">
        <f t="shared" si="29"/>
        <v>158.46000000000072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 t="shared" si="28"/>
        <v>yyyy-01</v>
      </c>
      <c r="K713" s="16">
        <f t="shared" si="29"/>
        <v>158.46000000000072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 t="shared" si="28"/>
        <v>yyyy-01</v>
      </c>
      <c r="K714" s="16">
        <f t="shared" si="29"/>
        <v>158.46000000000072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 t="shared" si="28"/>
        <v>yyyy-01</v>
      </c>
      <c r="K715" s="16">
        <f t="shared" si="29"/>
        <v>158.46000000000072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 t="shared" si="28"/>
        <v>yyyy-01</v>
      </c>
      <c r="K716" s="16">
        <f t="shared" si="29"/>
        <v>158.46000000000072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 t="shared" si="28"/>
        <v>yyyy-01</v>
      </c>
      <c r="K717" s="16">
        <f t="shared" si="29"/>
        <v>158.46000000000072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 t="shared" si="28"/>
        <v>yyyy-01</v>
      </c>
      <c r="K718" s="16">
        <f t="shared" si="29"/>
        <v>158.46000000000072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 t="shared" si="28"/>
        <v>yyyy-01</v>
      </c>
      <c r="K719" s="16">
        <f t="shared" si="29"/>
        <v>158.46000000000072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 t="shared" si="28"/>
        <v>yyyy-01</v>
      </c>
      <c r="K720" s="16">
        <f t="shared" si="29"/>
        <v>158.46000000000072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 t="shared" si="28"/>
        <v>yyyy-01</v>
      </c>
      <c r="K721" s="16">
        <f t="shared" si="29"/>
        <v>158.46000000000072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 t="shared" si="28"/>
        <v>yyyy-01</v>
      </c>
      <c r="K722" s="16">
        <f t="shared" si="29"/>
        <v>158.46000000000072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 t="shared" si="28"/>
        <v>yyyy-01</v>
      </c>
      <c r="K723" s="16">
        <f t="shared" si="29"/>
        <v>158.46000000000072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 t="shared" si="28"/>
        <v>yyyy-01</v>
      </c>
      <c r="K724" s="16">
        <f t="shared" si="29"/>
        <v>158.46000000000072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 t="shared" si="28"/>
        <v>yyyy-01</v>
      </c>
      <c r="K725" s="16">
        <f t="shared" si="29"/>
        <v>158.46000000000072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 t="shared" si="28"/>
        <v>yyyy-01</v>
      </c>
      <c r="K726" s="16">
        <f t="shared" si="29"/>
        <v>158.46000000000072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 t="shared" si="28"/>
        <v>yyyy-01</v>
      </c>
      <c r="K727" s="16">
        <f t="shared" si="29"/>
        <v>158.46000000000072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 t="shared" si="28"/>
        <v>yyyy-01</v>
      </c>
      <c r="K728" s="16">
        <f t="shared" si="29"/>
        <v>158.46000000000072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 t="shared" si="28"/>
        <v>yyyy-01</v>
      </c>
      <c r="K729" s="16">
        <f t="shared" si="29"/>
        <v>158.46000000000072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 t="shared" ref="J730:J793" si="30">TEXT(A730,"yyyy-mm")</f>
        <v>yyyy-01</v>
      </c>
      <c r="K730" s="16">
        <f t="shared" ref="K730:K793" si="31">K729 + IF(C730="Entrada", G730, -G730)</f>
        <v>158.46000000000072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 t="shared" si="30"/>
        <v>yyyy-01</v>
      </c>
      <c r="K731" s="16">
        <f t="shared" si="31"/>
        <v>158.46000000000072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 t="shared" si="30"/>
        <v>yyyy-01</v>
      </c>
      <c r="K732" s="16">
        <f t="shared" si="31"/>
        <v>158.46000000000072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 t="shared" si="30"/>
        <v>yyyy-01</v>
      </c>
      <c r="K733" s="16">
        <f t="shared" si="31"/>
        <v>158.46000000000072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 t="shared" si="30"/>
        <v>yyyy-01</v>
      </c>
      <c r="K734" s="16">
        <f t="shared" si="31"/>
        <v>158.46000000000072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 t="shared" si="30"/>
        <v>yyyy-01</v>
      </c>
      <c r="K735" s="16">
        <f t="shared" si="31"/>
        <v>158.46000000000072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 t="shared" si="30"/>
        <v>yyyy-01</v>
      </c>
      <c r="K736" s="16">
        <f t="shared" si="31"/>
        <v>158.46000000000072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 t="shared" si="30"/>
        <v>yyyy-01</v>
      </c>
      <c r="K737" s="16">
        <f t="shared" si="31"/>
        <v>158.46000000000072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 t="shared" si="30"/>
        <v>yyyy-01</v>
      </c>
      <c r="K738" s="16">
        <f t="shared" si="31"/>
        <v>158.46000000000072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 t="shared" si="30"/>
        <v>yyyy-01</v>
      </c>
      <c r="K739" s="16">
        <f t="shared" si="31"/>
        <v>158.46000000000072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 t="shared" si="30"/>
        <v>yyyy-01</v>
      </c>
      <c r="K740" s="16">
        <f t="shared" si="31"/>
        <v>158.46000000000072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 t="shared" si="30"/>
        <v>yyyy-01</v>
      </c>
      <c r="K741" s="16">
        <f t="shared" si="31"/>
        <v>158.46000000000072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 t="shared" si="30"/>
        <v>yyyy-01</v>
      </c>
      <c r="K742" s="16">
        <f t="shared" si="31"/>
        <v>158.46000000000072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 t="shared" si="30"/>
        <v>yyyy-01</v>
      </c>
      <c r="K743" s="16">
        <f t="shared" si="31"/>
        <v>158.46000000000072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 t="shared" si="30"/>
        <v>yyyy-01</v>
      </c>
      <c r="K744" s="16">
        <f t="shared" si="31"/>
        <v>158.46000000000072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 t="shared" si="30"/>
        <v>yyyy-01</v>
      </c>
      <c r="K745" s="16">
        <f t="shared" si="31"/>
        <v>158.46000000000072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 t="shared" si="30"/>
        <v>yyyy-01</v>
      </c>
      <c r="K746" s="16">
        <f t="shared" si="31"/>
        <v>158.46000000000072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 t="shared" si="30"/>
        <v>yyyy-01</v>
      </c>
      <c r="K747" s="16">
        <f t="shared" si="31"/>
        <v>158.46000000000072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 t="shared" si="30"/>
        <v>yyyy-01</v>
      </c>
      <c r="K748" s="16">
        <f t="shared" si="31"/>
        <v>158.46000000000072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 t="shared" si="30"/>
        <v>yyyy-01</v>
      </c>
      <c r="K749" s="16">
        <f t="shared" si="31"/>
        <v>158.46000000000072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 t="shared" si="30"/>
        <v>yyyy-01</v>
      </c>
      <c r="K750" s="16">
        <f t="shared" si="31"/>
        <v>158.46000000000072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 t="shared" si="30"/>
        <v>yyyy-01</v>
      </c>
      <c r="K751" s="16">
        <f t="shared" si="31"/>
        <v>158.46000000000072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 t="shared" si="30"/>
        <v>yyyy-01</v>
      </c>
      <c r="K752" s="16">
        <f t="shared" si="31"/>
        <v>158.46000000000072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 t="shared" si="30"/>
        <v>yyyy-01</v>
      </c>
      <c r="K753" s="16">
        <f t="shared" si="31"/>
        <v>158.46000000000072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 t="shared" si="30"/>
        <v>yyyy-01</v>
      </c>
      <c r="K754" s="16">
        <f t="shared" si="31"/>
        <v>158.46000000000072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 t="shared" si="30"/>
        <v>yyyy-01</v>
      </c>
      <c r="K755" s="16">
        <f t="shared" si="31"/>
        <v>158.46000000000072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 t="shared" si="30"/>
        <v>yyyy-01</v>
      </c>
      <c r="K756" s="16">
        <f t="shared" si="31"/>
        <v>158.46000000000072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 t="shared" si="30"/>
        <v>yyyy-01</v>
      </c>
      <c r="K757" s="16">
        <f t="shared" si="31"/>
        <v>158.46000000000072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 t="shared" si="30"/>
        <v>yyyy-01</v>
      </c>
      <c r="K758" s="16">
        <f t="shared" si="31"/>
        <v>158.46000000000072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 t="shared" si="30"/>
        <v>yyyy-01</v>
      </c>
      <c r="K759" s="16">
        <f t="shared" si="31"/>
        <v>158.46000000000072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 t="shared" si="30"/>
        <v>yyyy-01</v>
      </c>
      <c r="K760" s="16">
        <f t="shared" si="31"/>
        <v>158.46000000000072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 t="shared" si="30"/>
        <v>yyyy-01</v>
      </c>
      <c r="K761" s="16">
        <f t="shared" si="31"/>
        <v>158.46000000000072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 t="shared" si="30"/>
        <v>yyyy-01</v>
      </c>
      <c r="K762" s="16">
        <f t="shared" si="31"/>
        <v>158.46000000000072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 t="shared" si="30"/>
        <v>yyyy-01</v>
      </c>
      <c r="K763" s="16">
        <f t="shared" si="31"/>
        <v>158.46000000000072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 t="shared" si="30"/>
        <v>yyyy-01</v>
      </c>
      <c r="K764" s="16">
        <f t="shared" si="31"/>
        <v>158.46000000000072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 t="shared" si="30"/>
        <v>yyyy-01</v>
      </c>
      <c r="K765" s="16">
        <f t="shared" si="31"/>
        <v>158.46000000000072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 t="shared" si="30"/>
        <v>yyyy-01</v>
      </c>
      <c r="K766" s="16">
        <f t="shared" si="31"/>
        <v>158.46000000000072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 t="shared" si="30"/>
        <v>yyyy-01</v>
      </c>
      <c r="K767" s="16">
        <f t="shared" si="31"/>
        <v>158.46000000000072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 t="shared" si="30"/>
        <v>yyyy-01</v>
      </c>
      <c r="K768" s="16">
        <f t="shared" si="31"/>
        <v>158.46000000000072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 t="shared" si="30"/>
        <v>yyyy-01</v>
      </c>
      <c r="K769" s="16">
        <f t="shared" si="31"/>
        <v>158.46000000000072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 t="shared" si="30"/>
        <v>yyyy-01</v>
      </c>
      <c r="K770" s="16">
        <f t="shared" si="31"/>
        <v>158.46000000000072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 t="shared" si="30"/>
        <v>yyyy-01</v>
      </c>
      <c r="K771" s="16">
        <f t="shared" si="31"/>
        <v>158.46000000000072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 t="shared" si="30"/>
        <v>yyyy-01</v>
      </c>
      <c r="K772" s="16">
        <f t="shared" si="31"/>
        <v>158.46000000000072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 t="shared" si="30"/>
        <v>yyyy-01</v>
      </c>
      <c r="K773" s="16">
        <f t="shared" si="31"/>
        <v>158.46000000000072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 t="shared" si="30"/>
        <v>yyyy-01</v>
      </c>
      <c r="K774" s="16">
        <f t="shared" si="31"/>
        <v>158.46000000000072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 t="shared" si="30"/>
        <v>yyyy-01</v>
      </c>
      <c r="K775" s="16">
        <f t="shared" si="31"/>
        <v>158.46000000000072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 t="shared" si="30"/>
        <v>yyyy-01</v>
      </c>
      <c r="K776" s="16">
        <f t="shared" si="31"/>
        <v>158.46000000000072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 t="shared" si="30"/>
        <v>yyyy-01</v>
      </c>
      <c r="K777" s="16">
        <f t="shared" si="31"/>
        <v>158.46000000000072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 t="shared" si="30"/>
        <v>yyyy-01</v>
      </c>
      <c r="K778" s="16">
        <f t="shared" si="31"/>
        <v>158.46000000000072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 t="shared" si="30"/>
        <v>yyyy-01</v>
      </c>
      <c r="K779" s="16">
        <f t="shared" si="31"/>
        <v>158.46000000000072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 t="shared" si="30"/>
        <v>yyyy-01</v>
      </c>
      <c r="K780" s="16">
        <f t="shared" si="31"/>
        <v>158.46000000000072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 t="shared" si="30"/>
        <v>yyyy-01</v>
      </c>
      <c r="K781" s="16">
        <f t="shared" si="31"/>
        <v>158.46000000000072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 t="shared" si="30"/>
        <v>yyyy-01</v>
      </c>
      <c r="K782" s="16">
        <f t="shared" si="31"/>
        <v>158.46000000000072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 t="shared" si="30"/>
        <v>yyyy-01</v>
      </c>
      <c r="K783" s="16">
        <f t="shared" si="31"/>
        <v>158.46000000000072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 t="shared" si="30"/>
        <v>yyyy-01</v>
      </c>
      <c r="K784" s="16">
        <f t="shared" si="31"/>
        <v>158.46000000000072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 t="shared" si="30"/>
        <v>yyyy-01</v>
      </c>
      <c r="K785" s="16">
        <f t="shared" si="31"/>
        <v>158.46000000000072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 t="shared" si="30"/>
        <v>yyyy-01</v>
      </c>
      <c r="K786" s="16">
        <f t="shared" si="31"/>
        <v>158.46000000000072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 t="shared" si="30"/>
        <v>yyyy-01</v>
      </c>
      <c r="K787" s="16">
        <f t="shared" si="31"/>
        <v>158.46000000000072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 t="shared" si="30"/>
        <v>yyyy-01</v>
      </c>
      <c r="K788" s="16">
        <f t="shared" si="31"/>
        <v>158.46000000000072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 t="shared" si="30"/>
        <v>yyyy-01</v>
      </c>
      <c r="K789" s="16">
        <f t="shared" si="31"/>
        <v>158.46000000000072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 t="shared" si="30"/>
        <v>yyyy-01</v>
      </c>
      <c r="K790" s="16">
        <f t="shared" si="31"/>
        <v>158.46000000000072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 t="shared" si="30"/>
        <v>yyyy-01</v>
      </c>
      <c r="K791" s="16">
        <f t="shared" si="31"/>
        <v>158.46000000000072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 t="shared" si="30"/>
        <v>yyyy-01</v>
      </c>
      <c r="K792" s="16">
        <f t="shared" si="31"/>
        <v>158.46000000000072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 t="shared" si="30"/>
        <v>yyyy-01</v>
      </c>
      <c r="K793" s="16">
        <f t="shared" si="31"/>
        <v>158.46000000000072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 t="shared" ref="J794:J857" si="32">TEXT(A794,"yyyy-mm")</f>
        <v>yyyy-01</v>
      </c>
      <c r="K794" s="16">
        <f t="shared" ref="K794:K857" si="33">K793 + IF(C794="Entrada", G794, -G794)</f>
        <v>158.46000000000072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 t="shared" si="32"/>
        <v>yyyy-01</v>
      </c>
      <c r="K795" s="16">
        <f t="shared" si="33"/>
        <v>158.46000000000072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 t="shared" si="32"/>
        <v>yyyy-01</v>
      </c>
      <c r="K796" s="16">
        <f t="shared" si="33"/>
        <v>158.46000000000072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 t="shared" si="32"/>
        <v>yyyy-01</v>
      </c>
      <c r="K797" s="16">
        <f t="shared" si="33"/>
        <v>158.46000000000072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 t="shared" si="32"/>
        <v>yyyy-01</v>
      </c>
      <c r="K798" s="16">
        <f t="shared" si="33"/>
        <v>158.46000000000072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 t="shared" si="32"/>
        <v>yyyy-01</v>
      </c>
      <c r="K799" s="16">
        <f t="shared" si="33"/>
        <v>158.46000000000072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 t="shared" si="32"/>
        <v>yyyy-01</v>
      </c>
      <c r="K800" s="16">
        <f t="shared" si="33"/>
        <v>158.46000000000072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 t="shared" si="32"/>
        <v>yyyy-01</v>
      </c>
      <c r="K801" s="16">
        <f t="shared" si="33"/>
        <v>158.46000000000072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 t="shared" si="32"/>
        <v>yyyy-01</v>
      </c>
      <c r="K802" s="16">
        <f t="shared" si="33"/>
        <v>158.46000000000072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 t="shared" si="32"/>
        <v>yyyy-01</v>
      </c>
      <c r="K803" s="16">
        <f t="shared" si="33"/>
        <v>158.46000000000072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 t="shared" si="32"/>
        <v>yyyy-01</v>
      </c>
      <c r="K804" s="16">
        <f t="shared" si="33"/>
        <v>158.46000000000072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 t="shared" si="32"/>
        <v>yyyy-01</v>
      </c>
      <c r="K805" s="16">
        <f t="shared" si="33"/>
        <v>158.46000000000072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 t="shared" si="32"/>
        <v>yyyy-01</v>
      </c>
      <c r="K806" s="16">
        <f t="shared" si="33"/>
        <v>158.46000000000072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 t="shared" si="32"/>
        <v>yyyy-01</v>
      </c>
      <c r="K807" s="16">
        <f t="shared" si="33"/>
        <v>158.46000000000072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 t="shared" si="32"/>
        <v>yyyy-01</v>
      </c>
      <c r="K808" s="16">
        <f t="shared" si="33"/>
        <v>158.46000000000072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 t="shared" si="32"/>
        <v>yyyy-01</v>
      </c>
      <c r="K809" s="16">
        <f t="shared" si="33"/>
        <v>158.46000000000072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 t="shared" si="32"/>
        <v>yyyy-01</v>
      </c>
      <c r="K810" s="16">
        <f t="shared" si="33"/>
        <v>158.46000000000072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 t="shared" si="32"/>
        <v>yyyy-01</v>
      </c>
      <c r="K811" s="16">
        <f t="shared" si="33"/>
        <v>158.46000000000072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 t="shared" si="32"/>
        <v>yyyy-01</v>
      </c>
      <c r="K812" s="16">
        <f t="shared" si="33"/>
        <v>158.46000000000072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 t="shared" si="32"/>
        <v>yyyy-01</v>
      </c>
      <c r="K813" s="16">
        <f t="shared" si="33"/>
        <v>158.46000000000072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 t="shared" si="32"/>
        <v>yyyy-01</v>
      </c>
      <c r="K814" s="16">
        <f t="shared" si="33"/>
        <v>158.46000000000072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 t="shared" si="32"/>
        <v>yyyy-01</v>
      </c>
      <c r="K815" s="16">
        <f t="shared" si="33"/>
        <v>158.46000000000072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 t="shared" si="32"/>
        <v>yyyy-01</v>
      </c>
      <c r="K816" s="16">
        <f t="shared" si="33"/>
        <v>158.46000000000072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 t="shared" si="32"/>
        <v>yyyy-01</v>
      </c>
      <c r="K817" s="16">
        <f t="shared" si="33"/>
        <v>158.46000000000072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 t="shared" si="32"/>
        <v>yyyy-01</v>
      </c>
      <c r="K818" s="16">
        <f t="shared" si="33"/>
        <v>158.46000000000072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 t="shared" si="32"/>
        <v>yyyy-01</v>
      </c>
      <c r="K819" s="16">
        <f t="shared" si="33"/>
        <v>158.46000000000072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 t="shared" si="32"/>
        <v>yyyy-01</v>
      </c>
      <c r="K820" s="16">
        <f t="shared" si="33"/>
        <v>158.46000000000072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 t="shared" si="32"/>
        <v>yyyy-01</v>
      </c>
      <c r="K821" s="16">
        <f t="shared" si="33"/>
        <v>158.46000000000072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 t="shared" si="32"/>
        <v>yyyy-01</v>
      </c>
      <c r="K822" s="16">
        <f t="shared" si="33"/>
        <v>158.46000000000072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 t="shared" si="32"/>
        <v>yyyy-01</v>
      </c>
      <c r="K823" s="16">
        <f t="shared" si="33"/>
        <v>158.46000000000072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 t="shared" si="32"/>
        <v>yyyy-01</v>
      </c>
      <c r="K824" s="16">
        <f t="shared" si="33"/>
        <v>158.46000000000072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 t="shared" si="32"/>
        <v>yyyy-01</v>
      </c>
      <c r="K825" s="16">
        <f t="shared" si="33"/>
        <v>158.46000000000072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 t="shared" si="32"/>
        <v>yyyy-01</v>
      </c>
      <c r="K826" s="16">
        <f t="shared" si="33"/>
        <v>158.46000000000072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 t="shared" si="32"/>
        <v>yyyy-01</v>
      </c>
      <c r="K827" s="16">
        <f t="shared" si="33"/>
        <v>158.46000000000072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 t="shared" si="32"/>
        <v>yyyy-01</v>
      </c>
      <c r="K828" s="16">
        <f t="shared" si="33"/>
        <v>158.46000000000072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 t="shared" si="32"/>
        <v>yyyy-01</v>
      </c>
      <c r="K829" s="16">
        <f t="shared" si="33"/>
        <v>158.46000000000072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 t="shared" si="32"/>
        <v>yyyy-01</v>
      </c>
      <c r="K830" s="16">
        <f t="shared" si="33"/>
        <v>158.46000000000072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 t="shared" si="32"/>
        <v>yyyy-01</v>
      </c>
      <c r="K831" s="16">
        <f t="shared" si="33"/>
        <v>158.46000000000072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 t="shared" si="32"/>
        <v>yyyy-01</v>
      </c>
      <c r="K832" s="16">
        <f t="shared" si="33"/>
        <v>158.46000000000072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 t="shared" si="32"/>
        <v>yyyy-01</v>
      </c>
      <c r="K833" s="16">
        <f t="shared" si="33"/>
        <v>158.46000000000072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 t="shared" si="32"/>
        <v>yyyy-01</v>
      </c>
      <c r="K834" s="16">
        <f t="shared" si="33"/>
        <v>158.46000000000072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 t="shared" si="32"/>
        <v>yyyy-01</v>
      </c>
      <c r="K835" s="16">
        <f t="shared" si="33"/>
        <v>158.46000000000072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 t="shared" si="32"/>
        <v>yyyy-01</v>
      </c>
      <c r="K836" s="16">
        <f t="shared" si="33"/>
        <v>158.46000000000072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 t="shared" si="32"/>
        <v>yyyy-01</v>
      </c>
      <c r="K837" s="16">
        <f t="shared" si="33"/>
        <v>158.46000000000072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 t="shared" si="32"/>
        <v>yyyy-01</v>
      </c>
      <c r="K838" s="16">
        <f t="shared" si="33"/>
        <v>158.46000000000072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 t="shared" si="32"/>
        <v>yyyy-01</v>
      </c>
      <c r="K839" s="16">
        <f t="shared" si="33"/>
        <v>158.46000000000072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 t="shared" si="32"/>
        <v>yyyy-01</v>
      </c>
      <c r="K840" s="16">
        <f t="shared" si="33"/>
        <v>158.46000000000072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 t="shared" si="32"/>
        <v>yyyy-01</v>
      </c>
      <c r="K841" s="16">
        <f t="shared" si="33"/>
        <v>158.46000000000072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 t="shared" si="32"/>
        <v>yyyy-01</v>
      </c>
      <c r="K842" s="16">
        <f t="shared" si="33"/>
        <v>158.46000000000072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 t="shared" si="32"/>
        <v>yyyy-01</v>
      </c>
      <c r="K843" s="16">
        <f t="shared" si="33"/>
        <v>158.46000000000072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 t="shared" si="32"/>
        <v>yyyy-01</v>
      </c>
      <c r="K844" s="16">
        <f t="shared" si="33"/>
        <v>158.46000000000072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 t="shared" si="32"/>
        <v>yyyy-01</v>
      </c>
      <c r="K845" s="16">
        <f t="shared" si="33"/>
        <v>158.46000000000072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 t="shared" si="32"/>
        <v>yyyy-01</v>
      </c>
      <c r="K846" s="16">
        <f t="shared" si="33"/>
        <v>158.46000000000072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 t="shared" si="32"/>
        <v>yyyy-01</v>
      </c>
      <c r="K847" s="16">
        <f t="shared" si="33"/>
        <v>158.46000000000072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 t="shared" si="32"/>
        <v>yyyy-01</v>
      </c>
      <c r="K848" s="16">
        <f t="shared" si="33"/>
        <v>158.46000000000072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 t="shared" si="32"/>
        <v>yyyy-01</v>
      </c>
      <c r="K849" s="16">
        <f t="shared" si="33"/>
        <v>158.46000000000072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 t="shared" si="32"/>
        <v>yyyy-01</v>
      </c>
      <c r="K850" s="16">
        <f t="shared" si="33"/>
        <v>158.46000000000072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 t="shared" si="32"/>
        <v>yyyy-01</v>
      </c>
      <c r="K851" s="16">
        <f t="shared" si="33"/>
        <v>158.46000000000072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 t="shared" si="32"/>
        <v>yyyy-01</v>
      </c>
      <c r="K852" s="16">
        <f t="shared" si="33"/>
        <v>158.46000000000072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 t="shared" si="32"/>
        <v>yyyy-01</v>
      </c>
      <c r="K853" s="16">
        <f t="shared" si="33"/>
        <v>158.46000000000072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 t="shared" si="32"/>
        <v>yyyy-01</v>
      </c>
      <c r="K854" s="16">
        <f t="shared" si="33"/>
        <v>158.46000000000072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 t="shared" si="32"/>
        <v>yyyy-01</v>
      </c>
      <c r="K855" s="16">
        <f t="shared" si="33"/>
        <v>158.46000000000072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 t="shared" si="32"/>
        <v>yyyy-01</v>
      </c>
      <c r="K856" s="16">
        <f t="shared" si="33"/>
        <v>158.46000000000072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 t="shared" si="32"/>
        <v>yyyy-01</v>
      </c>
      <c r="K857" s="16">
        <f t="shared" si="33"/>
        <v>158.46000000000072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 t="shared" ref="J858:J921" si="34">TEXT(A858,"yyyy-mm")</f>
        <v>yyyy-01</v>
      </c>
      <c r="K858" s="16">
        <f t="shared" ref="K858:K921" si="35">K857 + IF(C858="Entrada", G858, -G858)</f>
        <v>158.46000000000072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 t="shared" si="34"/>
        <v>yyyy-01</v>
      </c>
      <c r="K859" s="16">
        <f t="shared" si="35"/>
        <v>158.46000000000072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 t="shared" si="34"/>
        <v>yyyy-01</v>
      </c>
      <c r="K860" s="16">
        <f t="shared" si="35"/>
        <v>158.46000000000072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 t="shared" si="34"/>
        <v>yyyy-01</v>
      </c>
      <c r="K861" s="16">
        <f t="shared" si="35"/>
        <v>158.46000000000072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 t="shared" si="34"/>
        <v>yyyy-01</v>
      </c>
      <c r="K862" s="16">
        <f t="shared" si="35"/>
        <v>158.46000000000072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 t="shared" si="34"/>
        <v>yyyy-01</v>
      </c>
      <c r="K863" s="16">
        <f t="shared" si="35"/>
        <v>158.46000000000072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 t="shared" si="34"/>
        <v>yyyy-01</v>
      </c>
      <c r="K864" s="16">
        <f t="shared" si="35"/>
        <v>158.46000000000072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 t="shared" si="34"/>
        <v>yyyy-01</v>
      </c>
      <c r="K865" s="16">
        <f t="shared" si="35"/>
        <v>158.46000000000072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 t="shared" si="34"/>
        <v>yyyy-01</v>
      </c>
      <c r="K866" s="16">
        <f t="shared" si="35"/>
        <v>158.46000000000072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 t="shared" si="34"/>
        <v>yyyy-01</v>
      </c>
      <c r="K867" s="16">
        <f t="shared" si="35"/>
        <v>158.46000000000072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 t="shared" si="34"/>
        <v>yyyy-01</v>
      </c>
      <c r="K868" s="16">
        <f t="shared" si="35"/>
        <v>158.46000000000072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 t="shared" si="34"/>
        <v>yyyy-01</v>
      </c>
      <c r="K869" s="16">
        <f t="shared" si="35"/>
        <v>158.46000000000072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 t="shared" si="34"/>
        <v>yyyy-01</v>
      </c>
      <c r="K870" s="16">
        <f t="shared" si="35"/>
        <v>158.46000000000072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 t="shared" si="34"/>
        <v>yyyy-01</v>
      </c>
      <c r="K871" s="16">
        <f t="shared" si="35"/>
        <v>158.46000000000072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 t="shared" si="34"/>
        <v>yyyy-01</v>
      </c>
      <c r="K872" s="16">
        <f t="shared" si="35"/>
        <v>158.46000000000072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 t="shared" si="34"/>
        <v>yyyy-01</v>
      </c>
      <c r="K873" s="16">
        <f t="shared" si="35"/>
        <v>158.46000000000072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 t="shared" si="34"/>
        <v>yyyy-01</v>
      </c>
      <c r="K874" s="16">
        <f t="shared" si="35"/>
        <v>158.46000000000072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 t="shared" si="34"/>
        <v>yyyy-01</v>
      </c>
      <c r="K875" s="16">
        <f t="shared" si="35"/>
        <v>158.46000000000072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 t="shared" si="34"/>
        <v>yyyy-01</v>
      </c>
      <c r="K876" s="16">
        <f t="shared" si="35"/>
        <v>158.46000000000072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 t="shared" si="34"/>
        <v>yyyy-01</v>
      </c>
      <c r="K877" s="16">
        <f t="shared" si="35"/>
        <v>158.46000000000072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 t="shared" si="34"/>
        <v>yyyy-01</v>
      </c>
      <c r="K878" s="16">
        <f t="shared" si="35"/>
        <v>158.46000000000072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 t="shared" si="34"/>
        <v>yyyy-01</v>
      </c>
      <c r="K879" s="16">
        <f t="shared" si="35"/>
        <v>158.46000000000072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 t="shared" si="34"/>
        <v>yyyy-01</v>
      </c>
      <c r="K880" s="16">
        <f t="shared" si="35"/>
        <v>158.46000000000072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 t="shared" si="34"/>
        <v>yyyy-01</v>
      </c>
      <c r="K881" s="16">
        <f t="shared" si="35"/>
        <v>158.46000000000072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 t="shared" si="34"/>
        <v>yyyy-01</v>
      </c>
      <c r="K882" s="16">
        <f t="shared" si="35"/>
        <v>158.46000000000072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 t="shared" si="34"/>
        <v>yyyy-01</v>
      </c>
      <c r="K883" s="16">
        <f t="shared" si="35"/>
        <v>158.46000000000072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 t="shared" si="34"/>
        <v>yyyy-01</v>
      </c>
      <c r="K884" s="16">
        <f t="shared" si="35"/>
        <v>158.46000000000072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 t="shared" si="34"/>
        <v>yyyy-01</v>
      </c>
      <c r="K885" s="16">
        <f t="shared" si="35"/>
        <v>158.46000000000072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 t="shared" si="34"/>
        <v>yyyy-01</v>
      </c>
      <c r="K886" s="16">
        <f t="shared" si="35"/>
        <v>158.46000000000072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 t="shared" si="34"/>
        <v>yyyy-01</v>
      </c>
      <c r="K887" s="16">
        <f t="shared" si="35"/>
        <v>158.46000000000072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 t="shared" si="34"/>
        <v>yyyy-01</v>
      </c>
      <c r="K888" s="16">
        <f t="shared" si="35"/>
        <v>158.46000000000072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 t="shared" si="34"/>
        <v>yyyy-01</v>
      </c>
      <c r="K889" s="16">
        <f t="shared" si="35"/>
        <v>158.46000000000072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 t="shared" si="34"/>
        <v>yyyy-01</v>
      </c>
      <c r="K890" s="16">
        <f t="shared" si="35"/>
        <v>158.46000000000072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 t="shared" si="34"/>
        <v>yyyy-01</v>
      </c>
      <c r="K891" s="16">
        <f t="shared" si="35"/>
        <v>158.46000000000072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 t="shared" si="34"/>
        <v>yyyy-01</v>
      </c>
      <c r="K892" s="16">
        <f t="shared" si="35"/>
        <v>158.46000000000072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 t="shared" si="34"/>
        <v>yyyy-01</v>
      </c>
      <c r="K893" s="16">
        <f t="shared" si="35"/>
        <v>158.46000000000072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 t="shared" si="34"/>
        <v>yyyy-01</v>
      </c>
      <c r="K894" s="16">
        <f t="shared" si="35"/>
        <v>158.46000000000072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 t="shared" si="34"/>
        <v>yyyy-01</v>
      </c>
      <c r="K895" s="16">
        <f t="shared" si="35"/>
        <v>158.46000000000072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 t="shared" si="34"/>
        <v>yyyy-01</v>
      </c>
      <c r="K896" s="16">
        <f t="shared" si="35"/>
        <v>158.46000000000072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 t="shared" si="34"/>
        <v>yyyy-01</v>
      </c>
      <c r="K897" s="16">
        <f t="shared" si="35"/>
        <v>158.46000000000072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 t="shared" si="34"/>
        <v>yyyy-01</v>
      </c>
      <c r="K898" s="16">
        <f t="shared" si="35"/>
        <v>158.46000000000072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 t="shared" si="34"/>
        <v>yyyy-01</v>
      </c>
      <c r="K899" s="16">
        <f t="shared" si="35"/>
        <v>158.46000000000072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 t="shared" si="34"/>
        <v>yyyy-01</v>
      </c>
      <c r="K900" s="16">
        <f t="shared" si="35"/>
        <v>158.46000000000072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 t="shared" si="34"/>
        <v>yyyy-01</v>
      </c>
      <c r="K901" s="16">
        <f t="shared" si="35"/>
        <v>158.46000000000072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 t="shared" si="34"/>
        <v>yyyy-01</v>
      </c>
      <c r="K902" s="16">
        <f t="shared" si="35"/>
        <v>158.46000000000072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 t="shared" si="34"/>
        <v>yyyy-01</v>
      </c>
      <c r="K903" s="16">
        <f t="shared" si="35"/>
        <v>158.46000000000072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 t="shared" si="34"/>
        <v>yyyy-01</v>
      </c>
      <c r="K904" s="16">
        <f t="shared" si="35"/>
        <v>158.46000000000072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 t="shared" si="34"/>
        <v>yyyy-01</v>
      </c>
      <c r="K905" s="16">
        <f t="shared" si="35"/>
        <v>158.46000000000072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 t="shared" si="34"/>
        <v>yyyy-01</v>
      </c>
      <c r="K906" s="16">
        <f t="shared" si="35"/>
        <v>158.46000000000072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 t="shared" si="34"/>
        <v>yyyy-01</v>
      </c>
      <c r="K907" s="16">
        <f t="shared" si="35"/>
        <v>158.46000000000072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 t="shared" si="34"/>
        <v>yyyy-01</v>
      </c>
      <c r="K908" s="16">
        <f t="shared" si="35"/>
        <v>158.46000000000072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 t="shared" si="34"/>
        <v>yyyy-01</v>
      </c>
      <c r="K909" s="16">
        <f t="shared" si="35"/>
        <v>158.46000000000072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 t="shared" si="34"/>
        <v>yyyy-01</v>
      </c>
      <c r="K910" s="16">
        <f t="shared" si="35"/>
        <v>158.46000000000072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 t="shared" si="34"/>
        <v>yyyy-01</v>
      </c>
      <c r="K911" s="16">
        <f t="shared" si="35"/>
        <v>158.46000000000072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 t="shared" si="34"/>
        <v>yyyy-01</v>
      </c>
      <c r="K912" s="16">
        <f t="shared" si="35"/>
        <v>158.46000000000072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 t="shared" si="34"/>
        <v>yyyy-01</v>
      </c>
      <c r="K913" s="16">
        <f t="shared" si="35"/>
        <v>158.46000000000072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 t="shared" si="34"/>
        <v>yyyy-01</v>
      </c>
      <c r="K914" s="16">
        <f t="shared" si="35"/>
        <v>158.46000000000072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 t="shared" si="34"/>
        <v>yyyy-01</v>
      </c>
      <c r="K915" s="16">
        <f t="shared" si="35"/>
        <v>158.46000000000072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 t="shared" si="34"/>
        <v>yyyy-01</v>
      </c>
      <c r="K916" s="16">
        <f t="shared" si="35"/>
        <v>158.46000000000072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 t="shared" si="34"/>
        <v>yyyy-01</v>
      </c>
      <c r="K917" s="16">
        <f t="shared" si="35"/>
        <v>158.46000000000072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 t="shared" si="34"/>
        <v>yyyy-01</v>
      </c>
      <c r="K918" s="16">
        <f t="shared" si="35"/>
        <v>158.46000000000072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 t="shared" si="34"/>
        <v>yyyy-01</v>
      </c>
      <c r="K919" s="16">
        <f t="shared" si="35"/>
        <v>158.46000000000072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 t="shared" si="34"/>
        <v>yyyy-01</v>
      </c>
      <c r="K920" s="16">
        <f t="shared" si="35"/>
        <v>158.46000000000072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 t="shared" si="34"/>
        <v>yyyy-01</v>
      </c>
      <c r="K921" s="16">
        <f t="shared" si="35"/>
        <v>158.46000000000072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 t="shared" ref="J922:J990" si="36">TEXT(A922,"yyyy-mm")</f>
        <v>yyyy-01</v>
      </c>
      <c r="K922" s="16">
        <f t="shared" ref="K922:K990" si="37">K921 + IF(C922="Entrada", G922, -G922)</f>
        <v>158.46000000000072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 t="shared" si="36"/>
        <v>yyyy-01</v>
      </c>
      <c r="K923" s="16">
        <f t="shared" si="37"/>
        <v>158.46000000000072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 t="shared" si="36"/>
        <v>yyyy-01</v>
      </c>
      <c r="K924" s="16">
        <f t="shared" si="37"/>
        <v>158.46000000000072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 t="shared" si="36"/>
        <v>yyyy-01</v>
      </c>
      <c r="K925" s="16">
        <f t="shared" si="37"/>
        <v>158.46000000000072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 t="shared" si="36"/>
        <v>yyyy-01</v>
      </c>
      <c r="K926" s="16">
        <f t="shared" si="37"/>
        <v>158.46000000000072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 t="shared" si="36"/>
        <v>yyyy-01</v>
      </c>
      <c r="K927" s="16">
        <f t="shared" si="37"/>
        <v>158.46000000000072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 t="shared" si="36"/>
        <v>yyyy-01</v>
      </c>
      <c r="K928" s="16">
        <f t="shared" si="37"/>
        <v>158.46000000000072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 t="shared" si="36"/>
        <v>yyyy-01</v>
      </c>
      <c r="K929" s="16">
        <f t="shared" si="37"/>
        <v>158.46000000000072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 t="shared" si="36"/>
        <v>yyyy-01</v>
      </c>
      <c r="K930" s="16">
        <f t="shared" si="37"/>
        <v>158.46000000000072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 t="shared" si="36"/>
        <v>yyyy-01</v>
      </c>
      <c r="K931" s="16">
        <f t="shared" si="37"/>
        <v>158.46000000000072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 t="shared" si="36"/>
        <v>yyyy-01</v>
      </c>
      <c r="K932" s="16">
        <f t="shared" si="37"/>
        <v>158.46000000000072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 t="shared" si="36"/>
        <v>yyyy-01</v>
      </c>
      <c r="K933" s="16">
        <f t="shared" si="37"/>
        <v>158.46000000000072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 t="shared" si="36"/>
        <v>yyyy-01</v>
      </c>
      <c r="K934" s="16">
        <f t="shared" si="37"/>
        <v>158.46000000000072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 t="shared" si="36"/>
        <v>yyyy-01</v>
      </c>
      <c r="K935" s="16">
        <f t="shared" si="37"/>
        <v>158.46000000000072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 t="shared" si="36"/>
        <v>yyyy-01</v>
      </c>
      <c r="K936" s="16">
        <f t="shared" si="37"/>
        <v>158.46000000000072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 t="shared" si="36"/>
        <v>yyyy-01</v>
      </c>
      <c r="K937" s="16">
        <f t="shared" si="37"/>
        <v>158.46000000000072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 t="shared" si="36"/>
        <v>yyyy-01</v>
      </c>
      <c r="K938" s="16">
        <f t="shared" si="37"/>
        <v>158.46000000000072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 t="shared" si="36"/>
        <v>yyyy-01</v>
      </c>
      <c r="K939" s="16">
        <f t="shared" si="37"/>
        <v>158.46000000000072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 t="shared" si="36"/>
        <v>yyyy-01</v>
      </c>
      <c r="K940" s="16">
        <f t="shared" si="37"/>
        <v>158.46000000000072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 t="shared" si="36"/>
        <v>yyyy-01</v>
      </c>
      <c r="K941" s="16">
        <f t="shared" si="37"/>
        <v>158.46000000000072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 t="shared" si="36"/>
        <v>yyyy-01</v>
      </c>
      <c r="K942" s="16">
        <f t="shared" si="37"/>
        <v>158.46000000000072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 t="shared" si="36"/>
        <v>yyyy-01</v>
      </c>
      <c r="K943" s="16">
        <f t="shared" si="37"/>
        <v>158.46000000000072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 t="shared" si="36"/>
        <v>yyyy-01</v>
      </c>
      <c r="K944" s="16">
        <f t="shared" si="37"/>
        <v>158.46000000000072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 t="shared" si="36"/>
        <v>yyyy-01</v>
      </c>
      <c r="K945" s="16">
        <f t="shared" si="37"/>
        <v>158.46000000000072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 t="shared" si="36"/>
        <v>yyyy-01</v>
      </c>
      <c r="K946" s="16">
        <f t="shared" si="37"/>
        <v>158.46000000000072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 t="shared" si="36"/>
        <v>yyyy-01</v>
      </c>
      <c r="K947" s="16">
        <f t="shared" si="37"/>
        <v>158.46000000000072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 t="shared" si="36"/>
        <v>yyyy-01</v>
      </c>
      <c r="K948" s="16">
        <f t="shared" si="37"/>
        <v>158.46000000000072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 t="shared" si="36"/>
        <v>yyyy-01</v>
      </c>
      <c r="K949" s="16">
        <f t="shared" si="37"/>
        <v>158.46000000000072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 t="shared" si="36"/>
        <v>yyyy-01</v>
      </c>
      <c r="K950" s="16">
        <f t="shared" si="37"/>
        <v>158.46000000000072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 t="shared" si="36"/>
        <v>yyyy-01</v>
      </c>
      <c r="K951" s="16">
        <f t="shared" si="37"/>
        <v>158.46000000000072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 t="shared" si="36"/>
        <v>yyyy-01</v>
      </c>
      <c r="K952" s="16">
        <f t="shared" si="37"/>
        <v>158.46000000000072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 t="shared" si="36"/>
        <v>yyyy-01</v>
      </c>
      <c r="K953" s="16">
        <f t="shared" si="37"/>
        <v>158.46000000000072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 t="shared" si="36"/>
        <v>yyyy-01</v>
      </c>
      <c r="K954" s="16">
        <f t="shared" si="37"/>
        <v>158.46000000000072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 t="shared" si="36"/>
        <v>yyyy-01</v>
      </c>
      <c r="K955" s="16">
        <f t="shared" si="37"/>
        <v>158.46000000000072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 t="shared" si="36"/>
        <v>yyyy-01</v>
      </c>
      <c r="K956" s="16">
        <f t="shared" si="37"/>
        <v>158.46000000000072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 t="shared" si="36"/>
        <v>yyyy-01</v>
      </c>
      <c r="K957" s="16">
        <f t="shared" si="37"/>
        <v>158.46000000000072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 t="shared" si="36"/>
        <v>yyyy-01</v>
      </c>
      <c r="K958" s="16">
        <f t="shared" si="37"/>
        <v>158.46000000000072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 t="shared" si="36"/>
        <v>yyyy-01</v>
      </c>
      <c r="K959" s="16">
        <f t="shared" si="37"/>
        <v>158.46000000000072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 t="shared" si="36"/>
        <v>yyyy-01</v>
      </c>
      <c r="K960" s="16">
        <f t="shared" si="37"/>
        <v>158.46000000000072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 t="shared" si="36"/>
        <v>yyyy-01</v>
      </c>
      <c r="K961" s="16">
        <f t="shared" si="37"/>
        <v>158.46000000000072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 t="shared" si="36"/>
        <v>yyyy-01</v>
      </c>
      <c r="K962" s="16">
        <f t="shared" si="37"/>
        <v>158.46000000000072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 t="shared" si="36"/>
        <v>yyyy-01</v>
      </c>
      <c r="K963" s="16">
        <f t="shared" si="37"/>
        <v>158.46000000000072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 t="shared" si="36"/>
        <v>yyyy-01</v>
      </c>
      <c r="K964" s="16">
        <f t="shared" si="37"/>
        <v>158.46000000000072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 t="shared" si="36"/>
        <v>yyyy-01</v>
      </c>
      <c r="K965" s="16">
        <f t="shared" si="37"/>
        <v>158.46000000000072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 t="shared" si="36"/>
        <v>yyyy-01</v>
      </c>
      <c r="K966" s="16">
        <f t="shared" si="37"/>
        <v>158.46000000000072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 t="shared" si="36"/>
        <v>yyyy-01</v>
      </c>
      <c r="K967" s="16">
        <f t="shared" si="37"/>
        <v>158.46000000000072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 t="shared" si="36"/>
        <v>yyyy-01</v>
      </c>
      <c r="K968" s="16">
        <f t="shared" si="37"/>
        <v>158.46000000000072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 t="shared" si="36"/>
        <v>yyyy-01</v>
      </c>
      <c r="K969" s="16">
        <f t="shared" si="37"/>
        <v>158.46000000000072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 t="shared" si="36"/>
        <v>yyyy-01</v>
      </c>
      <c r="K970" s="16">
        <f t="shared" si="37"/>
        <v>158.46000000000072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 t="shared" si="36"/>
        <v>yyyy-01</v>
      </c>
      <c r="K971" s="16">
        <f t="shared" si="37"/>
        <v>158.46000000000072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 t="shared" si="36"/>
        <v>yyyy-01</v>
      </c>
      <c r="K972" s="16">
        <f t="shared" si="37"/>
        <v>158.46000000000072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 t="shared" si="36"/>
        <v>yyyy-01</v>
      </c>
      <c r="K973" s="16">
        <f t="shared" si="37"/>
        <v>158.46000000000072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 t="shared" si="36"/>
        <v>yyyy-01</v>
      </c>
      <c r="K974" s="16">
        <f t="shared" si="37"/>
        <v>158.46000000000072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 t="shared" si="36"/>
        <v>yyyy-01</v>
      </c>
      <c r="K975" s="16">
        <f t="shared" si="37"/>
        <v>158.46000000000072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 t="shared" si="36"/>
        <v>yyyy-01</v>
      </c>
      <c r="K976" s="16">
        <f t="shared" si="37"/>
        <v>158.46000000000072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 t="shared" si="36"/>
        <v>yyyy-01</v>
      </c>
      <c r="K977" s="16">
        <f t="shared" si="37"/>
        <v>158.46000000000072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 t="shared" si="36"/>
        <v>yyyy-01</v>
      </c>
      <c r="K978" s="16">
        <f t="shared" si="37"/>
        <v>158.46000000000072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 t="shared" si="36"/>
        <v>yyyy-01</v>
      </c>
      <c r="K979" s="16">
        <f t="shared" si="37"/>
        <v>158.46000000000072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 t="shared" si="36"/>
        <v>yyyy-01</v>
      </c>
      <c r="K980" s="16">
        <f t="shared" si="37"/>
        <v>158.46000000000072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 t="shared" si="36"/>
        <v>yyyy-01</v>
      </c>
      <c r="K981" s="16">
        <f t="shared" si="37"/>
        <v>158.46000000000072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 t="shared" si="36"/>
        <v>yyyy-01</v>
      </c>
      <c r="K982" s="16">
        <f t="shared" si="37"/>
        <v>158.46000000000072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 t="shared" si="36"/>
        <v>yyyy-01</v>
      </c>
      <c r="K983" s="16">
        <f t="shared" si="37"/>
        <v>158.46000000000072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 t="shared" si="36"/>
        <v>yyyy-01</v>
      </c>
      <c r="K984" s="16">
        <f t="shared" si="37"/>
        <v>158.46000000000072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 t="shared" si="36"/>
        <v>yyyy-01</v>
      </c>
      <c r="K985" s="16">
        <f t="shared" si="37"/>
        <v>158.46000000000072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 t="shared" si="36"/>
        <v>yyyy-01</v>
      </c>
      <c r="K986" s="16">
        <f t="shared" si="37"/>
        <v>158.46000000000072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 t="shared" si="36"/>
        <v>yyyy-01</v>
      </c>
      <c r="K987" s="16">
        <f t="shared" si="37"/>
        <v>158.46000000000072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 t="shared" si="36"/>
        <v>yyyy-01</v>
      </c>
      <c r="K988" s="16">
        <f t="shared" si="37"/>
        <v>158.46000000000072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 t="shared" si="36"/>
        <v>yyyy-01</v>
      </c>
      <c r="K989" s="16">
        <f t="shared" si="37"/>
        <v>158.46000000000072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 t="shared" si="36"/>
        <v>yyyy-01</v>
      </c>
      <c r="K990" s="16">
        <f t="shared" si="37"/>
        <v>158.46000000000072</v>
      </c>
    </row>
  </sheetData>
  <dataValidations count="5">
    <dataValidation type="list" allowBlank="1" showInputMessage="1" showErrorMessage="1" prompt="Clique e digite um valor da lista de itens" sqref="C3:C177 C218:C990" xr:uid="{00000000-0002-0000-0000-000000000000}">
      <formula1>"Entrada,Saída"</formula1>
    </dataValidation>
    <dataValidation type="list" allowBlank="1" showErrorMessage="1" sqref="D3:D141 D143:D177 D218:D239" xr:uid="{00000000-0002-0000-00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2" xr:uid="{00000000-0002-0000-00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3:F177 F218:F239" xr:uid="{00000000-0002-0000-0000-000003000000}">
      <formula1>"Pix,Dinheiro,Débito,Crédito"</formula1>
    </dataValidation>
    <dataValidation type="list" allowBlank="1" showErrorMessage="1" sqref="E3:E177 E218:E239" xr:uid="{00000000-0002-0000-0000-000004000000}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3"/>
  <sheetViews>
    <sheetView workbookViewId="0"/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93" t="s">
        <v>47</v>
      </c>
      <c r="B1" s="94"/>
      <c r="C1" s="94"/>
      <c r="D1" s="95"/>
    </row>
    <row r="3" spans="1:10" x14ac:dyDescent="0.25">
      <c r="A3" s="19" t="s">
        <v>48</v>
      </c>
      <c r="B3" s="10">
        <f>SUMIF(Lançamentos!C:C,"Entrada",Lançamentos!G:G)</f>
        <v>16689</v>
      </c>
    </row>
    <row r="4" spans="1:10" x14ac:dyDescent="0.25">
      <c r="A4" s="19" t="s">
        <v>49</v>
      </c>
      <c r="B4" s="10">
        <f>SUMIF(Lançamentos!C:C,"Saída",Lançamentos!G:G)</f>
        <v>16609.79</v>
      </c>
    </row>
    <row r="5" spans="1:10" x14ac:dyDescent="0.25">
      <c r="A5" s="19" t="s">
        <v>50</v>
      </c>
      <c r="B5" s="10">
        <f>B3-B4</f>
        <v>79.209999999999127</v>
      </c>
    </row>
    <row r="7" spans="1:10" x14ac:dyDescent="0.25">
      <c r="A7" s="20" t="s">
        <v>9</v>
      </c>
      <c r="B7" s="20" t="s">
        <v>51</v>
      </c>
      <c r="C7" s="20" t="s">
        <v>52</v>
      </c>
      <c r="D7" s="20" t="s">
        <v>53</v>
      </c>
      <c r="E7" s="90" t="s">
        <v>54</v>
      </c>
      <c r="G7" s="21"/>
      <c r="H7" s="21"/>
      <c r="I7" s="21"/>
      <c r="J7" s="21"/>
    </row>
    <row r="8" spans="1:10" x14ac:dyDescent="0.25">
      <c r="A8" s="22" t="s">
        <v>55</v>
      </c>
      <c r="B8" s="23">
        <v>133749.59</v>
      </c>
      <c r="C8" s="23">
        <v>99338.319999999978</v>
      </c>
      <c r="D8" s="23">
        <v>34411.270000000048</v>
      </c>
      <c r="E8" s="91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91"/>
      <c r="H9" s="24"/>
      <c r="I9" s="24"/>
      <c r="J9" s="24"/>
    </row>
    <row r="10" spans="1:10" x14ac:dyDescent="0.25">
      <c r="A10" s="22" t="s">
        <v>56</v>
      </c>
      <c r="B10" s="23">
        <v>5470.7900000000009</v>
      </c>
      <c r="C10" s="23"/>
      <c r="D10" s="23"/>
      <c r="E10" s="91"/>
      <c r="H10" s="24"/>
      <c r="I10" s="24"/>
      <c r="J10" s="24"/>
    </row>
    <row r="11" spans="1:10" x14ac:dyDescent="0.25">
      <c r="A11" s="25" t="s">
        <v>57</v>
      </c>
      <c r="B11" s="26"/>
      <c r="C11" s="26">
        <v>20849.990000000002</v>
      </c>
      <c r="D11" s="26"/>
      <c r="E11" s="91"/>
      <c r="H11" s="24"/>
      <c r="I11" s="24"/>
      <c r="J11" s="24"/>
    </row>
    <row r="12" spans="1:10" x14ac:dyDescent="0.25">
      <c r="A12" s="22" t="s">
        <v>58</v>
      </c>
      <c r="B12" s="23"/>
      <c r="C12" s="23">
        <v>10960.75</v>
      </c>
      <c r="D12" s="23"/>
      <c r="E12" s="91"/>
      <c r="H12" s="24"/>
      <c r="I12" s="24"/>
      <c r="J12" s="24"/>
    </row>
    <row r="13" spans="1:10" x14ac:dyDescent="0.25">
      <c r="A13" s="25" t="s">
        <v>59</v>
      </c>
      <c r="B13" s="26"/>
      <c r="C13" s="26">
        <v>13106.57</v>
      </c>
      <c r="D13" s="26"/>
      <c r="E13" s="91"/>
      <c r="H13" s="24"/>
      <c r="I13" s="24"/>
      <c r="J13" s="24"/>
    </row>
    <row r="14" spans="1:10" x14ac:dyDescent="0.25">
      <c r="A14" s="22" t="s">
        <v>60</v>
      </c>
      <c r="B14" s="23"/>
      <c r="C14" s="23">
        <v>32119.400000000009</v>
      </c>
      <c r="D14" s="23"/>
      <c r="E14" s="91"/>
      <c r="H14" s="24"/>
      <c r="I14" s="24"/>
      <c r="J14" s="24"/>
    </row>
    <row r="15" spans="1:10" x14ac:dyDescent="0.25">
      <c r="A15" s="25" t="s">
        <v>61</v>
      </c>
      <c r="B15" s="26"/>
      <c r="C15" s="26">
        <v>736.5200000000001</v>
      </c>
      <c r="D15" s="26"/>
      <c r="E15" s="91"/>
      <c r="H15" s="24"/>
      <c r="I15" s="24"/>
      <c r="J15" s="24"/>
    </row>
    <row r="16" spans="1:10" x14ac:dyDescent="0.25">
      <c r="A16" s="22" t="s">
        <v>62</v>
      </c>
      <c r="B16" s="23"/>
      <c r="C16" s="23">
        <v>4478.1899999999996</v>
      </c>
      <c r="D16" s="23"/>
      <c r="E16" s="91"/>
      <c r="H16" s="24"/>
      <c r="I16" s="24"/>
      <c r="J16" s="24"/>
    </row>
    <row r="17" spans="1:10" x14ac:dyDescent="0.25">
      <c r="A17" s="25" t="s">
        <v>63</v>
      </c>
      <c r="B17" s="26"/>
      <c r="C17" s="26">
        <v>4744.17</v>
      </c>
      <c r="D17" s="26"/>
      <c r="E17" s="91"/>
      <c r="H17" s="24"/>
      <c r="I17" s="24"/>
      <c r="J17" s="24"/>
    </row>
    <row r="18" spans="1:10" x14ac:dyDescent="0.25">
      <c r="A18" s="22" t="s">
        <v>64</v>
      </c>
      <c r="B18" s="23"/>
      <c r="C18" s="23">
        <v>880</v>
      </c>
      <c r="D18" s="23"/>
      <c r="E18" s="91"/>
      <c r="H18" s="24"/>
      <c r="I18" s="24"/>
      <c r="J18" s="24"/>
    </row>
    <row r="19" spans="1:10" x14ac:dyDescent="0.25">
      <c r="A19" s="25" t="s">
        <v>65</v>
      </c>
      <c r="B19" s="26"/>
      <c r="C19" s="26">
        <v>730</v>
      </c>
      <c r="D19" s="26"/>
      <c r="E19" s="91"/>
      <c r="H19" s="24"/>
      <c r="I19" s="24"/>
      <c r="J19" s="24"/>
    </row>
    <row r="20" spans="1:10" x14ac:dyDescent="0.25">
      <c r="A20" s="22" t="s">
        <v>66</v>
      </c>
      <c r="B20" s="23"/>
      <c r="C20" s="23">
        <v>3260.25</v>
      </c>
      <c r="D20" s="23"/>
      <c r="E20" s="91"/>
      <c r="H20" s="24"/>
      <c r="I20" s="24"/>
      <c r="J20" s="24"/>
    </row>
    <row r="21" spans="1:10" x14ac:dyDescent="0.25">
      <c r="A21" s="25" t="s">
        <v>67</v>
      </c>
      <c r="B21" s="26"/>
      <c r="C21" s="26">
        <v>7726.31</v>
      </c>
      <c r="D21" s="26"/>
      <c r="E21" s="91"/>
      <c r="H21" s="24"/>
      <c r="I21" s="24"/>
      <c r="J21" s="24"/>
    </row>
    <row r="22" spans="1:10" x14ac:dyDescent="0.25">
      <c r="A22" s="22" t="s">
        <v>68</v>
      </c>
      <c r="B22" s="23"/>
      <c r="C22" s="23">
        <v>3.5</v>
      </c>
      <c r="D22" s="23"/>
      <c r="E22" s="91"/>
      <c r="H22" s="24"/>
      <c r="I22" s="24"/>
      <c r="J22" s="24"/>
    </row>
    <row r="23" spans="1:10" x14ac:dyDescent="0.25">
      <c r="A23" s="25" t="s">
        <v>34</v>
      </c>
      <c r="B23" s="26"/>
      <c r="C23" s="26">
        <v>1243.5</v>
      </c>
      <c r="D23" s="26"/>
      <c r="E23" s="91"/>
      <c r="H23" s="24"/>
      <c r="I23" s="24"/>
      <c r="J23" s="24"/>
    </row>
    <row r="24" spans="1:10" x14ac:dyDescent="0.25">
      <c r="A24" s="22" t="s">
        <v>69</v>
      </c>
      <c r="B24" s="23"/>
      <c r="C24" s="23">
        <v>2000</v>
      </c>
      <c r="D24" s="23"/>
      <c r="E24" s="91"/>
      <c r="H24" s="24"/>
      <c r="I24" s="24"/>
      <c r="J24" s="24"/>
    </row>
    <row r="25" spans="1:10" x14ac:dyDescent="0.25">
      <c r="A25" s="25" t="s">
        <v>70</v>
      </c>
      <c r="B25" s="26">
        <v>133807.99</v>
      </c>
      <c r="C25" s="26">
        <v>102839.15</v>
      </c>
      <c r="D25" s="26"/>
      <c r="E25" s="92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51</v>
      </c>
      <c r="C27" s="20" t="s">
        <v>52</v>
      </c>
      <c r="D27" s="20" t="s">
        <v>53</v>
      </c>
      <c r="E27" s="90" t="s">
        <v>71</v>
      </c>
    </row>
    <row r="28" spans="1:10" x14ac:dyDescent="0.25">
      <c r="A28" s="5" t="s">
        <v>72</v>
      </c>
      <c r="B28" s="26">
        <v>178658.54</v>
      </c>
      <c r="C28" s="26">
        <v>118968.96000000001</v>
      </c>
      <c r="D28" s="26">
        <v>59689.579999999987</v>
      </c>
      <c r="E28" s="91"/>
      <c r="G28" s="24"/>
      <c r="H28" s="24"/>
      <c r="I28" s="24"/>
    </row>
    <row r="29" spans="1:10" x14ac:dyDescent="0.25">
      <c r="A29" s="28" t="s">
        <v>13</v>
      </c>
      <c r="B29" s="29">
        <v>150151.29</v>
      </c>
      <c r="C29" s="29"/>
      <c r="D29" s="29"/>
      <c r="E29" s="91"/>
      <c r="G29" s="24"/>
      <c r="H29" s="24"/>
      <c r="I29" s="24"/>
    </row>
    <row r="30" spans="1:10" x14ac:dyDescent="0.25">
      <c r="A30" s="30" t="s">
        <v>56</v>
      </c>
      <c r="B30" s="26">
        <v>4338.7999999999993</v>
      </c>
      <c r="C30" s="26"/>
      <c r="D30" s="26"/>
      <c r="E30" s="91"/>
      <c r="G30" s="24"/>
      <c r="H30" s="24"/>
      <c r="I30" s="24"/>
    </row>
    <row r="31" spans="1:10" x14ac:dyDescent="0.25">
      <c r="A31" s="28" t="s">
        <v>57</v>
      </c>
      <c r="B31" s="29"/>
      <c r="C31" s="29">
        <v>26328.02</v>
      </c>
      <c r="D31" s="29"/>
      <c r="E31" s="91"/>
      <c r="G31" s="24"/>
      <c r="H31" s="24"/>
      <c r="I31" s="24"/>
    </row>
    <row r="32" spans="1:10" x14ac:dyDescent="0.25">
      <c r="A32" s="30" t="s">
        <v>58</v>
      </c>
      <c r="B32" s="26"/>
      <c r="C32" s="26">
        <v>15407.56</v>
      </c>
      <c r="D32" s="26"/>
      <c r="E32" s="91"/>
      <c r="G32" s="24"/>
      <c r="H32" s="24"/>
      <c r="I32" s="24"/>
    </row>
    <row r="33" spans="1:9" x14ac:dyDescent="0.25">
      <c r="A33" s="28" t="s">
        <v>59</v>
      </c>
      <c r="B33" s="29"/>
      <c r="C33" s="29">
        <v>14160.93</v>
      </c>
      <c r="D33" s="29"/>
      <c r="E33" s="91"/>
      <c r="G33" s="24"/>
      <c r="H33" s="24"/>
      <c r="I33" s="24"/>
    </row>
    <row r="34" spans="1:9" x14ac:dyDescent="0.25">
      <c r="A34" s="30" t="s">
        <v>60</v>
      </c>
      <c r="B34" s="26"/>
      <c r="C34" s="26">
        <v>47686.139999999992</v>
      </c>
      <c r="D34" s="26"/>
      <c r="E34" s="91"/>
      <c r="G34" s="24"/>
      <c r="H34" s="24"/>
      <c r="I34" s="24"/>
    </row>
    <row r="35" spans="1:9" x14ac:dyDescent="0.25">
      <c r="A35" s="28" t="s">
        <v>61</v>
      </c>
      <c r="B35" s="29"/>
      <c r="C35" s="29">
        <v>0</v>
      </c>
      <c r="D35" s="29"/>
      <c r="E35" s="91"/>
      <c r="G35" s="24"/>
      <c r="H35" s="24"/>
      <c r="I35" s="24"/>
    </row>
    <row r="36" spans="1:9" x14ac:dyDescent="0.25">
      <c r="A36" s="30" t="s">
        <v>62</v>
      </c>
      <c r="B36" s="26"/>
      <c r="C36" s="26">
        <v>3898.85</v>
      </c>
      <c r="D36" s="26"/>
      <c r="E36" s="91"/>
      <c r="G36" s="24"/>
      <c r="H36" s="24"/>
      <c r="I36" s="24"/>
    </row>
    <row r="37" spans="1:9" x14ac:dyDescent="0.25">
      <c r="A37" s="28" t="s">
        <v>63</v>
      </c>
      <c r="B37" s="29"/>
      <c r="C37" s="29">
        <v>387.65</v>
      </c>
      <c r="D37" s="29"/>
      <c r="E37" s="91"/>
      <c r="G37" s="24"/>
      <c r="H37" s="24"/>
      <c r="I37" s="24"/>
    </row>
    <row r="38" spans="1:9" x14ac:dyDescent="0.25">
      <c r="A38" s="30" t="s">
        <v>64</v>
      </c>
      <c r="B38" s="26"/>
      <c r="C38" s="26">
        <v>724</v>
      </c>
      <c r="D38" s="26"/>
      <c r="E38" s="91"/>
      <c r="G38" s="24"/>
      <c r="H38" s="24"/>
      <c r="I38" s="24"/>
    </row>
    <row r="39" spans="1:9" x14ac:dyDescent="0.25">
      <c r="A39" s="28" t="s">
        <v>65</v>
      </c>
      <c r="B39" s="29"/>
      <c r="C39" s="29">
        <v>1166.74</v>
      </c>
      <c r="D39" s="29"/>
      <c r="E39" s="91"/>
      <c r="G39" s="24"/>
      <c r="H39" s="24"/>
      <c r="I39" s="24"/>
    </row>
    <row r="40" spans="1:9" x14ac:dyDescent="0.25">
      <c r="A40" s="30" t="s">
        <v>66</v>
      </c>
      <c r="B40" s="26"/>
      <c r="C40" s="26">
        <v>0</v>
      </c>
      <c r="D40" s="26"/>
      <c r="E40" s="91"/>
      <c r="G40" s="24"/>
      <c r="H40" s="24"/>
      <c r="I40" s="24"/>
    </row>
    <row r="41" spans="1:9" x14ac:dyDescent="0.25">
      <c r="A41" s="28" t="s">
        <v>67</v>
      </c>
      <c r="B41" s="29"/>
      <c r="C41" s="29">
        <v>8013.92</v>
      </c>
      <c r="D41" s="29"/>
      <c r="E41" s="91"/>
      <c r="G41" s="24"/>
      <c r="H41" s="24"/>
      <c r="I41" s="24"/>
    </row>
    <row r="42" spans="1:9" x14ac:dyDescent="0.25">
      <c r="A42" s="30" t="s">
        <v>68</v>
      </c>
      <c r="B42" s="26"/>
      <c r="C42" s="26">
        <v>0</v>
      </c>
      <c r="D42" s="26"/>
      <c r="E42" s="91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91"/>
      <c r="G43" s="24"/>
      <c r="H43" s="24"/>
      <c r="I43" s="24"/>
    </row>
    <row r="44" spans="1:9" x14ac:dyDescent="0.25">
      <c r="A44" s="30" t="s">
        <v>34</v>
      </c>
      <c r="B44" s="26"/>
      <c r="C44" s="26">
        <v>1091</v>
      </c>
      <c r="D44" s="26"/>
      <c r="E44" s="91"/>
      <c r="G44" s="24"/>
      <c r="H44" s="24"/>
      <c r="I44" s="24"/>
    </row>
    <row r="45" spans="1:9" x14ac:dyDescent="0.25">
      <c r="A45" s="28" t="s">
        <v>69</v>
      </c>
      <c r="B45" s="29"/>
      <c r="C45" s="29">
        <v>2650</v>
      </c>
      <c r="D45" s="29"/>
      <c r="E45" s="91"/>
      <c r="G45" s="24"/>
      <c r="H45" s="24"/>
      <c r="I45" s="24"/>
    </row>
    <row r="46" spans="1:9" x14ac:dyDescent="0.25">
      <c r="A46" s="31" t="s">
        <v>70</v>
      </c>
      <c r="B46" s="32">
        <f>SUM(B29:B45)</f>
        <v>154490.09</v>
      </c>
      <c r="C46" s="32">
        <f>SUM(C29:C45)</f>
        <v>134699.81</v>
      </c>
      <c r="D46" s="32"/>
      <c r="E46" s="92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51</v>
      </c>
      <c r="C48" s="20" t="s">
        <v>52</v>
      </c>
      <c r="D48" s="20" t="s">
        <v>53</v>
      </c>
      <c r="E48" s="90" t="s">
        <v>73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91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91"/>
      <c r="H50" s="24"/>
      <c r="I50" s="24"/>
      <c r="J50" s="24"/>
    </row>
    <row r="51" spans="1:10" x14ac:dyDescent="0.25">
      <c r="A51" s="30" t="s">
        <v>56</v>
      </c>
      <c r="B51" s="26">
        <f>4818.6-387.11</f>
        <v>4431.4900000000007</v>
      </c>
      <c r="C51" s="26"/>
      <c r="D51" s="37"/>
      <c r="E51" s="91"/>
      <c r="H51" s="24"/>
      <c r="I51" s="24"/>
      <c r="J51" s="24"/>
    </row>
    <row r="52" spans="1:10" x14ac:dyDescent="0.25">
      <c r="A52" s="34" t="s">
        <v>57</v>
      </c>
      <c r="B52" s="35"/>
      <c r="C52" s="35">
        <v>18632.36</v>
      </c>
      <c r="D52" s="38"/>
      <c r="E52" s="91"/>
      <c r="H52" s="24"/>
      <c r="I52" s="24"/>
      <c r="J52" s="24"/>
    </row>
    <row r="53" spans="1:10" x14ac:dyDescent="0.25">
      <c r="A53" s="30" t="s">
        <v>58</v>
      </c>
      <c r="B53" s="26"/>
      <c r="C53" s="26">
        <v>15132.1</v>
      </c>
      <c r="D53" s="37"/>
      <c r="E53" s="91"/>
      <c r="H53" s="24"/>
      <c r="I53" s="24"/>
      <c r="J53" s="24"/>
    </row>
    <row r="54" spans="1:10" x14ac:dyDescent="0.25">
      <c r="A54" s="34" t="s">
        <v>59</v>
      </c>
      <c r="B54" s="35"/>
      <c r="C54" s="35">
        <v>19998.87</v>
      </c>
      <c r="D54" s="38"/>
      <c r="E54" s="91"/>
      <c r="H54" s="24"/>
      <c r="I54" s="24"/>
      <c r="J54" s="24"/>
    </row>
    <row r="55" spans="1:10" x14ac:dyDescent="0.25">
      <c r="A55" s="30" t="s">
        <v>60</v>
      </c>
      <c r="B55" s="26"/>
      <c r="C55" s="26">
        <v>46256.52</v>
      </c>
      <c r="D55" s="37"/>
      <c r="E55" s="91"/>
      <c r="H55" s="24"/>
      <c r="I55" s="24"/>
      <c r="J55" s="24"/>
    </row>
    <row r="56" spans="1:10" x14ac:dyDescent="0.25">
      <c r="A56" s="34" t="s">
        <v>61</v>
      </c>
      <c r="B56" s="35"/>
      <c r="C56" s="35">
        <v>523.17999999999995</v>
      </c>
      <c r="D56" s="38"/>
      <c r="E56" s="91"/>
      <c r="H56" s="24"/>
      <c r="I56" s="24"/>
      <c r="J56" s="24"/>
    </row>
    <row r="57" spans="1:10" x14ac:dyDescent="0.25">
      <c r="A57" s="30" t="s">
        <v>62</v>
      </c>
      <c r="B57" s="26"/>
      <c r="C57" s="26">
        <v>5371.8</v>
      </c>
      <c r="D57" s="37"/>
      <c r="E57" s="91"/>
      <c r="H57" s="24"/>
      <c r="I57" s="24"/>
      <c r="J57" s="24"/>
    </row>
    <row r="58" spans="1:10" x14ac:dyDescent="0.25">
      <c r="A58" s="34" t="s">
        <v>63</v>
      </c>
      <c r="B58" s="35"/>
      <c r="C58" s="35">
        <v>5378.68</v>
      </c>
      <c r="D58" s="38"/>
      <c r="E58" s="91"/>
      <c r="H58" s="24"/>
      <c r="I58" s="24"/>
      <c r="J58" s="24"/>
    </row>
    <row r="59" spans="1:10" ht="15.75" customHeight="1" x14ac:dyDescent="0.25">
      <c r="A59" s="30" t="s">
        <v>64</v>
      </c>
      <c r="B59" s="26"/>
      <c r="C59" s="26">
        <f>785-54</f>
        <v>731</v>
      </c>
      <c r="D59" s="37"/>
      <c r="E59" s="91"/>
      <c r="H59" s="24"/>
      <c r="I59" s="24"/>
      <c r="J59" s="24"/>
    </row>
    <row r="60" spans="1:10" ht="15.75" customHeight="1" x14ac:dyDescent="0.25">
      <c r="A60" s="34" t="s">
        <v>65</v>
      </c>
      <c r="B60" s="35"/>
      <c r="C60" s="35">
        <v>45</v>
      </c>
      <c r="D60" s="38"/>
      <c r="E60" s="91"/>
      <c r="H60" s="24"/>
      <c r="I60" s="24"/>
      <c r="J60" s="24"/>
    </row>
    <row r="61" spans="1:10" ht="15.75" customHeight="1" x14ac:dyDescent="0.25">
      <c r="A61" s="30" t="s">
        <v>66</v>
      </c>
      <c r="B61" s="26"/>
      <c r="C61" s="26">
        <v>554.46</v>
      </c>
      <c r="D61" s="37"/>
      <c r="E61" s="91"/>
      <c r="H61" s="24"/>
      <c r="I61" s="24"/>
      <c r="J61" s="24"/>
    </row>
    <row r="62" spans="1:10" ht="15.75" customHeight="1" x14ac:dyDescent="0.25">
      <c r="A62" s="34" t="s">
        <v>67</v>
      </c>
      <c r="B62" s="35"/>
      <c r="C62" s="35">
        <v>9629.0499999999993</v>
      </c>
      <c r="D62" s="38"/>
      <c r="E62" s="91"/>
      <c r="H62" s="24"/>
      <c r="I62" s="24"/>
      <c r="J62" s="24"/>
    </row>
    <row r="63" spans="1:10" ht="15.75" customHeight="1" x14ac:dyDescent="0.25">
      <c r="A63" s="30" t="s">
        <v>68</v>
      </c>
      <c r="B63" s="26"/>
      <c r="C63" s="26">
        <v>0</v>
      </c>
      <c r="D63" s="37"/>
      <c r="E63" s="91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91"/>
      <c r="H64" s="24"/>
      <c r="I64" s="24"/>
      <c r="J64" s="24"/>
    </row>
    <row r="65" spans="1:10" ht="15.75" customHeight="1" x14ac:dyDescent="0.25">
      <c r="A65" s="30" t="s">
        <v>34</v>
      </c>
      <c r="B65" s="39"/>
      <c r="C65" s="39">
        <f>2242-390</f>
        <v>1852</v>
      </c>
      <c r="D65" s="37"/>
      <c r="E65" s="91"/>
      <c r="H65" s="24"/>
      <c r="I65" s="24"/>
      <c r="J65" s="24"/>
    </row>
    <row r="66" spans="1:10" ht="15.75" customHeight="1" x14ac:dyDescent="0.25">
      <c r="A66" s="34" t="s">
        <v>69</v>
      </c>
      <c r="B66" s="35"/>
      <c r="C66" s="35">
        <v>2150</v>
      </c>
      <c r="D66" s="38"/>
      <c r="E66" s="91"/>
      <c r="H66" s="24"/>
      <c r="I66" s="24"/>
      <c r="J66" s="24"/>
    </row>
    <row r="67" spans="1:10" ht="15.75" customHeight="1" x14ac:dyDescent="0.25">
      <c r="A67" s="30" t="s">
        <v>74</v>
      </c>
      <c r="B67" s="26"/>
      <c r="C67" s="26">
        <v>13554.32</v>
      </c>
      <c r="D67" s="40"/>
      <c r="E67" s="91"/>
      <c r="H67" s="24"/>
      <c r="I67" s="24"/>
      <c r="J67" s="24"/>
    </row>
    <row r="68" spans="1:10" ht="15.75" customHeight="1" x14ac:dyDescent="0.25">
      <c r="A68" s="31" t="s">
        <v>70</v>
      </c>
      <c r="B68" s="32">
        <f>SUM(B50:B66)</f>
        <v>169710.99</v>
      </c>
      <c r="C68" s="32">
        <f>SUM(C50:C67)</f>
        <v>152994.34000000003</v>
      </c>
      <c r="D68" s="32"/>
      <c r="E68" s="92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51</v>
      </c>
      <c r="C70" s="20" t="s">
        <v>52</v>
      </c>
      <c r="D70" s="20" t="s">
        <v>53</v>
      </c>
      <c r="E70" s="90" t="s">
        <v>75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91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91"/>
      <c r="H72" s="24"/>
      <c r="I72" s="24"/>
      <c r="J72" s="24"/>
    </row>
    <row r="73" spans="1:10" ht="15.75" customHeight="1" x14ac:dyDescent="0.25">
      <c r="A73" s="30" t="s">
        <v>56</v>
      </c>
      <c r="B73" s="26">
        <v>5097.08</v>
      </c>
      <c r="C73" s="26"/>
      <c r="D73" s="26"/>
      <c r="E73" s="91"/>
      <c r="H73" s="24"/>
      <c r="I73" s="24"/>
      <c r="J73" s="24"/>
    </row>
    <row r="74" spans="1:10" ht="15.75" customHeight="1" x14ac:dyDescent="0.25">
      <c r="A74" s="22" t="s">
        <v>57</v>
      </c>
      <c r="B74" s="23"/>
      <c r="C74" s="23">
        <v>15298.47</v>
      </c>
      <c r="D74" s="23"/>
      <c r="E74" s="91"/>
      <c r="H74" s="24"/>
      <c r="I74" s="24"/>
      <c r="J74" s="24"/>
    </row>
    <row r="75" spans="1:10" ht="15.75" customHeight="1" x14ac:dyDescent="0.25">
      <c r="A75" s="30" t="s">
        <v>58</v>
      </c>
      <c r="B75" s="26"/>
      <c r="C75" s="26">
        <v>13355</v>
      </c>
      <c r="D75" s="26"/>
      <c r="E75" s="91"/>
      <c r="H75" s="24"/>
      <c r="I75" s="24"/>
      <c r="J75" s="24"/>
    </row>
    <row r="76" spans="1:10" ht="15.75" customHeight="1" x14ac:dyDescent="0.25">
      <c r="A76" s="22" t="s">
        <v>59</v>
      </c>
      <c r="B76" s="23"/>
      <c r="C76" s="23">
        <v>5859.01</v>
      </c>
      <c r="D76" s="23"/>
      <c r="E76" s="91"/>
      <c r="H76" s="24"/>
      <c r="I76" s="24"/>
      <c r="J76" s="24"/>
    </row>
    <row r="77" spans="1:10" ht="15.75" customHeight="1" x14ac:dyDescent="0.25">
      <c r="A77" s="30" t="s">
        <v>60</v>
      </c>
      <c r="B77" s="26"/>
      <c r="C77" s="26">
        <v>50433.540000000008</v>
      </c>
      <c r="D77" s="26"/>
      <c r="E77" s="91"/>
      <c r="H77" s="24"/>
      <c r="I77" s="24"/>
      <c r="J77" s="24"/>
    </row>
    <row r="78" spans="1:10" ht="15.75" customHeight="1" x14ac:dyDescent="0.25">
      <c r="A78" s="22" t="s">
        <v>61</v>
      </c>
      <c r="B78" s="23"/>
      <c r="C78" s="23">
        <v>0</v>
      </c>
      <c r="D78" s="23"/>
      <c r="E78" s="91"/>
      <c r="H78" s="24"/>
      <c r="I78" s="24"/>
      <c r="J78" s="24"/>
    </row>
    <row r="79" spans="1:10" ht="15.75" customHeight="1" x14ac:dyDescent="0.25">
      <c r="A79" s="30" t="s">
        <v>62</v>
      </c>
      <c r="B79" s="26"/>
      <c r="C79" s="26">
        <v>6212.3700000000008</v>
      </c>
      <c r="D79" s="26"/>
      <c r="E79" s="91"/>
      <c r="H79" s="24"/>
      <c r="I79" s="24"/>
      <c r="J79" s="24"/>
    </row>
    <row r="80" spans="1:10" ht="15.75" customHeight="1" x14ac:dyDescent="0.25">
      <c r="A80" s="22" t="s">
        <v>63</v>
      </c>
      <c r="B80" s="23"/>
      <c r="C80" s="23">
        <v>1758.4</v>
      </c>
      <c r="D80" s="23"/>
      <c r="E80" s="91"/>
      <c r="H80" s="24"/>
      <c r="I80" s="24"/>
      <c r="J80" s="24"/>
    </row>
    <row r="81" spans="1:10" ht="15.75" customHeight="1" x14ac:dyDescent="0.25">
      <c r="A81" s="30" t="s">
        <v>64</v>
      </c>
      <c r="B81" s="26"/>
      <c r="C81" s="26">
        <v>920</v>
      </c>
      <c r="D81" s="26"/>
      <c r="E81" s="91"/>
      <c r="H81" s="24"/>
      <c r="I81" s="24"/>
      <c r="J81" s="24"/>
    </row>
    <row r="82" spans="1:10" ht="15.75" customHeight="1" x14ac:dyDescent="0.25">
      <c r="A82" s="22" t="s">
        <v>65</v>
      </c>
      <c r="B82" s="23"/>
      <c r="C82" s="23">
        <v>777</v>
      </c>
      <c r="D82" s="23"/>
      <c r="E82" s="91"/>
      <c r="H82" s="24"/>
      <c r="I82" s="24"/>
      <c r="J82" s="24"/>
    </row>
    <row r="83" spans="1:10" ht="15.75" customHeight="1" x14ac:dyDescent="0.25">
      <c r="A83" s="30" t="s">
        <v>66</v>
      </c>
      <c r="B83" s="26"/>
      <c r="C83" s="26">
        <v>0</v>
      </c>
      <c r="D83" s="26"/>
      <c r="E83" s="91"/>
      <c r="H83" s="24"/>
      <c r="I83" s="24"/>
      <c r="J83" s="24"/>
    </row>
    <row r="84" spans="1:10" ht="15.75" customHeight="1" x14ac:dyDescent="0.25">
      <c r="A84" s="22" t="s">
        <v>67</v>
      </c>
      <c r="B84" s="23"/>
      <c r="C84" s="23">
        <v>10172.6</v>
      </c>
      <c r="D84" s="23"/>
      <c r="E84" s="91"/>
      <c r="H84" s="24"/>
      <c r="I84" s="24"/>
      <c r="J84" s="24"/>
    </row>
    <row r="85" spans="1:10" ht="15.75" customHeight="1" x14ac:dyDescent="0.25">
      <c r="A85" s="30" t="s">
        <v>68</v>
      </c>
      <c r="B85" s="26"/>
      <c r="C85" s="26">
        <v>33</v>
      </c>
      <c r="D85" s="26"/>
      <c r="E85" s="91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91"/>
      <c r="H86" s="24"/>
      <c r="I86" s="24"/>
      <c r="J86" s="24"/>
    </row>
    <row r="87" spans="1:10" ht="15.75" customHeight="1" x14ac:dyDescent="0.25">
      <c r="A87" s="30" t="s">
        <v>34</v>
      </c>
      <c r="B87" s="26"/>
      <c r="C87" s="26">
        <v>1650</v>
      </c>
      <c r="D87" s="26"/>
      <c r="E87" s="91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91"/>
      <c r="H88" s="24"/>
      <c r="I88" s="24"/>
      <c r="J88" s="24"/>
    </row>
    <row r="89" spans="1:10" ht="15.75" customHeight="1" x14ac:dyDescent="0.25">
      <c r="A89" s="30" t="s">
        <v>69</v>
      </c>
      <c r="B89" s="26"/>
      <c r="C89" s="26">
        <v>3222.5</v>
      </c>
      <c r="D89" s="26"/>
      <c r="E89" s="91"/>
      <c r="H89" s="24"/>
      <c r="I89" s="24"/>
      <c r="J89" s="24"/>
    </row>
    <row r="90" spans="1:10" ht="15.75" customHeight="1" x14ac:dyDescent="0.25">
      <c r="A90" s="22" t="s">
        <v>74</v>
      </c>
      <c r="B90" s="23"/>
      <c r="C90" s="23">
        <v>0</v>
      </c>
      <c r="D90" s="23"/>
      <c r="E90" s="91"/>
      <c r="H90" s="24"/>
      <c r="I90" s="24"/>
      <c r="J90" s="24"/>
    </row>
    <row r="91" spans="1:10" ht="15.75" customHeight="1" x14ac:dyDescent="0.25">
      <c r="A91" s="31" t="s">
        <v>70</v>
      </c>
      <c r="B91" s="42">
        <v>132206.68</v>
      </c>
      <c r="C91" s="42">
        <v>125541.89</v>
      </c>
      <c r="D91" s="42"/>
      <c r="E91" s="92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51</v>
      </c>
      <c r="C93" s="20" t="s">
        <v>52</v>
      </c>
      <c r="D93" s="20" t="s">
        <v>53</v>
      </c>
      <c r="E93" s="90" t="s">
        <v>76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91"/>
      <c r="G94" s="24"/>
      <c r="H94" s="24"/>
      <c r="I94" s="24"/>
    </row>
    <row r="95" spans="1:10" ht="15.75" customHeight="1" x14ac:dyDescent="0.25">
      <c r="A95" s="22" t="s">
        <v>13</v>
      </c>
      <c r="B95" s="23">
        <v>108054.3</v>
      </c>
      <c r="C95" s="23"/>
      <c r="D95" s="36"/>
      <c r="E95" s="91"/>
      <c r="G95" s="24"/>
      <c r="H95" s="24"/>
      <c r="I95" s="24"/>
    </row>
    <row r="96" spans="1:10" ht="15.75" customHeight="1" x14ac:dyDescent="0.25">
      <c r="A96" s="30" t="s">
        <v>56</v>
      </c>
      <c r="B96" s="26">
        <v>6374.1000000000013</v>
      </c>
      <c r="C96" s="26"/>
      <c r="D96" s="37"/>
      <c r="E96" s="91"/>
      <c r="G96" s="24"/>
      <c r="H96" s="24"/>
      <c r="I96" s="24"/>
    </row>
    <row r="97" spans="1:12" ht="15.75" customHeight="1" x14ac:dyDescent="0.25">
      <c r="A97" s="22" t="s">
        <v>57</v>
      </c>
      <c r="B97" s="23"/>
      <c r="C97" s="23">
        <v>20384.82</v>
      </c>
      <c r="D97" s="36"/>
      <c r="E97" s="91"/>
      <c r="G97" s="24"/>
      <c r="H97" s="24"/>
      <c r="I97" s="24"/>
    </row>
    <row r="98" spans="1:12" ht="15.75" customHeight="1" x14ac:dyDescent="0.25">
      <c r="A98" s="30" t="s">
        <v>58</v>
      </c>
      <c r="B98" s="26"/>
      <c r="C98" s="26">
        <v>16349.61</v>
      </c>
      <c r="D98" s="37"/>
      <c r="E98" s="91"/>
      <c r="G98" s="24"/>
      <c r="H98" s="24"/>
      <c r="I98" s="24"/>
    </row>
    <row r="99" spans="1:12" ht="15.75" customHeight="1" x14ac:dyDescent="0.25">
      <c r="A99" s="22" t="s">
        <v>59</v>
      </c>
      <c r="B99" s="23"/>
      <c r="C99" s="23">
        <v>21144.75</v>
      </c>
      <c r="D99" s="36"/>
      <c r="E99" s="91"/>
      <c r="G99" s="24"/>
      <c r="H99" s="24"/>
      <c r="I99" s="24"/>
      <c r="L99" s="24"/>
    </row>
    <row r="100" spans="1:12" ht="15.75" customHeight="1" x14ac:dyDescent="0.25">
      <c r="A100" s="30" t="s">
        <v>60</v>
      </c>
      <c r="B100" s="26"/>
      <c r="C100" s="26">
        <v>32719.78</v>
      </c>
      <c r="D100" s="37"/>
      <c r="E100" s="91"/>
      <c r="G100" s="24"/>
      <c r="H100" s="24"/>
      <c r="I100" s="24"/>
    </row>
    <row r="101" spans="1:12" ht="15.75" customHeight="1" x14ac:dyDescent="0.25">
      <c r="A101" s="22" t="s">
        <v>61</v>
      </c>
      <c r="B101" s="23"/>
      <c r="C101" s="23">
        <v>1050.8900000000001</v>
      </c>
      <c r="D101" s="36"/>
      <c r="E101" s="91"/>
      <c r="G101" s="24"/>
      <c r="H101" s="24"/>
      <c r="I101" s="24"/>
      <c r="L101" s="24"/>
    </row>
    <row r="102" spans="1:12" ht="15.75" customHeight="1" x14ac:dyDescent="0.25">
      <c r="A102" s="30" t="s">
        <v>62</v>
      </c>
      <c r="B102" s="26"/>
      <c r="C102" s="26">
        <v>2862.64</v>
      </c>
      <c r="D102" s="37"/>
      <c r="E102" s="91"/>
      <c r="G102" s="24"/>
      <c r="H102" s="24"/>
      <c r="I102" s="24"/>
      <c r="L102" s="24"/>
    </row>
    <row r="103" spans="1:12" ht="15.75" customHeight="1" x14ac:dyDescent="0.25">
      <c r="A103" s="22" t="s">
        <v>63</v>
      </c>
      <c r="B103" s="23"/>
      <c r="C103" s="23">
        <v>1399.51</v>
      </c>
      <c r="D103" s="36"/>
      <c r="E103" s="91"/>
      <c r="G103" s="24"/>
      <c r="H103" s="24"/>
      <c r="I103" s="24"/>
    </row>
    <row r="104" spans="1:12" ht="15.75" customHeight="1" x14ac:dyDescent="0.25">
      <c r="A104" s="30" t="s">
        <v>64</v>
      </c>
      <c r="B104" s="26"/>
      <c r="C104" s="26">
        <v>1026</v>
      </c>
      <c r="D104" s="37"/>
      <c r="E104" s="91"/>
      <c r="G104" s="24"/>
      <c r="H104" s="24"/>
      <c r="I104" s="24"/>
    </row>
    <row r="105" spans="1:12" ht="15.75" customHeight="1" x14ac:dyDescent="0.25">
      <c r="A105" s="22" t="s">
        <v>65</v>
      </c>
      <c r="B105" s="23"/>
      <c r="C105" s="23">
        <v>972</v>
      </c>
      <c r="D105" s="36"/>
      <c r="E105" s="91"/>
      <c r="G105" s="24"/>
      <c r="H105" s="24"/>
      <c r="I105" s="24"/>
      <c r="L105" s="24"/>
    </row>
    <row r="106" spans="1:12" ht="15.75" customHeight="1" x14ac:dyDescent="0.25">
      <c r="A106" s="30" t="s">
        <v>66</v>
      </c>
      <c r="B106" s="26"/>
      <c r="C106" s="26">
        <v>0</v>
      </c>
      <c r="D106" s="37"/>
      <c r="E106" s="91"/>
      <c r="G106" s="24"/>
      <c r="H106" s="24"/>
      <c r="I106" s="24"/>
      <c r="L106" s="24"/>
    </row>
    <row r="107" spans="1:12" ht="15.75" customHeight="1" x14ac:dyDescent="0.25">
      <c r="A107" s="22" t="s">
        <v>67</v>
      </c>
      <c r="B107" s="23"/>
      <c r="C107" s="23">
        <v>7563.28</v>
      </c>
      <c r="D107" s="36"/>
      <c r="E107" s="91"/>
      <c r="G107" s="24"/>
      <c r="H107" s="24"/>
      <c r="I107" s="24"/>
      <c r="L107" s="24"/>
    </row>
    <row r="108" spans="1:12" ht="15.75" customHeight="1" x14ac:dyDescent="0.25">
      <c r="A108" s="30" t="s">
        <v>68</v>
      </c>
      <c r="B108" s="26"/>
      <c r="C108" s="26">
        <v>0</v>
      </c>
      <c r="D108" s="37"/>
      <c r="E108" s="91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91"/>
      <c r="G109" s="24"/>
      <c r="H109" s="24"/>
      <c r="I109" s="24"/>
      <c r="L109" s="24"/>
    </row>
    <row r="110" spans="1:12" ht="15.75" customHeight="1" x14ac:dyDescent="0.25">
      <c r="A110" s="30" t="s">
        <v>34</v>
      </c>
      <c r="B110" s="26"/>
      <c r="C110" s="26">
        <v>0</v>
      </c>
      <c r="D110" s="37"/>
      <c r="E110" s="91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91"/>
      <c r="G111" s="24"/>
      <c r="H111" s="24"/>
      <c r="I111" s="24"/>
      <c r="L111" s="24"/>
    </row>
    <row r="112" spans="1:12" ht="15.75" customHeight="1" x14ac:dyDescent="0.25">
      <c r="A112" s="30" t="s">
        <v>69</v>
      </c>
      <c r="B112" s="26"/>
      <c r="C112" s="26">
        <v>2065</v>
      </c>
      <c r="D112" s="37"/>
      <c r="E112" s="91"/>
      <c r="G112" s="24"/>
      <c r="H112" s="24"/>
      <c r="I112" s="24"/>
      <c r="L112" s="24"/>
    </row>
    <row r="113" spans="1:12" ht="15.75" customHeight="1" x14ac:dyDescent="0.25">
      <c r="A113" s="22" t="s">
        <v>74</v>
      </c>
      <c r="B113" s="23"/>
      <c r="C113" s="23">
        <v>0</v>
      </c>
      <c r="D113" s="43"/>
      <c r="E113" s="91"/>
      <c r="G113" s="24"/>
      <c r="H113" s="24"/>
      <c r="I113" s="24"/>
      <c r="L113" s="24"/>
    </row>
    <row r="114" spans="1:12" ht="15.75" customHeight="1" x14ac:dyDescent="0.25">
      <c r="A114" s="31" t="s">
        <v>70</v>
      </c>
      <c r="B114" s="32">
        <f>SUM(B95:B112)</f>
        <v>114428.40000000001</v>
      </c>
      <c r="C114" s="32">
        <f>SUM(C95:C113)</f>
        <v>120942.27999999998</v>
      </c>
      <c r="D114" s="32"/>
      <c r="E114" s="92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51</v>
      </c>
      <c r="C116" s="20" t="s">
        <v>52</v>
      </c>
      <c r="D116" s="20" t="s">
        <v>53</v>
      </c>
      <c r="E116" s="90" t="s">
        <v>77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91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91"/>
      <c r="G118" s="24"/>
      <c r="H118" s="24"/>
      <c r="I118" s="24"/>
    </row>
    <row r="119" spans="1:12" ht="15.75" customHeight="1" x14ac:dyDescent="0.25">
      <c r="A119" s="30" t="s">
        <v>56</v>
      </c>
      <c r="B119" s="26">
        <v>3005.6</v>
      </c>
      <c r="C119" s="26"/>
      <c r="D119" s="26"/>
      <c r="E119" s="91"/>
      <c r="G119" s="24"/>
      <c r="H119" s="24"/>
      <c r="I119" s="24"/>
    </row>
    <row r="120" spans="1:12" ht="15.75" customHeight="1" x14ac:dyDescent="0.25">
      <c r="A120" s="22" t="s">
        <v>57</v>
      </c>
      <c r="B120" s="23"/>
      <c r="C120" s="23">
        <v>19187.509999999998</v>
      </c>
      <c r="D120" s="23"/>
      <c r="E120" s="91"/>
      <c r="G120" s="24"/>
      <c r="H120" s="24"/>
      <c r="I120" s="24"/>
    </row>
    <row r="121" spans="1:12" ht="15.75" customHeight="1" x14ac:dyDescent="0.25">
      <c r="A121" s="30" t="s">
        <v>58</v>
      </c>
      <c r="B121" s="26"/>
      <c r="C121" s="26">
        <v>9583.14</v>
      </c>
      <c r="D121" s="26"/>
      <c r="E121" s="91"/>
      <c r="G121" s="24"/>
      <c r="H121" s="24"/>
      <c r="I121" s="24"/>
    </row>
    <row r="122" spans="1:12" ht="15.75" customHeight="1" x14ac:dyDescent="0.25">
      <c r="A122" s="22" t="s">
        <v>59</v>
      </c>
      <c r="B122" s="23"/>
      <c r="C122" s="23">
        <v>8510.5</v>
      </c>
      <c r="D122" s="23"/>
      <c r="E122" s="91"/>
      <c r="G122" s="24"/>
      <c r="H122" s="24"/>
      <c r="I122" s="24"/>
    </row>
    <row r="123" spans="1:12" ht="15.75" customHeight="1" x14ac:dyDescent="0.25">
      <c r="A123" s="30" t="s">
        <v>60</v>
      </c>
      <c r="B123" s="26"/>
      <c r="C123" s="26">
        <v>34565.839999999997</v>
      </c>
      <c r="D123" s="26"/>
      <c r="E123" s="91"/>
      <c r="G123" s="24"/>
      <c r="H123" s="24"/>
      <c r="I123" s="24"/>
    </row>
    <row r="124" spans="1:12" ht="15.75" customHeight="1" x14ac:dyDescent="0.25">
      <c r="A124" s="22" t="s">
        <v>61</v>
      </c>
      <c r="B124" s="23"/>
      <c r="C124" s="23">
        <v>218.41</v>
      </c>
      <c r="D124" s="23"/>
      <c r="E124" s="91"/>
      <c r="G124" s="24"/>
      <c r="H124" s="24"/>
      <c r="I124" s="24"/>
    </row>
    <row r="125" spans="1:12" ht="15.75" customHeight="1" x14ac:dyDescent="0.25">
      <c r="A125" s="30" t="s">
        <v>62</v>
      </c>
      <c r="B125" s="26"/>
      <c r="C125" s="26">
        <v>3016.13</v>
      </c>
      <c r="D125" s="26"/>
      <c r="E125" s="91"/>
      <c r="G125" s="24"/>
      <c r="H125" s="24"/>
      <c r="I125" s="24"/>
    </row>
    <row r="126" spans="1:12" ht="15.75" customHeight="1" x14ac:dyDescent="0.25">
      <c r="A126" s="22" t="s">
        <v>63</v>
      </c>
      <c r="B126" s="23"/>
      <c r="C126" s="23">
        <v>2652.87</v>
      </c>
      <c r="D126" s="23"/>
      <c r="E126" s="91"/>
      <c r="G126" s="24"/>
      <c r="H126" s="24"/>
      <c r="I126" s="24"/>
    </row>
    <row r="127" spans="1:12" ht="15.75" customHeight="1" x14ac:dyDescent="0.25">
      <c r="A127" s="30" t="s">
        <v>64</v>
      </c>
      <c r="B127" s="26"/>
      <c r="C127" s="26">
        <v>504</v>
      </c>
      <c r="D127" s="26"/>
      <c r="E127" s="91"/>
      <c r="G127" s="24"/>
      <c r="H127" s="24"/>
      <c r="I127" s="24"/>
    </row>
    <row r="128" spans="1:12" ht="15.75" customHeight="1" x14ac:dyDescent="0.25">
      <c r="A128" s="22" t="s">
        <v>65</v>
      </c>
      <c r="B128" s="23"/>
      <c r="C128" s="23">
        <v>800</v>
      </c>
      <c r="D128" s="23"/>
      <c r="E128" s="91"/>
      <c r="G128" s="24"/>
      <c r="H128" s="24"/>
      <c r="I128" s="24"/>
    </row>
    <row r="129" spans="1:9" ht="15.75" customHeight="1" x14ac:dyDescent="0.25">
      <c r="A129" s="30" t="s">
        <v>66</v>
      </c>
      <c r="B129" s="26"/>
      <c r="C129" s="26">
        <v>1185.28</v>
      </c>
      <c r="D129" s="26"/>
      <c r="E129" s="91"/>
      <c r="G129" s="24"/>
      <c r="H129" s="24"/>
      <c r="I129" s="24"/>
    </row>
    <row r="130" spans="1:9" ht="15.75" customHeight="1" x14ac:dyDescent="0.25">
      <c r="A130" s="22" t="s">
        <v>67</v>
      </c>
      <c r="B130" s="23"/>
      <c r="C130" s="23">
        <v>6853.92</v>
      </c>
      <c r="D130" s="23"/>
      <c r="E130" s="91"/>
      <c r="G130" s="24"/>
      <c r="H130" s="24"/>
      <c r="I130" s="24"/>
    </row>
    <row r="131" spans="1:9" ht="15.75" customHeight="1" x14ac:dyDescent="0.25">
      <c r="A131" s="30" t="s">
        <v>68</v>
      </c>
      <c r="B131" s="26"/>
      <c r="C131" s="26">
        <v>0</v>
      </c>
      <c r="D131" s="26"/>
      <c r="E131" s="91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91"/>
      <c r="G132" s="24"/>
      <c r="H132" s="24"/>
      <c r="I132" s="24"/>
    </row>
    <row r="133" spans="1:9" ht="15.75" customHeight="1" x14ac:dyDescent="0.25">
      <c r="A133" s="30" t="s">
        <v>34</v>
      </c>
      <c r="B133" s="26"/>
      <c r="C133" s="26">
        <v>965</v>
      </c>
      <c r="D133" s="26"/>
      <c r="E133" s="91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91"/>
      <c r="G134" s="24"/>
      <c r="H134" s="24"/>
      <c r="I134" s="24"/>
    </row>
    <row r="135" spans="1:9" ht="15.75" customHeight="1" x14ac:dyDescent="0.25">
      <c r="A135" s="30" t="s">
        <v>69</v>
      </c>
      <c r="B135" s="26"/>
      <c r="C135" s="26">
        <v>2050</v>
      </c>
      <c r="D135" s="26"/>
      <c r="E135" s="91"/>
      <c r="G135" s="24"/>
      <c r="H135" s="24"/>
      <c r="I135" s="24"/>
    </row>
    <row r="136" spans="1:9" ht="15.75" customHeight="1" x14ac:dyDescent="0.25">
      <c r="A136" s="22" t="s">
        <v>74</v>
      </c>
      <c r="B136" s="23"/>
      <c r="C136" s="23">
        <v>0</v>
      </c>
      <c r="D136" s="23"/>
      <c r="E136" s="91"/>
      <c r="G136" s="24"/>
      <c r="H136" s="24"/>
      <c r="I136" s="24"/>
    </row>
    <row r="137" spans="1:9" ht="15.75" customHeight="1" x14ac:dyDescent="0.25">
      <c r="A137" s="31" t="s">
        <v>70</v>
      </c>
      <c r="B137" s="32">
        <f>SUM(B118:B135)</f>
        <v>130835.6</v>
      </c>
      <c r="C137" s="32">
        <f>SUM(C118:C136)</f>
        <v>103277.59999999999</v>
      </c>
      <c r="D137" s="32"/>
      <c r="E137" s="92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51</v>
      </c>
      <c r="C139" s="20" t="s">
        <v>52</v>
      </c>
      <c r="D139" s="20" t="s">
        <v>53</v>
      </c>
      <c r="E139" s="90" t="s">
        <v>78</v>
      </c>
    </row>
    <row r="140" spans="1:9" ht="15.75" customHeight="1" x14ac:dyDescent="0.25">
      <c r="A140" s="33">
        <v>46143</v>
      </c>
      <c r="B140" s="37"/>
      <c r="C140" s="37"/>
      <c r="D140" s="37"/>
      <c r="E140" s="91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91"/>
      <c r="G141" s="24"/>
      <c r="H141" s="24"/>
      <c r="I141" s="24"/>
    </row>
    <row r="142" spans="1:9" ht="15.75" customHeight="1" x14ac:dyDescent="0.25">
      <c r="A142" s="30" t="s">
        <v>56</v>
      </c>
      <c r="B142" s="39">
        <v>4223</v>
      </c>
      <c r="C142" s="39"/>
      <c r="D142" s="39"/>
      <c r="E142" s="91"/>
      <c r="G142" s="24"/>
      <c r="H142" s="24"/>
      <c r="I142" s="24"/>
    </row>
    <row r="143" spans="1:9" ht="15.75" customHeight="1" x14ac:dyDescent="0.25">
      <c r="A143" s="22" t="s">
        <v>57</v>
      </c>
      <c r="B143" s="44"/>
      <c r="C143" s="23">
        <v>17692.13</v>
      </c>
      <c r="D143" s="23"/>
      <c r="E143" s="91"/>
      <c r="G143" s="24"/>
      <c r="H143" s="24"/>
      <c r="I143" s="24"/>
    </row>
    <row r="144" spans="1:9" ht="15.75" customHeight="1" x14ac:dyDescent="0.25">
      <c r="A144" s="30" t="s">
        <v>58</v>
      </c>
      <c r="B144" s="39"/>
      <c r="C144" s="39">
        <v>12199.98</v>
      </c>
      <c r="D144" s="39"/>
      <c r="E144" s="91"/>
      <c r="G144" s="24"/>
      <c r="H144" s="24"/>
      <c r="I144" s="24"/>
    </row>
    <row r="145" spans="1:9" ht="15.75" customHeight="1" x14ac:dyDescent="0.25">
      <c r="A145" s="22" t="s">
        <v>59</v>
      </c>
      <c r="B145" s="23"/>
      <c r="C145" s="23">
        <v>11000.95</v>
      </c>
      <c r="D145" s="23"/>
      <c r="E145" s="91"/>
      <c r="G145" s="24"/>
      <c r="H145" s="24"/>
      <c r="I145" s="24"/>
    </row>
    <row r="146" spans="1:9" ht="15.75" customHeight="1" x14ac:dyDescent="0.25">
      <c r="A146" s="30" t="s">
        <v>60</v>
      </c>
      <c r="B146" s="39"/>
      <c r="C146" s="39">
        <v>30241.59</v>
      </c>
      <c r="D146" s="39"/>
      <c r="E146" s="91"/>
      <c r="G146" s="24"/>
      <c r="H146" s="24"/>
      <c r="I146" s="24"/>
    </row>
    <row r="147" spans="1:9" ht="15.75" customHeight="1" x14ac:dyDescent="0.25">
      <c r="A147" s="22" t="s">
        <v>61</v>
      </c>
      <c r="B147" s="23"/>
      <c r="C147" s="23">
        <v>438.4</v>
      </c>
      <c r="D147" s="23"/>
      <c r="E147" s="91"/>
      <c r="G147" s="24"/>
      <c r="H147" s="24"/>
      <c r="I147" s="24"/>
    </row>
    <row r="148" spans="1:9" ht="15.75" customHeight="1" x14ac:dyDescent="0.25">
      <c r="A148" s="30" t="s">
        <v>62</v>
      </c>
      <c r="B148" s="39"/>
      <c r="C148" s="39">
        <v>0</v>
      </c>
      <c r="D148" s="39"/>
      <c r="E148" s="91"/>
      <c r="G148" s="24"/>
      <c r="H148" s="24"/>
      <c r="I148" s="24"/>
    </row>
    <row r="149" spans="1:9" ht="15.75" customHeight="1" x14ac:dyDescent="0.25">
      <c r="A149" s="22" t="s">
        <v>63</v>
      </c>
      <c r="B149" s="23"/>
      <c r="C149" s="23">
        <v>447.36</v>
      </c>
      <c r="D149" s="23"/>
      <c r="E149" s="91"/>
      <c r="G149" s="24"/>
      <c r="H149" s="24"/>
      <c r="I149" s="24"/>
    </row>
    <row r="150" spans="1:9" ht="15.75" customHeight="1" x14ac:dyDescent="0.25">
      <c r="A150" s="30" t="s">
        <v>64</v>
      </c>
      <c r="B150" s="39"/>
      <c r="C150" s="39">
        <v>542</v>
      </c>
      <c r="D150" s="39"/>
      <c r="E150" s="91"/>
      <c r="G150" s="24"/>
      <c r="H150" s="24"/>
      <c r="I150" s="24"/>
    </row>
    <row r="151" spans="1:9" ht="15.75" customHeight="1" x14ac:dyDescent="0.25">
      <c r="A151" s="22" t="s">
        <v>65</v>
      </c>
      <c r="B151" s="23"/>
      <c r="C151" s="23">
        <v>800</v>
      </c>
      <c r="D151" s="23"/>
      <c r="E151" s="91"/>
      <c r="G151" s="24"/>
      <c r="H151" s="24"/>
      <c r="I151" s="24"/>
    </row>
    <row r="152" spans="1:9" ht="15.75" customHeight="1" x14ac:dyDescent="0.25">
      <c r="A152" s="30" t="s">
        <v>66</v>
      </c>
      <c r="B152" s="39"/>
      <c r="C152" s="39">
        <v>467.25</v>
      </c>
      <c r="D152" s="39"/>
      <c r="E152" s="91"/>
      <c r="G152" s="24"/>
      <c r="H152" s="24"/>
      <c r="I152" s="24"/>
    </row>
    <row r="153" spans="1:9" ht="15.75" customHeight="1" x14ac:dyDescent="0.25">
      <c r="A153" s="22" t="s">
        <v>67</v>
      </c>
      <c r="B153" s="23"/>
      <c r="C153" s="23">
        <v>7834.23</v>
      </c>
      <c r="D153" s="23"/>
      <c r="E153" s="91"/>
      <c r="G153" s="24"/>
      <c r="H153" s="24"/>
      <c r="I153" s="24"/>
    </row>
    <row r="154" spans="1:9" ht="15.75" customHeight="1" x14ac:dyDescent="0.25">
      <c r="A154" s="30" t="s">
        <v>68</v>
      </c>
      <c r="B154" s="39"/>
      <c r="C154" s="39">
        <v>28</v>
      </c>
      <c r="D154" s="39"/>
      <c r="E154" s="91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91"/>
      <c r="G155" s="24"/>
      <c r="H155" s="24"/>
      <c r="I155" s="24"/>
    </row>
    <row r="156" spans="1:9" ht="15.75" customHeight="1" x14ac:dyDescent="0.25">
      <c r="A156" s="30" t="s">
        <v>34</v>
      </c>
      <c r="B156" s="39"/>
      <c r="C156" s="39">
        <v>900</v>
      </c>
      <c r="D156" s="39"/>
      <c r="E156" s="91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91"/>
      <c r="G157" s="24"/>
      <c r="H157" s="24"/>
      <c r="I157" s="24"/>
    </row>
    <row r="158" spans="1:9" ht="15.75" customHeight="1" x14ac:dyDescent="0.25">
      <c r="A158" s="30" t="s">
        <v>69</v>
      </c>
      <c r="B158" s="39"/>
      <c r="C158" s="39">
        <v>562.68000000000006</v>
      </c>
      <c r="D158" s="39"/>
      <c r="E158" s="91"/>
      <c r="G158" s="24"/>
      <c r="H158" s="24"/>
      <c r="I158" s="24"/>
    </row>
    <row r="159" spans="1:9" ht="15.75" customHeight="1" x14ac:dyDescent="0.25">
      <c r="A159" s="22" t="s">
        <v>74</v>
      </c>
      <c r="B159" s="23"/>
      <c r="C159" s="44"/>
      <c r="D159" s="23"/>
      <c r="E159" s="91"/>
      <c r="G159" s="24"/>
      <c r="H159" s="24"/>
      <c r="I159" s="24"/>
    </row>
    <row r="160" spans="1:9" ht="15.75" customHeight="1" x14ac:dyDescent="0.25">
      <c r="A160" s="31" t="s">
        <v>70</v>
      </c>
      <c r="B160" s="39">
        <f>SUM(B141:B159)</f>
        <v>114275</v>
      </c>
      <c r="C160" s="39">
        <f>SUM(C141:C158)</f>
        <v>83256.569999999978</v>
      </c>
      <c r="D160" s="39"/>
      <c r="E160" s="92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51</v>
      </c>
      <c r="C162" s="20" t="s">
        <v>52</v>
      </c>
      <c r="D162" s="20" t="s">
        <v>53</v>
      </c>
      <c r="E162" s="90" t="s">
        <v>79</v>
      </c>
    </row>
    <row r="163" spans="1:9" ht="15.75" customHeight="1" x14ac:dyDescent="0.25">
      <c r="A163" s="33">
        <v>46143</v>
      </c>
      <c r="B163" s="26">
        <v>0</v>
      </c>
      <c r="C163" s="26">
        <v>0</v>
      </c>
      <c r="D163" s="26">
        <v>0</v>
      </c>
      <c r="E163" s="91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91"/>
      <c r="G164" s="24"/>
      <c r="H164" s="24"/>
      <c r="I164" s="24"/>
    </row>
    <row r="165" spans="1:9" ht="15.75" customHeight="1" x14ac:dyDescent="0.25">
      <c r="A165" s="30" t="s">
        <v>56</v>
      </c>
      <c r="B165" s="26">
        <v>2552</v>
      </c>
      <c r="C165" s="26"/>
      <c r="D165" s="26"/>
      <c r="E165" s="91"/>
      <c r="G165" s="24"/>
      <c r="H165" s="24"/>
      <c r="I165" s="24"/>
    </row>
    <row r="166" spans="1:9" ht="15.75" customHeight="1" x14ac:dyDescent="0.25">
      <c r="A166" s="22" t="s">
        <v>57</v>
      </c>
      <c r="B166" s="23"/>
      <c r="C166" s="23">
        <v>17754.990000000002</v>
      </c>
      <c r="D166" s="23"/>
      <c r="E166" s="91"/>
      <c r="G166" s="24"/>
      <c r="H166" s="24"/>
      <c r="I166" s="24"/>
    </row>
    <row r="167" spans="1:9" ht="15.75" customHeight="1" x14ac:dyDescent="0.25">
      <c r="A167" s="30" t="s">
        <v>58</v>
      </c>
      <c r="B167" s="26"/>
      <c r="C167" s="26">
        <v>12701.79</v>
      </c>
      <c r="D167" s="26"/>
      <c r="E167" s="91"/>
      <c r="G167" s="24"/>
      <c r="H167" s="24"/>
      <c r="I167" s="24"/>
    </row>
    <row r="168" spans="1:9" ht="15.75" customHeight="1" x14ac:dyDescent="0.25">
      <c r="A168" s="22" t="s">
        <v>59</v>
      </c>
      <c r="B168" s="23"/>
      <c r="C168" s="23">
        <v>9286.630000000001</v>
      </c>
      <c r="D168" s="23"/>
      <c r="E168" s="91"/>
      <c r="G168" s="24"/>
      <c r="H168" s="24"/>
      <c r="I168" s="24"/>
    </row>
    <row r="169" spans="1:9" ht="15.75" customHeight="1" x14ac:dyDescent="0.25">
      <c r="A169" s="30" t="s">
        <v>60</v>
      </c>
      <c r="B169" s="26"/>
      <c r="C169" s="26">
        <v>27449.08</v>
      </c>
      <c r="D169" s="26"/>
      <c r="E169" s="91"/>
      <c r="G169" s="24"/>
      <c r="H169" s="24"/>
      <c r="I169" s="24"/>
    </row>
    <row r="170" spans="1:9" ht="15.75" customHeight="1" x14ac:dyDescent="0.25">
      <c r="A170" s="22" t="s">
        <v>61</v>
      </c>
      <c r="B170" s="23"/>
      <c r="C170" s="23">
        <v>0</v>
      </c>
      <c r="D170" s="23"/>
      <c r="E170" s="91"/>
      <c r="G170" s="24"/>
      <c r="H170" s="24"/>
      <c r="I170" s="24"/>
    </row>
    <row r="171" spans="1:9" ht="15.75" customHeight="1" x14ac:dyDescent="0.25">
      <c r="A171" s="30" t="s">
        <v>62</v>
      </c>
      <c r="B171" s="26"/>
      <c r="C171" s="26">
        <v>2570.7600000000002</v>
      </c>
      <c r="D171" s="26"/>
      <c r="E171" s="91"/>
      <c r="G171" s="24"/>
      <c r="H171" s="24"/>
      <c r="I171" s="24"/>
    </row>
    <row r="172" spans="1:9" ht="15.75" customHeight="1" x14ac:dyDescent="0.25">
      <c r="A172" s="22" t="s">
        <v>63</v>
      </c>
      <c r="B172" s="23"/>
      <c r="C172" s="23">
        <v>1108.9000000000001</v>
      </c>
      <c r="D172" s="23"/>
      <c r="E172" s="91"/>
      <c r="G172" s="24"/>
      <c r="H172" s="24"/>
      <c r="I172" s="24"/>
    </row>
    <row r="173" spans="1:9" ht="15.75" customHeight="1" x14ac:dyDescent="0.25">
      <c r="A173" s="30" t="s">
        <v>64</v>
      </c>
      <c r="B173" s="26"/>
      <c r="C173" s="26">
        <v>402</v>
      </c>
      <c r="D173" s="26"/>
      <c r="E173" s="91"/>
      <c r="G173" s="24"/>
      <c r="H173" s="24"/>
      <c r="I173" s="24"/>
    </row>
    <row r="174" spans="1:9" ht="15.75" customHeight="1" x14ac:dyDescent="0.25">
      <c r="A174" s="22" t="s">
        <v>65</v>
      </c>
      <c r="B174" s="23"/>
      <c r="C174" s="23">
        <v>800</v>
      </c>
      <c r="D174" s="23"/>
      <c r="E174" s="91"/>
      <c r="G174" s="24"/>
      <c r="H174" s="24"/>
      <c r="I174" s="24"/>
    </row>
    <row r="175" spans="1:9" ht="15.75" customHeight="1" x14ac:dyDescent="0.25">
      <c r="A175" s="30" t="s">
        <v>66</v>
      </c>
      <c r="B175" s="26"/>
      <c r="C175" s="26">
        <v>3473.21</v>
      </c>
      <c r="D175" s="26"/>
      <c r="E175" s="91"/>
      <c r="G175" s="24"/>
      <c r="H175" s="24"/>
      <c r="I175" s="24"/>
    </row>
    <row r="176" spans="1:9" ht="15.75" customHeight="1" x14ac:dyDescent="0.25">
      <c r="A176" s="22" t="s">
        <v>67</v>
      </c>
      <c r="B176" s="23"/>
      <c r="C176" s="23">
        <v>7228.96</v>
      </c>
      <c r="D176" s="23"/>
      <c r="E176" s="91"/>
      <c r="G176" s="24"/>
      <c r="H176" s="24"/>
      <c r="I176" s="24"/>
    </row>
    <row r="177" spans="1:9" ht="15.75" customHeight="1" x14ac:dyDescent="0.25">
      <c r="A177" s="30" t="s">
        <v>68</v>
      </c>
      <c r="B177" s="26"/>
      <c r="C177" s="26">
        <v>50</v>
      </c>
      <c r="D177" s="26"/>
      <c r="E177" s="91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91"/>
      <c r="G178" s="24"/>
      <c r="H178" s="24"/>
      <c r="I178" s="24"/>
    </row>
    <row r="179" spans="1:9" ht="15.75" customHeight="1" x14ac:dyDescent="0.25">
      <c r="A179" s="30" t="s">
        <v>34</v>
      </c>
      <c r="B179" s="26"/>
      <c r="C179" s="26">
        <v>1020</v>
      </c>
      <c r="D179" s="26"/>
      <c r="E179" s="91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91"/>
      <c r="G180" s="24"/>
      <c r="H180" s="24"/>
      <c r="I180" s="24"/>
    </row>
    <row r="181" spans="1:9" ht="15.75" customHeight="1" x14ac:dyDescent="0.25">
      <c r="A181" s="30" t="s">
        <v>69</v>
      </c>
      <c r="B181" s="26"/>
      <c r="C181" s="26">
        <v>3195</v>
      </c>
      <c r="D181" s="26"/>
      <c r="E181" s="91"/>
      <c r="G181" s="24"/>
      <c r="H181" s="24"/>
      <c r="I181" s="24"/>
    </row>
    <row r="182" spans="1:9" ht="15.75" customHeight="1" x14ac:dyDescent="0.25">
      <c r="A182" s="22" t="s">
        <v>74</v>
      </c>
      <c r="B182" s="23"/>
      <c r="C182" s="23">
        <v>0</v>
      </c>
      <c r="D182" s="23"/>
      <c r="E182" s="91"/>
      <c r="G182" s="24"/>
      <c r="H182" s="24"/>
      <c r="I182" s="24"/>
    </row>
    <row r="183" spans="1:9" ht="15.75" customHeight="1" x14ac:dyDescent="0.25">
      <c r="A183" s="31" t="s">
        <v>70</v>
      </c>
      <c r="B183" s="32">
        <f>SUM(B164:B181)</f>
        <v>79425.399999999994</v>
      </c>
      <c r="C183" s="32">
        <f>SUM(C164:C182)</f>
        <v>114266.94</v>
      </c>
      <c r="D183" s="32"/>
      <c r="E183" s="92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51</v>
      </c>
      <c r="C185" s="20" t="s">
        <v>52</v>
      </c>
      <c r="D185" s="20" t="s">
        <v>53</v>
      </c>
      <c r="E185" s="90" t="s">
        <v>80</v>
      </c>
    </row>
    <row r="186" spans="1:9" ht="15.75" customHeight="1" x14ac:dyDescent="0.25">
      <c r="A186" s="33">
        <v>46143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91"/>
    </row>
    <row r="187" spans="1:9" ht="15.75" customHeight="1" x14ac:dyDescent="0.25">
      <c r="A187" s="22" t="s">
        <v>13</v>
      </c>
      <c r="B187" s="36">
        <f>SUMIF(Lançamentos!D:D,"Vendas",Lançamentos!G:G)</f>
        <v>15957.02</v>
      </c>
      <c r="C187" s="36"/>
      <c r="D187" s="36"/>
      <c r="E187" s="91"/>
    </row>
    <row r="188" spans="1:9" ht="15.75" customHeight="1" x14ac:dyDescent="0.25">
      <c r="A188" s="30" t="s">
        <v>56</v>
      </c>
      <c r="B188" s="37">
        <f>SUMIF(Lançamentos!D:D,"Vendas iFood",Lançamentos!G:G)</f>
        <v>732</v>
      </c>
      <c r="C188" s="37"/>
      <c r="D188" s="37"/>
      <c r="E188" s="91"/>
    </row>
    <row r="189" spans="1:9" ht="15.75" customHeight="1" x14ac:dyDescent="0.25">
      <c r="A189" s="22" t="s">
        <v>57</v>
      </c>
      <c r="B189" s="36"/>
      <c r="C189" s="36">
        <f>SUMIF(Lançamentos!D:D,"Salário",Lançamentos!G:G)</f>
        <v>4100</v>
      </c>
      <c r="D189" s="36"/>
      <c r="E189" s="91"/>
    </row>
    <row r="190" spans="1:9" ht="15.75" customHeight="1" x14ac:dyDescent="0.25">
      <c r="A190" s="30" t="s">
        <v>58</v>
      </c>
      <c r="B190" s="37"/>
      <c r="C190" s="37">
        <f>SUMIF(Lançamentos!D:D,"CustoFixo",Lançamentos!G:G)</f>
        <v>9113.5399999999991</v>
      </c>
      <c r="D190" s="37"/>
      <c r="E190" s="91"/>
    </row>
    <row r="191" spans="1:9" ht="15.75" customHeight="1" x14ac:dyDescent="0.25">
      <c r="A191" s="22" t="s">
        <v>59</v>
      </c>
      <c r="B191" s="36"/>
      <c r="C191" s="36">
        <f>SUMIF(Lançamentos!D:D,"Impostos",Lançamentos!G:G)</f>
        <v>0</v>
      </c>
      <c r="D191" s="36"/>
      <c r="E191" s="91"/>
    </row>
    <row r="192" spans="1:9" ht="15.75" customHeight="1" x14ac:dyDescent="0.25">
      <c r="A192" s="30" t="s">
        <v>60</v>
      </c>
      <c r="B192" s="37"/>
      <c r="C192" s="37">
        <f>SUMIF(Lançamentos!D:D,"Matéria Prima",Lançamentos!G:G)</f>
        <v>2149.2299999999996</v>
      </c>
      <c r="D192" s="37"/>
      <c r="E192" s="91"/>
    </row>
    <row r="193" spans="1:5" ht="15.75" customHeight="1" x14ac:dyDescent="0.25">
      <c r="A193" s="22" t="s">
        <v>61</v>
      </c>
      <c r="B193" s="36"/>
      <c r="C193" s="36">
        <f>SUMIF(Lançamentos!D:D,"Frete",Lançamentos!G:G)</f>
        <v>0</v>
      </c>
      <c r="D193" s="36"/>
      <c r="E193" s="91"/>
    </row>
    <row r="194" spans="1:5" ht="15.75" customHeight="1" x14ac:dyDescent="0.25">
      <c r="A194" s="30" t="s">
        <v>62</v>
      </c>
      <c r="B194" s="37"/>
      <c r="C194" s="37">
        <f>SUMIF(Lançamentos!D:D,"Cartao de Credito",Lançamentos!G:G)</f>
        <v>0</v>
      </c>
      <c r="D194" s="37"/>
      <c r="E194" s="91"/>
    </row>
    <row r="195" spans="1:5" ht="15.75" customHeight="1" x14ac:dyDescent="0.25">
      <c r="A195" s="22" t="s">
        <v>63</v>
      </c>
      <c r="B195" s="36"/>
      <c r="C195" s="36">
        <f>SUMIF(Lançamentos!D:D,"Mat Consumo",Lançamentos!G:G)</f>
        <v>0</v>
      </c>
      <c r="D195" s="36"/>
      <c r="E195" s="91"/>
    </row>
    <row r="196" spans="1:5" ht="15.75" customHeight="1" x14ac:dyDescent="0.25">
      <c r="A196" s="30" t="s">
        <v>64</v>
      </c>
      <c r="B196" s="37"/>
      <c r="C196" s="37">
        <f>SUMIF(Lançamentos!D:D,"IFood",Lançamentos!G:G)</f>
        <v>97</v>
      </c>
      <c r="D196" s="37"/>
      <c r="E196" s="91"/>
    </row>
    <row r="197" spans="1:5" ht="15.75" customHeight="1" x14ac:dyDescent="0.25">
      <c r="A197" s="22" t="s">
        <v>65</v>
      </c>
      <c r="B197" s="36"/>
      <c r="C197" s="36">
        <f>SUMIF(Lançamentos!D:D,"Contabilidade",Lançamentos!G:G)</f>
        <v>0</v>
      </c>
      <c r="D197" s="36"/>
      <c r="E197" s="91"/>
    </row>
    <row r="198" spans="1:5" ht="15.75" customHeight="1" x14ac:dyDescent="0.25">
      <c r="A198" s="30" t="s">
        <v>66</v>
      </c>
      <c r="B198" s="37"/>
      <c r="C198" s="37">
        <f>SUMIF(Lançamentos!D:D,"Demissão",Lançamentos!G:G)</f>
        <v>0</v>
      </c>
      <c r="D198" s="37"/>
      <c r="E198" s="91"/>
    </row>
    <row r="199" spans="1:5" ht="15.75" customHeight="1" x14ac:dyDescent="0.25">
      <c r="A199" s="22" t="s">
        <v>67</v>
      </c>
      <c r="B199" s="36"/>
      <c r="C199" s="36">
        <f>SUMIF(Lançamentos!D:D,"Royalt",Lançamentos!G:G)</f>
        <v>0</v>
      </c>
      <c r="D199" s="36"/>
      <c r="E199" s="91"/>
    </row>
    <row r="200" spans="1:5" ht="15.75" customHeight="1" x14ac:dyDescent="0.25">
      <c r="A200" s="30" t="s">
        <v>68</v>
      </c>
      <c r="B200" s="37"/>
      <c r="C200" s="37">
        <f>SUMIF(Lançamentos!D:D,"Papelaria",Lançamentos!G:G)</f>
        <v>0</v>
      </c>
      <c r="D200" s="37"/>
      <c r="E200" s="91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91"/>
    </row>
    <row r="202" spans="1:5" ht="15.75" customHeight="1" x14ac:dyDescent="0.25">
      <c r="A202" s="30" t="s">
        <v>34</v>
      </c>
      <c r="B202" s="37"/>
      <c r="C202" s="37">
        <f>SUMIF(Lançamentos!D:D,"Freelancer",Lançamentos!G:G)</f>
        <v>750</v>
      </c>
      <c r="D202" s="37"/>
      <c r="E202" s="91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400</v>
      </c>
      <c r="D203" s="36"/>
      <c r="E203" s="91"/>
    </row>
    <row r="204" spans="1:5" ht="15.75" customHeight="1" x14ac:dyDescent="0.25">
      <c r="A204" s="30" t="s">
        <v>69</v>
      </c>
      <c r="B204" s="37"/>
      <c r="C204" s="37">
        <f>SUMIF(Lançamentos!D:D,"Marketing",Lançamentos!G:G)</f>
        <v>0</v>
      </c>
      <c r="D204" s="37"/>
      <c r="E204" s="91"/>
    </row>
    <row r="205" spans="1:5" ht="15.75" customHeight="1" x14ac:dyDescent="0.25">
      <c r="A205" s="22" t="s">
        <v>74</v>
      </c>
      <c r="B205" s="43"/>
      <c r="C205" s="43">
        <f>SUMIF(Lançamentos!D:D,"Celso",Lançamentos!G:G)</f>
        <v>0</v>
      </c>
      <c r="D205" s="43"/>
      <c r="E205" s="91"/>
    </row>
    <row r="206" spans="1:5" ht="15.75" customHeight="1" x14ac:dyDescent="0.25">
      <c r="A206" s="31" t="s">
        <v>70</v>
      </c>
      <c r="B206" s="32">
        <f>SUM(B187:B204)</f>
        <v>16689.02</v>
      </c>
      <c r="C206" s="32">
        <f>SUM(C187:C205)</f>
        <v>16609.769999999997</v>
      </c>
      <c r="D206" s="32"/>
      <c r="E206" s="92"/>
    </row>
    <row r="207" spans="1:5" ht="15.75" customHeight="1" x14ac:dyDescent="0.25"/>
    <row r="208" spans="1: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mergeCells count="10">
    <mergeCell ref="E185:E206"/>
    <mergeCell ref="E70:E91"/>
    <mergeCell ref="E7:E25"/>
    <mergeCell ref="E27:E46"/>
    <mergeCell ref="E116:E137"/>
    <mergeCell ref="E48:E68"/>
    <mergeCell ref="A1:D1"/>
    <mergeCell ref="E93:E114"/>
    <mergeCell ref="E162:E183"/>
    <mergeCell ref="E139:E16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1015"/>
  <sheetViews>
    <sheetView workbookViewId="0"/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81</v>
      </c>
      <c r="C1" s="45" t="s">
        <v>82</v>
      </c>
      <c r="E1" s="45" t="s">
        <v>4</v>
      </c>
      <c r="F1" s="45" t="s">
        <v>81</v>
      </c>
      <c r="G1" s="45" t="s">
        <v>82</v>
      </c>
      <c r="I1" s="45" t="s">
        <v>4</v>
      </c>
      <c r="J1" s="45" t="s">
        <v>81</v>
      </c>
      <c r="K1" s="45" t="s">
        <v>82</v>
      </c>
      <c r="M1" s="45" t="s">
        <v>4</v>
      </c>
      <c r="N1" s="45" t="s">
        <v>81</v>
      </c>
      <c r="O1" s="45" t="s">
        <v>82</v>
      </c>
      <c r="P1" s="45" t="s">
        <v>8</v>
      </c>
    </row>
    <row r="2" spans="1:16" x14ac:dyDescent="0.25">
      <c r="A2" s="46" t="s">
        <v>83</v>
      </c>
      <c r="B2" s="46" t="s">
        <v>84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83</v>
      </c>
      <c r="B3" s="46" t="s">
        <v>85</v>
      </c>
      <c r="C3" s="47">
        <v>3</v>
      </c>
      <c r="E3" s="48" t="s">
        <v>86</v>
      </c>
      <c r="F3" s="48" t="s">
        <v>87</v>
      </c>
      <c r="G3" s="49"/>
      <c r="H3" s="50"/>
      <c r="I3" s="51" t="s">
        <v>88</v>
      </c>
      <c r="J3" s="51" t="s">
        <v>89</v>
      </c>
      <c r="K3" s="52">
        <v>4</v>
      </c>
      <c r="M3" s="53" t="s">
        <v>90</v>
      </c>
      <c r="N3" s="53" t="s">
        <v>91</v>
      </c>
      <c r="O3" s="54">
        <v>4</v>
      </c>
      <c r="P3" s="54" t="s">
        <v>92</v>
      </c>
    </row>
    <row r="4" spans="1:16" x14ac:dyDescent="0.25">
      <c r="A4" s="46" t="s">
        <v>83</v>
      </c>
      <c r="B4" s="46" t="s">
        <v>93</v>
      </c>
      <c r="C4" s="47">
        <v>1</v>
      </c>
      <c r="E4" s="48" t="s">
        <v>86</v>
      </c>
      <c r="F4" s="48" t="s">
        <v>94</v>
      </c>
      <c r="G4" s="49"/>
      <c r="H4" s="50"/>
      <c r="I4" s="51" t="s">
        <v>88</v>
      </c>
      <c r="J4" s="51" t="s">
        <v>95</v>
      </c>
      <c r="K4" s="52">
        <v>14</v>
      </c>
      <c r="M4" s="53" t="s">
        <v>90</v>
      </c>
      <c r="N4" s="53" t="s">
        <v>91</v>
      </c>
      <c r="O4" s="54">
        <v>1</v>
      </c>
      <c r="P4" s="54" t="s">
        <v>96</v>
      </c>
    </row>
    <row r="5" spans="1:16" x14ac:dyDescent="0.25">
      <c r="A5" s="46" t="s">
        <v>83</v>
      </c>
      <c r="B5" s="46" t="s">
        <v>97</v>
      </c>
      <c r="C5" s="47">
        <v>1</v>
      </c>
      <c r="E5" s="48" t="s">
        <v>86</v>
      </c>
      <c r="F5" s="48" t="s">
        <v>98</v>
      </c>
      <c r="G5" s="49">
        <v>21</v>
      </c>
      <c r="H5" s="50"/>
      <c r="I5" s="51" t="s">
        <v>88</v>
      </c>
      <c r="J5" s="51" t="s">
        <v>99</v>
      </c>
      <c r="K5" s="52">
        <v>22</v>
      </c>
      <c r="M5" s="53" t="s">
        <v>90</v>
      </c>
      <c r="N5" s="53" t="s">
        <v>100</v>
      </c>
      <c r="O5" s="54">
        <v>2</v>
      </c>
      <c r="P5" s="54" t="s">
        <v>92</v>
      </c>
    </row>
    <row r="6" spans="1:16" x14ac:dyDescent="0.25">
      <c r="A6" s="46" t="s">
        <v>83</v>
      </c>
      <c r="B6" s="46" t="s">
        <v>101</v>
      </c>
      <c r="C6" s="47">
        <v>2</v>
      </c>
      <c r="E6" s="48" t="s">
        <v>86</v>
      </c>
      <c r="F6" s="48" t="s">
        <v>102</v>
      </c>
      <c r="G6" s="49" t="s">
        <v>103</v>
      </c>
      <c r="H6" s="50"/>
      <c r="I6" s="51" t="s">
        <v>88</v>
      </c>
      <c r="J6" s="51" t="s">
        <v>104</v>
      </c>
      <c r="K6" s="52">
        <v>33</v>
      </c>
      <c r="M6" s="53" t="s">
        <v>90</v>
      </c>
      <c r="N6" s="53" t="s">
        <v>100</v>
      </c>
      <c r="O6" s="54">
        <v>1</v>
      </c>
      <c r="P6" s="54" t="s">
        <v>96</v>
      </c>
    </row>
    <row r="7" spans="1:16" x14ac:dyDescent="0.25">
      <c r="A7" s="46" t="s">
        <v>83</v>
      </c>
      <c r="B7" s="46" t="s">
        <v>105</v>
      </c>
      <c r="C7" s="47">
        <v>6</v>
      </c>
      <c r="E7" s="48" t="s">
        <v>86</v>
      </c>
      <c r="F7" s="48" t="s">
        <v>106</v>
      </c>
      <c r="G7" s="49">
        <v>2</v>
      </c>
      <c r="H7" s="50"/>
      <c r="I7" s="51" t="s">
        <v>88</v>
      </c>
      <c r="J7" s="51" t="s">
        <v>107</v>
      </c>
      <c r="K7" s="52">
        <v>42</v>
      </c>
      <c r="M7" s="53" t="s">
        <v>90</v>
      </c>
      <c r="N7" s="53" t="s">
        <v>108</v>
      </c>
      <c r="O7" s="54">
        <v>2</v>
      </c>
      <c r="P7" s="54" t="s">
        <v>92</v>
      </c>
    </row>
    <row r="8" spans="1:16" x14ac:dyDescent="0.25">
      <c r="A8" s="46" t="s">
        <v>83</v>
      </c>
      <c r="B8" s="46" t="s">
        <v>109</v>
      </c>
      <c r="C8" s="47">
        <v>4</v>
      </c>
      <c r="E8" s="48" t="s">
        <v>86</v>
      </c>
      <c r="F8" s="48" t="s">
        <v>110</v>
      </c>
      <c r="G8" s="49" t="s">
        <v>111</v>
      </c>
      <c r="H8" s="50"/>
      <c r="I8" s="51" t="s">
        <v>88</v>
      </c>
      <c r="J8" s="51" t="s">
        <v>112</v>
      </c>
      <c r="K8" s="52">
        <v>10</v>
      </c>
      <c r="M8" s="53" t="s">
        <v>90</v>
      </c>
      <c r="N8" s="53" t="s">
        <v>108</v>
      </c>
      <c r="O8" s="54">
        <v>1</v>
      </c>
      <c r="P8" s="54" t="s">
        <v>96</v>
      </c>
    </row>
    <row r="9" spans="1:16" x14ac:dyDescent="0.25">
      <c r="A9" s="46" t="s">
        <v>83</v>
      </c>
      <c r="B9" s="46" t="s">
        <v>113</v>
      </c>
      <c r="C9" s="47">
        <v>27</v>
      </c>
      <c r="E9" s="48" t="s">
        <v>86</v>
      </c>
      <c r="F9" s="48" t="s">
        <v>114</v>
      </c>
      <c r="G9" s="49">
        <v>1</v>
      </c>
      <c r="H9" s="50"/>
      <c r="I9" s="51" t="s">
        <v>88</v>
      </c>
      <c r="J9" s="51" t="s">
        <v>115</v>
      </c>
      <c r="K9" s="52">
        <v>2</v>
      </c>
      <c r="M9" s="53" t="s">
        <v>90</v>
      </c>
      <c r="N9" s="53" t="s">
        <v>116</v>
      </c>
      <c r="O9" s="54">
        <v>1</v>
      </c>
      <c r="P9" s="54" t="s">
        <v>117</v>
      </c>
    </row>
    <row r="10" spans="1:16" x14ac:dyDescent="0.25">
      <c r="A10" s="46" t="s">
        <v>83</v>
      </c>
      <c r="B10" s="46" t="s">
        <v>118</v>
      </c>
      <c r="C10" s="47">
        <v>27</v>
      </c>
      <c r="E10" s="48" t="s">
        <v>86</v>
      </c>
      <c r="F10" s="48" t="s">
        <v>114</v>
      </c>
      <c r="G10" s="49" t="s">
        <v>119</v>
      </c>
      <c r="H10" s="50"/>
      <c r="I10" s="51" t="s">
        <v>88</v>
      </c>
      <c r="J10" s="51" t="s">
        <v>120</v>
      </c>
      <c r="K10" s="52">
        <v>0</v>
      </c>
      <c r="M10" s="53" t="s">
        <v>90</v>
      </c>
      <c r="N10" s="53" t="s">
        <v>116</v>
      </c>
      <c r="O10" s="54">
        <v>0</v>
      </c>
      <c r="P10" s="54" t="s">
        <v>121</v>
      </c>
    </row>
    <row r="11" spans="1:16" x14ac:dyDescent="0.25">
      <c r="A11" s="46" t="s">
        <v>83</v>
      </c>
      <c r="B11" s="46" t="s">
        <v>122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83</v>
      </c>
      <c r="B12" s="46" t="s">
        <v>123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83</v>
      </c>
      <c r="B13" s="46" t="s">
        <v>124</v>
      </c>
      <c r="C13" s="47">
        <v>2</v>
      </c>
      <c r="E13" s="48" t="s">
        <v>86</v>
      </c>
      <c r="F13" s="48" t="s">
        <v>125</v>
      </c>
      <c r="G13" s="49">
        <v>2</v>
      </c>
      <c r="H13" s="50"/>
      <c r="K13" s="15"/>
      <c r="M13" s="53" t="s">
        <v>90</v>
      </c>
      <c r="N13" s="53" t="s">
        <v>126</v>
      </c>
      <c r="O13" s="54">
        <v>1</v>
      </c>
      <c r="P13" s="54" t="s">
        <v>117</v>
      </c>
    </row>
    <row r="14" spans="1:16" x14ac:dyDescent="0.25">
      <c r="A14" s="46" t="s">
        <v>83</v>
      </c>
      <c r="B14" s="46" t="s">
        <v>127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83</v>
      </c>
      <c r="B15" s="46" t="s">
        <v>128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83</v>
      </c>
      <c r="B16" s="46" t="s">
        <v>129</v>
      </c>
      <c r="C16" s="47">
        <v>6</v>
      </c>
      <c r="E16" s="48" t="s">
        <v>86</v>
      </c>
      <c r="F16" s="48" t="s">
        <v>130</v>
      </c>
      <c r="G16" s="49">
        <v>0</v>
      </c>
      <c r="H16" s="50"/>
      <c r="K16" s="15"/>
      <c r="M16" s="53" t="s">
        <v>90</v>
      </c>
      <c r="N16" s="53" t="s">
        <v>131</v>
      </c>
      <c r="O16" s="54">
        <v>1</v>
      </c>
      <c r="P16" s="54" t="s">
        <v>117</v>
      </c>
    </row>
    <row r="17" spans="1:16" x14ac:dyDescent="0.25">
      <c r="A17" s="46" t="s">
        <v>83</v>
      </c>
      <c r="B17" s="46" t="s">
        <v>132</v>
      </c>
      <c r="C17" s="47">
        <v>1</v>
      </c>
      <c r="E17" s="48" t="s">
        <v>86</v>
      </c>
      <c r="F17" s="48" t="s">
        <v>133</v>
      </c>
      <c r="G17" s="49"/>
      <c r="H17" s="55"/>
      <c r="K17" s="15"/>
      <c r="M17" s="53" t="s">
        <v>90</v>
      </c>
      <c r="N17" s="53" t="s">
        <v>131</v>
      </c>
      <c r="O17" s="54">
        <v>1</v>
      </c>
      <c r="P17" s="54" t="s">
        <v>121</v>
      </c>
    </row>
    <row r="18" spans="1:16" x14ac:dyDescent="0.25">
      <c r="A18" s="46" t="s">
        <v>83</v>
      </c>
      <c r="B18" s="46" t="s">
        <v>134</v>
      </c>
      <c r="C18" s="47">
        <v>0</v>
      </c>
      <c r="E18" s="48" t="s">
        <v>86</v>
      </c>
      <c r="F18" s="48" t="s">
        <v>133</v>
      </c>
      <c r="G18" s="49"/>
      <c r="H18" s="56"/>
      <c r="K18" s="15"/>
      <c r="M18" s="53" t="s">
        <v>90</v>
      </c>
      <c r="N18" s="53" t="s">
        <v>135</v>
      </c>
      <c r="O18" s="54">
        <v>1</v>
      </c>
      <c r="P18" s="54" t="s">
        <v>117</v>
      </c>
    </row>
    <row r="19" spans="1:16" x14ac:dyDescent="0.25">
      <c r="A19" s="46" t="s">
        <v>83</v>
      </c>
      <c r="B19" s="46" t="s">
        <v>136</v>
      </c>
      <c r="C19" s="47">
        <v>1</v>
      </c>
      <c r="E19" s="48" t="s">
        <v>86</v>
      </c>
      <c r="F19" s="48" t="s">
        <v>137</v>
      </c>
      <c r="G19" s="49"/>
      <c r="H19" s="56"/>
      <c r="K19" s="15"/>
      <c r="M19" s="53" t="s">
        <v>90</v>
      </c>
      <c r="N19" s="53" t="s">
        <v>138</v>
      </c>
      <c r="O19" s="54">
        <v>1</v>
      </c>
      <c r="P19" s="54" t="s">
        <v>117</v>
      </c>
    </row>
    <row r="20" spans="1:16" x14ac:dyDescent="0.25">
      <c r="A20" s="46" t="s">
        <v>83</v>
      </c>
      <c r="B20" s="46" t="s">
        <v>139</v>
      </c>
      <c r="C20" s="47">
        <v>2</v>
      </c>
      <c r="E20" s="48" t="s">
        <v>86</v>
      </c>
      <c r="F20" s="48" t="s">
        <v>137</v>
      </c>
      <c r="G20" s="49"/>
      <c r="H20" s="56"/>
      <c r="K20" s="15"/>
      <c r="M20" s="53" t="s">
        <v>90</v>
      </c>
      <c r="N20" s="53" t="s">
        <v>140</v>
      </c>
      <c r="O20" s="54">
        <v>10</v>
      </c>
      <c r="P20" s="54"/>
    </row>
    <row r="21" spans="1:16" x14ac:dyDescent="0.25">
      <c r="A21" s="46" t="s">
        <v>83</v>
      </c>
      <c r="B21" s="46" t="s">
        <v>141</v>
      </c>
      <c r="C21" s="47">
        <v>1</v>
      </c>
      <c r="E21" s="48" t="s">
        <v>86</v>
      </c>
      <c r="F21" s="48" t="s">
        <v>142</v>
      </c>
      <c r="G21" s="49"/>
      <c r="H21" s="56"/>
      <c r="K21" s="15"/>
      <c r="M21" s="53" t="s">
        <v>90</v>
      </c>
      <c r="N21" s="53" t="s">
        <v>143</v>
      </c>
      <c r="O21" s="54">
        <v>6</v>
      </c>
      <c r="P21" s="54"/>
    </row>
    <row r="22" spans="1:16" x14ac:dyDescent="0.25">
      <c r="A22" s="46" t="s">
        <v>83</v>
      </c>
      <c r="B22" s="46" t="s">
        <v>144</v>
      </c>
      <c r="C22" s="47">
        <v>0</v>
      </c>
      <c r="K22" s="15"/>
      <c r="M22" s="57" t="s">
        <v>90</v>
      </c>
      <c r="N22" s="57"/>
      <c r="O22" s="58"/>
      <c r="P22" s="58"/>
    </row>
    <row r="23" spans="1:16" x14ac:dyDescent="0.25">
      <c r="A23" s="46" t="s">
        <v>83</v>
      </c>
      <c r="B23" s="46" t="s">
        <v>145</v>
      </c>
      <c r="C23" s="47">
        <v>2</v>
      </c>
      <c r="G23" s="15"/>
      <c r="K23" s="15"/>
      <c r="M23" s="59"/>
      <c r="N23" s="59"/>
      <c r="O23" s="56"/>
      <c r="P23" s="56"/>
    </row>
    <row r="24" spans="1:16" x14ac:dyDescent="0.25">
      <c r="A24" s="46" t="s">
        <v>83</v>
      </c>
      <c r="B24" s="46" t="s">
        <v>146</v>
      </c>
      <c r="C24" s="47">
        <v>1</v>
      </c>
      <c r="G24" s="15"/>
      <c r="K24" s="15"/>
    </row>
    <row r="25" spans="1:16" x14ac:dyDescent="0.25">
      <c r="A25" s="46" t="s">
        <v>83</v>
      </c>
      <c r="B25" s="46" t="s">
        <v>147</v>
      </c>
      <c r="C25" s="47">
        <v>0</v>
      </c>
      <c r="G25" s="15"/>
      <c r="K25" s="15"/>
    </row>
    <row r="26" spans="1:16" x14ac:dyDescent="0.25">
      <c r="A26" s="46" t="s">
        <v>83</v>
      </c>
      <c r="B26" s="46" t="s">
        <v>148</v>
      </c>
      <c r="C26" s="47">
        <v>3</v>
      </c>
      <c r="G26" s="15"/>
      <c r="K26" s="15"/>
    </row>
    <row r="27" spans="1:16" x14ac:dyDescent="0.25">
      <c r="A27" s="46" t="s">
        <v>83</v>
      </c>
      <c r="B27" s="46" t="s">
        <v>149</v>
      </c>
      <c r="C27" s="47"/>
      <c r="G27" s="15"/>
      <c r="K27" s="15"/>
    </row>
    <row r="28" spans="1:16" x14ac:dyDescent="0.25">
      <c r="A28" s="46" t="s">
        <v>83</v>
      </c>
      <c r="B28" s="46" t="s">
        <v>150</v>
      </c>
      <c r="C28" s="47">
        <v>2</v>
      </c>
      <c r="G28" s="15"/>
      <c r="K28" s="15"/>
    </row>
    <row r="29" spans="1:16" x14ac:dyDescent="0.25">
      <c r="A29" s="46" t="s">
        <v>83</v>
      </c>
      <c r="B29" s="46" t="s">
        <v>151</v>
      </c>
      <c r="C29" s="47">
        <v>10</v>
      </c>
      <c r="G29" s="15"/>
      <c r="K29" s="15"/>
      <c r="O29" s="15"/>
      <c r="P29" s="15"/>
    </row>
    <row r="30" spans="1:16" x14ac:dyDescent="0.25">
      <c r="A30" s="46" t="s">
        <v>83</v>
      </c>
      <c r="B30" s="46" t="s">
        <v>152</v>
      </c>
      <c r="C30" s="47">
        <v>1.5</v>
      </c>
      <c r="G30" s="15"/>
      <c r="K30" s="15"/>
      <c r="O30" s="15"/>
      <c r="P30" s="15"/>
    </row>
    <row r="31" spans="1:16" x14ac:dyDescent="0.25">
      <c r="A31" s="46" t="s">
        <v>83</v>
      </c>
      <c r="B31" s="46" t="s">
        <v>153</v>
      </c>
      <c r="C31" s="47">
        <v>3</v>
      </c>
      <c r="G31" s="15"/>
      <c r="K31" s="15"/>
      <c r="O31" s="15"/>
      <c r="P31" s="15"/>
    </row>
    <row r="32" spans="1:16" x14ac:dyDescent="0.25">
      <c r="A32" s="46" t="s">
        <v>83</v>
      </c>
      <c r="B32" s="46" t="s">
        <v>154</v>
      </c>
      <c r="C32" s="47">
        <v>0</v>
      </c>
      <c r="G32" s="15"/>
      <c r="K32" s="15"/>
      <c r="O32" s="15"/>
      <c r="P32" s="15"/>
    </row>
    <row r="33" spans="1:16" x14ac:dyDescent="0.25">
      <c r="A33" s="46" t="s">
        <v>83</v>
      </c>
      <c r="B33" s="46" t="s">
        <v>155</v>
      </c>
      <c r="C33" s="47">
        <v>1</v>
      </c>
      <c r="G33" s="15"/>
      <c r="K33" s="15"/>
      <c r="O33" s="15"/>
      <c r="P33" s="15"/>
    </row>
    <row r="34" spans="1:16" x14ac:dyDescent="0.25">
      <c r="A34" s="46" t="s">
        <v>83</v>
      </c>
      <c r="B34" s="46" t="s">
        <v>156</v>
      </c>
      <c r="C34" s="47">
        <v>5</v>
      </c>
      <c r="G34" s="15"/>
      <c r="K34" s="15"/>
      <c r="O34" s="15"/>
      <c r="P34" s="15"/>
    </row>
    <row r="35" spans="1:16" x14ac:dyDescent="0.25">
      <c r="A35" s="46" t="s">
        <v>83</v>
      </c>
      <c r="B35" s="46" t="s">
        <v>157</v>
      </c>
      <c r="C35" s="47">
        <v>0</v>
      </c>
      <c r="G35" s="15"/>
      <c r="K35" s="15"/>
      <c r="O35" s="15"/>
      <c r="P35" s="15"/>
    </row>
    <row r="36" spans="1:16" x14ac:dyDescent="0.25">
      <c r="A36" s="46" t="s">
        <v>83</v>
      </c>
      <c r="B36" s="46" t="s">
        <v>158</v>
      </c>
      <c r="C36" s="47">
        <v>2</v>
      </c>
      <c r="G36" s="15"/>
      <c r="K36" s="15"/>
      <c r="O36" s="15"/>
      <c r="P36" s="15"/>
    </row>
    <row r="37" spans="1:16" x14ac:dyDescent="0.25">
      <c r="A37" s="46" t="s">
        <v>83</v>
      </c>
      <c r="B37" s="46" t="s">
        <v>159</v>
      </c>
      <c r="C37" s="47">
        <v>3</v>
      </c>
      <c r="G37" s="15"/>
      <c r="K37" s="15"/>
      <c r="O37" s="15"/>
      <c r="P37" s="15"/>
    </row>
    <row r="38" spans="1:16" x14ac:dyDescent="0.25">
      <c r="A38" s="46" t="s">
        <v>83</v>
      </c>
      <c r="B38" s="46" t="s">
        <v>160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83</v>
      </c>
      <c r="B39" s="46" t="s">
        <v>161</v>
      </c>
      <c r="C39" s="47">
        <v>3</v>
      </c>
      <c r="G39" s="15"/>
      <c r="K39" s="15"/>
      <c r="O39" s="15"/>
      <c r="P39" s="15"/>
    </row>
    <row r="40" spans="1:16" x14ac:dyDescent="0.25">
      <c r="A40" s="46" t="s">
        <v>83</v>
      </c>
      <c r="B40" s="46" t="s">
        <v>162</v>
      </c>
      <c r="C40" s="47">
        <v>0</v>
      </c>
      <c r="G40" s="15"/>
      <c r="K40" s="15"/>
      <c r="O40" s="15"/>
      <c r="P40" s="15"/>
    </row>
    <row r="41" spans="1:16" x14ac:dyDescent="0.25">
      <c r="A41" s="46" t="s">
        <v>83</v>
      </c>
      <c r="B41" s="46" t="s">
        <v>163</v>
      </c>
      <c r="C41" s="47">
        <v>1</v>
      </c>
      <c r="G41" s="15"/>
      <c r="K41" s="15"/>
      <c r="O41" s="15"/>
      <c r="P41" s="15"/>
    </row>
    <row r="42" spans="1:16" x14ac:dyDescent="0.25">
      <c r="A42" s="46" t="s">
        <v>83</v>
      </c>
      <c r="B42" s="46" t="s">
        <v>164</v>
      </c>
      <c r="C42" s="47">
        <v>0</v>
      </c>
      <c r="G42" s="15"/>
      <c r="K42" s="15"/>
      <c r="O42" s="15"/>
      <c r="P42" s="15"/>
    </row>
    <row r="43" spans="1:16" x14ac:dyDescent="0.25">
      <c r="A43" s="46" t="s">
        <v>83</v>
      </c>
      <c r="B43" s="46" t="s">
        <v>165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83</v>
      </c>
      <c r="B44" s="46" t="s">
        <v>166</v>
      </c>
      <c r="C44" s="47">
        <v>1</v>
      </c>
      <c r="G44" s="15"/>
      <c r="K44" s="15"/>
      <c r="O44" s="15"/>
      <c r="P44" s="15"/>
    </row>
    <row r="45" spans="1:16" x14ac:dyDescent="0.25">
      <c r="A45" s="46" t="s">
        <v>83</v>
      </c>
      <c r="B45" s="46" t="s">
        <v>167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83</v>
      </c>
      <c r="B46" s="46" t="s">
        <v>168</v>
      </c>
      <c r="C46" s="47">
        <v>1.5</v>
      </c>
      <c r="G46" s="15"/>
      <c r="K46" s="15"/>
      <c r="O46" s="15"/>
      <c r="P46" s="15"/>
    </row>
    <row r="47" spans="1:16" x14ac:dyDescent="0.25">
      <c r="A47" s="46" t="s">
        <v>83</v>
      </c>
      <c r="B47" s="46" t="s">
        <v>169</v>
      </c>
      <c r="C47" s="47">
        <v>0</v>
      </c>
      <c r="G47" s="15"/>
      <c r="K47" s="15"/>
      <c r="O47" s="15"/>
      <c r="P47" s="15"/>
    </row>
    <row r="48" spans="1:16" x14ac:dyDescent="0.25">
      <c r="A48" s="46" t="s">
        <v>83</v>
      </c>
      <c r="B48" s="46" t="s">
        <v>170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83</v>
      </c>
      <c r="B49" s="46" t="s">
        <v>171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83</v>
      </c>
      <c r="B50" s="46" t="s">
        <v>172</v>
      </c>
      <c r="C50" s="47">
        <v>5</v>
      </c>
      <c r="G50" s="15"/>
      <c r="K50" s="15"/>
      <c r="O50" s="15"/>
      <c r="P50" s="15"/>
    </row>
    <row r="51" spans="1:16" x14ac:dyDescent="0.25">
      <c r="A51" s="46" t="s">
        <v>83</v>
      </c>
      <c r="B51" s="46" t="s">
        <v>173</v>
      </c>
      <c r="C51" s="47">
        <v>1</v>
      </c>
      <c r="G51" s="15"/>
      <c r="K51" s="15"/>
      <c r="O51" s="15"/>
      <c r="P51" s="15"/>
    </row>
    <row r="52" spans="1:16" x14ac:dyDescent="0.25">
      <c r="A52" s="46" t="s">
        <v>83</v>
      </c>
      <c r="B52" s="46" t="s">
        <v>174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83</v>
      </c>
      <c r="B53" s="46" t="s">
        <v>175</v>
      </c>
      <c r="C53" s="47">
        <v>2</v>
      </c>
      <c r="G53" s="15"/>
      <c r="K53" s="15"/>
      <c r="O53" s="15"/>
      <c r="P53" s="15"/>
    </row>
    <row r="54" spans="1:16" x14ac:dyDescent="0.25">
      <c r="A54" s="46" t="s">
        <v>83</v>
      </c>
      <c r="B54" s="46" t="s">
        <v>176</v>
      </c>
      <c r="C54" s="47">
        <v>0</v>
      </c>
      <c r="G54" s="15"/>
      <c r="K54" s="15"/>
      <c r="O54" s="15"/>
      <c r="P54" s="15"/>
    </row>
    <row r="55" spans="1:16" x14ac:dyDescent="0.25">
      <c r="A55" s="46" t="s">
        <v>83</v>
      </c>
      <c r="B55" s="46" t="s">
        <v>177</v>
      </c>
      <c r="C55" s="47">
        <v>1</v>
      </c>
      <c r="G55" s="15"/>
      <c r="K55" s="15"/>
      <c r="O55" s="15"/>
      <c r="P55" s="15"/>
    </row>
    <row r="56" spans="1:16" x14ac:dyDescent="0.25">
      <c r="A56" s="46" t="s">
        <v>83</v>
      </c>
      <c r="B56" s="46" t="s">
        <v>178</v>
      </c>
      <c r="C56" s="47">
        <v>1.5</v>
      </c>
      <c r="G56" s="15"/>
      <c r="K56" s="15"/>
      <c r="O56" s="15"/>
      <c r="P56" s="15"/>
    </row>
    <row r="57" spans="1:16" x14ac:dyDescent="0.25">
      <c r="A57" s="46" t="s">
        <v>83</v>
      </c>
      <c r="B57" s="46" t="s">
        <v>179</v>
      </c>
      <c r="C57" s="47">
        <v>2</v>
      </c>
      <c r="G57" s="15"/>
      <c r="K57" s="15"/>
      <c r="O57" s="15"/>
      <c r="P57" s="15"/>
    </row>
    <row r="58" spans="1:16" x14ac:dyDescent="0.25">
      <c r="A58" s="46" t="s">
        <v>83</v>
      </c>
      <c r="B58" s="46" t="s">
        <v>180</v>
      </c>
      <c r="C58" s="47">
        <v>13</v>
      </c>
      <c r="G58" s="15"/>
      <c r="K58" s="15"/>
      <c r="O58" s="15"/>
      <c r="P58" s="15"/>
    </row>
    <row r="59" spans="1:16" x14ac:dyDescent="0.25">
      <c r="A59" s="46" t="s">
        <v>83</v>
      </c>
      <c r="B59" s="46" t="s">
        <v>181</v>
      </c>
      <c r="C59" s="47">
        <v>2</v>
      </c>
      <c r="G59" s="15"/>
      <c r="K59" s="15"/>
      <c r="O59" s="15"/>
      <c r="P59" s="15"/>
    </row>
    <row r="60" spans="1:16" x14ac:dyDescent="0.25">
      <c r="A60" s="46" t="s">
        <v>83</v>
      </c>
      <c r="B60" s="46" t="s">
        <v>182</v>
      </c>
      <c r="C60" s="47">
        <v>1</v>
      </c>
      <c r="G60" s="15"/>
      <c r="K60" s="15"/>
      <c r="O60" s="15"/>
      <c r="P60" s="15"/>
    </row>
    <row r="61" spans="1:16" x14ac:dyDescent="0.25">
      <c r="A61" s="46" t="s">
        <v>83</v>
      </c>
      <c r="B61" s="46" t="s">
        <v>183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83</v>
      </c>
      <c r="B62" s="46" t="s">
        <v>184</v>
      </c>
      <c r="C62" s="47">
        <v>2</v>
      </c>
      <c r="G62" s="15"/>
      <c r="K62" s="15"/>
      <c r="O62" s="15"/>
      <c r="P62" s="15"/>
    </row>
    <row r="63" spans="1:16" x14ac:dyDescent="0.25">
      <c r="A63" s="46" t="s">
        <v>83</v>
      </c>
      <c r="B63" s="46" t="s">
        <v>185</v>
      </c>
      <c r="C63" s="47">
        <v>3</v>
      </c>
      <c r="G63" s="15"/>
      <c r="K63" s="15"/>
      <c r="O63" s="15"/>
      <c r="P63" s="15"/>
    </row>
    <row r="64" spans="1:16" x14ac:dyDescent="0.25">
      <c r="C64" s="15"/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4"/>
  <sheetViews>
    <sheetView workbookViewId="0"/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96" t="s">
        <v>186</v>
      </c>
      <c r="B1" s="97"/>
      <c r="C1" s="97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98" t="s">
        <v>187</v>
      </c>
      <c r="F3" s="95"/>
    </row>
    <row r="4" spans="1:6" x14ac:dyDescent="0.25">
      <c r="A4" s="62">
        <v>46024</v>
      </c>
      <c r="B4" s="63">
        <v>33.229999999999997</v>
      </c>
      <c r="C4" s="4" t="s">
        <v>188</v>
      </c>
      <c r="E4" s="99">
        <f>SUM(B4:B61)</f>
        <v>6889.9399999999987</v>
      </c>
      <c r="F4" s="100"/>
    </row>
    <row r="5" spans="1:6" x14ac:dyDescent="0.25">
      <c r="A5" s="62">
        <v>46025</v>
      </c>
      <c r="B5" s="63">
        <v>73.69</v>
      </c>
      <c r="C5" s="4" t="s">
        <v>189</v>
      </c>
      <c r="E5" s="101"/>
      <c r="F5" s="102"/>
    </row>
    <row r="6" spans="1:6" x14ac:dyDescent="0.25">
      <c r="A6" s="62">
        <v>46024</v>
      </c>
      <c r="B6" s="63">
        <v>114.12</v>
      </c>
      <c r="C6" s="4" t="s">
        <v>190</v>
      </c>
    </row>
    <row r="7" spans="1:6" x14ac:dyDescent="0.25">
      <c r="A7" s="62">
        <v>46028</v>
      </c>
      <c r="B7" s="63">
        <v>16</v>
      </c>
      <c r="C7" s="9" t="s">
        <v>191</v>
      </c>
    </row>
    <row r="8" spans="1:6" x14ac:dyDescent="0.25">
      <c r="A8" s="62">
        <v>46028</v>
      </c>
      <c r="B8" s="63">
        <v>2.9</v>
      </c>
      <c r="C8" s="9" t="s">
        <v>192</v>
      </c>
    </row>
    <row r="9" spans="1:6" x14ac:dyDescent="0.25">
      <c r="A9" s="62">
        <v>46028</v>
      </c>
      <c r="B9" s="63">
        <v>39.54</v>
      </c>
      <c r="C9" s="9" t="s">
        <v>193</v>
      </c>
    </row>
    <row r="10" spans="1:6" x14ac:dyDescent="0.25">
      <c r="A10" s="62">
        <v>46028</v>
      </c>
      <c r="B10" s="63">
        <v>131.13</v>
      </c>
      <c r="C10" s="4" t="s">
        <v>194</v>
      </c>
    </row>
    <row r="11" spans="1:6" x14ac:dyDescent="0.25">
      <c r="A11" s="62">
        <v>46028</v>
      </c>
      <c r="B11" s="63">
        <v>319.54000000000002</v>
      </c>
      <c r="C11" s="4" t="s">
        <v>195</v>
      </c>
    </row>
    <row r="12" spans="1:6" x14ac:dyDescent="0.25">
      <c r="A12" s="62">
        <v>45664</v>
      </c>
      <c r="B12" s="63">
        <v>103.15</v>
      </c>
      <c r="C12" s="4" t="s">
        <v>194</v>
      </c>
    </row>
    <row r="13" spans="1:6" x14ac:dyDescent="0.25">
      <c r="A13" s="62">
        <v>46030</v>
      </c>
      <c r="B13" s="63">
        <v>243.48</v>
      </c>
      <c r="C13" s="4" t="s">
        <v>194</v>
      </c>
    </row>
    <row r="14" spans="1:6" x14ac:dyDescent="0.25">
      <c r="A14" s="62">
        <v>46357</v>
      </c>
      <c r="B14" s="63">
        <v>99.27</v>
      </c>
      <c r="C14" s="4" t="s">
        <v>194</v>
      </c>
    </row>
    <row r="15" spans="1:6" x14ac:dyDescent="0.25">
      <c r="A15" s="64">
        <v>46034</v>
      </c>
      <c r="B15" s="63">
        <v>99.34</v>
      </c>
      <c r="C15" s="4" t="s">
        <v>196</v>
      </c>
    </row>
    <row r="16" spans="1:6" x14ac:dyDescent="0.25">
      <c r="A16" s="64">
        <v>46035</v>
      </c>
      <c r="B16" s="63">
        <v>330.64</v>
      </c>
      <c r="C16" s="4" t="s">
        <v>196</v>
      </c>
    </row>
    <row r="17" spans="1:4" x14ac:dyDescent="0.25">
      <c r="A17" s="64">
        <v>46036</v>
      </c>
      <c r="B17" s="63">
        <v>164.15</v>
      </c>
      <c r="C17" s="4" t="s">
        <v>197</v>
      </c>
    </row>
    <row r="18" spans="1:4" x14ac:dyDescent="0.25">
      <c r="A18" s="64">
        <v>44940</v>
      </c>
      <c r="B18" s="63">
        <v>60</v>
      </c>
      <c r="C18" s="4" t="s">
        <v>198</v>
      </c>
    </row>
    <row r="19" spans="1:4" x14ac:dyDescent="0.25">
      <c r="A19" s="62">
        <v>46036</v>
      </c>
      <c r="B19" s="63">
        <v>178.9</v>
      </c>
      <c r="C19" s="4" t="s">
        <v>199</v>
      </c>
    </row>
    <row r="20" spans="1:4" x14ac:dyDescent="0.25">
      <c r="A20" s="62">
        <v>46036</v>
      </c>
      <c r="B20" s="63">
        <v>111.1</v>
      </c>
      <c r="C20" s="4" t="s">
        <v>200</v>
      </c>
    </row>
    <row r="21" spans="1:4" x14ac:dyDescent="0.25">
      <c r="A21" s="62">
        <v>46036</v>
      </c>
      <c r="B21" s="63">
        <v>337.73</v>
      </c>
      <c r="C21" s="4" t="s">
        <v>200</v>
      </c>
    </row>
    <row r="22" spans="1:4" x14ac:dyDescent="0.25">
      <c r="A22" s="62">
        <v>46037</v>
      </c>
      <c r="B22" s="63">
        <v>38</v>
      </c>
      <c r="C22" s="4" t="s">
        <v>201</v>
      </c>
    </row>
    <row r="23" spans="1:4" x14ac:dyDescent="0.25">
      <c r="A23" s="65">
        <v>46038</v>
      </c>
      <c r="B23" s="63">
        <v>192.5</v>
      </c>
      <c r="C23" s="4" t="s">
        <v>202</v>
      </c>
    </row>
    <row r="24" spans="1:4" x14ac:dyDescent="0.25">
      <c r="A24" s="62">
        <v>46038</v>
      </c>
      <c r="B24" s="63">
        <v>181</v>
      </c>
      <c r="C24" s="4" t="s">
        <v>203</v>
      </c>
    </row>
    <row r="25" spans="1:4" x14ac:dyDescent="0.25">
      <c r="A25" s="62">
        <v>46039</v>
      </c>
      <c r="B25" s="63">
        <v>30</v>
      </c>
      <c r="C25" s="4" t="s">
        <v>198</v>
      </c>
    </row>
    <row r="26" spans="1:4" x14ac:dyDescent="0.25">
      <c r="A26" s="62">
        <v>46041</v>
      </c>
      <c r="B26" s="63">
        <v>8</v>
      </c>
      <c r="C26" s="4" t="s">
        <v>204</v>
      </c>
    </row>
    <row r="27" spans="1:4" x14ac:dyDescent="0.25">
      <c r="A27" s="62">
        <v>46045</v>
      </c>
      <c r="B27" s="63">
        <v>202.96</v>
      </c>
      <c r="C27" s="4" t="s">
        <v>205</v>
      </c>
    </row>
    <row r="28" spans="1:4" x14ac:dyDescent="0.25">
      <c r="A28" s="62">
        <v>46048</v>
      </c>
      <c r="B28" s="63">
        <v>51.46</v>
      </c>
      <c r="C28" s="4" t="s">
        <v>206</v>
      </c>
    </row>
    <row r="29" spans="1:4" x14ac:dyDescent="0.25">
      <c r="A29" s="62">
        <v>46048</v>
      </c>
      <c r="B29" s="63">
        <v>205.73</v>
      </c>
      <c r="C29" s="4" t="s">
        <v>207</v>
      </c>
    </row>
    <row r="30" spans="1:4" x14ac:dyDescent="0.25">
      <c r="A30" s="62">
        <v>46050</v>
      </c>
      <c r="B30" s="63">
        <v>120.41</v>
      </c>
      <c r="C30" s="4" t="s">
        <v>194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208</v>
      </c>
      <c r="D32" s="21" t="s">
        <v>209</v>
      </c>
    </row>
    <row r="33" spans="1:3" x14ac:dyDescent="0.25">
      <c r="A33" s="62">
        <v>46052</v>
      </c>
      <c r="B33" s="63">
        <v>91.53</v>
      </c>
      <c r="C33" s="4" t="s">
        <v>194</v>
      </c>
    </row>
    <row r="34" spans="1:3" x14ac:dyDescent="0.25">
      <c r="A34" s="62">
        <v>46055</v>
      </c>
      <c r="B34" s="63">
        <v>328.49</v>
      </c>
      <c r="C34" s="4" t="s">
        <v>196</v>
      </c>
    </row>
    <row r="35" spans="1:3" x14ac:dyDescent="0.25">
      <c r="A35" s="62">
        <v>46058</v>
      </c>
      <c r="B35" s="63"/>
      <c r="C35" s="66" t="s">
        <v>210</v>
      </c>
    </row>
    <row r="36" spans="1:3" x14ac:dyDescent="0.25">
      <c r="A36" s="62">
        <v>46058</v>
      </c>
      <c r="B36" s="63">
        <v>90.65</v>
      </c>
      <c r="C36" s="4" t="s">
        <v>211</v>
      </c>
    </row>
    <row r="37" spans="1:3" x14ac:dyDescent="0.25">
      <c r="A37" s="62">
        <v>46058</v>
      </c>
      <c r="B37" s="63">
        <v>12.98</v>
      </c>
      <c r="C37" s="4" t="s">
        <v>212</v>
      </c>
    </row>
    <row r="38" spans="1:3" x14ac:dyDescent="0.25">
      <c r="A38" s="62">
        <v>46059</v>
      </c>
      <c r="B38" s="63">
        <v>184.42</v>
      </c>
      <c r="C38" s="4" t="s">
        <v>213</v>
      </c>
    </row>
    <row r="39" spans="1:3" x14ac:dyDescent="0.25">
      <c r="A39" s="62">
        <v>46062</v>
      </c>
      <c r="B39" s="63">
        <v>76.5</v>
      </c>
      <c r="C39" s="4" t="s">
        <v>214</v>
      </c>
    </row>
    <row r="40" spans="1:3" x14ac:dyDescent="0.25">
      <c r="A40" s="62">
        <v>46063</v>
      </c>
      <c r="B40" s="63">
        <v>229.81</v>
      </c>
      <c r="C40" s="4" t="s">
        <v>196</v>
      </c>
    </row>
    <row r="41" spans="1:3" x14ac:dyDescent="0.25">
      <c r="A41" s="62">
        <v>46064</v>
      </c>
      <c r="B41" s="63">
        <v>54.9</v>
      </c>
      <c r="C41" s="4" t="s">
        <v>215</v>
      </c>
    </row>
    <row r="42" spans="1:3" x14ac:dyDescent="0.25">
      <c r="A42" s="62">
        <v>46064</v>
      </c>
      <c r="B42" s="63">
        <v>47</v>
      </c>
      <c r="C42" s="4" t="s">
        <v>216</v>
      </c>
    </row>
    <row r="43" spans="1:3" x14ac:dyDescent="0.25">
      <c r="A43" s="62">
        <v>46065</v>
      </c>
      <c r="B43" s="63">
        <v>30</v>
      </c>
      <c r="C43" s="4" t="s">
        <v>217</v>
      </c>
    </row>
    <row r="44" spans="1:3" x14ac:dyDescent="0.25">
      <c r="A44" s="62">
        <v>46065</v>
      </c>
      <c r="B44" s="63">
        <v>58.6</v>
      </c>
      <c r="C44" s="4" t="s">
        <v>218</v>
      </c>
    </row>
    <row r="45" spans="1:3" x14ac:dyDescent="0.25">
      <c r="A45" s="62">
        <v>46065</v>
      </c>
      <c r="B45" s="63">
        <v>44</v>
      </c>
      <c r="C45" s="4" t="s">
        <v>219</v>
      </c>
    </row>
    <row r="46" spans="1:3" x14ac:dyDescent="0.25">
      <c r="A46" s="62">
        <v>46069</v>
      </c>
      <c r="B46" s="63">
        <v>285.75</v>
      </c>
      <c r="C46" s="4" t="s">
        <v>220</v>
      </c>
    </row>
    <row r="47" spans="1:3" x14ac:dyDescent="0.25">
      <c r="A47" s="64">
        <v>46069</v>
      </c>
      <c r="B47" s="63"/>
      <c r="C47" s="4" t="s">
        <v>216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221</v>
      </c>
    </row>
    <row r="50" spans="1:6" x14ac:dyDescent="0.25">
      <c r="A50" s="64">
        <v>46073</v>
      </c>
      <c r="B50" s="63">
        <v>60.23</v>
      </c>
      <c r="C50" s="4" t="s">
        <v>222</v>
      </c>
    </row>
    <row r="51" spans="1:6" x14ac:dyDescent="0.25">
      <c r="A51" s="64">
        <v>46074</v>
      </c>
      <c r="B51" s="63">
        <v>29.9</v>
      </c>
      <c r="C51" s="4" t="s">
        <v>223</v>
      </c>
      <c r="F51" s="21"/>
    </row>
    <row r="52" spans="1:6" x14ac:dyDescent="0.25">
      <c r="A52" s="64">
        <v>46075</v>
      </c>
      <c r="B52" s="63">
        <v>219.45</v>
      </c>
      <c r="C52" s="4" t="s">
        <v>224</v>
      </c>
    </row>
    <row r="53" spans="1:6" x14ac:dyDescent="0.25">
      <c r="A53" s="64">
        <v>46076</v>
      </c>
      <c r="B53" s="63">
        <v>329.42</v>
      </c>
      <c r="C53" s="4" t="s">
        <v>225</v>
      </c>
    </row>
    <row r="54" spans="1:6" x14ac:dyDescent="0.25">
      <c r="A54" s="64">
        <v>46076</v>
      </c>
      <c r="B54" s="63">
        <v>166.5</v>
      </c>
      <c r="C54" s="4" t="s">
        <v>226</v>
      </c>
    </row>
    <row r="55" spans="1:6" x14ac:dyDescent="0.25">
      <c r="A55" s="64">
        <v>46079</v>
      </c>
      <c r="B55" s="63">
        <v>201.84</v>
      </c>
      <c r="C55" s="4" t="s">
        <v>196</v>
      </c>
    </row>
    <row r="56" spans="1:6" x14ac:dyDescent="0.25">
      <c r="A56" s="64">
        <v>46079</v>
      </c>
      <c r="B56" s="63">
        <v>81.86</v>
      </c>
      <c r="C56" s="4" t="s">
        <v>227</v>
      </c>
    </row>
    <row r="57" spans="1:6" x14ac:dyDescent="0.25">
      <c r="A57" s="64">
        <v>46086</v>
      </c>
      <c r="B57" s="63">
        <v>115.03</v>
      </c>
      <c r="C57" s="4" t="s">
        <v>196</v>
      </c>
    </row>
    <row r="58" spans="1:6" x14ac:dyDescent="0.25">
      <c r="A58" s="64">
        <v>46086</v>
      </c>
      <c r="B58" s="63">
        <v>41.76</v>
      </c>
      <c r="C58" s="4" t="s">
        <v>228</v>
      </c>
    </row>
    <row r="59" spans="1:6" x14ac:dyDescent="0.25">
      <c r="A59" s="64">
        <v>46090</v>
      </c>
      <c r="B59" s="63">
        <v>138.25</v>
      </c>
      <c r="C59" s="4" t="s">
        <v>194</v>
      </c>
    </row>
    <row r="60" spans="1:6" x14ac:dyDescent="0.25">
      <c r="A60" s="64">
        <v>46090</v>
      </c>
      <c r="B60" s="63">
        <v>116.33</v>
      </c>
      <c r="C60" s="4" t="s">
        <v>229</v>
      </c>
    </row>
    <row r="61" spans="1:6" x14ac:dyDescent="0.25">
      <c r="A61" s="64">
        <v>46097</v>
      </c>
      <c r="B61" s="63">
        <v>100.95</v>
      </c>
      <c r="C61" s="4" t="s">
        <v>194</v>
      </c>
    </row>
    <row r="62" spans="1:6" x14ac:dyDescent="0.25">
      <c r="A62" s="64">
        <v>46098</v>
      </c>
      <c r="B62" s="63">
        <v>16.899999999999999</v>
      </c>
      <c r="C62" s="4" t="s">
        <v>230</v>
      </c>
    </row>
    <row r="63" spans="1:6" x14ac:dyDescent="0.25">
      <c r="A63" s="64">
        <v>46098</v>
      </c>
      <c r="B63" s="63">
        <v>85.65</v>
      </c>
      <c r="C63" s="4" t="s">
        <v>231</v>
      </c>
    </row>
    <row r="64" spans="1:6" x14ac:dyDescent="0.25">
      <c r="A64" s="64">
        <v>46098</v>
      </c>
      <c r="B64" s="63">
        <v>39.979999999999997</v>
      </c>
      <c r="C64" s="4" t="s">
        <v>232</v>
      </c>
    </row>
    <row r="65" spans="1:4" x14ac:dyDescent="0.25">
      <c r="A65" s="64">
        <v>46098</v>
      </c>
      <c r="B65" s="63">
        <v>98.15</v>
      </c>
      <c r="C65" s="4" t="s">
        <v>233</v>
      </c>
    </row>
    <row r="66" spans="1:4" x14ac:dyDescent="0.25">
      <c r="A66" s="64">
        <v>46098</v>
      </c>
      <c r="B66" s="63">
        <v>16.5</v>
      </c>
      <c r="C66" s="4" t="s">
        <v>234</v>
      </c>
    </row>
    <row r="67" spans="1:4" x14ac:dyDescent="0.25">
      <c r="A67" s="64">
        <v>46100</v>
      </c>
      <c r="B67" s="63">
        <v>252.01</v>
      </c>
      <c r="C67" s="4" t="s">
        <v>194</v>
      </c>
    </row>
    <row r="68" spans="1:4" x14ac:dyDescent="0.25">
      <c r="A68" s="64">
        <v>46101</v>
      </c>
      <c r="B68" s="63">
        <v>75.86</v>
      </c>
      <c r="C68" s="4" t="s">
        <v>235</v>
      </c>
    </row>
    <row r="69" spans="1:4" x14ac:dyDescent="0.25">
      <c r="A69" s="64">
        <v>46105</v>
      </c>
      <c r="B69" s="63"/>
      <c r="C69" s="4" t="s">
        <v>236</v>
      </c>
      <c r="D69" s="21" t="s">
        <v>237</v>
      </c>
    </row>
    <row r="70" spans="1:4" x14ac:dyDescent="0.25">
      <c r="A70" s="64">
        <v>46107</v>
      </c>
      <c r="B70" s="63">
        <v>68.37</v>
      </c>
      <c r="C70" s="4" t="s">
        <v>238</v>
      </c>
    </row>
    <row r="71" spans="1:4" x14ac:dyDescent="0.25">
      <c r="A71" s="64">
        <v>46108</v>
      </c>
      <c r="B71" s="63"/>
      <c r="C71" s="4" t="s">
        <v>239</v>
      </c>
    </row>
    <row r="72" spans="1:4" x14ac:dyDescent="0.25">
      <c r="A72" s="64">
        <v>46109</v>
      </c>
      <c r="B72" s="63"/>
      <c r="C72" s="4" t="s">
        <v>240</v>
      </c>
    </row>
    <row r="73" spans="1:4" x14ac:dyDescent="0.25">
      <c r="A73" s="64">
        <v>46111</v>
      </c>
      <c r="B73" s="63">
        <v>145.56</v>
      </c>
      <c r="C73" s="4" t="s">
        <v>200</v>
      </c>
    </row>
    <row r="74" spans="1:4" x14ac:dyDescent="0.25">
      <c r="A74" s="64">
        <v>46111</v>
      </c>
      <c r="B74" s="63">
        <v>134.30000000000001</v>
      </c>
      <c r="C74" s="4" t="s">
        <v>194</v>
      </c>
    </row>
    <row r="75" spans="1:4" x14ac:dyDescent="0.25">
      <c r="A75" s="64">
        <v>46111</v>
      </c>
      <c r="B75" s="63">
        <v>125.15</v>
      </c>
      <c r="C75" s="4" t="s">
        <v>194</v>
      </c>
    </row>
    <row r="76" spans="1:4" x14ac:dyDescent="0.25">
      <c r="A76" s="64">
        <v>46118</v>
      </c>
      <c r="B76" s="63">
        <v>126.72</v>
      </c>
      <c r="C76" s="4" t="s">
        <v>241</v>
      </c>
    </row>
    <row r="77" spans="1:4" x14ac:dyDescent="0.25">
      <c r="A77" s="64">
        <v>46119</v>
      </c>
      <c r="B77" s="63">
        <v>172.75</v>
      </c>
      <c r="C77" s="4" t="s">
        <v>242</v>
      </c>
    </row>
    <row r="78" spans="1:4" x14ac:dyDescent="0.25">
      <c r="A78" s="64">
        <v>46121</v>
      </c>
      <c r="B78" s="63">
        <v>50</v>
      </c>
      <c r="C78" s="4" t="s">
        <v>243</v>
      </c>
    </row>
    <row r="79" spans="1:4" x14ac:dyDescent="0.25">
      <c r="A79" s="64">
        <v>46121</v>
      </c>
      <c r="B79" s="63">
        <v>31.96</v>
      </c>
      <c r="C79" s="4" t="s">
        <v>244</v>
      </c>
    </row>
    <row r="80" spans="1:4" x14ac:dyDescent="0.25">
      <c r="A80" s="64">
        <v>46121</v>
      </c>
      <c r="B80" s="63">
        <v>7.02</v>
      </c>
      <c r="C80" s="4" t="s">
        <v>244</v>
      </c>
    </row>
    <row r="81" spans="1:3" x14ac:dyDescent="0.25">
      <c r="A81" s="64">
        <v>46125</v>
      </c>
      <c r="B81" s="63">
        <v>126.99</v>
      </c>
      <c r="C81" s="4" t="s">
        <v>245</v>
      </c>
    </row>
    <row r="82" spans="1:3" x14ac:dyDescent="0.25">
      <c r="A82" s="64">
        <v>46125</v>
      </c>
      <c r="B82" s="63">
        <v>419.74</v>
      </c>
      <c r="C82" s="4" t="s">
        <v>194</v>
      </c>
    </row>
    <row r="83" spans="1:3" x14ac:dyDescent="0.25">
      <c r="A83" s="64">
        <v>46127</v>
      </c>
      <c r="B83" s="63"/>
      <c r="C83" s="4" t="s">
        <v>246</v>
      </c>
    </row>
    <row r="84" spans="1:3" x14ac:dyDescent="0.25">
      <c r="A84" s="64">
        <v>46128</v>
      </c>
      <c r="B84" s="63">
        <v>49.96</v>
      </c>
      <c r="C84" s="4" t="s">
        <v>247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196</v>
      </c>
    </row>
    <row r="87" spans="1:3" x14ac:dyDescent="0.25">
      <c r="A87" s="64">
        <v>46135</v>
      </c>
      <c r="B87" s="63">
        <v>55.8</v>
      </c>
      <c r="C87" s="4" t="s">
        <v>248</v>
      </c>
    </row>
    <row r="88" spans="1:3" x14ac:dyDescent="0.25">
      <c r="A88" s="64">
        <v>46135</v>
      </c>
      <c r="B88" s="63">
        <v>17</v>
      </c>
      <c r="C88" s="4" t="s">
        <v>249</v>
      </c>
    </row>
    <row r="89" spans="1:3" x14ac:dyDescent="0.25">
      <c r="A89" s="64">
        <v>46140</v>
      </c>
      <c r="B89" s="63">
        <v>20</v>
      </c>
      <c r="C89" s="4" t="s">
        <v>250</v>
      </c>
    </row>
    <row r="90" spans="1:3" x14ac:dyDescent="0.25">
      <c r="A90" s="64">
        <v>46140</v>
      </c>
      <c r="B90" s="63">
        <v>17.5</v>
      </c>
      <c r="C90" s="4" t="s">
        <v>251</v>
      </c>
    </row>
    <row r="91" spans="1:3" x14ac:dyDescent="0.25">
      <c r="A91" s="64">
        <v>46142</v>
      </c>
      <c r="B91" s="63">
        <v>55</v>
      </c>
      <c r="C91" s="4" t="s">
        <v>252</v>
      </c>
    </row>
    <row r="92" spans="1:3" x14ac:dyDescent="0.25">
      <c r="A92" s="64"/>
      <c r="B92" s="63" t="s">
        <v>78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253</v>
      </c>
    </row>
    <row r="94" spans="1:3" x14ac:dyDescent="0.25">
      <c r="A94" s="64">
        <v>46146</v>
      </c>
      <c r="B94" s="63">
        <v>253.4</v>
      </c>
      <c r="C94" s="4" t="s">
        <v>254</v>
      </c>
    </row>
    <row r="95" spans="1:3" x14ac:dyDescent="0.25">
      <c r="A95" s="64">
        <v>46147</v>
      </c>
      <c r="B95" s="63">
        <v>338.75</v>
      </c>
      <c r="C95" s="4" t="s">
        <v>255</v>
      </c>
    </row>
    <row r="96" spans="1:3" x14ac:dyDescent="0.25">
      <c r="A96" s="64">
        <v>46147</v>
      </c>
      <c r="B96" s="63">
        <v>49.86</v>
      </c>
      <c r="C96" s="4" t="s">
        <v>256</v>
      </c>
    </row>
    <row r="97" spans="1:3" x14ac:dyDescent="0.25">
      <c r="A97" s="64">
        <v>46148</v>
      </c>
      <c r="B97" s="63">
        <v>24</v>
      </c>
      <c r="C97" s="4" t="s">
        <v>257</v>
      </c>
    </row>
    <row r="98" spans="1:3" x14ac:dyDescent="0.25">
      <c r="A98" s="64">
        <v>46150</v>
      </c>
      <c r="B98" s="63"/>
      <c r="C98" s="4" t="s">
        <v>258</v>
      </c>
    </row>
    <row r="99" spans="1:3" x14ac:dyDescent="0.25">
      <c r="A99" s="64">
        <v>46154</v>
      </c>
      <c r="B99" s="63">
        <v>260.77999999999997</v>
      </c>
      <c r="C99" s="4" t="s">
        <v>259</v>
      </c>
    </row>
    <row r="100" spans="1:3" x14ac:dyDescent="0.25">
      <c r="A100" s="64">
        <v>46155</v>
      </c>
      <c r="B100" s="63">
        <v>51.96</v>
      </c>
      <c r="C100" s="4" t="s">
        <v>260</v>
      </c>
    </row>
    <row r="101" spans="1:3" x14ac:dyDescent="0.25">
      <c r="A101" s="64">
        <v>46161</v>
      </c>
      <c r="B101" s="63">
        <v>83</v>
      </c>
      <c r="C101" s="4" t="s">
        <v>261</v>
      </c>
    </row>
    <row r="102" spans="1:3" x14ac:dyDescent="0.25">
      <c r="A102" s="64">
        <v>46162</v>
      </c>
      <c r="B102" s="63">
        <v>249.95</v>
      </c>
      <c r="C102" s="4" t="s">
        <v>259</v>
      </c>
    </row>
    <row r="103" spans="1:3" x14ac:dyDescent="0.25">
      <c r="A103" s="64">
        <v>46168</v>
      </c>
      <c r="B103" s="63">
        <v>17.5</v>
      </c>
      <c r="C103" s="4" t="s">
        <v>262</v>
      </c>
    </row>
    <row r="104" spans="1:3" x14ac:dyDescent="0.25">
      <c r="A104" s="64">
        <v>46172</v>
      </c>
      <c r="B104" s="63">
        <v>50</v>
      </c>
      <c r="C104" s="4" t="s">
        <v>263</v>
      </c>
    </row>
    <row r="105" spans="1:3" x14ac:dyDescent="0.25">
      <c r="A105" s="64"/>
      <c r="B105" s="63"/>
      <c r="C105" s="4" t="s">
        <v>204</v>
      </c>
    </row>
    <row r="106" spans="1:3" x14ac:dyDescent="0.25">
      <c r="A106" s="64">
        <v>46175</v>
      </c>
      <c r="B106" s="63">
        <v>10.35</v>
      </c>
      <c r="C106" s="4" t="s">
        <v>255</v>
      </c>
    </row>
    <row r="107" spans="1:3" x14ac:dyDescent="0.25">
      <c r="A107" s="64">
        <v>46176</v>
      </c>
      <c r="B107" s="63">
        <v>187.34</v>
      </c>
      <c r="C107" s="4" t="s">
        <v>194</v>
      </c>
    </row>
    <row r="108" spans="1:3" x14ac:dyDescent="0.25">
      <c r="A108" s="64">
        <v>46176</v>
      </c>
      <c r="B108" s="63">
        <v>2</v>
      </c>
      <c r="C108" s="4" t="s">
        <v>264</v>
      </c>
    </row>
    <row r="109" spans="1:3" x14ac:dyDescent="0.25">
      <c r="A109" s="64">
        <v>46178</v>
      </c>
      <c r="B109" s="63">
        <v>25</v>
      </c>
      <c r="C109" s="4" t="s">
        <v>265</v>
      </c>
    </row>
    <row r="110" spans="1:3" x14ac:dyDescent="0.25">
      <c r="A110" s="64">
        <v>46181</v>
      </c>
      <c r="B110" s="63">
        <v>88</v>
      </c>
      <c r="C110" s="4" t="s">
        <v>266</v>
      </c>
    </row>
    <row r="111" spans="1:3" x14ac:dyDescent="0.25">
      <c r="A111" s="64">
        <v>46181</v>
      </c>
      <c r="B111" s="63">
        <v>10.36</v>
      </c>
      <c r="C111" s="4" t="s">
        <v>267</v>
      </c>
    </row>
    <row r="112" spans="1:3" x14ac:dyDescent="0.25">
      <c r="A112" s="64">
        <v>46181</v>
      </c>
      <c r="B112" s="63">
        <v>13.8</v>
      </c>
      <c r="C112" s="4" t="s">
        <v>268</v>
      </c>
    </row>
    <row r="113" spans="1:3" x14ac:dyDescent="0.25">
      <c r="A113" s="64">
        <v>46182</v>
      </c>
      <c r="B113" s="63">
        <v>179.73</v>
      </c>
      <c r="C113" s="4" t="s">
        <v>194</v>
      </c>
    </row>
    <row r="114" spans="1:3" x14ac:dyDescent="0.25">
      <c r="A114" s="64">
        <v>46183</v>
      </c>
      <c r="B114" s="63">
        <v>25.9</v>
      </c>
      <c r="C114" s="4" t="s">
        <v>269</v>
      </c>
    </row>
    <row r="115" spans="1:3" x14ac:dyDescent="0.25">
      <c r="A115" s="64">
        <v>46184</v>
      </c>
      <c r="B115" s="63"/>
      <c r="C115" s="4" t="s">
        <v>270</v>
      </c>
    </row>
    <row r="116" spans="1:3" x14ac:dyDescent="0.25">
      <c r="A116" s="64">
        <v>46188</v>
      </c>
      <c r="B116" s="63">
        <v>122.78</v>
      </c>
      <c r="C116" s="4" t="s">
        <v>235</v>
      </c>
    </row>
    <row r="117" spans="1:3" x14ac:dyDescent="0.25">
      <c r="A117" s="64">
        <v>46198</v>
      </c>
      <c r="B117" s="63"/>
      <c r="C117" s="4" t="s">
        <v>271</v>
      </c>
    </row>
    <row r="118" spans="1:3" x14ac:dyDescent="0.25">
      <c r="A118" s="64">
        <v>46198</v>
      </c>
      <c r="B118" s="63"/>
      <c r="C118" s="4" t="s">
        <v>272</v>
      </c>
    </row>
    <row r="119" spans="1:3" x14ac:dyDescent="0.25">
      <c r="A119" s="64">
        <v>46198</v>
      </c>
      <c r="B119" s="63">
        <v>274.66000000000003</v>
      </c>
      <c r="C119" s="4" t="s">
        <v>273</v>
      </c>
    </row>
    <row r="120" spans="1:3" x14ac:dyDescent="0.25">
      <c r="A120" s="64">
        <v>46199</v>
      </c>
      <c r="B120" s="63">
        <v>103.3</v>
      </c>
      <c r="C120" s="4" t="s">
        <v>194</v>
      </c>
    </row>
    <row r="121" spans="1:3" x14ac:dyDescent="0.25">
      <c r="A121" s="64">
        <v>46202</v>
      </c>
      <c r="B121" s="63">
        <v>62.9</v>
      </c>
      <c r="C121" s="4" t="s">
        <v>274</v>
      </c>
    </row>
    <row r="122" spans="1:3" x14ac:dyDescent="0.25">
      <c r="A122" s="64">
        <v>46203</v>
      </c>
      <c r="B122" s="63">
        <v>99.26</v>
      </c>
      <c r="C122" s="4" t="s">
        <v>255</v>
      </c>
    </row>
    <row r="123" spans="1:3" x14ac:dyDescent="0.25">
      <c r="A123" s="64">
        <v>46204</v>
      </c>
      <c r="B123" s="63">
        <v>215.11</v>
      </c>
      <c r="C123" s="4" t="s">
        <v>196</v>
      </c>
    </row>
    <row r="124" spans="1:3" x14ac:dyDescent="0.25">
      <c r="A124" s="64">
        <v>46204</v>
      </c>
      <c r="B124" s="63">
        <v>3.29</v>
      </c>
      <c r="C124" s="4" t="s">
        <v>194</v>
      </c>
    </row>
    <row r="125" spans="1:3" x14ac:dyDescent="0.25">
      <c r="A125" s="64">
        <v>46204</v>
      </c>
      <c r="B125" s="63">
        <v>51.7</v>
      </c>
      <c r="C125" s="4" t="s">
        <v>193</v>
      </c>
    </row>
    <row r="126" spans="1:3" x14ac:dyDescent="0.25">
      <c r="A126" s="64">
        <v>46206</v>
      </c>
      <c r="B126" s="63">
        <v>49.9</v>
      </c>
      <c r="C126" s="4" t="s">
        <v>275</v>
      </c>
    </row>
    <row r="127" spans="1:3" x14ac:dyDescent="0.25">
      <c r="A127" s="64">
        <v>46207</v>
      </c>
      <c r="B127" s="63">
        <v>100.23</v>
      </c>
      <c r="C127" s="4" t="s">
        <v>276</v>
      </c>
    </row>
    <row r="128" spans="1:3" x14ac:dyDescent="0.25">
      <c r="A128" s="64"/>
      <c r="B128" s="63"/>
      <c r="C128" s="4"/>
    </row>
    <row r="129" spans="1:3" x14ac:dyDescent="0.25">
      <c r="A129" s="64"/>
      <c r="B129" s="63"/>
      <c r="C129" s="4"/>
    </row>
    <row r="130" spans="1:3" x14ac:dyDescent="0.25">
      <c r="A130" s="64"/>
      <c r="B130" s="63"/>
      <c r="C130" s="4"/>
    </row>
    <row r="131" spans="1:3" x14ac:dyDescent="0.25">
      <c r="A131" s="64"/>
      <c r="B131" s="63"/>
      <c r="C131" s="4"/>
    </row>
    <row r="132" spans="1:3" x14ac:dyDescent="0.25">
      <c r="A132" s="64"/>
      <c r="B132" s="63"/>
      <c r="C132" s="4"/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X50"/>
  <sheetViews>
    <sheetView workbookViewId="0"/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</cols>
  <sheetData>
    <row r="1" spans="2:24" ht="15" customHeight="1" x14ac:dyDescent="0.3">
      <c r="B1" s="103" t="s">
        <v>277</v>
      </c>
      <c r="C1" s="94"/>
      <c r="D1" s="95"/>
      <c r="F1" s="103" t="s">
        <v>278</v>
      </c>
      <c r="G1" s="94"/>
      <c r="H1" s="95"/>
      <c r="J1" s="103" t="s">
        <v>279</v>
      </c>
      <c r="K1" s="94"/>
      <c r="L1" s="95"/>
      <c r="N1" s="103" t="s">
        <v>280</v>
      </c>
      <c r="O1" s="94"/>
      <c r="P1" s="95"/>
      <c r="R1" s="103" t="s">
        <v>281</v>
      </c>
      <c r="S1" s="94"/>
      <c r="T1" s="95"/>
      <c r="V1" s="103" t="s">
        <v>282</v>
      </c>
      <c r="W1" s="94"/>
      <c r="X1" s="95"/>
    </row>
    <row r="2" spans="2:24" x14ac:dyDescent="0.25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</row>
    <row r="3" spans="2:24" x14ac:dyDescent="0.25">
      <c r="B3" s="69">
        <v>5</v>
      </c>
      <c r="C3" s="69" t="s">
        <v>42</v>
      </c>
      <c r="D3" s="70">
        <v>100</v>
      </c>
      <c r="F3" s="69">
        <v>2</v>
      </c>
      <c r="G3" s="69" t="s">
        <v>283</v>
      </c>
      <c r="H3" s="70">
        <v>484.05</v>
      </c>
      <c r="J3" s="5">
        <v>5</v>
      </c>
      <c r="K3" s="5" t="s">
        <v>44</v>
      </c>
      <c r="L3" s="63">
        <v>1029.4000000000001</v>
      </c>
      <c r="N3" s="5">
        <v>2</v>
      </c>
      <c r="O3" s="5" t="s">
        <v>284</v>
      </c>
      <c r="P3" s="63">
        <v>477.68</v>
      </c>
      <c r="R3" s="5">
        <v>6</v>
      </c>
      <c r="S3" s="5" t="s">
        <v>285</v>
      </c>
      <c r="T3" s="63">
        <v>177.86</v>
      </c>
      <c r="V3" s="5">
        <v>4</v>
      </c>
      <c r="W3" s="5" t="s">
        <v>286</v>
      </c>
      <c r="X3" s="63">
        <v>1561.18</v>
      </c>
    </row>
    <row r="4" spans="2:24" x14ac:dyDescent="0.25">
      <c r="B4" s="69">
        <v>9</v>
      </c>
      <c r="C4" s="69" t="s">
        <v>287</v>
      </c>
      <c r="D4" s="70">
        <v>1736.83</v>
      </c>
      <c r="F4" s="69">
        <v>7</v>
      </c>
      <c r="G4" s="69" t="s">
        <v>288</v>
      </c>
      <c r="H4" s="70">
        <v>537</v>
      </c>
      <c r="J4" s="5">
        <v>5</v>
      </c>
      <c r="K4" s="5" t="s">
        <v>44</v>
      </c>
      <c r="L4" s="63">
        <v>156.69999999999999</v>
      </c>
      <c r="N4" s="5">
        <v>2</v>
      </c>
      <c r="O4" s="5" t="s">
        <v>283</v>
      </c>
      <c r="P4" s="63">
        <v>182.54</v>
      </c>
      <c r="R4" s="5">
        <v>6</v>
      </c>
      <c r="S4" s="5" t="s">
        <v>285</v>
      </c>
      <c r="T4" s="63">
        <v>321.07</v>
      </c>
      <c r="V4" s="5">
        <v>18</v>
      </c>
      <c r="W4" s="5" t="s">
        <v>286</v>
      </c>
      <c r="X4" s="63">
        <v>1561.64</v>
      </c>
    </row>
    <row r="5" spans="2:24" x14ac:dyDescent="0.25">
      <c r="B5" s="69">
        <v>10</v>
      </c>
      <c r="C5" s="69" t="s">
        <v>283</v>
      </c>
      <c r="D5" s="70">
        <v>400.39</v>
      </c>
      <c r="F5" s="69">
        <v>7</v>
      </c>
      <c r="G5" s="69" t="s">
        <v>44</v>
      </c>
      <c r="H5" s="70">
        <v>1074</v>
      </c>
      <c r="J5" s="5">
        <v>5</v>
      </c>
      <c r="K5" s="5" t="s">
        <v>44</v>
      </c>
      <c r="L5" s="63">
        <v>564.36</v>
      </c>
      <c r="N5" s="5">
        <v>3</v>
      </c>
      <c r="O5" s="5" t="s">
        <v>289</v>
      </c>
      <c r="P5" s="63">
        <v>115.8</v>
      </c>
      <c r="R5" s="5">
        <v>1</v>
      </c>
      <c r="S5" s="5" t="s">
        <v>289</v>
      </c>
      <c r="T5" s="63">
        <v>115.8</v>
      </c>
      <c r="V5" s="5"/>
      <c r="W5" s="5"/>
      <c r="X5" s="63"/>
    </row>
    <row r="6" spans="2:24" x14ac:dyDescent="0.25">
      <c r="B6" s="69">
        <v>10</v>
      </c>
      <c r="C6" s="69" t="s">
        <v>290</v>
      </c>
      <c r="D6" s="70">
        <v>400.39</v>
      </c>
      <c r="F6" s="69">
        <v>7</v>
      </c>
      <c r="G6" s="69" t="s">
        <v>44</v>
      </c>
      <c r="H6" s="70">
        <v>1708.78</v>
      </c>
      <c r="J6" s="5">
        <v>7</v>
      </c>
      <c r="K6" s="5" t="s">
        <v>283</v>
      </c>
      <c r="L6" s="63">
        <v>600.69000000000005</v>
      </c>
      <c r="N6" s="5">
        <v>6</v>
      </c>
      <c r="O6" s="5" t="s">
        <v>288</v>
      </c>
      <c r="P6" s="63">
        <v>571.9</v>
      </c>
      <c r="R6" s="5">
        <v>14</v>
      </c>
      <c r="S6" s="5" t="s">
        <v>283</v>
      </c>
      <c r="T6" s="63">
        <v>217.35</v>
      </c>
      <c r="V6" s="5"/>
      <c r="W6" s="5"/>
      <c r="X6" s="63"/>
    </row>
    <row r="7" spans="2:24" x14ac:dyDescent="0.25">
      <c r="B7" s="69">
        <v>10</v>
      </c>
      <c r="C7" s="69" t="s">
        <v>291</v>
      </c>
      <c r="D7" s="70">
        <v>432.89</v>
      </c>
      <c r="F7" s="69">
        <v>7</v>
      </c>
      <c r="G7" s="69" t="s">
        <v>283</v>
      </c>
      <c r="H7" s="70">
        <v>399.72</v>
      </c>
      <c r="J7" s="5">
        <v>11</v>
      </c>
      <c r="K7" s="5" t="s">
        <v>292</v>
      </c>
      <c r="L7" s="63">
        <v>1022.53</v>
      </c>
      <c r="N7" s="5">
        <v>8</v>
      </c>
      <c r="O7" s="5" t="s">
        <v>293</v>
      </c>
      <c r="P7" s="63">
        <v>1486.49</v>
      </c>
      <c r="R7" s="5">
        <v>14</v>
      </c>
      <c r="S7" s="5" t="s">
        <v>283</v>
      </c>
      <c r="T7" s="63">
        <v>379.7</v>
      </c>
      <c r="V7" s="5"/>
      <c r="W7" s="5"/>
      <c r="X7" s="63"/>
    </row>
    <row r="8" spans="2:24" x14ac:dyDescent="0.25">
      <c r="B8" s="69">
        <v>15</v>
      </c>
      <c r="C8" s="69" t="s">
        <v>294</v>
      </c>
      <c r="D8" s="70">
        <v>202.8</v>
      </c>
      <c r="F8" s="5">
        <v>8</v>
      </c>
      <c r="G8" s="5" t="s">
        <v>289</v>
      </c>
      <c r="H8" s="63">
        <v>755</v>
      </c>
      <c r="J8" s="5">
        <v>11</v>
      </c>
      <c r="K8" s="5" t="s">
        <v>293</v>
      </c>
      <c r="L8" s="63">
        <v>1734.28</v>
      </c>
      <c r="N8" s="5">
        <v>8</v>
      </c>
      <c r="O8" s="5" t="s">
        <v>285</v>
      </c>
      <c r="P8" s="63">
        <v>772.73</v>
      </c>
      <c r="R8" s="5">
        <v>7</v>
      </c>
      <c r="S8" s="5" t="s">
        <v>284</v>
      </c>
      <c r="T8" s="63">
        <v>529.5</v>
      </c>
      <c r="V8" s="5"/>
      <c r="W8" s="5"/>
      <c r="X8" s="63"/>
    </row>
    <row r="9" spans="2:24" x14ac:dyDescent="0.25">
      <c r="B9" s="69">
        <v>17</v>
      </c>
      <c r="C9" s="69" t="s">
        <v>295</v>
      </c>
      <c r="D9" s="70">
        <v>883.32</v>
      </c>
      <c r="F9" s="5">
        <v>11</v>
      </c>
      <c r="G9" s="5" t="s">
        <v>295</v>
      </c>
      <c r="H9" s="63">
        <v>1022.5</v>
      </c>
      <c r="J9" s="5">
        <v>11</v>
      </c>
      <c r="K9" s="5" t="s">
        <v>285</v>
      </c>
      <c r="L9" s="63">
        <v>211.23</v>
      </c>
      <c r="N9" s="5">
        <v>8</v>
      </c>
      <c r="O9" s="5" t="s">
        <v>285</v>
      </c>
      <c r="P9" s="63">
        <v>444.67</v>
      </c>
      <c r="R9" s="5">
        <v>21</v>
      </c>
      <c r="S9" s="5" t="s">
        <v>286</v>
      </c>
      <c r="T9" s="63">
        <v>1561.18</v>
      </c>
      <c r="V9" s="5"/>
      <c r="W9" s="5"/>
      <c r="X9" s="63"/>
    </row>
    <row r="10" spans="2:24" x14ac:dyDescent="0.25">
      <c r="B10" s="69">
        <v>17</v>
      </c>
      <c r="C10" s="69" t="s">
        <v>44</v>
      </c>
      <c r="D10" s="70">
        <v>2521.7399999999998</v>
      </c>
      <c r="F10" s="5">
        <v>13</v>
      </c>
      <c r="G10" s="5" t="s">
        <v>296</v>
      </c>
      <c r="H10" s="63">
        <v>850.5</v>
      </c>
      <c r="J10" s="5">
        <v>11</v>
      </c>
      <c r="K10" s="5" t="s">
        <v>285</v>
      </c>
      <c r="L10" s="63">
        <v>66.73</v>
      </c>
      <c r="N10" s="5">
        <v>9</v>
      </c>
      <c r="O10" s="5" t="s">
        <v>283</v>
      </c>
      <c r="P10" s="63">
        <v>182.55</v>
      </c>
      <c r="R10" s="5"/>
      <c r="S10" s="5"/>
      <c r="T10" s="63"/>
      <c r="V10" s="5"/>
      <c r="W10" s="5"/>
      <c r="X10" s="63"/>
    </row>
    <row r="11" spans="2:24" x14ac:dyDescent="0.25">
      <c r="B11" s="69">
        <v>18</v>
      </c>
      <c r="C11" s="69" t="s">
        <v>289</v>
      </c>
      <c r="D11" s="70">
        <v>650</v>
      </c>
      <c r="F11" s="5">
        <v>13</v>
      </c>
      <c r="G11" s="5" t="s">
        <v>292</v>
      </c>
      <c r="H11" s="63">
        <v>5052.07</v>
      </c>
      <c r="J11" s="5">
        <v>12</v>
      </c>
      <c r="K11" s="5" t="s">
        <v>44</v>
      </c>
      <c r="L11" s="63">
        <v>156.69999999999999</v>
      </c>
      <c r="N11" s="5">
        <v>9</v>
      </c>
      <c r="O11" s="5" t="s">
        <v>284</v>
      </c>
      <c r="P11" s="63">
        <v>578</v>
      </c>
      <c r="R11" s="5"/>
      <c r="S11" s="5"/>
      <c r="T11" s="63"/>
      <c r="V11" s="5"/>
      <c r="W11" s="5"/>
      <c r="X11" s="63"/>
    </row>
    <row r="12" spans="2:24" x14ac:dyDescent="0.25">
      <c r="B12" s="69">
        <v>18</v>
      </c>
      <c r="C12" s="69" t="s">
        <v>297</v>
      </c>
      <c r="D12" s="70">
        <v>278</v>
      </c>
      <c r="F12" s="5">
        <v>14</v>
      </c>
      <c r="G12" s="5" t="s">
        <v>44</v>
      </c>
      <c r="H12" s="63">
        <v>1708.19</v>
      </c>
      <c r="J12" s="5">
        <v>12</v>
      </c>
      <c r="K12" s="5" t="s">
        <v>44</v>
      </c>
      <c r="L12" s="63">
        <v>564.37</v>
      </c>
      <c r="N12" s="5">
        <v>9</v>
      </c>
      <c r="O12" s="5" t="s">
        <v>284</v>
      </c>
      <c r="P12" s="63">
        <v>1084.28</v>
      </c>
      <c r="R12" s="5"/>
      <c r="S12" s="5"/>
      <c r="T12" s="63"/>
      <c r="V12" s="5"/>
      <c r="W12" s="5"/>
      <c r="X12" s="63"/>
    </row>
    <row r="13" spans="2:24" x14ac:dyDescent="0.25">
      <c r="B13" s="69">
        <v>20</v>
      </c>
      <c r="C13" s="69" t="s">
        <v>298</v>
      </c>
      <c r="D13" s="70">
        <v>1769.9</v>
      </c>
      <c r="F13" s="5">
        <v>15</v>
      </c>
      <c r="G13" s="5" t="s">
        <v>283</v>
      </c>
      <c r="H13" s="63">
        <v>255.67</v>
      </c>
      <c r="J13" s="5">
        <v>12</v>
      </c>
      <c r="K13" s="5" t="s">
        <v>283</v>
      </c>
      <c r="L13" s="63">
        <v>1977.87</v>
      </c>
      <c r="N13" s="5">
        <v>10</v>
      </c>
      <c r="O13" s="71" t="s">
        <v>299</v>
      </c>
      <c r="P13" s="63">
        <v>1085.93</v>
      </c>
      <c r="R13" s="5"/>
      <c r="S13" s="5"/>
      <c r="T13" s="63"/>
      <c r="V13" s="5"/>
      <c r="W13" s="5"/>
      <c r="X13" s="63"/>
    </row>
    <row r="14" spans="2:24" x14ac:dyDescent="0.25">
      <c r="B14" s="69">
        <v>21</v>
      </c>
      <c r="C14" s="69" t="s">
        <v>300</v>
      </c>
      <c r="D14" s="70">
        <v>329.39</v>
      </c>
      <c r="F14" s="5">
        <v>20</v>
      </c>
      <c r="G14" s="5" t="s">
        <v>300</v>
      </c>
      <c r="H14" s="63">
        <v>329.39</v>
      </c>
      <c r="J14" s="5">
        <v>14</v>
      </c>
      <c r="K14" s="5" t="s">
        <v>301</v>
      </c>
      <c r="L14" s="63">
        <v>1132.95</v>
      </c>
      <c r="N14" s="5">
        <v>15</v>
      </c>
      <c r="O14" s="5" t="s">
        <v>283</v>
      </c>
      <c r="P14" s="63">
        <v>231.55</v>
      </c>
      <c r="R14" s="5"/>
      <c r="S14" s="5"/>
      <c r="T14" s="63"/>
      <c r="V14" s="5"/>
      <c r="W14" s="5"/>
      <c r="X14" s="63"/>
    </row>
    <row r="15" spans="2:24" x14ac:dyDescent="0.25">
      <c r="B15" s="69">
        <v>20</v>
      </c>
      <c r="C15" s="69" t="s">
        <v>302</v>
      </c>
      <c r="D15" s="70">
        <v>724.51</v>
      </c>
      <c r="F15" s="5">
        <v>20</v>
      </c>
      <c r="G15" s="5" t="s">
        <v>44</v>
      </c>
      <c r="H15" s="63">
        <v>278.93</v>
      </c>
      <c r="J15" s="5">
        <v>14</v>
      </c>
      <c r="K15" s="5" t="s">
        <v>32</v>
      </c>
      <c r="L15" s="63">
        <v>254.8</v>
      </c>
      <c r="N15" s="5">
        <v>16</v>
      </c>
      <c r="O15" s="5" t="s">
        <v>284</v>
      </c>
      <c r="P15" s="63">
        <v>578</v>
      </c>
      <c r="R15" s="5"/>
      <c r="S15" s="5"/>
      <c r="T15" s="63"/>
      <c r="V15" s="5"/>
      <c r="W15" s="5"/>
      <c r="X15" s="63"/>
    </row>
    <row r="16" spans="2:24" x14ac:dyDescent="0.25">
      <c r="B16" s="69">
        <v>23</v>
      </c>
      <c r="C16" s="69" t="s">
        <v>286</v>
      </c>
      <c r="D16" s="70">
        <v>1737.35</v>
      </c>
      <c r="F16" s="5">
        <v>21</v>
      </c>
      <c r="G16" s="5" t="s">
        <v>44</v>
      </c>
      <c r="H16" s="63">
        <v>1708.19</v>
      </c>
      <c r="J16" s="5">
        <v>14</v>
      </c>
      <c r="K16" s="5" t="s">
        <v>303</v>
      </c>
      <c r="L16" s="63">
        <v>697.1</v>
      </c>
      <c r="N16" s="5">
        <v>16</v>
      </c>
      <c r="O16" s="5" t="s">
        <v>284</v>
      </c>
      <c r="P16" s="63">
        <v>1084.28</v>
      </c>
      <c r="R16" s="5"/>
      <c r="S16" s="5"/>
      <c r="T16" s="63"/>
      <c r="V16" s="5"/>
      <c r="W16" s="5"/>
      <c r="X16" s="63"/>
    </row>
    <row r="17" spans="2:24" x14ac:dyDescent="0.25">
      <c r="B17" s="69">
        <v>25</v>
      </c>
      <c r="C17" s="69" t="s">
        <v>286</v>
      </c>
      <c r="D17" s="70">
        <v>1139.44</v>
      </c>
      <c r="F17" s="5">
        <v>25</v>
      </c>
      <c r="G17" s="5" t="s">
        <v>285</v>
      </c>
      <c r="H17" s="63">
        <v>422.46</v>
      </c>
      <c r="J17" s="5">
        <v>18</v>
      </c>
      <c r="K17" s="5" t="s">
        <v>44</v>
      </c>
      <c r="L17" s="63">
        <v>1812.07</v>
      </c>
      <c r="N17" s="5">
        <v>16</v>
      </c>
      <c r="O17" s="5" t="s">
        <v>285</v>
      </c>
      <c r="P17" s="63">
        <v>136.51</v>
      </c>
      <c r="R17" s="5"/>
      <c r="S17" s="5"/>
      <c r="T17" s="63"/>
      <c r="V17" s="5"/>
      <c r="W17" s="5"/>
      <c r="X17" s="63"/>
    </row>
    <row r="18" spans="2:24" x14ac:dyDescent="0.25">
      <c r="B18" s="69"/>
      <c r="C18" s="69"/>
      <c r="D18" s="70"/>
      <c r="F18" s="5">
        <v>25</v>
      </c>
      <c r="G18" s="5" t="s">
        <v>285</v>
      </c>
      <c r="H18" s="72">
        <v>1545.5</v>
      </c>
      <c r="J18" s="5">
        <v>20</v>
      </c>
      <c r="K18" s="5" t="s">
        <v>304</v>
      </c>
      <c r="L18" s="63">
        <v>115.8</v>
      </c>
      <c r="N18" s="5">
        <v>20</v>
      </c>
      <c r="O18" s="5" t="s">
        <v>288</v>
      </c>
      <c r="P18" s="63">
        <v>537</v>
      </c>
      <c r="R18" s="5"/>
      <c r="S18" s="5"/>
      <c r="T18" s="63"/>
      <c r="V18" s="5"/>
      <c r="W18" s="5"/>
      <c r="X18" s="63"/>
    </row>
    <row r="19" spans="2:24" x14ac:dyDescent="0.25">
      <c r="B19" s="69">
        <v>30</v>
      </c>
      <c r="C19" s="69" t="s">
        <v>305</v>
      </c>
      <c r="D19" s="70">
        <v>370</v>
      </c>
      <c r="F19" s="5">
        <v>27</v>
      </c>
      <c r="G19" s="5" t="s">
        <v>44</v>
      </c>
      <c r="H19" s="63">
        <v>278.93</v>
      </c>
      <c r="J19" s="5">
        <v>21</v>
      </c>
      <c r="K19" s="5" t="s">
        <v>303</v>
      </c>
      <c r="L19" s="63">
        <v>697.1</v>
      </c>
      <c r="N19" s="5">
        <v>22</v>
      </c>
      <c r="O19" s="5" t="s">
        <v>293</v>
      </c>
      <c r="P19" s="63">
        <v>1486.94</v>
      </c>
      <c r="R19" s="5"/>
      <c r="S19" s="5"/>
      <c r="T19" s="63"/>
      <c r="V19" s="5"/>
      <c r="W19" s="5"/>
      <c r="X19" s="63"/>
    </row>
    <row r="20" spans="2:24" x14ac:dyDescent="0.25">
      <c r="B20" s="69">
        <v>30</v>
      </c>
      <c r="C20" s="69" t="s">
        <v>306</v>
      </c>
      <c r="D20" s="70">
        <v>600</v>
      </c>
      <c r="F20" s="5">
        <v>27</v>
      </c>
      <c r="G20" s="5" t="s">
        <v>293</v>
      </c>
      <c r="H20" s="63">
        <v>1734.28</v>
      </c>
      <c r="J20" s="5">
        <v>25</v>
      </c>
      <c r="K20" s="5" t="s">
        <v>293</v>
      </c>
      <c r="L20" s="63">
        <v>1734.8</v>
      </c>
      <c r="N20" s="5">
        <v>22</v>
      </c>
      <c r="O20" s="5" t="s">
        <v>284</v>
      </c>
      <c r="P20" s="63">
        <v>428.45</v>
      </c>
      <c r="R20" s="5"/>
      <c r="S20" s="5"/>
      <c r="T20" s="63"/>
      <c r="V20" s="5"/>
      <c r="W20" s="5"/>
      <c r="X20" s="63"/>
    </row>
    <row r="21" spans="2:24" x14ac:dyDescent="0.25">
      <c r="B21" s="69">
        <v>30</v>
      </c>
      <c r="C21" s="69" t="s">
        <v>285</v>
      </c>
      <c r="D21" s="70">
        <v>211.23</v>
      </c>
      <c r="F21" s="5">
        <v>28</v>
      </c>
      <c r="G21" s="5" t="s">
        <v>44</v>
      </c>
      <c r="H21" s="63">
        <v>1029.4000000000001</v>
      </c>
      <c r="J21" s="5">
        <v>25</v>
      </c>
      <c r="K21" s="5" t="s">
        <v>44</v>
      </c>
      <c r="L21" s="63">
        <v>1812.08</v>
      </c>
      <c r="N21" s="5">
        <v>23</v>
      </c>
      <c r="O21" s="5" t="s">
        <v>285</v>
      </c>
      <c r="P21" s="63">
        <v>136.51</v>
      </c>
      <c r="R21" s="5"/>
      <c r="S21" s="5"/>
      <c r="T21" s="63"/>
      <c r="V21" s="5"/>
      <c r="W21" s="5"/>
      <c r="X21" s="63"/>
    </row>
    <row r="22" spans="2:24" x14ac:dyDescent="0.25">
      <c r="B22" s="69">
        <v>30</v>
      </c>
      <c r="C22" s="69" t="s">
        <v>285</v>
      </c>
      <c r="D22" s="70">
        <v>416.99</v>
      </c>
      <c r="F22" s="5">
        <v>28</v>
      </c>
      <c r="G22" s="5" t="s">
        <v>283</v>
      </c>
      <c r="H22" s="63">
        <v>326.10000000000002</v>
      </c>
      <c r="J22" s="5">
        <v>25</v>
      </c>
      <c r="K22" s="5" t="s">
        <v>285</v>
      </c>
      <c r="L22" s="63">
        <v>134.99</v>
      </c>
      <c r="N22" s="5">
        <v>29</v>
      </c>
      <c r="O22" s="5" t="s">
        <v>295</v>
      </c>
      <c r="P22" s="63">
        <v>4817.1899999999996</v>
      </c>
      <c r="R22" s="5"/>
      <c r="S22" s="5"/>
      <c r="T22" s="63"/>
      <c r="V22" s="5"/>
      <c r="W22" s="5"/>
      <c r="X22" s="63"/>
    </row>
    <row r="23" spans="2:24" x14ac:dyDescent="0.25">
      <c r="B23" s="69">
        <v>31</v>
      </c>
      <c r="C23" s="69" t="s">
        <v>284</v>
      </c>
      <c r="D23" s="70">
        <v>308.14999999999998</v>
      </c>
      <c r="F23" s="5">
        <v>29</v>
      </c>
      <c r="G23" s="5" t="s">
        <v>289</v>
      </c>
      <c r="H23" s="63">
        <v>1370</v>
      </c>
      <c r="J23" s="5">
        <v>25</v>
      </c>
      <c r="K23" s="5" t="s">
        <v>285</v>
      </c>
      <c r="L23" s="63">
        <v>222.34</v>
      </c>
      <c r="N23" s="5">
        <v>29</v>
      </c>
      <c r="O23" s="5" t="s">
        <v>284</v>
      </c>
      <c r="P23" s="63">
        <v>428.45</v>
      </c>
      <c r="R23" s="5"/>
      <c r="S23" s="5"/>
      <c r="T23" s="63"/>
      <c r="V23" s="5"/>
      <c r="W23" s="5"/>
      <c r="X23" s="63"/>
    </row>
    <row r="24" spans="2:24" x14ac:dyDescent="0.25">
      <c r="B24" s="69">
        <v>31</v>
      </c>
      <c r="C24" s="69" t="s">
        <v>284</v>
      </c>
      <c r="D24" s="70">
        <v>2664</v>
      </c>
      <c r="F24" s="5">
        <v>30</v>
      </c>
      <c r="G24" s="5" t="s">
        <v>298</v>
      </c>
      <c r="H24" s="63">
        <v>389.48</v>
      </c>
      <c r="J24" s="5">
        <v>25</v>
      </c>
      <c r="K24" s="5" t="s">
        <v>293</v>
      </c>
      <c r="L24" s="63">
        <v>1486.49</v>
      </c>
      <c r="N24" s="5">
        <v>29</v>
      </c>
      <c r="O24" s="5" t="s">
        <v>301</v>
      </c>
      <c r="P24" s="63">
        <v>1443.71</v>
      </c>
      <c r="R24" s="5"/>
      <c r="S24" s="5"/>
      <c r="T24" s="63"/>
      <c r="V24" s="5"/>
      <c r="W24" s="5"/>
      <c r="X24" s="63"/>
    </row>
    <row r="25" spans="2:24" x14ac:dyDescent="0.25">
      <c r="B25" s="69">
        <v>20</v>
      </c>
      <c r="C25" s="69" t="s">
        <v>307</v>
      </c>
      <c r="D25" s="70">
        <v>767.67</v>
      </c>
      <c r="F25" s="5">
        <v>30</v>
      </c>
      <c r="G25" s="5" t="s">
        <v>292</v>
      </c>
      <c r="H25" s="63">
        <v>4817.04</v>
      </c>
      <c r="J25" s="5">
        <v>26</v>
      </c>
      <c r="K25" s="5" t="s">
        <v>44</v>
      </c>
      <c r="L25" s="63">
        <v>477.68</v>
      </c>
      <c r="N25" s="5">
        <v>30</v>
      </c>
      <c r="O25" s="5" t="s">
        <v>285</v>
      </c>
      <c r="P25" s="63">
        <v>136.51</v>
      </c>
      <c r="R25" s="5"/>
      <c r="S25" s="5"/>
      <c r="T25" s="63"/>
      <c r="V25" s="5"/>
      <c r="W25" s="5"/>
      <c r="X25" s="63"/>
    </row>
    <row r="26" spans="2:24" x14ac:dyDescent="0.25">
      <c r="B26" s="69">
        <v>20</v>
      </c>
      <c r="C26" s="69" t="s">
        <v>308</v>
      </c>
      <c r="D26" s="70">
        <v>7323.66</v>
      </c>
      <c r="F26" s="5"/>
      <c r="G26" s="5"/>
      <c r="H26" s="63"/>
      <c r="J26" s="5">
        <v>26</v>
      </c>
      <c r="K26" s="5" t="s">
        <v>283</v>
      </c>
      <c r="L26" s="63">
        <v>182.54</v>
      </c>
      <c r="N26" s="5">
        <v>30</v>
      </c>
      <c r="O26" s="5" t="s">
        <v>283</v>
      </c>
      <c r="P26" s="63">
        <v>225.27</v>
      </c>
      <c r="R26" s="5"/>
      <c r="S26" s="5"/>
      <c r="T26" s="63"/>
      <c r="V26" s="5"/>
      <c r="W26" s="5"/>
      <c r="X26" s="63"/>
    </row>
    <row r="27" spans="2:24" x14ac:dyDescent="0.25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</row>
    <row r="28" spans="2:24" x14ac:dyDescent="0.25">
      <c r="B28" s="5"/>
      <c r="C28" s="5"/>
      <c r="D28" s="63"/>
      <c r="F28" s="5"/>
      <c r="G28" s="5"/>
      <c r="H28" s="63"/>
      <c r="J28" s="5">
        <v>28</v>
      </c>
      <c r="K28" s="5" t="s">
        <v>303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</row>
    <row r="29" spans="2:24" x14ac:dyDescent="0.25">
      <c r="B29" s="5"/>
      <c r="C29" s="5"/>
      <c r="D29" s="63"/>
      <c r="F29" s="5"/>
      <c r="G29" s="5"/>
      <c r="H29" s="63"/>
      <c r="J29" s="5">
        <v>30</v>
      </c>
      <c r="K29" s="5" t="s">
        <v>292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</row>
    <row r="30" spans="2:24" x14ac:dyDescent="0.25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</row>
    <row r="31" spans="2:24" x14ac:dyDescent="0.25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</row>
    <row r="32" spans="2:24" x14ac:dyDescent="0.25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</row>
    <row r="33" spans="2:24" x14ac:dyDescent="0.25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</row>
    <row r="34" spans="2:24" x14ac:dyDescent="0.25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</row>
    <row r="35" spans="2:24" x14ac:dyDescent="0.25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</row>
    <row r="36" spans="2:24" x14ac:dyDescent="0.25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</row>
    <row r="37" spans="2:24" x14ac:dyDescent="0.25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</row>
    <row r="38" spans="2:24" x14ac:dyDescent="0.25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</row>
    <row r="39" spans="2:24" x14ac:dyDescent="0.25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</row>
    <row r="40" spans="2:24" x14ac:dyDescent="0.25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</row>
    <row r="41" spans="2:24" x14ac:dyDescent="0.25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</row>
    <row r="42" spans="2:24" x14ac:dyDescent="0.25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</row>
    <row r="43" spans="2:24" x14ac:dyDescent="0.25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</row>
    <row r="44" spans="2:24" x14ac:dyDescent="0.25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</row>
    <row r="45" spans="2:24" x14ac:dyDescent="0.25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</row>
    <row r="46" spans="2:24" x14ac:dyDescent="0.25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</row>
    <row r="47" spans="2:24" x14ac:dyDescent="0.25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</row>
    <row r="48" spans="2:24" x14ac:dyDescent="0.25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</row>
    <row r="49" spans="2:24" x14ac:dyDescent="0.25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</row>
    <row r="50" spans="2:24" x14ac:dyDescent="0.25">
      <c r="B50" s="104" t="s">
        <v>70</v>
      </c>
      <c r="C50" s="95"/>
      <c r="D50" s="63">
        <f>SUM(D3:D49)</f>
        <v>25968.649999999998</v>
      </c>
      <c r="F50" s="104" t="s">
        <v>70</v>
      </c>
      <c r="G50" s="95"/>
      <c r="H50" s="63">
        <f>SUM(H3:H49)</f>
        <v>28077.18</v>
      </c>
      <c r="J50" s="104" t="s">
        <v>70</v>
      </c>
      <c r="K50" s="95"/>
      <c r="L50" s="63">
        <f>SUM(L3:L49)</f>
        <v>25759.74</v>
      </c>
      <c r="N50" s="104" t="s">
        <v>70</v>
      </c>
      <c r="O50" s="95"/>
      <c r="P50" s="63">
        <f>SUM(P3:P49)</f>
        <v>18652.939999999999</v>
      </c>
      <c r="R50" s="104" t="s">
        <v>70</v>
      </c>
      <c r="S50" s="95"/>
      <c r="T50" s="63">
        <f>SUM(T3:T49)</f>
        <v>3302.46</v>
      </c>
      <c r="V50" s="104" t="s">
        <v>70</v>
      </c>
      <c r="W50" s="95"/>
      <c r="X50" s="63">
        <f>SUM(X3:X49)</f>
        <v>3122.82</v>
      </c>
    </row>
  </sheetData>
  <autoFilter ref="N2:P26" xr:uid="{00000000-0009-0000-0000-000004000000}">
    <sortState xmlns:xlrd2="http://schemas.microsoft.com/office/spreadsheetml/2017/richdata2"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309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55</v>
      </c>
      <c r="K2" s="75">
        <v>7834</v>
      </c>
    </row>
    <row r="3" spans="1:11" x14ac:dyDescent="0.25">
      <c r="A3" s="74">
        <v>45962</v>
      </c>
      <c r="B3" s="4" t="s">
        <v>310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55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55</v>
      </c>
      <c r="K4" s="75">
        <v>8151</v>
      </c>
    </row>
    <row r="5" spans="1:11" x14ac:dyDescent="0.25">
      <c r="A5" s="74">
        <v>45963</v>
      </c>
      <c r="B5" s="4" t="s">
        <v>309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55</v>
      </c>
      <c r="K5" s="75">
        <v>11151</v>
      </c>
    </row>
    <row r="6" spans="1:11" x14ac:dyDescent="0.25">
      <c r="A6" s="74">
        <v>45963</v>
      </c>
      <c r="B6" s="4" t="s">
        <v>310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55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55</v>
      </c>
      <c r="K7" s="75">
        <v>11538</v>
      </c>
    </row>
    <row r="8" spans="1:11" x14ac:dyDescent="0.25">
      <c r="A8" s="74">
        <v>45963</v>
      </c>
      <c r="B8" s="4" t="s">
        <v>311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55</v>
      </c>
      <c r="K8" s="75">
        <v>10765.21</v>
      </c>
    </row>
    <row r="9" spans="1:11" x14ac:dyDescent="0.25">
      <c r="A9" s="74">
        <v>45964</v>
      </c>
      <c r="B9" s="4" t="s">
        <v>312</v>
      </c>
      <c r="C9" s="4" t="s">
        <v>12</v>
      </c>
      <c r="D9" s="4" t="s">
        <v>40</v>
      </c>
      <c r="E9" s="4" t="s">
        <v>14</v>
      </c>
      <c r="F9" s="4" t="s">
        <v>15</v>
      </c>
      <c r="G9" s="75">
        <v>1670</v>
      </c>
      <c r="H9" s="75"/>
      <c r="I9" s="4" t="s">
        <v>313</v>
      </c>
      <c r="J9" s="4" t="s">
        <v>55</v>
      </c>
      <c r="K9" s="75">
        <v>9095.2099999999991</v>
      </c>
    </row>
    <row r="10" spans="1:11" x14ac:dyDescent="0.25">
      <c r="A10" s="74">
        <v>45964</v>
      </c>
      <c r="B10" s="4" t="s">
        <v>314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55</v>
      </c>
      <c r="K10" s="75">
        <v>10803.21</v>
      </c>
    </row>
    <row r="11" spans="1:11" x14ac:dyDescent="0.25">
      <c r="A11" s="74">
        <v>45965</v>
      </c>
      <c r="B11" s="4" t="s">
        <v>315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55</v>
      </c>
      <c r="K11" s="75">
        <v>9850.0299999999988</v>
      </c>
    </row>
    <row r="12" spans="1:11" x14ac:dyDescent="0.25">
      <c r="A12" s="74">
        <v>45965</v>
      </c>
      <c r="B12" s="4" t="s">
        <v>316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55</v>
      </c>
      <c r="K12" s="75">
        <v>9827.909999999998</v>
      </c>
    </row>
    <row r="13" spans="1:11" x14ac:dyDescent="0.25">
      <c r="A13" s="74">
        <v>45965</v>
      </c>
      <c r="B13" s="4" t="s">
        <v>315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55</v>
      </c>
      <c r="K13" s="75">
        <v>8382.1399999999976</v>
      </c>
    </row>
    <row r="14" spans="1:11" x14ac:dyDescent="0.25">
      <c r="A14" s="74">
        <v>45965</v>
      </c>
      <c r="B14" s="4" t="s">
        <v>317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55</v>
      </c>
      <c r="K14" s="75">
        <v>7982.1399999999976</v>
      </c>
    </row>
    <row r="15" spans="1:11" x14ac:dyDescent="0.25">
      <c r="A15" s="74">
        <v>45965</v>
      </c>
      <c r="B15" s="4" t="s">
        <v>318</v>
      </c>
      <c r="C15" s="4" t="s">
        <v>12</v>
      </c>
      <c r="D15" s="4" t="s">
        <v>68</v>
      </c>
      <c r="E15" s="4" t="s">
        <v>17</v>
      </c>
      <c r="F15" s="4" t="s">
        <v>25</v>
      </c>
      <c r="G15" s="75">
        <v>3.5</v>
      </c>
      <c r="H15" s="75"/>
      <c r="I15" s="4" t="s">
        <v>319</v>
      </c>
      <c r="J15" s="4" t="s">
        <v>55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55</v>
      </c>
      <c r="K16" s="75">
        <v>7884.6399999999976</v>
      </c>
    </row>
    <row r="17" spans="1:11" x14ac:dyDescent="0.25">
      <c r="A17" s="74">
        <v>45965</v>
      </c>
      <c r="B17" s="4" t="s">
        <v>46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55</v>
      </c>
      <c r="K17" s="75">
        <v>7875.6399999999976</v>
      </c>
    </row>
    <row r="18" spans="1:11" x14ac:dyDescent="0.25">
      <c r="A18" s="76">
        <v>45965</v>
      </c>
      <c r="B18" s="4" t="s">
        <v>31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55</v>
      </c>
      <c r="K18" s="75">
        <v>9374.6399999999976</v>
      </c>
    </row>
    <row r="19" spans="1:11" x14ac:dyDescent="0.25">
      <c r="A19" s="74">
        <v>45965</v>
      </c>
      <c r="B19" s="4" t="s">
        <v>320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55</v>
      </c>
      <c r="K19" s="75">
        <v>9452.6399999999976</v>
      </c>
    </row>
    <row r="20" spans="1:11" x14ac:dyDescent="0.25">
      <c r="A20" s="74">
        <v>45601</v>
      </c>
      <c r="B20" s="4" t="s">
        <v>321</v>
      </c>
      <c r="C20" s="4" t="s">
        <v>12</v>
      </c>
      <c r="D20" s="4" t="s">
        <v>40</v>
      </c>
      <c r="E20" s="4" t="s">
        <v>17</v>
      </c>
      <c r="F20" s="4"/>
      <c r="G20" s="75">
        <v>100</v>
      </c>
      <c r="H20" s="75"/>
      <c r="I20" s="4"/>
      <c r="J20" s="4" t="s">
        <v>322</v>
      </c>
      <c r="K20" s="75">
        <v>9352.6399999999976</v>
      </c>
    </row>
    <row r="21" spans="1:11" x14ac:dyDescent="0.25">
      <c r="A21" s="74">
        <v>45966</v>
      </c>
      <c r="B21" s="4" t="s">
        <v>323</v>
      </c>
      <c r="C21" s="4" t="s">
        <v>12</v>
      </c>
      <c r="D21" s="4" t="s">
        <v>40</v>
      </c>
      <c r="E21" s="4" t="s">
        <v>17</v>
      </c>
      <c r="F21" s="4"/>
      <c r="G21" s="75">
        <v>9000</v>
      </c>
      <c r="H21" s="75"/>
      <c r="I21" s="4"/>
      <c r="J21" s="4" t="s">
        <v>55</v>
      </c>
      <c r="K21" s="75">
        <v>352.6399999999976</v>
      </c>
    </row>
    <row r="22" spans="1:11" x14ac:dyDescent="0.25">
      <c r="A22" s="74">
        <v>45966</v>
      </c>
      <c r="B22" s="4" t="s">
        <v>324</v>
      </c>
      <c r="C22" s="4" t="s">
        <v>12</v>
      </c>
      <c r="D22" s="4" t="s">
        <v>40</v>
      </c>
      <c r="E22" s="4" t="s">
        <v>17</v>
      </c>
      <c r="F22" s="4"/>
      <c r="G22" s="75">
        <v>90.85</v>
      </c>
      <c r="H22" s="75"/>
      <c r="I22" s="4"/>
      <c r="J22" s="4" t="s">
        <v>55</v>
      </c>
      <c r="K22" s="75">
        <v>261.78999999999758</v>
      </c>
    </row>
    <row r="23" spans="1:11" x14ac:dyDescent="0.25">
      <c r="A23" s="74">
        <v>45966</v>
      </c>
      <c r="B23" s="4" t="s">
        <v>325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55</v>
      </c>
      <c r="K23" s="75">
        <v>-16.21000000000242</v>
      </c>
    </row>
    <row r="24" spans="1:11" x14ac:dyDescent="0.25">
      <c r="A24" s="74">
        <v>45966</v>
      </c>
      <c r="B24" s="4" t="s">
        <v>326</v>
      </c>
      <c r="C24" s="4" t="s">
        <v>12</v>
      </c>
      <c r="D24" s="4" t="s">
        <v>65</v>
      </c>
      <c r="E24" s="4" t="s">
        <v>17</v>
      </c>
      <c r="F24" s="4" t="s">
        <v>25</v>
      </c>
      <c r="G24" s="75">
        <v>45</v>
      </c>
      <c r="H24" s="75"/>
      <c r="I24" s="4" t="s">
        <v>327</v>
      </c>
      <c r="J24" s="4" t="s">
        <v>55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55</v>
      </c>
      <c r="K25" s="75">
        <v>-155.2100000000024</v>
      </c>
    </row>
    <row r="26" spans="1:11" x14ac:dyDescent="0.25">
      <c r="A26" s="76">
        <v>45966</v>
      </c>
      <c r="B26" s="4" t="s">
        <v>328</v>
      </c>
      <c r="C26" s="4" t="s">
        <v>12</v>
      </c>
      <c r="D26" s="4" t="s">
        <v>329</v>
      </c>
      <c r="E26" s="4" t="s">
        <v>17</v>
      </c>
      <c r="F26" s="4"/>
      <c r="G26" s="75">
        <v>4478.1899999999996</v>
      </c>
      <c r="H26" s="75"/>
      <c r="I26" s="4" t="s">
        <v>330</v>
      </c>
      <c r="J26" s="4" t="s">
        <v>55</v>
      </c>
      <c r="K26" s="75">
        <v>-4633.4000000000024</v>
      </c>
    </row>
    <row r="27" spans="1:11" x14ac:dyDescent="0.25">
      <c r="A27" s="74">
        <v>45966</v>
      </c>
      <c r="B27" s="4" t="s">
        <v>306</v>
      </c>
      <c r="C27" s="4" t="s">
        <v>12</v>
      </c>
      <c r="D27" s="4" t="s">
        <v>69</v>
      </c>
      <c r="E27" s="4" t="s">
        <v>17</v>
      </c>
      <c r="F27" s="4"/>
      <c r="G27" s="75">
        <v>2000</v>
      </c>
      <c r="H27" s="75"/>
      <c r="I27" s="4" t="s">
        <v>331</v>
      </c>
      <c r="J27" s="4" t="s">
        <v>55</v>
      </c>
      <c r="K27" s="75">
        <v>-6633.4000000000024</v>
      </c>
    </row>
    <row r="28" spans="1:11" x14ac:dyDescent="0.25">
      <c r="A28" s="74">
        <v>45966</v>
      </c>
      <c r="B28" s="4" t="s">
        <v>46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55</v>
      </c>
      <c r="K28" s="75">
        <v>-6660.4000000000024</v>
      </c>
    </row>
    <row r="29" spans="1:11" x14ac:dyDescent="0.25">
      <c r="A29" s="76">
        <v>45966</v>
      </c>
      <c r="B29" s="4" t="s">
        <v>332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55</v>
      </c>
      <c r="K29" s="75">
        <v>-5435.4000000000024</v>
      </c>
    </row>
    <row r="30" spans="1:11" x14ac:dyDescent="0.25">
      <c r="A30" s="74">
        <v>45966</v>
      </c>
      <c r="B30" s="4" t="s">
        <v>333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55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55</v>
      </c>
      <c r="K31" s="75">
        <v>-5485.2000000000025</v>
      </c>
    </row>
    <row r="32" spans="1:11" x14ac:dyDescent="0.25">
      <c r="A32" s="74">
        <v>45967</v>
      </c>
      <c r="B32" s="4" t="s">
        <v>334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335</v>
      </c>
      <c r="J32" s="4" t="s">
        <v>55</v>
      </c>
      <c r="K32" s="75">
        <v>-5675.2000000000025</v>
      </c>
    </row>
    <row r="33" spans="1:11" x14ac:dyDescent="0.25">
      <c r="A33" s="76">
        <v>45967</v>
      </c>
      <c r="B33" s="4" t="s">
        <v>332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55</v>
      </c>
      <c r="K33" s="75">
        <v>-3070.200000000003</v>
      </c>
    </row>
    <row r="34" spans="1:11" x14ac:dyDescent="0.25">
      <c r="A34" s="76" t="s">
        <v>336</v>
      </c>
      <c r="B34" s="4" t="s">
        <v>337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338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55</v>
      </c>
      <c r="K35" s="75">
        <v>-3020.800000000002</v>
      </c>
    </row>
    <row r="36" spans="1:11" x14ac:dyDescent="0.25">
      <c r="A36" s="74">
        <v>45968</v>
      </c>
      <c r="B36" s="4" t="s">
        <v>339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55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55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55</v>
      </c>
      <c r="K38" s="75">
        <v>-13074.73</v>
      </c>
    </row>
    <row r="39" spans="1:11" x14ac:dyDescent="0.25">
      <c r="A39" s="74">
        <v>45968</v>
      </c>
      <c r="B39" s="4" t="s">
        <v>332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55</v>
      </c>
      <c r="K39" s="75">
        <v>-9642.4300000000039</v>
      </c>
    </row>
    <row r="40" spans="1:11" x14ac:dyDescent="0.25">
      <c r="A40" s="74">
        <v>45968</v>
      </c>
      <c r="B40" s="4" t="s">
        <v>45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55</v>
      </c>
      <c r="K40" s="75">
        <v>-9339.9300000000039</v>
      </c>
    </row>
    <row r="41" spans="1:11" x14ac:dyDescent="0.25">
      <c r="A41" s="74">
        <v>45969</v>
      </c>
      <c r="B41" s="4" t="s">
        <v>340</v>
      </c>
      <c r="C41" s="4" t="s">
        <v>12</v>
      </c>
      <c r="D41" s="4" t="s">
        <v>34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55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55</v>
      </c>
      <c r="K42" s="75">
        <v>-9485.9300000000039</v>
      </c>
    </row>
    <row r="43" spans="1:11" x14ac:dyDescent="0.25">
      <c r="A43" s="74">
        <v>45969</v>
      </c>
      <c r="B43" s="4" t="s">
        <v>332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55</v>
      </c>
      <c r="K43" s="75">
        <v>-4748.7300000000041</v>
      </c>
    </row>
    <row r="44" spans="1:11" x14ac:dyDescent="0.25">
      <c r="A44" s="74">
        <v>45969</v>
      </c>
      <c r="B44" s="4" t="s">
        <v>337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55</v>
      </c>
      <c r="K44" s="75">
        <v>-4402.2300000000041</v>
      </c>
    </row>
    <row r="45" spans="1:11" x14ac:dyDescent="0.25">
      <c r="A45" s="74">
        <v>45970</v>
      </c>
      <c r="B45" s="4" t="s">
        <v>46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55</v>
      </c>
      <c r="K45" s="75">
        <v>-4471.2300000000041</v>
      </c>
    </row>
    <row r="46" spans="1:11" x14ac:dyDescent="0.25">
      <c r="A46" s="74">
        <v>45970</v>
      </c>
      <c r="B46" s="4" t="s">
        <v>332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55</v>
      </c>
      <c r="K46" s="75">
        <v>4553.7699999999959</v>
      </c>
    </row>
    <row r="47" spans="1:11" x14ac:dyDescent="0.25">
      <c r="A47" s="74">
        <v>45970</v>
      </c>
      <c r="B47" s="4" t="s">
        <v>45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55</v>
      </c>
      <c r="K47" s="75">
        <v>4906.6699999999964</v>
      </c>
    </row>
    <row r="48" spans="1:11" x14ac:dyDescent="0.25">
      <c r="A48" s="76">
        <v>45970</v>
      </c>
      <c r="B48" s="4" t="s">
        <v>341</v>
      </c>
      <c r="C48" s="4" t="s">
        <v>12</v>
      </c>
      <c r="D48" s="4" t="s">
        <v>34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55</v>
      </c>
      <c r="K48" s="75">
        <v>4786.6699999999964</v>
      </c>
    </row>
    <row r="49" spans="1:11" x14ac:dyDescent="0.25">
      <c r="A49" s="74">
        <v>45971</v>
      </c>
      <c r="B49" s="4" t="s">
        <v>342</v>
      </c>
      <c r="C49" s="4" t="s">
        <v>12</v>
      </c>
      <c r="D49" s="4" t="s">
        <v>67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55</v>
      </c>
      <c r="K49" s="75">
        <v>-2939.6400000000049</v>
      </c>
    </row>
    <row r="50" spans="1:11" x14ac:dyDescent="0.25">
      <c r="A50" s="74">
        <v>45971</v>
      </c>
      <c r="B50" s="4" t="s">
        <v>343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55</v>
      </c>
      <c r="K50" s="75">
        <v>-3839.6400000000049</v>
      </c>
    </row>
    <row r="51" spans="1:11" x14ac:dyDescent="0.25">
      <c r="A51" s="74">
        <v>45971</v>
      </c>
      <c r="B51" s="4" t="s">
        <v>344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345</v>
      </c>
      <c r="J51" s="4" t="s">
        <v>55</v>
      </c>
      <c r="K51" s="75">
        <v>-7339.6400000000049</v>
      </c>
    </row>
    <row r="52" spans="1:11" x14ac:dyDescent="0.25">
      <c r="A52" s="74">
        <v>45971</v>
      </c>
      <c r="B52" s="4" t="s">
        <v>65</v>
      </c>
      <c r="C52" s="4" t="s">
        <v>12</v>
      </c>
      <c r="D52" s="4" t="s">
        <v>65</v>
      </c>
      <c r="E52" s="4" t="s">
        <v>17</v>
      </c>
      <c r="F52" s="4"/>
      <c r="G52" s="75">
        <v>685</v>
      </c>
      <c r="H52" s="75"/>
      <c r="I52" s="4"/>
      <c r="J52" s="4" t="s">
        <v>55</v>
      </c>
      <c r="K52" s="75">
        <v>-8024.6400000000049</v>
      </c>
    </row>
    <row r="53" spans="1:11" x14ac:dyDescent="0.25">
      <c r="A53" s="74">
        <v>45971</v>
      </c>
      <c r="B53" s="4" t="s">
        <v>346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55</v>
      </c>
      <c r="K53" s="75">
        <v>-8424.8600000000042</v>
      </c>
    </row>
    <row r="54" spans="1:11" x14ac:dyDescent="0.25">
      <c r="A54" s="74">
        <v>45971</v>
      </c>
      <c r="B54" s="4" t="s">
        <v>346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55</v>
      </c>
      <c r="K54" s="75">
        <v>-8869.5300000000043</v>
      </c>
    </row>
    <row r="55" spans="1:11" x14ac:dyDescent="0.25">
      <c r="A55" s="74">
        <v>45971</v>
      </c>
      <c r="B55" s="4" t="s">
        <v>347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55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55</v>
      </c>
      <c r="K56" s="75">
        <v>-8929.5300000000043</v>
      </c>
    </row>
    <row r="57" spans="1:11" x14ac:dyDescent="0.25">
      <c r="A57" s="74">
        <v>45971</v>
      </c>
      <c r="B57" s="4" t="s">
        <v>332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55</v>
      </c>
      <c r="K57" s="75">
        <v>-7184.5300000000043</v>
      </c>
    </row>
    <row r="58" spans="1:11" x14ac:dyDescent="0.25">
      <c r="A58" s="74">
        <v>45971</v>
      </c>
      <c r="B58" s="4" t="s">
        <v>45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55</v>
      </c>
      <c r="K58" s="75">
        <v>-7087.1300000000047</v>
      </c>
    </row>
    <row r="59" spans="1:11" x14ac:dyDescent="0.25">
      <c r="A59" s="74">
        <v>45971</v>
      </c>
      <c r="B59" s="4" t="s">
        <v>46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55</v>
      </c>
      <c r="K59" s="75">
        <v>-7104.1300000000047</v>
      </c>
    </row>
    <row r="60" spans="1:11" x14ac:dyDescent="0.25">
      <c r="A60" s="74">
        <v>45972</v>
      </c>
      <c r="B60" s="4" t="s">
        <v>348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55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55</v>
      </c>
      <c r="K61" s="75">
        <v>-7451.1300000000047</v>
      </c>
    </row>
    <row r="62" spans="1:11" x14ac:dyDescent="0.25">
      <c r="A62" s="74">
        <v>45972</v>
      </c>
      <c r="B62" s="4" t="s">
        <v>332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55</v>
      </c>
      <c r="K62" s="75">
        <v>-5585.1300000000047</v>
      </c>
    </row>
    <row r="63" spans="1:11" x14ac:dyDescent="0.25">
      <c r="A63" s="74">
        <v>45972</v>
      </c>
      <c r="B63" s="4" t="s">
        <v>45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55</v>
      </c>
      <c r="K63" s="75">
        <v>-5507.1300000000047</v>
      </c>
    </row>
    <row r="64" spans="1:11" x14ac:dyDescent="0.25">
      <c r="A64" s="74" t="s">
        <v>349</v>
      </c>
      <c r="B64" s="4" t="s">
        <v>350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351</v>
      </c>
      <c r="K64" s="75">
        <v>-8787.9600000000046</v>
      </c>
    </row>
    <row r="65" spans="1:11" x14ac:dyDescent="0.25">
      <c r="A65" s="74">
        <v>45972</v>
      </c>
      <c r="B65" s="4" t="s">
        <v>46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55</v>
      </c>
      <c r="K65" s="75">
        <v>-8796.9600000000046</v>
      </c>
    </row>
    <row r="66" spans="1:11" x14ac:dyDescent="0.25">
      <c r="A66" s="74">
        <v>45973</v>
      </c>
      <c r="B66" s="4" t="s">
        <v>348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55</v>
      </c>
      <c r="K66" s="75">
        <v>-9096.9600000000046</v>
      </c>
    </row>
    <row r="67" spans="1:11" x14ac:dyDescent="0.25">
      <c r="A67" s="74">
        <v>45973</v>
      </c>
      <c r="B67" s="4" t="s">
        <v>332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55</v>
      </c>
      <c r="K67" s="75">
        <v>-6929.4600000000046</v>
      </c>
    </row>
    <row r="68" spans="1:11" x14ac:dyDescent="0.25">
      <c r="A68" s="74">
        <v>45973</v>
      </c>
      <c r="B68" s="4" t="s">
        <v>45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55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55</v>
      </c>
      <c r="K69" s="75">
        <v>-7064.4600000000046</v>
      </c>
    </row>
    <row r="70" spans="1:11" x14ac:dyDescent="0.25">
      <c r="A70" s="74">
        <v>45973</v>
      </c>
      <c r="B70" s="4" t="s">
        <v>46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55</v>
      </c>
      <c r="K70" s="75">
        <v>-7064.4600000000046</v>
      </c>
    </row>
    <row r="71" spans="1:11" x14ac:dyDescent="0.25">
      <c r="A71" s="74">
        <v>45973</v>
      </c>
      <c r="B71" s="4" t="s">
        <v>311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55</v>
      </c>
      <c r="K71" s="75">
        <v>-7582.8800000000047</v>
      </c>
    </row>
    <row r="72" spans="1:11" x14ac:dyDescent="0.25">
      <c r="A72" s="74">
        <v>45973</v>
      </c>
      <c r="B72" s="4" t="s">
        <v>352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55</v>
      </c>
      <c r="K72" s="75">
        <v>-7660.8600000000042</v>
      </c>
    </row>
    <row r="73" spans="1:11" x14ac:dyDescent="0.25">
      <c r="A73" s="74">
        <v>45973</v>
      </c>
      <c r="B73" s="4" t="s">
        <v>353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55</v>
      </c>
      <c r="K73" s="75">
        <v>-8680.1500000000051</v>
      </c>
    </row>
    <row r="74" spans="1:11" x14ac:dyDescent="0.25">
      <c r="A74" s="74">
        <v>45973</v>
      </c>
      <c r="B74" s="4" t="s">
        <v>354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55</v>
      </c>
      <c r="K74" s="75">
        <v>-10130.260000000009</v>
      </c>
    </row>
    <row r="75" spans="1:11" x14ac:dyDescent="0.25">
      <c r="A75" s="74">
        <v>45974</v>
      </c>
      <c r="B75" s="4" t="s">
        <v>355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55</v>
      </c>
      <c r="K75" s="75">
        <v>-11065.69000000001</v>
      </c>
    </row>
    <row r="76" spans="1:11" x14ac:dyDescent="0.25">
      <c r="A76" s="74">
        <v>45974</v>
      </c>
      <c r="B76" s="4" t="s">
        <v>356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55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55</v>
      </c>
      <c r="K77" s="75">
        <v>-11814.05000000001</v>
      </c>
    </row>
    <row r="78" spans="1:11" x14ac:dyDescent="0.25">
      <c r="A78" s="74">
        <v>45974</v>
      </c>
      <c r="B78" s="4" t="s">
        <v>332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55</v>
      </c>
      <c r="K78" s="75">
        <v>-9171.0500000000065</v>
      </c>
    </row>
    <row r="79" spans="1:11" x14ac:dyDescent="0.25">
      <c r="A79" s="74">
        <v>45974</v>
      </c>
      <c r="B79" s="4" t="s">
        <v>357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55</v>
      </c>
      <c r="K79" s="75">
        <v>-8956.6500000000069</v>
      </c>
    </row>
    <row r="80" spans="1:11" x14ac:dyDescent="0.25">
      <c r="A80" s="74">
        <v>45974</v>
      </c>
      <c r="B80" s="4" t="s">
        <v>46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55</v>
      </c>
      <c r="K80" s="75">
        <v>-8983.6500000000069</v>
      </c>
    </row>
    <row r="81" spans="1:11" x14ac:dyDescent="0.25">
      <c r="A81" s="74">
        <v>45975</v>
      </c>
      <c r="B81" s="4" t="s">
        <v>350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55</v>
      </c>
      <c r="K81" s="75">
        <v>-9221.2600000000075</v>
      </c>
    </row>
    <row r="82" spans="1:11" x14ac:dyDescent="0.25">
      <c r="A82" s="74">
        <v>45975</v>
      </c>
      <c r="B82" s="4" t="s">
        <v>350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55</v>
      </c>
      <c r="K82" s="75">
        <v>-9736.0800000000072</v>
      </c>
    </row>
    <row r="83" spans="1:11" x14ac:dyDescent="0.25">
      <c r="A83" s="74">
        <v>45975</v>
      </c>
      <c r="B83" s="4" t="s">
        <v>358</v>
      </c>
      <c r="C83" s="4" t="s">
        <v>12</v>
      </c>
      <c r="D83" s="4" t="s">
        <v>59</v>
      </c>
      <c r="E83" s="4" t="s">
        <v>17</v>
      </c>
      <c r="F83" s="4"/>
      <c r="G83" s="75">
        <v>842.05</v>
      </c>
      <c r="H83" s="75"/>
      <c r="I83" s="4"/>
      <c r="J83" s="4" t="s">
        <v>55</v>
      </c>
      <c r="K83" s="75">
        <v>-10578.13000000001</v>
      </c>
    </row>
    <row r="84" spans="1:11" x14ac:dyDescent="0.25">
      <c r="A84" s="77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55</v>
      </c>
      <c r="K84" s="75">
        <v>-10907.13000000001</v>
      </c>
    </row>
    <row r="85" spans="1:11" x14ac:dyDescent="0.25">
      <c r="A85" s="74">
        <v>45975</v>
      </c>
      <c r="B85" s="4" t="s">
        <v>46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55</v>
      </c>
      <c r="K85" s="75">
        <v>-10934.13000000001</v>
      </c>
    </row>
    <row r="86" spans="1:11" x14ac:dyDescent="0.25">
      <c r="A86" s="74">
        <v>45975</v>
      </c>
      <c r="B86" s="4" t="s">
        <v>332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55</v>
      </c>
      <c r="K86" s="75">
        <v>-7890.1300000000056</v>
      </c>
    </row>
    <row r="87" spans="1:11" x14ac:dyDescent="0.25">
      <c r="A87" s="74">
        <v>45975</v>
      </c>
      <c r="B87" s="4" t="s">
        <v>359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55</v>
      </c>
      <c r="K87" s="75">
        <v>-7743.9300000000067</v>
      </c>
    </row>
    <row r="88" spans="1:11" x14ac:dyDescent="0.25">
      <c r="A88" s="74">
        <v>45975</v>
      </c>
      <c r="B88" s="4" t="s">
        <v>360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55</v>
      </c>
      <c r="K88" s="75">
        <v>-7967.9300000000067</v>
      </c>
    </row>
    <row r="89" spans="1:11" x14ac:dyDescent="0.25">
      <c r="A89" s="74">
        <v>45976</v>
      </c>
      <c r="B89" s="4" t="s">
        <v>361</v>
      </c>
      <c r="C89" s="4" t="s">
        <v>12</v>
      </c>
      <c r="D89" s="4" t="s">
        <v>63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55</v>
      </c>
      <c r="K89" s="75">
        <v>-7972.9300000000067</v>
      </c>
    </row>
    <row r="90" spans="1:11" x14ac:dyDescent="0.25">
      <c r="A90" s="74">
        <v>45976</v>
      </c>
      <c r="B90" s="4" t="s">
        <v>46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55</v>
      </c>
      <c r="K90" s="75">
        <v>-8016.9300000000067</v>
      </c>
    </row>
    <row r="91" spans="1:11" x14ac:dyDescent="0.25">
      <c r="A91" s="74">
        <v>45976</v>
      </c>
      <c r="B91" s="4" t="s">
        <v>332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55</v>
      </c>
      <c r="K91" s="75">
        <v>74.069999999993342</v>
      </c>
    </row>
    <row r="92" spans="1:11" x14ac:dyDescent="0.25">
      <c r="A92" s="74">
        <v>45976</v>
      </c>
      <c r="B92" s="4" t="s">
        <v>45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55</v>
      </c>
      <c r="K92" s="75">
        <v>348.36999999999341</v>
      </c>
    </row>
    <row r="93" spans="1:11" x14ac:dyDescent="0.25">
      <c r="A93" s="74">
        <v>45976</v>
      </c>
      <c r="B93" s="4" t="s">
        <v>34</v>
      </c>
      <c r="C93" s="4" t="s">
        <v>12</v>
      </c>
      <c r="D93" s="4" t="s">
        <v>34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55</v>
      </c>
      <c r="K93" s="75">
        <v>228.36999999999341</v>
      </c>
    </row>
    <row r="94" spans="1:11" x14ac:dyDescent="0.25">
      <c r="A94" s="74">
        <v>45977</v>
      </c>
      <c r="B94" s="4" t="s">
        <v>340</v>
      </c>
      <c r="C94" s="4" t="s">
        <v>12</v>
      </c>
      <c r="D94" s="4" t="s">
        <v>34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55</v>
      </c>
      <c r="K94" s="75">
        <v>108.3699999999934</v>
      </c>
    </row>
    <row r="95" spans="1:11" x14ac:dyDescent="0.25">
      <c r="A95" s="74">
        <v>45977</v>
      </c>
      <c r="B95" s="4" t="s">
        <v>362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55</v>
      </c>
      <c r="K95" s="75">
        <v>11.36999999999335</v>
      </c>
    </row>
    <row r="96" spans="1:11" x14ac:dyDescent="0.25">
      <c r="A96" s="74">
        <v>45977</v>
      </c>
      <c r="B96" s="4" t="s">
        <v>363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55</v>
      </c>
      <c r="K96" s="75">
        <v>5707.3699999999944</v>
      </c>
    </row>
    <row r="97" spans="1:11" x14ac:dyDescent="0.25">
      <c r="A97" s="74">
        <v>45977</v>
      </c>
      <c r="B97" s="4" t="s">
        <v>364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55</v>
      </c>
      <c r="K97" s="75">
        <v>6236.1699999999937</v>
      </c>
    </row>
    <row r="98" spans="1:11" x14ac:dyDescent="0.25">
      <c r="A98" s="74">
        <v>45977</v>
      </c>
      <c r="B98" s="4" t="s">
        <v>365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55</v>
      </c>
      <c r="K98" s="75">
        <v>5930.5699999999933</v>
      </c>
    </row>
    <row r="99" spans="1:11" x14ac:dyDescent="0.25">
      <c r="A99" s="74">
        <v>45978</v>
      </c>
      <c r="B99" s="4" t="s">
        <v>366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55</v>
      </c>
      <c r="K99" s="75">
        <v>4430.5699999999933</v>
      </c>
    </row>
    <row r="100" spans="1:11" x14ac:dyDescent="0.25">
      <c r="A100" s="74">
        <v>45978</v>
      </c>
      <c r="B100" s="4" t="s">
        <v>367</v>
      </c>
      <c r="C100" s="4" t="s">
        <v>12</v>
      </c>
      <c r="D100" s="4" t="s">
        <v>63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55</v>
      </c>
      <c r="K100" s="75">
        <v>2176.5699999999929</v>
      </c>
    </row>
    <row r="101" spans="1:11" x14ac:dyDescent="0.25">
      <c r="A101" s="74">
        <v>45978</v>
      </c>
      <c r="B101" s="4" t="s">
        <v>368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55</v>
      </c>
      <c r="K101" s="75">
        <v>1798.0699999999929</v>
      </c>
    </row>
    <row r="102" spans="1:11" x14ac:dyDescent="0.25">
      <c r="A102" s="74">
        <v>45978</v>
      </c>
      <c r="B102" s="4" t="s">
        <v>369</v>
      </c>
      <c r="C102" s="4" t="s">
        <v>12</v>
      </c>
      <c r="D102" s="4" t="s">
        <v>40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55</v>
      </c>
      <c r="K102" s="75">
        <v>1698.169999999993</v>
      </c>
    </row>
    <row r="103" spans="1:11" x14ac:dyDescent="0.25">
      <c r="A103" s="74">
        <v>45978</v>
      </c>
      <c r="B103" s="4" t="s">
        <v>370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55</v>
      </c>
      <c r="K103" s="75">
        <v>1495.3699999999931</v>
      </c>
    </row>
    <row r="104" spans="1:11" x14ac:dyDescent="0.25">
      <c r="A104" s="74">
        <v>45978</v>
      </c>
      <c r="B104" s="4" t="s">
        <v>371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55</v>
      </c>
      <c r="K104" s="75">
        <v>-920.48000000000661</v>
      </c>
    </row>
    <row r="105" spans="1:11" x14ac:dyDescent="0.25">
      <c r="A105" s="74">
        <v>45978</v>
      </c>
      <c r="B105" s="4" t="s">
        <v>372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55</v>
      </c>
      <c r="K105" s="75">
        <v>-1535.860000000006</v>
      </c>
    </row>
    <row r="106" spans="1:11" x14ac:dyDescent="0.25">
      <c r="A106" s="74">
        <v>45978</v>
      </c>
      <c r="B106" s="4" t="s">
        <v>46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55</v>
      </c>
      <c r="K106" s="75">
        <v>-1544.860000000006</v>
      </c>
    </row>
    <row r="107" spans="1:11" x14ac:dyDescent="0.25">
      <c r="A107" s="74">
        <v>45978</v>
      </c>
      <c r="B107" s="4" t="s">
        <v>45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55</v>
      </c>
      <c r="K107" s="75">
        <v>-1496.260000000007</v>
      </c>
    </row>
    <row r="108" spans="1:11" x14ac:dyDescent="0.25">
      <c r="A108" s="74">
        <v>45978</v>
      </c>
      <c r="B108" s="4" t="s">
        <v>332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55</v>
      </c>
      <c r="K108" s="75">
        <v>-344.76000000000658</v>
      </c>
    </row>
    <row r="109" spans="1:11" x14ac:dyDescent="0.25">
      <c r="A109" s="74">
        <v>45979</v>
      </c>
      <c r="B109" s="4" t="s">
        <v>373</v>
      </c>
      <c r="C109" s="4" t="s">
        <v>12</v>
      </c>
      <c r="D109" s="4" t="s">
        <v>63</v>
      </c>
      <c r="E109" s="4" t="s">
        <v>17</v>
      </c>
      <c r="F109" s="4"/>
      <c r="G109" s="75">
        <v>895</v>
      </c>
      <c r="H109" s="75"/>
      <c r="I109" s="4"/>
      <c r="J109" s="4" t="s">
        <v>55</v>
      </c>
      <c r="K109" s="75">
        <v>-1239.760000000007</v>
      </c>
    </row>
    <row r="110" spans="1:11" x14ac:dyDescent="0.25">
      <c r="A110" s="74">
        <v>45979</v>
      </c>
      <c r="B110" s="4" t="s">
        <v>354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55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55</v>
      </c>
      <c r="K111" s="75">
        <v>-2531.8300000000058</v>
      </c>
    </row>
    <row r="112" spans="1:11" x14ac:dyDescent="0.25">
      <c r="A112" s="74">
        <v>45979</v>
      </c>
      <c r="B112" s="4" t="s">
        <v>374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55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55</v>
      </c>
      <c r="K113" s="75">
        <v>-1346.8300000000061</v>
      </c>
    </row>
    <row r="114" spans="1:11" x14ac:dyDescent="0.25">
      <c r="A114" s="74">
        <v>45980</v>
      </c>
      <c r="B114" s="4" t="s">
        <v>291</v>
      </c>
      <c r="C114" s="4" t="s">
        <v>12</v>
      </c>
      <c r="D114" s="4" t="s">
        <v>61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55</v>
      </c>
      <c r="K114" s="75">
        <v>-1795.0000000000059</v>
      </c>
    </row>
    <row r="115" spans="1:11" x14ac:dyDescent="0.25">
      <c r="A115" s="77">
        <v>45980</v>
      </c>
      <c r="B115" s="4" t="s">
        <v>375</v>
      </c>
      <c r="C115" s="4" t="s">
        <v>12</v>
      </c>
      <c r="D115" s="4" t="s">
        <v>63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55</v>
      </c>
      <c r="K115" s="75">
        <v>-3031.0000000000059</v>
      </c>
    </row>
    <row r="116" spans="1:11" x14ac:dyDescent="0.25">
      <c r="A116" s="74">
        <v>45980</v>
      </c>
      <c r="B116" s="4" t="s">
        <v>376</v>
      </c>
      <c r="C116" s="4" t="s">
        <v>12</v>
      </c>
      <c r="D116" s="4" t="s">
        <v>59</v>
      </c>
      <c r="E116" s="4" t="s">
        <v>17</v>
      </c>
      <c r="F116" s="4"/>
      <c r="G116" s="75">
        <v>864.13</v>
      </c>
      <c r="H116" s="75"/>
      <c r="I116" s="4"/>
      <c r="J116" s="4" t="s">
        <v>55</v>
      </c>
      <c r="K116" s="75">
        <v>-3895.130000000006</v>
      </c>
    </row>
    <row r="117" spans="1:11" x14ac:dyDescent="0.25">
      <c r="A117" s="74">
        <v>45980</v>
      </c>
      <c r="B117" s="4" t="s">
        <v>352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55</v>
      </c>
      <c r="K117" s="75">
        <v>-4604.0100000000066</v>
      </c>
    </row>
    <row r="118" spans="1:11" x14ac:dyDescent="0.25">
      <c r="A118" s="74">
        <v>45980</v>
      </c>
      <c r="B118" s="4" t="s">
        <v>332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55</v>
      </c>
      <c r="K118" s="75">
        <v>-1164.010000000007</v>
      </c>
    </row>
    <row r="119" spans="1:11" x14ac:dyDescent="0.25">
      <c r="A119" s="74">
        <v>45980</v>
      </c>
      <c r="B119" s="4" t="s">
        <v>377</v>
      </c>
      <c r="C119" s="4" t="s">
        <v>12</v>
      </c>
      <c r="D119" s="4" t="s">
        <v>34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55</v>
      </c>
      <c r="K119" s="75">
        <v>-1185.010000000007</v>
      </c>
    </row>
    <row r="120" spans="1:11" x14ac:dyDescent="0.25">
      <c r="A120" s="74">
        <v>45980</v>
      </c>
      <c r="B120" s="4" t="s">
        <v>378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55</v>
      </c>
      <c r="K120" s="75">
        <v>-1635.010000000007</v>
      </c>
    </row>
    <row r="121" spans="1:11" x14ac:dyDescent="0.25">
      <c r="A121" s="74">
        <v>44884</v>
      </c>
      <c r="B121" s="4" t="s">
        <v>379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380</v>
      </c>
      <c r="K121" s="75">
        <v>-1755.010000000007</v>
      </c>
    </row>
    <row r="122" spans="1:11" x14ac:dyDescent="0.25">
      <c r="A122" s="74">
        <v>45981</v>
      </c>
      <c r="B122" s="4" t="s">
        <v>381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55</v>
      </c>
      <c r="K122" s="75">
        <v>-2055.010000000007</v>
      </c>
    </row>
    <row r="123" spans="1:11" x14ac:dyDescent="0.25">
      <c r="A123" s="74">
        <v>45981</v>
      </c>
      <c r="B123" s="4" t="s">
        <v>381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55</v>
      </c>
      <c r="K123" s="75">
        <v>-2255.010000000007</v>
      </c>
    </row>
    <row r="124" spans="1:11" x14ac:dyDescent="0.25">
      <c r="A124" s="74">
        <v>45981</v>
      </c>
      <c r="B124" s="4" t="s">
        <v>382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55</v>
      </c>
      <c r="K124" s="75">
        <v>-3190.440000000006</v>
      </c>
    </row>
    <row r="125" spans="1:11" x14ac:dyDescent="0.25">
      <c r="A125" s="74">
        <v>45981</v>
      </c>
      <c r="B125" s="4" t="s">
        <v>34</v>
      </c>
      <c r="C125" s="4" t="s">
        <v>12</v>
      </c>
      <c r="D125" s="4" t="s">
        <v>34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55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55</v>
      </c>
      <c r="K126" s="75">
        <v>-3355.440000000006</v>
      </c>
    </row>
    <row r="127" spans="1:11" x14ac:dyDescent="0.25">
      <c r="A127" s="74">
        <v>45981</v>
      </c>
      <c r="B127" s="4" t="s">
        <v>374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55</v>
      </c>
      <c r="K127" s="75">
        <v>5185.559999999994</v>
      </c>
    </row>
    <row r="128" spans="1:11" x14ac:dyDescent="0.25">
      <c r="A128" s="74">
        <v>45981</v>
      </c>
      <c r="B128" s="4" t="s">
        <v>45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55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55</v>
      </c>
      <c r="K129" s="75">
        <v>4944.059999999994</v>
      </c>
    </row>
    <row r="130" spans="1:11" x14ac:dyDescent="0.25">
      <c r="A130" s="74">
        <v>45982</v>
      </c>
      <c r="B130" s="4" t="s">
        <v>383</v>
      </c>
      <c r="C130" s="4" t="s">
        <v>12</v>
      </c>
      <c r="D130" s="4" t="s">
        <v>66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55</v>
      </c>
      <c r="K130" s="75">
        <v>2309.7599999999939</v>
      </c>
    </row>
    <row r="131" spans="1:11" x14ac:dyDescent="0.25">
      <c r="A131" s="74">
        <v>45982</v>
      </c>
      <c r="B131" s="4" t="s">
        <v>384</v>
      </c>
      <c r="C131" s="4" t="s">
        <v>12</v>
      </c>
      <c r="D131" s="4" t="s">
        <v>66</v>
      </c>
      <c r="E131" s="4" t="s">
        <v>17</v>
      </c>
      <c r="F131" s="4"/>
      <c r="G131" s="75">
        <v>625.95000000000005</v>
      </c>
      <c r="H131" s="75"/>
      <c r="I131" s="4"/>
      <c r="J131" s="4" t="s">
        <v>55</v>
      </c>
      <c r="K131" s="75">
        <v>1683.809999999994</v>
      </c>
    </row>
    <row r="132" spans="1:11" x14ac:dyDescent="0.25">
      <c r="A132" s="74">
        <v>45982</v>
      </c>
      <c r="B132" s="4" t="s">
        <v>374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55</v>
      </c>
      <c r="K132" s="75">
        <v>11430.80999999999</v>
      </c>
    </row>
    <row r="133" spans="1:11" x14ac:dyDescent="0.25">
      <c r="A133" s="74">
        <v>45982</v>
      </c>
      <c r="B133" s="4" t="s">
        <v>45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55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55</v>
      </c>
      <c r="K134" s="75">
        <v>11518.10999999999</v>
      </c>
    </row>
    <row r="135" spans="1:11" x14ac:dyDescent="0.25">
      <c r="A135" s="74">
        <v>45982</v>
      </c>
      <c r="B135" s="4" t="s">
        <v>32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55</v>
      </c>
      <c r="K135" s="75">
        <v>11253.10999999999</v>
      </c>
    </row>
    <row r="136" spans="1:11" x14ac:dyDescent="0.25">
      <c r="A136" s="74">
        <v>45982</v>
      </c>
      <c r="B136" s="4" t="s">
        <v>298</v>
      </c>
      <c r="C136" s="4" t="s">
        <v>12</v>
      </c>
      <c r="D136" s="4" t="s">
        <v>59</v>
      </c>
      <c r="E136" s="4" t="s">
        <v>17</v>
      </c>
      <c r="F136" s="4"/>
      <c r="G136" s="75">
        <v>1285.23</v>
      </c>
      <c r="H136" s="75"/>
      <c r="I136" s="4"/>
      <c r="J136" s="4" t="s">
        <v>55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55</v>
      </c>
      <c r="K137" s="75">
        <v>9685.8799999999937</v>
      </c>
    </row>
    <row r="138" spans="1:11" x14ac:dyDescent="0.25">
      <c r="A138" s="74">
        <v>45982</v>
      </c>
      <c r="B138" s="4" t="s">
        <v>377</v>
      </c>
      <c r="C138" s="4" t="s">
        <v>12</v>
      </c>
      <c r="D138" s="4" t="s">
        <v>34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55</v>
      </c>
      <c r="K138" s="75">
        <v>9648.3799999999937</v>
      </c>
    </row>
    <row r="139" spans="1:11" x14ac:dyDescent="0.25">
      <c r="A139" s="74">
        <v>45982</v>
      </c>
      <c r="B139" s="4" t="s">
        <v>34</v>
      </c>
      <c r="C139" s="4" t="s">
        <v>12</v>
      </c>
      <c r="D139" s="4" t="s">
        <v>34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55</v>
      </c>
      <c r="K139" s="75">
        <v>9598.3799999999937</v>
      </c>
    </row>
    <row r="140" spans="1:11" x14ac:dyDescent="0.25">
      <c r="A140" s="74">
        <v>45983</v>
      </c>
      <c r="B140" s="4" t="s">
        <v>34</v>
      </c>
      <c r="C140" s="4" t="s">
        <v>12</v>
      </c>
      <c r="D140" s="4" t="s">
        <v>34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55</v>
      </c>
      <c r="K140" s="75">
        <v>9478.3799999999937</v>
      </c>
    </row>
    <row r="141" spans="1:11" x14ac:dyDescent="0.25">
      <c r="A141" s="74">
        <v>45983</v>
      </c>
      <c r="B141" s="4" t="s">
        <v>385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55</v>
      </c>
      <c r="K141" s="75">
        <v>20719.37999999999</v>
      </c>
    </row>
    <row r="142" spans="1:11" x14ac:dyDescent="0.25">
      <c r="A142" s="74">
        <v>45983</v>
      </c>
      <c r="B142" s="4" t="s">
        <v>357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55</v>
      </c>
      <c r="K142" s="75">
        <v>20874.28</v>
      </c>
    </row>
    <row r="143" spans="1:11" x14ac:dyDescent="0.25">
      <c r="A143" s="74">
        <v>45983</v>
      </c>
      <c r="B143" s="4" t="s">
        <v>46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55</v>
      </c>
      <c r="K143" s="75">
        <v>20856.28</v>
      </c>
    </row>
    <row r="144" spans="1:11" x14ac:dyDescent="0.25">
      <c r="A144" s="74">
        <v>45984</v>
      </c>
      <c r="B144" s="4" t="s">
        <v>386</v>
      </c>
      <c r="C144" s="4" t="s">
        <v>12</v>
      </c>
      <c r="D144" s="4" t="s">
        <v>63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55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55</v>
      </c>
      <c r="K145" s="75">
        <v>20685.28</v>
      </c>
    </row>
    <row r="146" spans="1:11" x14ac:dyDescent="0.25">
      <c r="A146" s="74">
        <v>45984</v>
      </c>
      <c r="B146" s="4" t="s">
        <v>387</v>
      </c>
      <c r="C146" s="4" t="s">
        <v>12</v>
      </c>
      <c r="D146" s="4" t="s">
        <v>34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55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388</v>
      </c>
      <c r="J147" s="4" t="s">
        <v>55</v>
      </c>
      <c r="K147" s="75">
        <v>20384.28</v>
      </c>
    </row>
    <row r="148" spans="1:11" x14ac:dyDescent="0.25">
      <c r="A148" s="74">
        <v>45984</v>
      </c>
      <c r="B148" s="4" t="s">
        <v>374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55</v>
      </c>
      <c r="K148" s="75">
        <v>26146.579999999991</v>
      </c>
    </row>
    <row r="149" spans="1:11" x14ac:dyDescent="0.25">
      <c r="A149" s="74">
        <v>45984</v>
      </c>
      <c r="B149" s="4" t="s">
        <v>357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55</v>
      </c>
      <c r="K149" s="75">
        <v>26364.579999999991</v>
      </c>
    </row>
    <row r="150" spans="1:11" x14ac:dyDescent="0.25">
      <c r="A150" s="74">
        <v>45985</v>
      </c>
      <c r="B150" s="4" t="s">
        <v>389</v>
      </c>
      <c r="C150" s="4" t="s">
        <v>12</v>
      </c>
      <c r="D150" s="4" t="s">
        <v>59</v>
      </c>
      <c r="E150" s="4" t="s">
        <v>17</v>
      </c>
      <c r="F150" s="4"/>
      <c r="G150" s="75">
        <v>10115.16</v>
      </c>
      <c r="H150" s="75"/>
      <c r="I150" s="4"/>
      <c r="J150" s="4" t="s">
        <v>55</v>
      </c>
      <c r="K150" s="75">
        <v>16249.419999999989</v>
      </c>
    </row>
    <row r="151" spans="1:11" x14ac:dyDescent="0.25">
      <c r="A151" s="74">
        <v>45985</v>
      </c>
      <c r="B151" s="4" t="s">
        <v>390</v>
      </c>
      <c r="C151" s="4" t="s">
        <v>12</v>
      </c>
      <c r="D151" s="4" t="s">
        <v>61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55</v>
      </c>
      <c r="K151" s="75">
        <v>16116.409999999991</v>
      </c>
    </row>
    <row r="152" spans="1:11" x14ac:dyDescent="0.25">
      <c r="A152" s="74">
        <v>45985</v>
      </c>
      <c r="B152" s="4" t="s">
        <v>391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55</v>
      </c>
      <c r="K152" s="75">
        <v>14955.87999999999</v>
      </c>
    </row>
    <row r="153" spans="1:11" x14ac:dyDescent="0.25">
      <c r="A153" s="74">
        <v>45985</v>
      </c>
      <c r="B153" s="4" t="s">
        <v>392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55</v>
      </c>
      <c r="K153" s="75">
        <v>14575.88999999999</v>
      </c>
    </row>
    <row r="154" spans="1:11" x14ac:dyDescent="0.25">
      <c r="A154" s="74">
        <v>45985</v>
      </c>
      <c r="B154" s="4" t="s">
        <v>332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55</v>
      </c>
      <c r="K154" s="75">
        <v>15377.78999999999</v>
      </c>
    </row>
    <row r="155" spans="1:11" x14ac:dyDescent="0.25">
      <c r="A155" s="74">
        <v>45986</v>
      </c>
      <c r="B155" s="4" t="s">
        <v>393</v>
      </c>
      <c r="C155" s="4" t="s">
        <v>12</v>
      </c>
      <c r="D155" s="4" t="s">
        <v>61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55</v>
      </c>
      <c r="K155" s="75">
        <v>15222.44999999999</v>
      </c>
    </row>
    <row r="156" spans="1:11" x14ac:dyDescent="0.25">
      <c r="A156" s="74">
        <v>45986</v>
      </c>
      <c r="B156" s="4" t="s">
        <v>394</v>
      </c>
      <c r="C156" s="4" t="s">
        <v>12</v>
      </c>
      <c r="D156" s="4" t="s">
        <v>63</v>
      </c>
      <c r="E156" s="4" t="s">
        <v>17</v>
      </c>
      <c r="F156" s="4"/>
      <c r="G156" s="75">
        <v>324.17</v>
      </c>
      <c r="H156" s="75"/>
      <c r="I156" s="4"/>
      <c r="J156" s="4" t="s">
        <v>55</v>
      </c>
      <c r="K156" s="75">
        <v>14898.27999999999</v>
      </c>
    </row>
    <row r="157" spans="1:11" x14ac:dyDescent="0.25">
      <c r="A157" s="74">
        <v>45986</v>
      </c>
      <c r="B157" s="4" t="s">
        <v>395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55</v>
      </c>
      <c r="K157" s="75">
        <v>14005.47999999999</v>
      </c>
    </row>
    <row r="158" spans="1:11" x14ac:dyDescent="0.25">
      <c r="A158" s="74">
        <v>45986</v>
      </c>
      <c r="B158" s="4" t="s">
        <v>396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55</v>
      </c>
      <c r="K158" s="75">
        <v>9563.139999999994</v>
      </c>
    </row>
    <row r="159" spans="1:11" x14ac:dyDescent="0.25">
      <c r="A159" s="74">
        <v>45986</v>
      </c>
      <c r="B159" s="4" t="s">
        <v>332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55</v>
      </c>
      <c r="K159" s="75">
        <v>11450.53999999999</v>
      </c>
    </row>
    <row r="160" spans="1:11" x14ac:dyDescent="0.25">
      <c r="A160" s="74">
        <v>45986</v>
      </c>
      <c r="B160" s="4" t="s">
        <v>45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55</v>
      </c>
      <c r="K160" s="75">
        <v>11470.03999999999</v>
      </c>
    </row>
    <row r="161" spans="1:11" x14ac:dyDescent="0.25">
      <c r="A161" s="74">
        <v>45987</v>
      </c>
      <c r="B161" s="4" t="s">
        <v>397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55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55</v>
      </c>
      <c r="K162" s="75">
        <v>10957.03999999999</v>
      </c>
    </row>
    <row r="163" spans="1:11" x14ac:dyDescent="0.25">
      <c r="A163" s="74">
        <v>45987</v>
      </c>
      <c r="B163" s="4" t="s">
        <v>374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55</v>
      </c>
      <c r="K163" s="75">
        <v>13128.03999999999</v>
      </c>
    </row>
    <row r="164" spans="1:11" x14ac:dyDescent="0.25">
      <c r="A164" s="74">
        <v>45987</v>
      </c>
      <c r="B164" s="4" t="s">
        <v>45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55</v>
      </c>
      <c r="K164" s="75">
        <v>13211.339999999989</v>
      </c>
    </row>
    <row r="165" spans="1:11" x14ac:dyDescent="0.25">
      <c r="A165" s="74">
        <v>45987</v>
      </c>
      <c r="B165" s="4" t="s">
        <v>46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55</v>
      </c>
      <c r="K165" s="75">
        <v>13185.339999999989</v>
      </c>
    </row>
    <row r="166" spans="1:11" x14ac:dyDescent="0.25">
      <c r="A166" s="74">
        <v>45988</v>
      </c>
      <c r="B166" s="4" t="s">
        <v>355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55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55</v>
      </c>
      <c r="K167" s="75">
        <v>12108.909999999991</v>
      </c>
    </row>
    <row r="168" spans="1:11" x14ac:dyDescent="0.25">
      <c r="A168" s="74">
        <v>45988</v>
      </c>
      <c r="B168" s="4" t="s">
        <v>374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55</v>
      </c>
      <c r="K168" s="75">
        <v>13622.909999999991</v>
      </c>
    </row>
    <row r="169" spans="1:11" x14ac:dyDescent="0.25">
      <c r="A169" s="74">
        <v>45988</v>
      </c>
      <c r="B169" s="4" t="s">
        <v>45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55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55</v>
      </c>
      <c r="K170" s="75">
        <v>13662.909999999991</v>
      </c>
    </row>
    <row r="171" spans="1:11" x14ac:dyDescent="0.25">
      <c r="A171" s="74">
        <v>45989</v>
      </c>
      <c r="B171" s="4" t="s">
        <v>398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55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55</v>
      </c>
      <c r="K172" s="75">
        <v>9902.6499999999924</v>
      </c>
    </row>
    <row r="173" spans="1:11" x14ac:dyDescent="0.25">
      <c r="A173" s="74">
        <v>45989</v>
      </c>
      <c r="B173" s="4" t="s">
        <v>374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55</v>
      </c>
      <c r="K173" s="75">
        <v>14142.649999999991</v>
      </c>
    </row>
    <row r="174" spans="1:11" x14ac:dyDescent="0.25">
      <c r="A174" s="74">
        <v>45989</v>
      </c>
      <c r="B174" s="4" t="s">
        <v>45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55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55</v>
      </c>
      <c r="K175" s="75">
        <v>14507.749999999991</v>
      </c>
    </row>
    <row r="176" spans="1:11" x14ac:dyDescent="0.25">
      <c r="A176" s="74">
        <v>45990</v>
      </c>
      <c r="B176" s="4" t="s">
        <v>374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55</v>
      </c>
      <c r="K176" s="75">
        <v>21786.049999999988</v>
      </c>
    </row>
    <row r="177" spans="1:11" x14ac:dyDescent="0.25">
      <c r="A177" s="74">
        <v>45990</v>
      </c>
      <c r="B177" s="4" t="s">
        <v>45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55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55</v>
      </c>
      <c r="K178" s="75">
        <v>22225.959999999988</v>
      </c>
    </row>
    <row r="179" spans="1:11" x14ac:dyDescent="0.25">
      <c r="A179" s="74">
        <v>45991</v>
      </c>
      <c r="B179" s="4" t="s">
        <v>332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55</v>
      </c>
      <c r="K179" s="75">
        <v>30775.459999999988</v>
      </c>
    </row>
    <row r="180" spans="1:11" x14ac:dyDescent="0.25">
      <c r="A180" s="74">
        <v>45991</v>
      </c>
      <c r="B180" s="4" t="s">
        <v>357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55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55</v>
      </c>
      <c r="K181" s="75">
        <v>31118.839999999989</v>
      </c>
    </row>
    <row r="182" spans="1:11" x14ac:dyDescent="0.25">
      <c r="A182" s="74">
        <v>45991</v>
      </c>
      <c r="B182" s="4" t="s">
        <v>34</v>
      </c>
      <c r="C182" s="4" t="s">
        <v>12</v>
      </c>
      <c r="D182" s="4" t="s">
        <v>34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55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399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8">
        <v>45992</v>
      </c>
      <c r="B2" s="21" t="s">
        <v>400</v>
      </c>
      <c r="C2" s="21" t="s">
        <v>20</v>
      </c>
      <c r="D2" s="21" t="s">
        <v>401</v>
      </c>
      <c r="E2" s="21"/>
      <c r="F2" s="21"/>
      <c r="G2" s="24">
        <v>30968.84</v>
      </c>
      <c r="H2" s="24"/>
      <c r="I2" s="21" t="s">
        <v>401</v>
      </c>
      <c r="J2" s="21" t="s">
        <v>72</v>
      </c>
      <c r="K2" s="24">
        <v>30968.84</v>
      </c>
    </row>
    <row r="3" spans="1:11" x14ac:dyDescent="0.25">
      <c r="A3" s="78">
        <v>45992</v>
      </c>
      <c r="B3" s="21" t="s">
        <v>317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72</v>
      </c>
      <c r="K3" s="24">
        <v>28568.84</v>
      </c>
    </row>
    <row r="4" spans="1:11" x14ac:dyDescent="0.25">
      <c r="A4" s="78">
        <v>45992</v>
      </c>
      <c r="B4" s="21" t="s">
        <v>402</v>
      </c>
      <c r="C4" s="21" t="s">
        <v>12</v>
      </c>
      <c r="D4" s="21" t="s">
        <v>40</v>
      </c>
      <c r="E4" s="21" t="s">
        <v>17</v>
      </c>
      <c r="F4" s="21"/>
      <c r="G4" s="24">
        <v>370</v>
      </c>
      <c r="H4" s="24"/>
      <c r="I4" s="21"/>
      <c r="J4" s="21" t="s">
        <v>72</v>
      </c>
      <c r="K4" s="24">
        <v>28198.84</v>
      </c>
    </row>
    <row r="5" spans="1:11" x14ac:dyDescent="0.25">
      <c r="A5" s="78">
        <v>45992</v>
      </c>
      <c r="B5" s="21" t="s">
        <v>403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72</v>
      </c>
      <c r="K5" s="24">
        <v>27963.84</v>
      </c>
    </row>
    <row r="6" spans="1:11" x14ac:dyDescent="0.25">
      <c r="A6" s="78">
        <v>45992</v>
      </c>
      <c r="B6" s="21" t="s">
        <v>404</v>
      </c>
      <c r="C6" s="21" t="s">
        <v>12</v>
      </c>
      <c r="D6" s="21" t="s">
        <v>63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72</v>
      </c>
      <c r="K6" s="24">
        <v>27803.84</v>
      </c>
    </row>
    <row r="7" spans="1:11" x14ac:dyDescent="0.25">
      <c r="A7" s="78">
        <v>45992</v>
      </c>
      <c r="B7" s="21" t="s">
        <v>368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72</v>
      </c>
      <c r="K7" s="24">
        <v>27600.34</v>
      </c>
    </row>
    <row r="8" spans="1:11" x14ac:dyDescent="0.25">
      <c r="A8" s="78">
        <v>45992</v>
      </c>
      <c r="B8" s="21" t="s">
        <v>405</v>
      </c>
      <c r="C8" s="21" t="s">
        <v>12</v>
      </c>
      <c r="D8" s="21" t="s">
        <v>69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72</v>
      </c>
      <c r="K8" s="24">
        <v>27000.34</v>
      </c>
    </row>
    <row r="9" spans="1:11" x14ac:dyDescent="0.25">
      <c r="A9" s="78">
        <v>45992</v>
      </c>
      <c r="B9" s="21" t="s">
        <v>406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72</v>
      </c>
      <c r="K9" s="24">
        <v>13815.34</v>
      </c>
    </row>
    <row r="10" spans="1:11" x14ac:dyDescent="0.25">
      <c r="A10" s="78">
        <v>45992</v>
      </c>
      <c r="B10" s="21" t="s">
        <v>332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72</v>
      </c>
      <c r="K10" s="24">
        <v>15639.34</v>
      </c>
    </row>
    <row r="11" spans="1:11" x14ac:dyDescent="0.25">
      <c r="A11" s="78">
        <v>45992</v>
      </c>
      <c r="B11" s="21" t="s">
        <v>46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72</v>
      </c>
      <c r="K11" s="24">
        <v>15620.34</v>
      </c>
    </row>
    <row r="12" spans="1:11" x14ac:dyDescent="0.25">
      <c r="A12" s="78">
        <v>45963</v>
      </c>
      <c r="B12" s="21" t="s">
        <v>407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55</v>
      </c>
      <c r="K12" s="24">
        <v>14852.97</v>
      </c>
    </row>
    <row r="13" spans="1:11" x14ac:dyDescent="0.25">
      <c r="A13" s="78">
        <v>45963</v>
      </c>
      <c r="B13" s="21" t="s">
        <v>408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55</v>
      </c>
      <c r="K13" s="24">
        <v>13511.74</v>
      </c>
    </row>
    <row r="14" spans="1:11" x14ac:dyDescent="0.25">
      <c r="A14" s="78">
        <v>45963</v>
      </c>
      <c r="B14" s="21" t="s">
        <v>409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55</v>
      </c>
      <c r="K14" s="24">
        <v>12813.74</v>
      </c>
    </row>
    <row r="15" spans="1:11" x14ac:dyDescent="0.25">
      <c r="A15" s="78">
        <v>45963</v>
      </c>
      <c r="B15" s="21" t="s">
        <v>371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55</v>
      </c>
      <c r="K15" s="24">
        <v>12413.8</v>
      </c>
    </row>
    <row r="16" spans="1:11" x14ac:dyDescent="0.25">
      <c r="A16" s="78">
        <v>45963</v>
      </c>
      <c r="B16" s="21" t="s">
        <v>410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55</v>
      </c>
      <c r="K16" s="24">
        <v>12313.8</v>
      </c>
    </row>
    <row r="17" spans="1:11" x14ac:dyDescent="0.25">
      <c r="A17" s="78">
        <v>45963</v>
      </c>
      <c r="B17" s="21" t="s">
        <v>332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55</v>
      </c>
      <c r="K17" s="24">
        <v>13265.8</v>
      </c>
    </row>
    <row r="18" spans="1:11" x14ac:dyDescent="0.25">
      <c r="A18" s="78">
        <v>45963</v>
      </c>
      <c r="B18" s="21" t="s">
        <v>45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55</v>
      </c>
      <c r="K18" s="24">
        <v>13466.19</v>
      </c>
    </row>
    <row r="19" spans="1:11" x14ac:dyDescent="0.25">
      <c r="A19" s="78">
        <v>45993</v>
      </c>
      <c r="B19" s="21" t="s">
        <v>46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72</v>
      </c>
      <c r="K19" s="24">
        <v>13441.19</v>
      </c>
    </row>
    <row r="20" spans="1:11" x14ac:dyDescent="0.25">
      <c r="A20" s="78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72</v>
      </c>
      <c r="K20" s="24">
        <v>13441.19</v>
      </c>
    </row>
    <row r="21" spans="1:11" x14ac:dyDescent="0.25">
      <c r="A21" s="78">
        <v>45994</v>
      </c>
      <c r="B21" s="21" t="s">
        <v>311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72</v>
      </c>
      <c r="K21" s="24">
        <v>12668.37</v>
      </c>
    </row>
    <row r="22" spans="1:11" x14ac:dyDescent="0.25">
      <c r="A22" s="78">
        <v>45994</v>
      </c>
      <c r="B22" s="21" t="s">
        <v>411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72</v>
      </c>
      <c r="K22" s="24">
        <v>12665.37</v>
      </c>
    </row>
    <row r="23" spans="1:11" x14ac:dyDescent="0.25">
      <c r="A23" s="78">
        <v>45994</v>
      </c>
      <c r="B23" s="21" t="s">
        <v>332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72</v>
      </c>
      <c r="K23" s="24">
        <v>14264.37</v>
      </c>
    </row>
    <row r="24" spans="1:11" x14ac:dyDescent="0.25">
      <c r="A24" s="78">
        <v>45994</v>
      </c>
      <c r="B24" s="21" t="s">
        <v>45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72</v>
      </c>
      <c r="K24" s="24">
        <v>14381.37</v>
      </c>
    </row>
    <row r="25" spans="1:11" x14ac:dyDescent="0.25">
      <c r="A25" s="78">
        <v>45995</v>
      </c>
      <c r="B25" s="21" t="s">
        <v>353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72</v>
      </c>
      <c r="K25" s="24">
        <v>13020.4</v>
      </c>
    </row>
    <row r="26" spans="1:11" x14ac:dyDescent="0.25">
      <c r="A26" s="79">
        <v>45995</v>
      </c>
      <c r="B26" s="21" t="s">
        <v>412</v>
      </c>
      <c r="C26" s="21" t="s">
        <v>12</v>
      </c>
      <c r="D26" s="21" t="s">
        <v>40</v>
      </c>
      <c r="E26" s="21" t="s">
        <v>17</v>
      </c>
      <c r="F26" s="21"/>
      <c r="G26" s="24">
        <v>100</v>
      </c>
      <c r="H26" s="24"/>
      <c r="I26" s="21"/>
      <c r="J26" s="21" t="s">
        <v>72</v>
      </c>
      <c r="K26" s="24">
        <v>12920.4</v>
      </c>
    </row>
    <row r="27" spans="1:11" x14ac:dyDescent="0.25">
      <c r="A27" s="78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72</v>
      </c>
      <c r="K27" s="24">
        <v>12638.4</v>
      </c>
    </row>
    <row r="28" spans="1:11" x14ac:dyDescent="0.25">
      <c r="A28" s="78">
        <v>45995</v>
      </c>
      <c r="B28" s="21" t="s">
        <v>332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72</v>
      </c>
      <c r="K28" s="24">
        <v>14433.4</v>
      </c>
    </row>
    <row r="29" spans="1:11" x14ac:dyDescent="0.25">
      <c r="A29" s="79">
        <v>45995</v>
      </c>
      <c r="B29" s="21" t="s">
        <v>413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72</v>
      </c>
      <c r="K29" s="24">
        <v>14433.4</v>
      </c>
    </row>
    <row r="30" spans="1:11" x14ac:dyDescent="0.25">
      <c r="A30" s="78">
        <v>45996</v>
      </c>
      <c r="B30" s="21" t="s">
        <v>414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72</v>
      </c>
      <c r="K30" s="24">
        <v>5001.2199999999993</v>
      </c>
    </row>
    <row r="31" spans="1:11" x14ac:dyDescent="0.25">
      <c r="A31" s="78">
        <v>45996</v>
      </c>
      <c r="B31" s="21" t="s">
        <v>323</v>
      </c>
      <c r="C31" s="21" t="s">
        <v>12</v>
      </c>
      <c r="D31" s="21" t="s">
        <v>40</v>
      </c>
      <c r="E31" s="21" t="s">
        <v>17</v>
      </c>
      <c r="F31" s="21"/>
      <c r="G31" s="24">
        <v>9000</v>
      </c>
      <c r="H31" s="24"/>
      <c r="I31" s="21"/>
      <c r="J31" s="21" t="s">
        <v>72</v>
      </c>
      <c r="K31" s="24">
        <v>-3998.7800000000011</v>
      </c>
    </row>
    <row r="32" spans="1:11" x14ac:dyDescent="0.25">
      <c r="A32" s="78">
        <v>45996</v>
      </c>
      <c r="B32" s="21" t="s">
        <v>324</v>
      </c>
      <c r="C32" s="21" t="s">
        <v>12</v>
      </c>
      <c r="D32" s="21" t="s">
        <v>40</v>
      </c>
      <c r="E32" s="21" t="s">
        <v>17</v>
      </c>
      <c r="F32" s="21"/>
      <c r="G32" s="24">
        <v>90.85</v>
      </c>
      <c r="H32" s="24"/>
      <c r="I32" s="21"/>
      <c r="J32" s="21" t="s">
        <v>72</v>
      </c>
      <c r="K32" s="24">
        <v>-4089.630000000001</v>
      </c>
    </row>
    <row r="33" spans="1:11" x14ac:dyDescent="0.25">
      <c r="A33" s="79">
        <v>45996</v>
      </c>
      <c r="B33" s="21" t="s">
        <v>415</v>
      </c>
      <c r="C33" s="21" t="s">
        <v>12</v>
      </c>
      <c r="D33" s="21" t="s">
        <v>329</v>
      </c>
      <c r="E33" s="21" t="s">
        <v>17</v>
      </c>
      <c r="F33" s="21"/>
      <c r="G33" s="24">
        <v>3898.85</v>
      </c>
      <c r="H33" s="24"/>
      <c r="I33" s="21"/>
      <c r="J33" s="21" t="s">
        <v>72</v>
      </c>
      <c r="K33" s="24">
        <v>-7988.48</v>
      </c>
    </row>
    <row r="34" spans="1:11" x14ac:dyDescent="0.25">
      <c r="A34" s="79">
        <v>45996</v>
      </c>
      <c r="B34" s="21" t="s">
        <v>332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72</v>
      </c>
      <c r="K34" s="24">
        <v>-4126.4799999999996</v>
      </c>
    </row>
    <row r="35" spans="1:11" x14ac:dyDescent="0.25">
      <c r="A35" s="78">
        <v>45996</v>
      </c>
      <c r="B35" s="21" t="s">
        <v>45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72</v>
      </c>
      <c r="K35" s="24">
        <v>-3941.360000000001</v>
      </c>
    </row>
    <row r="36" spans="1:11" x14ac:dyDescent="0.25">
      <c r="A36" s="78">
        <v>45996</v>
      </c>
      <c r="B36" s="21" t="s">
        <v>403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72</v>
      </c>
      <c r="K36" s="24">
        <v>-4317.3600000000006</v>
      </c>
    </row>
    <row r="37" spans="1:11" x14ac:dyDescent="0.25">
      <c r="A37" s="78">
        <v>45996</v>
      </c>
      <c r="B37" s="21" t="s">
        <v>343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72</v>
      </c>
      <c r="K37" s="24">
        <v>-5141.3600000000006</v>
      </c>
    </row>
    <row r="38" spans="1:11" x14ac:dyDescent="0.25">
      <c r="A38" s="78">
        <v>45996</v>
      </c>
      <c r="B38" s="21" t="s">
        <v>416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72</v>
      </c>
      <c r="K38" s="24">
        <v>-5291.3600000000006</v>
      </c>
    </row>
    <row r="39" spans="1:11" x14ac:dyDescent="0.25">
      <c r="A39" s="78">
        <v>45996</v>
      </c>
      <c r="B39" s="21" t="s">
        <v>46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72</v>
      </c>
      <c r="K39" s="24">
        <v>-5318.3600000000006</v>
      </c>
    </row>
    <row r="40" spans="1:11" x14ac:dyDescent="0.25">
      <c r="A40" s="78">
        <v>45997</v>
      </c>
      <c r="B40" s="21" t="s">
        <v>332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72</v>
      </c>
      <c r="K40" s="24">
        <v>3474.639999999999</v>
      </c>
    </row>
    <row r="41" spans="1:11" x14ac:dyDescent="0.25">
      <c r="A41" s="78">
        <v>45997</v>
      </c>
      <c r="B41" s="21" t="s">
        <v>45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72</v>
      </c>
      <c r="K41" s="24">
        <v>3875.3399999999988</v>
      </c>
    </row>
    <row r="42" spans="1:11" x14ac:dyDescent="0.25">
      <c r="A42" s="78">
        <v>45997</v>
      </c>
      <c r="B42" s="21" t="s">
        <v>46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72</v>
      </c>
      <c r="K42" s="24">
        <v>3821.3399999999988</v>
      </c>
    </row>
    <row r="43" spans="1:11" x14ac:dyDescent="0.25">
      <c r="A43" s="78">
        <v>45997</v>
      </c>
      <c r="B43" s="21" t="s">
        <v>34</v>
      </c>
      <c r="C43" s="21" t="s">
        <v>12</v>
      </c>
      <c r="D43" s="21" t="s">
        <v>34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72</v>
      </c>
      <c r="K43" s="24">
        <v>3701.3399999999988</v>
      </c>
    </row>
    <row r="44" spans="1:11" x14ac:dyDescent="0.25">
      <c r="A44" s="78">
        <v>45998</v>
      </c>
      <c r="B44" s="21" t="s">
        <v>34</v>
      </c>
      <c r="C44" s="21" t="s">
        <v>12</v>
      </c>
      <c r="D44" s="21" t="s">
        <v>34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72</v>
      </c>
      <c r="K44" s="24">
        <v>3581.3399999999988</v>
      </c>
    </row>
    <row r="45" spans="1:11" x14ac:dyDescent="0.25">
      <c r="A45" s="78">
        <v>45998</v>
      </c>
      <c r="B45" s="21" t="s">
        <v>332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72</v>
      </c>
      <c r="K45" s="24">
        <v>11593.34</v>
      </c>
    </row>
    <row r="46" spans="1:11" x14ac:dyDescent="0.25">
      <c r="A46" s="78">
        <v>45998</v>
      </c>
      <c r="B46" s="21" t="s">
        <v>45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72</v>
      </c>
      <c r="K46" s="24">
        <v>12110.25</v>
      </c>
    </row>
    <row r="47" spans="1:11" x14ac:dyDescent="0.25">
      <c r="A47" s="78">
        <v>45998</v>
      </c>
      <c r="B47" s="21" t="s">
        <v>46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72</v>
      </c>
      <c r="K47" s="24">
        <v>12029.25</v>
      </c>
    </row>
    <row r="48" spans="1:11" x14ac:dyDescent="0.25">
      <c r="A48" s="79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72</v>
      </c>
      <c r="K48" s="24">
        <v>11794.25</v>
      </c>
    </row>
    <row r="49" spans="1:11" x14ac:dyDescent="0.25">
      <c r="A49" s="78">
        <v>45999</v>
      </c>
      <c r="B49" s="21" t="s">
        <v>417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72</v>
      </c>
      <c r="K49" s="24">
        <v>11534.25</v>
      </c>
    </row>
    <row r="50" spans="1:11" x14ac:dyDescent="0.25">
      <c r="A50" s="78">
        <v>45999</v>
      </c>
      <c r="B50" s="21" t="s">
        <v>418</v>
      </c>
      <c r="C50" s="21" t="s">
        <v>12</v>
      </c>
      <c r="D50" s="21" t="s">
        <v>69</v>
      </c>
      <c r="E50" s="21" t="s">
        <v>17</v>
      </c>
      <c r="F50" s="21"/>
      <c r="G50" s="24">
        <v>1000</v>
      </c>
      <c r="H50" s="24"/>
      <c r="J50" s="21" t="s">
        <v>72</v>
      </c>
      <c r="K50" s="24">
        <v>10534.25</v>
      </c>
    </row>
    <row r="51" spans="1:11" x14ac:dyDescent="0.25">
      <c r="A51" s="78">
        <v>45999</v>
      </c>
      <c r="B51" s="21" t="s">
        <v>419</v>
      </c>
      <c r="C51" s="21" t="s">
        <v>12</v>
      </c>
      <c r="D51" s="21" t="s">
        <v>40</v>
      </c>
      <c r="E51" s="21" t="s">
        <v>14</v>
      </c>
      <c r="F51" s="21" t="s">
        <v>15</v>
      </c>
      <c r="G51" s="24">
        <v>2473.41</v>
      </c>
      <c r="H51" s="24"/>
      <c r="J51" s="21" t="s">
        <v>72</v>
      </c>
      <c r="K51" s="24">
        <v>8060.84</v>
      </c>
    </row>
    <row r="52" spans="1:11" x14ac:dyDescent="0.25">
      <c r="A52" s="78">
        <v>45999</v>
      </c>
      <c r="B52" s="21" t="s">
        <v>350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72</v>
      </c>
      <c r="K52" s="24">
        <v>4852.72</v>
      </c>
    </row>
    <row r="53" spans="1:11" x14ac:dyDescent="0.25">
      <c r="A53" s="78">
        <v>45999</v>
      </c>
      <c r="B53" s="21" t="s">
        <v>420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72</v>
      </c>
      <c r="K53" s="24">
        <v>3824.58</v>
      </c>
    </row>
    <row r="54" spans="1:11" x14ac:dyDescent="0.25">
      <c r="A54" s="78">
        <v>45999</v>
      </c>
      <c r="B54" s="21" t="s">
        <v>421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72</v>
      </c>
      <c r="K54" s="24">
        <v>2804.03</v>
      </c>
    </row>
    <row r="55" spans="1:11" x14ac:dyDescent="0.25">
      <c r="A55" s="78">
        <v>45999</v>
      </c>
      <c r="B55" s="21" t="s">
        <v>422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72</v>
      </c>
      <c r="K55" s="24">
        <v>-195.97000000000031</v>
      </c>
    </row>
    <row r="56" spans="1:11" x14ac:dyDescent="0.25">
      <c r="A56" s="78">
        <v>45999</v>
      </c>
      <c r="B56" s="21" t="s">
        <v>332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72</v>
      </c>
      <c r="K56" s="24">
        <v>2882.03</v>
      </c>
    </row>
    <row r="57" spans="1:11" x14ac:dyDescent="0.25">
      <c r="A57" s="78">
        <v>46000</v>
      </c>
      <c r="B57" s="21" t="s">
        <v>332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72</v>
      </c>
      <c r="K57" s="24">
        <v>3640.03</v>
      </c>
    </row>
    <row r="58" spans="1:11" x14ac:dyDescent="0.25">
      <c r="A58" s="78">
        <v>45993</v>
      </c>
      <c r="B58" s="21" t="s">
        <v>357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72</v>
      </c>
      <c r="K58" s="24">
        <v>3664.33</v>
      </c>
    </row>
    <row r="59" spans="1:11" x14ac:dyDescent="0.25">
      <c r="A59" s="78">
        <v>46000</v>
      </c>
      <c r="B59" s="21" t="s">
        <v>46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72</v>
      </c>
      <c r="K59" s="24">
        <v>3655.33</v>
      </c>
    </row>
    <row r="60" spans="1:11" x14ac:dyDescent="0.25">
      <c r="A60" s="78">
        <v>46001</v>
      </c>
      <c r="B60" s="21" t="s">
        <v>332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72</v>
      </c>
      <c r="K60" s="24">
        <v>4901.33</v>
      </c>
    </row>
    <row r="61" spans="1:11" x14ac:dyDescent="0.25">
      <c r="A61" s="78">
        <v>46001</v>
      </c>
      <c r="B61" s="21" t="s">
        <v>357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72</v>
      </c>
      <c r="K61" s="24">
        <v>4935.63</v>
      </c>
    </row>
    <row r="62" spans="1:11" x14ac:dyDescent="0.25">
      <c r="A62" s="78">
        <v>46002</v>
      </c>
      <c r="B62" s="21" t="s">
        <v>423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72</v>
      </c>
      <c r="K62" s="24">
        <v>4557.13</v>
      </c>
    </row>
    <row r="63" spans="1:11" x14ac:dyDescent="0.25">
      <c r="A63" s="78">
        <v>46002</v>
      </c>
      <c r="B63" s="21" t="s">
        <v>424</v>
      </c>
      <c r="C63" s="21" t="s">
        <v>12</v>
      </c>
      <c r="D63" s="21" t="s">
        <v>67</v>
      </c>
      <c r="E63" s="21" t="s">
        <v>17</v>
      </c>
      <c r="F63" s="21" t="s">
        <v>25</v>
      </c>
      <c r="G63" s="24">
        <v>8013.92</v>
      </c>
      <c r="H63" s="24"/>
      <c r="J63" s="21" t="s">
        <v>72</v>
      </c>
      <c r="K63" s="24">
        <v>-3456.79</v>
      </c>
    </row>
    <row r="64" spans="1:11" x14ac:dyDescent="0.25">
      <c r="A64" s="78">
        <v>37601</v>
      </c>
      <c r="B64" s="21" t="s">
        <v>425</v>
      </c>
      <c r="C64" s="21" t="s">
        <v>12</v>
      </c>
      <c r="D64" s="21" t="s">
        <v>69</v>
      </c>
      <c r="E64" s="21" t="s">
        <v>17</v>
      </c>
      <c r="F64" s="21" t="s">
        <v>25</v>
      </c>
      <c r="G64" s="24">
        <v>450</v>
      </c>
      <c r="H64" s="24"/>
      <c r="J64" s="21" t="s">
        <v>426</v>
      </c>
      <c r="K64" s="24">
        <v>-3906.79</v>
      </c>
    </row>
    <row r="65" spans="1:11" x14ac:dyDescent="0.25">
      <c r="A65" s="78">
        <v>46002</v>
      </c>
      <c r="B65" s="21" t="s">
        <v>427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72</v>
      </c>
      <c r="K65" s="24">
        <v>-3986.79</v>
      </c>
    </row>
    <row r="66" spans="1:11" x14ac:dyDescent="0.25">
      <c r="A66" s="78">
        <v>46002</v>
      </c>
      <c r="B66" s="21" t="s">
        <v>428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72</v>
      </c>
      <c r="K66" s="24">
        <v>-4186.79</v>
      </c>
    </row>
    <row r="67" spans="1:11" x14ac:dyDescent="0.25">
      <c r="A67" s="78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72</v>
      </c>
      <c r="K67" s="24">
        <v>-4336.79</v>
      </c>
    </row>
    <row r="68" spans="1:11" x14ac:dyDescent="0.25">
      <c r="A68" s="78">
        <v>46002</v>
      </c>
      <c r="B68" s="21" t="s">
        <v>332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72</v>
      </c>
      <c r="K68" s="24">
        <v>-2056.79</v>
      </c>
    </row>
    <row r="69" spans="1:11" x14ac:dyDescent="0.25">
      <c r="A69" s="78">
        <v>46002</v>
      </c>
      <c r="B69" s="21" t="s">
        <v>357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72</v>
      </c>
      <c r="K69" s="24">
        <v>-2007.79</v>
      </c>
    </row>
    <row r="70" spans="1:11" x14ac:dyDescent="0.25">
      <c r="A70" s="78">
        <v>46002</v>
      </c>
      <c r="B70" s="21" t="s">
        <v>46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72</v>
      </c>
      <c r="K70" s="24">
        <v>-2033.79</v>
      </c>
    </row>
    <row r="71" spans="1:11" x14ac:dyDescent="0.25">
      <c r="A71" s="78">
        <v>46003</v>
      </c>
      <c r="B71" s="21" t="s">
        <v>374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72</v>
      </c>
      <c r="K71" s="24">
        <v>2575.21</v>
      </c>
    </row>
    <row r="72" spans="1:11" x14ac:dyDescent="0.25">
      <c r="A72" s="78">
        <v>46003</v>
      </c>
      <c r="B72" s="21" t="s">
        <v>429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72</v>
      </c>
      <c r="K72" s="24">
        <v>2712.78</v>
      </c>
    </row>
    <row r="73" spans="1:11" x14ac:dyDescent="0.25">
      <c r="A73" s="78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72</v>
      </c>
      <c r="K73" s="24">
        <v>2676.78</v>
      </c>
    </row>
    <row r="74" spans="1:11" x14ac:dyDescent="0.25">
      <c r="A74" s="78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72</v>
      </c>
      <c r="K74" s="24">
        <v>2168.7800000000002</v>
      </c>
    </row>
    <row r="75" spans="1:11" x14ac:dyDescent="0.25">
      <c r="A75" s="78">
        <v>46004</v>
      </c>
      <c r="B75" s="21" t="s">
        <v>374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72</v>
      </c>
      <c r="K75" s="24">
        <v>8432.2800000000007</v>
      </c>
    </row>
    <row r="76" spans="1:11" x14ac:dyDescent="0.25">
      <c r="A76" s="78">
        <v>46004</v>
      </c>
      <c r="B76" s="21" t="s">
        <v>357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72</v>
      </c>
      <c r="K76" s="24">
        <v>8741.58</v>
      </c>
    </row>
    <row r="77" spans="1:11" x14ac:dyDescent="0.25">
      <c r="A77" s="78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72</v>
      </c>
      <c r="K77" s="24">
        <v>8697.58</v>
      </c>
    </row>
    <row r="78" spans="1:11" x14ac:dyDescent="0.25">
      <c r="A78" s="78">
        <v>46005</v>
      </c>
      <c r="B78" s="21" t="s">
        <v>332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72</v>
      </c>
      <c r="K78" s="24">
        <v>16155.58</v>
      </c>
    </row>
    <row r="79" spans="1:11" x14ac:dyDescent="0.25">
      <c r="A79" s="78">
        <v>46005</v>
      </c>
      <c r="B79" s="21" t="s">
        <v>357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72</v>
      </c>
      <c r="K79" s="24">
        <v>16426.919999999998</v>
      </c>
    </row>
    <row r="80" spans="1:11" x14ac:dyDescent="0.25">
      <c r="A80" s="78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72</v>
      </c>
      <c r="K80" s="24">
        <v>16373.92</v>
      </c>
    </row>
    <row r="81" spans="1:11" x14ac:dyDescent="0.25">
      <c r="A81" s="78">
        <v>46005</v>
      </c>
      <c r="B81" s="21" t="s">
        <v>430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72</v>
      </c>
      <c r="K81" s="24">
        <v>16353.92</v>
      </c>
    </row>
    <row r="82" spans="1:11" x14ac:dyDescent="0.25">
      <c r="A82" s="78">
        <v>46006</v>
      </c>
      <c r="B82" s="21" t="s">
        <v>431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72</v>
      </c>
      <c r="K82" s="24">
        <v>14353.92</v>
      </c>
    </row>
    <row r="83" spans="1:11" x14ac:dyDescent="0.25">
      <c r="A83" s="78">
        <v>46006</v>
      </c>
      <c r="B83" s="21" t="s">
        <v>371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72</v>
      </c>
      <c r="K83" s="24">
        <v>12871.87</v>
      </c>
    </row>
    <row r="84" spans="1:11" x14ac:dyDescent="0.25">
      <c r="A84" s="80">
        <v>46006</v>
      </c>
      <c r="B84" s="21" t="s">
        <v>371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72</v>
      </c>
      <c r="K84" s="24">
        <v>12287.48</v>
      </c>
    </row>
    <row r="85" spans="1:11" x14ac:dyDescent="0.25">
      <c r="A85" s="78">
        <v>46006</v>
      </c>
      <c r="B85" s="21" t="s">
        <v>350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72</v>
      </c>
      <c r="K85" s="24">
        <v>10140.82</v>
      </c>
    </row>
    <row r="86" spans="1:11" x14ac:dyDescent="0.25">
      <c r="A86" s="78">
        <v>46006</v>
      </c>
      <c r="B86" s="21" t="s">
        <v>432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72</v>
      </c>
      <c r="K86" s="24">
        <v>10056.48</v>
      </c>
    </row>
    <row r="87" spans="1:11" x14ac:dyDescent="0.25">
      <c r="A87" s="78">
        <v>46006</v>
      </c>
      <c r="B87" s="21" t="s">
        <v>433</v>
      </c>
      <c r="C87" s="21" t="s">
        <v>12</v>
      </c>
      <c r="D87" s="21" t="s">
        <v>65</v>
      </c>
      <c r="E87" s="21" t="s">
        <v>17</v>
      </c>
      <c r="F87" s="21"/>
      <c r="G87" s="24">
        <v>1166.74</v>
      </c>
      <c r="H87" s="24"/>
      <c r="J87" s="21" t="s">
        <v>72</v>
      </c>
      <c r="K87" s="24">
        <v>8889.74</v>
      </c>
    </row>
    <row r="88" spans="1:11" x14ac:dyDescent="0.25">
      <c r="A88" s="78">
        <v>46006</v>
      </c>
      <c r="B88" s="21" t="s">
        <v>392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72</v>
      </c>
      <c r="K88" s="24">
        <v>8442.08</v>
      </c>
    </row>
    <row r="89" spans="1:11" x14ac:dyDescent="0.25">
      <c r="A89" s="78">
        <v>46006</v>
      </c>
      <c r="B89" s="21" t="s">
        <v>346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72</v>
      </c>
      <c r="K89" s="24">
        <v>8022.33</v>
      </c>
    </row>
    <row r="90" spans="1:11" x14ac:dyDescent="0.25">
      <c r="A90" s="78">
        <v>46006</v>
      </c>
      <c r="B90" s="21" t="s">
        <v>350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72</v>
      </c>
      <c r="K90" s="24">
        <v>7784.72</v>
      </c>
    </row>
    <row r="91" spans="1:11" x14ac:dyDescent="0.25">
      <c r="A91" s="78">
        <v>46006</v>
      </c>
      <c r="B91" s="21" t="s">
        <v>350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72</v>
      </c>
      <c r="K91" s="24">
        <v>7269.9000000000005</v>
      </c>
    </row>
    <row r="92" spans="1:11" x14ac:dyDescent="0.25">
      <c r="A92" s="78">
        <v>46006</v>
      </c>
      <c r="B92" s="21" t="s">
        <v>434</v>
      </c>
      <c r="C92" s="21" t="s">
        <v>12</v>
      </c>
      <c r="D92" s="21" t="s">
        <v>40</v>
      </c>
      <c r="E92" s="21" t="s">
        <v>17</v>
      </c>
      <c r="F92" s="21"/>
      <c r="G92" s="24">
        <v>99.9</v>
      </c>
      <c r="H92" s="24"/>
      <c r="J92" s="21" t="s">
        <v>72</v>
      </c>
      <c r="K92" s="24">
        <v>7170.0000000000009</v>
      </c>
    </row>
    <row r="93" spans="1:11" x14ac:dyDescent="0.25">
      <c r="A93" s="78">
        <v>46006</v>
      </c>
      <c r="B93" s="21" t="s">
        <v>435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72</v>
      </c>
      <c r="K93" s="24">
        <v>6933.4000000000005</v>
      </c>
    </row>
    <row r="94" spans="1:11" x14ac:dyDescent="0.25">
      <c r="A94" s="78">
        <v>46006</v>
      </c>
      <c r="B94" s="21" t="s">
        <v>371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72</v>
      </c>
      <c r="K94" s="24">
        <v>3892.83</v>
      </c>
    </row>
    <row r="95" spans="1:11" x14ac:dyDescent="0.25">
      <c r="A95" s="21" t="s">
        <v>436</v>
      </c>
      <c r="B95" s="21" t="s">
        <v>409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436</v>
      </c>
      <c r="K95" s="24">
        <v>3226.83</v>
      </c>
    </row>
    <row r="96" spans="1:11" x14ac:dyDescent="0.25">
      <c r="A96" s="78">
        <v>46006</v>
      </c>
      <c r="B96" s="21" t="s">
        <v>403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72</v>
      </c>
      <c r="K96" s="24">
        <v>3132.83</v>
      </c>
    </row>
    <row r="97" spans="1:11" x14ac:dyDescent="0.25">
      <c r="A97" s="78">
        <v>46006</v>
      </c>
      <c r="B97" s="21" t="s">
        <v>332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72</v>
      </c>
      <c r="K97" s="24">
        <v>5438.83</v>
      </c>
    </row>
    <row r="98" spans="1:11" x14ac:dyDescent="0.25">
      <c r="A98" s="81">
        <v>46007</v>
      </c>
      <c r="B98" s="21" t="s">
        <v>356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72</v>
      </c>
      <c r="K98" s="24">
        <v>4766.2700000000004</v>
      </c>
    </row>
    <row r="99" spans="1:11" x14ac:dyDescent="0.25">
      <c r="A99" s="78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72</v>
      </c>
      <c r="K99" s="24">
        <v>4672.2700000000004</v>
      </c>
    </row>
    <row r="100" spans="1:11" x14ac:dyDescent="0.25">
      <c r="A100" s="78">
        <v>46007</v>
      </c>
      <c r="B100" s="21" t="s">
        <v>357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72</v>
      </c>
      <c r="K100" s="24">
        <v>4740.8700000000008</v>
      </c>
    </row>
    <row r="101" spans="1:11" x14ac:dyDescent="0.25">
      <c r="A101" s="78">
        <v>46007</v>
      </c>
      <c r="B101" s="21" t="s">
        <v>374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72</v>
      </c>
      <c r="K101" s="24">
        <v>7552.8700000000008</v>
      </c>
    </row>
    <row r="102" spans="1:11" x14ac:dyDescent="0.25">
      <c r="A102" s="78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72</v>
      </c>
      <c r="K102" s="24">
        <v>7543.8700000000008</v>
      </c>
    </row>
    <row r="103" spans="1:11" x14ac:dyDescent="0.25">
      <c r="A103" s="78">
        <v>46008</v>
      </c>
      <c r="B103" s="21" t="s">
        <v>420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72</v>
      </c>
      <c r="K103" s="24">
        <v>7214.48</v>
      </c>
    </row>
    <row r="104" spans="1:11" x14ac:dyDescent="0.25">
      <c r="A104" s="78">
        <v>46008</v>
      </c>
      <c r="B104" s="21" t="s">
        <v>352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72</v>
      </c>
      <c r="K104" s="24">
        <v>6388.63</v>
      </c>
    </row>
    <row r="105" spans="1:11" x14ac:dyDescent="0.25">
      <c r="A105" s="78">
        <v>46008</v>
      </c>
      <c r="B105" s="21" t="s">
        <v>437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72</v>
      </c>
      <c r="K105" s="24">
        <v>6110.63</v>
      </c>
    </row>
    <row r="106" spans="1:11" x14ac:dyDescent="0.25">
      <c r="A106" s="78">
        <v>46008</v>
      </c>
      <c r="B106" s="21" t="s">
        <v>374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72</v>
      </c>
      <c r="K106" s="24">
        <v>7652.63</v>
      </c>
    </row>
    <row r="107" spans="1:11" x14ac:dyDescent="0.25">
      <c r="A107" s="78">
        <v>46008</v>
      </c>
      <c r="B107" s="21" t="s">
        <v>438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72</v>
      </c>
      <c r="K107" s="24">
        <v>7761.86</v>
      </c>
    </row>
    <row r="108" spans="1:11" x14ac:dyDescent="0.25">
      <c r="A108" s="78">
        <v>46008</v>
      </c>
      <c r="B108" s="21" t="s">
        <v>46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72</v>
      </c>
      <c r="K108" s="24">
        <v>7743.86</v>
      </c>
    </row>
    <row r="109" spans="1:11" x14ac:dyDescent="0.25">
      <c r="A109" s="78">
        <v>46009</v>
      </c>
      <c r="B109" s="21" t="s">
        <v>408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72</v>
      </c>
      <c r="K109" s="24">
        <v>6382.8899999999994</v>
      </c>
    </row>
    <row r="110" spans="1:11" x14ac:dyDescent="0.25">
      <c r="A110" s="78">
        <v>46009</v>
      </c>
      <c r="B110" s="21" t="s">
        <v>332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72</v>
      </c>
      <c r="K110" s="24">
        <v>8328.89</v>
      </c>
    </row>
    <row r="111" spans="1:11" x14ac:dyDescent="0.25">
      <c r="A111" s="78">
        <v>46009</v>
      </c>
      <c r="B111" s="21" t="s">
        <v>438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72</v>
      </c>
      <c r="K111" s="24">
        <v>8328.89</v>
      </c>
    </row>
    <row r="112" spans="1:11" x14ac:dyDescent="0.25">
      <c r="A112" s="80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72</v>
      </c>
      <c r="K112" s="24">
        <v>8041.8899999999994</v>
      </c>
    </row>
    <row r="113" spans="1:11" x14ac:dyDescent="0.25">
      <c r="A113" s="78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72</v>
      </c>
      <c r="K113" s="24">
        <v>8041.8899999999994</v>
      </c>
    </row>
    <row r="114" spans="1:11" x14ac:dyDescent="0.25">
      <c r="A114" s="78">
        <v>46010</v>
      </c>
      <c r="B114" s="21" t="s">
        <v>439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72</v>
      </c>
      <c r="K114" s="24">
        <v>6490.44</v>
      </c>
    </row>
    <row r="115" spans="1:11" x14ac:dyDescent="0.25">
      <c r="A115" s="80">
        <v>46010</v>
      </c>
      <c r="B115" s="21" t="s">
        <v>440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72</v>
      </c>
      <c r="K115" s="24">
        <v>4148.66</v>
      </c>
    </row>
    <row r="116" spans="1:11" x14ac:dyDescent="0.25">
      <c r="A116" s="78">
        <v>46010</v>
      </c>
      <c r="B116" s="21" t="s">
        <v>441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72</v>
      </c>
      <c r="K116" s="24">
        <v>2481.9899999999998</v>
      </c>
    </row>
    <row r="117" spans="1:11" x14ac:dyDescent="0.25">
      <c r="A117" s="78">
        <v>46010</v>
      </c>
      <c r="B117" s="21" t="s">
        <v>442</v>
      </c>
      <c r="C117" s="21" t="s">
        <v>12</v>
      </c>
      <c r="D117" s="21" t="s">
        <v>34</v>
      </c>
      <c r="E117" s="21" t="s">
        <v>14</v>
      </c>
      <c r="F117" s="21" t="s">
        <v>15</v>
      </c>
      <c r="G117" s="24">
        <v>21</v>
      </c>
      <c r="H117" s="24"/>
      <c r="J117" s="21" t="s">
        <v>72</v>
      </c>
      <c r="K117" s="24">
        <v>2460.9899999999998</v>
      </c>
    </row>
    <row r="118" spans="1:11" x14ac:dyDescent="0.25">
      <c r="A118" s="78">
        <v>46010</v>
      </c>
      <c r="B118" s="21" t="s">
        <v>443</v>
      </c>
      <c r="C118" s="21" t="s">
        <v>12</v>
      </c>
      <c r="D118" s="21" t="s">
        <v>59</v>
      </c>
      <c r="E118" s="21" t="s">
        <v>17</v>
      </c>
      <c r="F118" s="21"/>
      <c r="G118" s="24">
        <v>329.11</v>
      </c>
      <c r="H118" s="24"/>
      <c r="J118" s="21" t="s">
        <v>72</v>
      </c>
      <c r="K118" s="24">
        <v>2131.88</v>
      </c>
    </row>
    <row r="119" spans="1:11" x14ac:dyDescent="0.25">
      <c r="A119" s="78">
        <v>46010</v>
      </c>
      <c r="B119" s="21" t="s">
        <v>302</v>
      </c>
      <c r="C119" s="21" t="s">
        <v>12</v>
      </c>
      <c r="D119" s="21" t="s">
        <v>59</v>
      </c>
      <c r="E119" s="21" t="s">
        <v>17</v>
      </c>
      <c r="F119" s="21"/>
      <c r="G119" s="24">
        <v>1036.17</v>
      </c>
      <c r="H119" s="24"/>
      <c r="J119" s="21" t="s">
        <v>72</v>
      </c>
      <c r="K119" s="24">
        <v>1095.71</v>
      </c>
    </row>
    <row r="120" spans="1:11" x14ac:dyDescent="0.25">
      <c r="A120" s="78">
        <v>46010</v>
      </c>
      <c r="B120" s="21" t="s">
        <v>358</v>
      </c>
      <c r="C120" s="21" t="s">
        <v>12</v>
      </c>
      <c r="D120" s="21" t="s">
        <v>59</v>
      </c>
      <c r="E120" s="21" t="s">
        <v>17</v>
      </c>
      <c r="F120" s="21"/>
      <c r="G120" s="24">
        <v>1106.22</v>
      </c>
      <c r="H120" s="24"/>
      <c r="J120" s="21" t="s">
        <v>72</v>
      </c>
      <c r="K120" s="24">
        <v>-10.510000000000449</v>
      </c>
    </row>
    <row r="121" spans="1:11" x14ac:dyDescent="0.25">
      <c r="A121" s="78">
        <v>46010</v>
      </c>
      <c r="B121" s="21" t="s">
        <v>403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72</v>
      </c>
      <c r="K121" s="24">
        <v>-433.51000000000039</v>
      </c>
    </row>
    <row r="122" spans="1:11" x14ac:dyDescent="0.25">
      <c r="A122" s="78">
        <v>46010</v>
      </c>
      <c r="B122" s="21" t="s">
        <v>332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72</v>
      </c>
      <c r="K122" s="24">
        <v>2310.4899999999998</v>
      </c>
    </row>
    <row r="123" spans="1:11" x14ac:dyDescent="0.25">
      <c r="A123" s="78">
        <v>46010</v>
      </c>
      <c r="B123" s="21" t="s">
        <v>357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72</v>
      </c>
      <c r="K123" s="24">
        <v>2465.42</v>
      </c>
    </row>
    <row r="124" spans="1:11" x14ac:dyDescent="0.25">
      <c r="A124" s="78">
        <v>46010</v>
      </c>
      <c r="B124" s="21" t="s">
        <v>46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72</v>
      </c>
      <c r="K124" s="24">
        <v>2440.42</v>
      </c>
    </row>
    <row r="125" spans="1:11" x14ac:dyDescent="0.25">
      <c r="A125" s="80">
        <v>46011</v>
      </c>
      <c r="B125" s="21" t="s">
        <v>332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72</v>
      </c>
      <c r="K125" s="24">
        <v>12548.42</v>
      </c>
    </row>
    <row r="126" spans="1:11" x14ac:dyDescent="0.25">
      <c r="A126" s="78">
        <v>46011</v>
      </c>
      <c r="B126" s="21" t="s">
        <v>357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72</v>
      </c>
      <c r="K126" s="24">
        <v>12698.39</v>
      </c>
    </row>
    <row r="127" spans="1:11" x14ac:dyDescent="0.25">
      <c r="A127" s="78">
        <v>46011</v>
      </c>
      <c r="B127" s="21" t="s">
        <v>46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72</v>
      </c>
      <c r="K127" s="24">
        <v>12671.39</v>
      </c>
    </row>
    <row r="128" spans="1:11" x14ac:dyDescent="0.25">
      <c r="A128" s="78">
        <v>46012</v>
      </c>
      <c r="B128" s="21" t="s">
        <v>332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72</v>
      </c>
      <c r="K128" s="24">
        <v>24021.39</v>
      </c>
    </row>
    <row r="129" spans="1:11" x14ac:dyDescent="0.25">
      <c r="A129" s="78">
        <v>46012</v>
      </c>
      <c r="B129" s="21" t="s">
        <v>438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72</v>
      </c>
      <c r="K129" s="24">
        <v>24460.26</v>
      </c>
    </row>
    <row r="130" spans="1:11" x14ac:dyDescent="0.25">
      <c r="A130" s="78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72</v>
      </c>
      <c r="K130" s="24">
        <v>24390.26</v>
      </c>
    </row>
    <row r="131" spans="1:11" x14ac:dyDescent="0.25">
      <c r="A131" s="78">
        <v>46012</v>
      </c>
      <c r="B131" s="21" t="s">
        <v>34</v>
      </c>
      <c r="C131" s="21" t="s">
        <v>12</v>
      </c>
      <c r="D131" s="21" t="s">
        <v>34</v>
      </c>
      <c r="E131" s="21" t="s">
        <v>14</v>
      </c>
      <c r="F131" s="21" t="s">
        <v>15</v>
      </c>
      <c r="G131" s="24">
        <v>120</v>
      </c>
      <c r="H131" s="24"/>
      <c r="J131" s="21" t="s">
        <v>72</v>
      </c>
      <c r="K131" s="24">
        <v>24270.26</v>
      </c>
    </row>
    <row r="132" spans="1:11" x14ac:dyDescent="0.25">
      <c r="A132" s="78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72</v>
      </c>
      <c r="K132" s="24">
        <v>24129.26</v>
      </c>
    </row>
    <row r="133" spans="1:11" x14ac:dyDescent="0.25">
      <c r="A133" s="78">
        <v>46013</v>
      </c>
      <c r="B133" s="21" t="s">
        <v>444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72</v>
      </c>
      <c r="K133" s="24">
        <v>23312.07</v>
      </c>
    </row>
    <row r="134" spans="1:11" x14ac:dyDescent="0.25">
      <c r="A134" s="78">
        <v>46013</v>
      </c>
      <c r="B134" s="21" t="s">
        <v>392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72</v>
      </c>
      <c r="K134" s="24">
        <v>22887.82</v>
      </c>
    </row>
    <row r="135" spans="1:11" x14ac:dyDescent="0.25">
      <c r="A135" s="78">
        <v>46013</v>
      </c>
      <c r="B135" s="21" t="s">
        <v>392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72</v>
      </c>
      <c r="K135" s="24">
        <v>22470.83</v>
      </c>
    </row>
    <row r="136" spans="1:11" x14ac:dyDescent="0.25">
      <c r="A136" s="78">
        <v>46013</v>
      </c>
      <c r="B136" s="21" t="s">
        <v>445</v>
      </c>
      <c r="C136" s="21" t="s">
        <v>12</v>
      </c>
      <c r="D136" s="21" t="s">
        <v>59</v>
      </c>
      <c r="E136" s="21" t="s">
        <v>17</v>
      </c>
      <c r="F136" s="21"/>
      <c r="G136" s="24">
        <v>477.12</v>
      </c>
      <c r="H136" s="24"/>
      <c r="J136" s="21" t="s">
        <v>72</v>
      </c>
      <c r="K136" s="24">
        <v>21993.71</v>
      </c>
    </row>
    <row r="137" spans="1:11" x14ac:dyDescent="0.25">
      <c r="A137" s="21" t="s">
        <v>446</v>
      </c>
      <c r="B137" s="21" t="s">
        <v>447</v>
      </c>
      <c r="C137" s="21" t="s">
        <v>12</v>
      </c>
      <c r="D137" s="21" t="s">
        <v>59</v>
      </c>
      <c r="E137" s="21" t="s">
        <v>17</v>
      </c>
      <c r="F137" s="21"/>
      <c r="G137" s="24">
        <v>11212.31</v>
      </c>
      <c r="H137" s="24"/>
      <c r="J137" s="21" t="s">
        <v>446</v>
      </c>
      <c r="K137" s="24">
        <v>10781.4</v>
      </c>
    </row>
    <row r="138" spans="1:11" x14ac:dyDescent="0.25">
      <c r="A138" s="78">
        <v>46013</v>
      </c>
      <c r="B138" s="21" t="s">
        <v>417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72</v>
      </c>
      <c r="K138" s="24">
        <v>10511.4</v>
      </c>
    </row>
    <row r="139" spans="1:11" x14ac:dyDescent="0.25">
      <c r="A139" s="78">
        <v>46013</v>
      </c>
      <c r="B139" s="21" t="s">
        <v>403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72</v>
      </c>
      <c r="K139" s="24">
        <v>10370.4</v>
      </c>
    </row>
    <row r="140" spans="1:11" x14ac:dyDescent="0.25">
      <c r="A140" s="78">
        <v>46013</v>
      </c>
      <c r="B140" s="21" t="s">
        <v>374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72</v>
      </c>
      <c r="K140" s="24">
        <v>15620.4</v>
      </c>
    </row>
    <row r="141" spans="1:11" x14ac:dyDescent="0.25">
      <c r="A141" s="21" t="s">
        <v>448</v>
      </c>
      <c r="B141" s="21" t="s">
        <v>372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448</v>
      </c>
      <c r="K141" s="24">
        <v>15542.4</v>
      </c>
    </row>
    <row r="142" spans="1:11" x14ac:dyDescent="0.25">
      <c r="A142" s="78">
        <v>46014</v>
      </c>
      <c r="B142" s="21" t="s">
        <v>449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72</v>
      </c>
      <c r="K142" s="24">
        <v>11601.38</v>
      </c>
    </row>
    <row r="143" spans="1:11" x14ac:dyDescent="0.25">
      <c r="A143" s="78">
        <v>46014</v>
      </c>
      <c r="B143" s="21" t="s">
        <v>396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72</v>
      </c>
      <c r="K143" s="24">
        <v>10809.38</v>
      </c>
    </row>
    <row r="144" spans="1:11" x14ac:dyDescent="0.25">
      <c r="A144" s="78">
        <v>46014</v>
      </c>
      <c r="B144" s="21" t="s">
        <v>396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72</v>
      </c>
      <c r="K144" s="24">
        <v>8938.34</v>
      </c>
    </row>
    <row r="145" spans="1:11" x14ac:dyDescent="0.25">
      <c r="A145" s="78">
        <v>46014</v>
      </c>
      <c r="B145" s="21" t="s">
        <v>403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72</v>
      </c>
      <c r="K145" s="24">
        <v>8703.34</v>
      </c>
    </row>
    <row r="146" spans="1:11" x14ac:dyDescent="0.25">
      <c r="A146" s="80">
        <v>46014</v>
      </c>
      <c r="B146" s="21" t="s">
        <v>332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72</v>
      </c>
      <c r="K146" s="24">
        <v>15133.34</v>
      </c>
    </row>
    <row r="147" spans="1:11" x14ac:dyDescent="0.25">
      <c r="A147" s="78">
        <v>46014</v>
      </c>
      <c r="B147" s="21" t="s">
        <v>45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72</v>
      </c>
      <c r="K147" s="24">
        <v>15173.58</v>
      </c>
    </row>
    <row r="148" spans="1:11" x14ac:dyDescent="0.25">
      <c r="A148" s="21" t="s">
        <v>450</v>
      </c>
      <c r="B148" s="21" t="s">
        <v>46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450</v>
      </c>
      <c r="K148" s="24">
        <v>15155.58</v>
      </c>
    </row>
    <row r="149" spans="1:11" x14ac:dyDescent="0.25">
      <c r="A149" s="78">
        <v>46015</v>
      </c>
      <c r="B149" s="21" t="s">
        <v>311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72</v>
      </c>
      <c r="K149" s="24">
        <v>12480.2</v>
      </c>
    </row>
    <row r="150" spans="1:11" x14ac:dyDescent="0.25">
      <c r="A150" s="78">
        <v>46015</v>
      </c>
      <c r="B150" s="21" t="s">
        <v>397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72</v>
      </c>
      <c r="K150" s="24">
        <v>11703.2</v>
      </c>
    </row>
    <row r="151" spans="1:11" x14ac:dyDescent="0.25">
      <c r="A151" s="78">
        <v>45650</v>
      </c>
      <c r="B151" s="21" t="s">
        <v>332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451</v>
      </c>
      <c r="K151" s="24">
        <v>17116.2</v>
      </c>
    </row>
    <row r="152" spans="1:11" x14ac:dyDescent="0.25">
      <c r="A152" s="78">
        <v>46015</v>
      </c>
      <c r="B152" s="21" t="s">
        <v>45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72</v>
      </c>
      <c r="K152" s="24">
        <v>17267.990000000002</v>
      </c>
    </row>
    <row r="153" spans="1:11" x14ac:dyDescent="0.25">
      <c r="A153" s="78">
        <v>46015</v>
      </c>
      <c r="B153" s="21" t="s">
        <v>46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72</v>
      </c>
      <c r="K153" s="24">
        <v>17249.990000000002</v>
      </c>
    </row>
    <row r="154" spans="1:11" x14ac:dyDescent="0.25">
      <c r="A154" s="78">
        <v>46017</v>
      </c>
      <c r="B154" s="21" t="s">
        <v>403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72</v>
      </c>
      <c r="K154" s="24">
        <v>16967.990000000002</v>
      </c>
    </row>
    <row r="155" spans="1:11" x14ac:dyDescent="0.25">
      <c r="A155" s="78">
        <v>46017</v>
      </c>
      <c r="B155" s="21" t="s">
        <v>417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72</v>
      </c>
      <c r="K155" s="24">
        <v>16727.990000000002</v>
      </c>
    </row>
    <row r="156" spans="1:11" x14ac:dyDescent="0.25">
      <c r="A156" s="78">
        <v>46017</v>
      </c>
      <c r="B156" s="21" t="s">
        <v>452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72</v>
      </c>
      <c r="K156" s="24">
        <v>16349.49</v>
      </c>
    </row>
    <row r="157" spans="1:11" x14ac:dyDescent="0.25">
      <c r="A157" s="78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72</v>
      </c>
      <c r="K157" s="24">
        <v>16020.49</v>
      </c>
    </row>
    <row r="158" spans="1:11" x14ac:dyDescent="0.25">
      <c r="A158" s="78">
        <v>46017</v>
      </c>
      <c r="B158" s="21" t="s">
        <v>372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72</v>
      </c>
      <c r="K158" s="24">
        <v>15185.74</v>
      </c>
    </row>
    <row r="159" spans="1:11" x14ac:dyDescent="0.25">
      <c r="A159" s="78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72</v>
      </c>
      <c r="K159" s="24">
        <v>25707.74</v>
      </c>
    </row>
    <row r="160" spans="1:11" x14ac:dyDescent="0.25">
      <c r="A160" s="78">
        <v>46017</v>
      </c>
      <c r="B160" s="21" t="s">
        <v>45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72</v>
      </c>
      <c r="K160" s="24">
        <v>25983.69</v>
      </c>
    </row>
    <row r="161" spans="1:11" x14ac:dyDescent="0.25">
      <c r="A161" s="78">
        <v>46017</v>
      </c>
      <c r="B161" s="21" t="s">
        <v>46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72</v>
      </c>
      <c r="K161" s="24">
        <v>25940.69</v>
      </c>
    </row>
    <row r="162" spans="1:11" x14ac:dyDescent="0.25">
      <c r="A162" s="78">
        <v>46017</v>
      </c>
      <c r="B162" s="21" t="s">
        <v>453</v>
      </c>
      <c r="C162" s="21" t="s">
        <v>12</v>
      </c>
      <c r="D162" s="21" t="s">
        <v>34</v>
      </c>
      <c r="E162" s="21" t="s">
        <v>14</v>
      </c>
      <c r="F162" s="21" t="s">
        <v>15</v>
      </c>
      <c r="G162" s="24">
        <v>120</v>
      </c>
      <c r="H162" s="24"/>
      <c r="J162" s="21" t="s">
        <v>72</v>
      </c>
      <c r="K162" s="24">
        <v>25820.69</v>
      </c>
    </row>
    <row r="163" spans="1:11" x14ac:dyDescent="0.25">
      <c r="A163" s="78">
        <v>46017</v>
      </c>
      <c r="B163" s="21" t="s">
        <v>454</v>
      </c>
      <c r="C163" s="21" t="s">
        <v>12</v>
      </c>
      <c r="D163" s="21" t="s">
        <v>34</v>
      </c>
      <c r="E163" s="21" t="s">
        <v>14</v>
      </c>
      <c r="F163" s="21" t="s">
        <v>15</v>
      </c>
      <c r="G163" s="24">
        <v>150</v>
      </c>
      <c r="H163" s="24"/>
      <c r="J163" s="21" t="s">
        <v>72</v>
      </c>
      <c r="K163" s="24">
        <v>25670.69</v>
      </c>
    </row>
    <row r="164" spans="1:11" x14ac:dyDescent="0.25">
      <c r="A164" s="78">
        <v>46018</v>
      </c>
      <c r="B164" s="21" t="s">
        <v>341</v>
      </c>
      <c r="C164" s="21" t="s">
        <v>12</v>
      </c>
      <c r="D164" s="21" t="s">
        <v>34</v>
      </c>
      <c r="E164" s="21" t="s">
        <v>14</v>
      </c>
      <c r="F164" s="21" t="s">
        <v>15</v>
      </c>
      <c r="G164" s="24">
        <v>120</v>
      </c>
      <c r="H164" s="24"/>
      <c r="J164" s="21" t="s">
        <v>72</v>
      </c>
      <c r="K164" s="24">
        <v>25550.69</v>
      </c>
    </row>
    <row r="165" spans="1:11" x14ac:dyDescent="0.25">
      <c r="A165" s="78">
        <v>46018</v>
      </c>
      <c r="B165" s="21" t="s">
        <v>332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72</v>
      </c>
      <c r="K165" s="24">
        <v>36981.69</v>
      </c>
    </row>
    <row r="166" spans="1:11" x14ac:dyDescent="0.25">
      <c r="A166" s="78">
        <v>46018</v>
      </c>
      <c r="B166" s="21" t="s">
        <v>45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72</v>
      </c>
      <c r="K166" s="24">
        <v>37041.22</v>
      </c>
    </row>
    <row r="167" spans="1:11" x14ac:dyDescent="0.25">
      <c r="A167" s="78">
        <v>46018</v>
      </c>
      <c r="B167" s="21" t="s">
        <v>46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72</v>
      </c>
      <c r="K167" s="24">
        <v>37023.22</v>
      </c>
    </row>
    <row r="168" spans="1:11" x14ac:dyDescent="0.25">
      <c r="A168" s="78">
        <v>46019</v>
      </c>
      <c r="B168" s="21" t="s">
        <v>455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456</v>
      </c>
      <c r="J168" s="21" t="s">
        <v>72</v>
      </c>
      <c r="K168" s="24">
        <v>36774.46</v>
      </c>
    </row>
    <row r="169" spans="1:11" x14ac:dyDescent="0.25">
      <c r="A169" s="78">
        <v>46019</v>
      </c>
      <c r="B169" s="21" t="s">
        <v>34</v>
      </c>
      <c r="C169" s="21" t="s">
        <v>12</v>
      </c>
      <c r="D169" s="21" t="s">
        <v>34</v>
      </c>
      <c r="E169" s="21" t="s">
        <v>14</v>
      </c>
      <c r="F169" s="21" t="s">
        <v>15</v>
      </c>
      <c r="G169" s="24">
        <v>270</v>
      </c>
      <c r="H169" s="24"/>
      <c r="J169" s="21" t="s">
        <v>72</v>
      </c>
      <c r="K169" s="24">
        <v>36504.46</v>
      </c>
    </row>
    <row r="170" spans="1:11" x14ac:dyDescent="0.25">
      <c r="A170" s="78">
        <v>46019</v>
      </c>
      <c r="B170" s="21" t="s">
        <v>374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72</v>
      </c>
      <c r="K170" s="24">
        <v>48545.46</v>
      </c>
    </row>
    <row r="171" spans="1:11" x14ac:dyDescent="0.25">
      <c r="A171" s="78">
        <v>46019</v>
      </c>
      <c r="B171" s="21" t="s">
        <v>45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72</v>
      </c>
      <c r="K171" s="24">
        <v>49007.24</v>
      </c>
    </row>
    <row r="172" spans="1:11" x14ac:dyDescent="0.25">
      <c r="A172" s="78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72</v>
      </c>
      <c r="K172" s="24">
        <v>48937.24</v>
      </c>
    </row>
    <row r="173" spans="1:11" x14ac:dyDescent="0.25">
      <c r="A173" s="78">
        <v>46020</v>
      </c>
      <c r="B173" s="21" t="s">
        <v>368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72</v>
      </c>
      <c r="K173" s="24">
        <v>48558.74</v>
      </c>
    </row>
    <row r="174" spans="1:11" x14ac:dyDescent="0.25">
      <c r="A174" s="78">
        <v>46020</v>
      </c>
      <c r="B174" s="21" t="s">
        <v>457</v>
      </c>
      <c r="C174" s="21" t="s">
        <v>12</v>
      </c>
      <c r="D174" s="21" t="s">
        <v>63</v>
      </c>
      <c r="E174" s="21" t="s">
        <v>14</v>
      </c>
      <c r="F174" s="21" t="s">
        <v>15</v>
      </c>
      <c r="G174" s="24">
        <v>227.65</v>
      </c>
      <c r="H174" s="24"/>
      <c r="J174" s="21" t="s">
        <v>72</v>
      </c>
      <c r="K174" s="24">
        <v>48331.09</v>
      </c>
    </row>
    <row r="175" spans="1:11" x14ac:dyDescent="0.25">
      <c r="A175" s="78">
        <v>46020</v>
      </c>
      <c r="B175" s="21" t="s">
        <v>46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72</v>
      </c>
      <c r="K175" s="24">
        <v>48305.09</v>
      </c>
    </row>
    <row r="176" spans="1:11" x14ac:dyDescent="0.25">
      <c r="A176" s="78">
        <v>46020</v>
      </c>
      <c r="B176" s="21" t="s">
        <v>458</v>
      </c>
      <c r="C176" s="21" t="s">
        <v>12</v>
      </c>
      <c r="D176" s="21" t="s">
        <v>34</v>
      </c>
      <c r="E176" s="21" t="s">
        <v>14</v>
      </c>
      <c r="F176" s="21" t="s">
        <v>15</v>
      </c>
      <c r="G176" s="24">
        <v>50</v>
      </c>
      <c r="H176" s="24"/>
      <c r="J176" s="21" t="s">
        <v>72</v>
      </c>
      <c r="K176" s="24">
        <v>48255.09</v>
      </c>
    </row>
    <row r="177" spans="1:11" x14ac:dyDescent="0.25">
      <c r="A177" s="21" t="s">
        <v>459</v>
      </c>
      <c r="B177" s="21" t="s">
        <v>403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459</v>
      </c>
      <c r="K177" s="24">
        <v>48020.09</v>
      </c>
    </row>
    <row r="178" spans="1:11" x14ac:dyDescent="0.25">
      <c r="A178" s="78">
        <v>46020</v>
      </c>
      <c r="B178" s="21" t="s">
        <v>31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72</v>
      </c>
      <c r="K178" s="24">
        <v>54110.09</v>
      </c>
    </row>
    <row r="179" spans="1:11" x14ac:dyDescent="0.25">
      <c r="A179" s="78">
        <v>46020</v>
      </c>
      <c r="B179" s="21" t="s">
        <v>45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72</v>
      </c>
      <c r="K179" s="24">
        <v>54394.27</v>
      </c>
    </row>
    <row r="180" spans="1:11" x14ac:dyDescent="0.25">
      <c r="A180" s="78">
        <v>46021</v>
      </c>
      <c r="B180" s="21" t="s">
        <v>402</v>
      </c>
      <c r="C180" s="21" t="s">
        <v>12</v>
      </c>
      <c r="D180" s="21" t="s">
        <v>40</v>
      </c>
      <c r="E180" s="21" t="s">
        <v>17</v>
      </c>
      <c r="F180" s="21"/>
      <c r="G180" s="24">
        <v>370</v>
      </c>
      <c r="H180" s="24"/>
      <c r="J180" s="21" t="s">
        <v>72</v>
      </c>
      <c r="K180" s="24">
        <v>54024.27</v>
      </c>
    </row>
    <row r="181" spans="1:11" x14ac:dyDescent="0.25">
      <c r="A181" s="78">
        <v>46021</v>
      </c>
      <c r="B181" s="21" t="s">
        <v>460</v>
      </c>
      <c r="C181" s="21" t="s">
        <v>12</v>
      </c>
      <c r="D181" s="21" t="s">
        <v>69</v>
      </c>
      <c r="E181" s="21" t="s">
        <v>17</v>
      </c>
      <c r="F181" s="21"/>
      <c r="G181" s="24">
        <v>600</v>
      </c>
      <c r="H181" s="24"/>
      <c r="J181" s="21" t="s">
        <v>72</v>
      </c>
      <c r="K181" s="24">
        <v>53424.27</v>
      </c>
    </row>
    <row r="182" spans="1:11" x14ac:dyDescent="0.25">
      <c r="A182" s="78">
        <v>46021</v>
      </c>
      <c r="B182" s="21" t="s">
        <v>461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72</v>
      </c>
      <c r="K182" s="24">
        <v>52688.27</v>
      </c>
    </row>
    <row r="183" spans="1:11" x14ac:dyDescent="0.25">
      <c r="A183" s="78">
        <v>46021</v>
      </c>
      <c r="B183" s="21" t="s">
        <v>356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72</v>
      </c>
      <c r="K183" s="24">
        <v>50530.31</v>
      </c>
    </row>
    <row r="184" spans="1:11" x14ac:dyDescent="0.25">
      <c r="A184" s="78">
        <v>46021</v>
      </c>
      <c r="B184" s="21" t="s">
        <v>355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72</v>
      </c>
      <c r="K184" s="24">
        <v>49368.81</v>
      </c>
    </row>
    <row r="185" spans="1:11" x14ac:dyDescent="0.25">
      <c r="A185" s="78">
        <v>46021</v>
      </c>
      <c r="B185" s="21" t="s">
        <v>407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72</v>
      </c>
      <c r="K185" s="24">
        <v>48659.93</v>
      </c>
    </row>
    <row r="186" spans="1:11" x14ac:dyDescent="0.25">
      <c r="A186" s="78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72</v>
      </c>
      <c r="K186" s="24">
        <v>55909.93</v>
      </c>
    </row>
    <row r="187" spans="1:11" x14ac:dyDescent="0.25">
      <c r="A187" s="78">
        <v>46021</v>
      </c>
      <c r="B187" s="21" t="s">
        <v>45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72</v>
      </c>
      <c r="K187" s="24">
        <v>55959.519999999997</v>
      </c>
    </row>
    <row r="188" spans="1:11" x14ac:dyDescent="0.25">
      <c r="A188" s="78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72</v>
      </c>
      <c r="K188" s="24">
        <v>55951.519999999997</v>
      </c>
    </row>
    <row r="189" spans="1:11" x14ac:dyDescent="0.25">
      <c r="A189" s="78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72</v>
      </c>
      <c r="K189" s="24">
        <v>55810.52</v>
      </c>
    </row>
    <row r="190" spans="1:11" x14ac:dyDescent="0.25">
      <c r="A190" s="78">
        <v>46021</v>
      </c>
      <c r="B190" s="21" t="s">
        <v>419</v>
      </c>
      <c r="C190" s="21" t="s">
        <v>12</v>
      </c>
      <c r="D190" s="21" t="s">
        <v>40</v>
      </c>
      <c r="E190" s="21" t="s">
        <v>14</v>
      </c>
      <c r="F190" s="21" t="s">
        <v>15</v>
      </c>
      <c r="G190" s="24">
        <v>2903.4</v>
      </c>
      <c r="H190" s="24"/>
      <c r="J190" s="21" t="s">
        <v>72</v>
      </c>
      <c r="K190" s="24">
        <v>52907.12</v>
      </c>
    </row>
    <row r="191" spans="1:11" x14ac:dyDescent="0.25">
      <c r="A191" s="78">
        <v>46022</v>
      </c>
      <c r="B191" s="21" t="s">
        <v>462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72</v>
      </c>
      <c r="K191" s="24">
        <v>52689.120000000003</v>
      </c>
    </row>
    <row r="192" spans="1:11" x14ac:dyDescent="0.25">
      <c r="A192" s="78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72</v>
      </c>
      <c r="K192" s="24">
        <v>52689.120000000003</v>
      </c>
    </row>
    <row r="193" spans="1:11" x14ac:dyDescent="0.25">
      <c r="A193" s="78">
        <v>46022</v>
      </c>
      <c r="B193" s="21" t="s">
        <v>45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72</v>
      </c>
      <c r="K193" s="24">
        <v>52689.120000000003</v>
      </c>
    </row>
    <row r="194" spans="1:11" x14ac:dyDescent="0.25">
      <c r="A194" s="78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72</v>
      </c>
      <c r="K194" s="24">
        <v>52689.120000000003</v>
      </c>
    </row>
    <row r="195" spans="1:11" x14ac:dyDescent="0.25">
      <c r="A195" s="78">
        <v>46022</v>
      </c>
      <c r="B195" s="21" t="s">
        <v>317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72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3"/>
      <c r="B3" s="21"/>
      <c r="C3" s="21"/>
      <c r="D3" s="21"/>
      <c r="E3" s="21"/>
      <c r="F3" s="21"/>
      <c r="G3" s="24"/>
      <c r="H3" s="24"/>
      <c r="I3" s="21"/>
      <c r="J3" s="21"/>
      <c r="K3" s="24">
        <v>0</v>
      </c>
    </row>
    <row r="4" spans="1:11" x14ac:dyDescent="0.25">
      <c r="A4" s="78">
        <v>46024</v>
      </c>
      <c r="B4" s="21" t="s">
        <v>16</v>
      </c>
      <c r="C4" s="21" t="s">
        <v>12</v>
      </c>
      <c r="D4" s="21" t="s">
        <v>16</v>
      </c>
      <c r="E4" s="21" t="s">
        <v>17</v>
      </c>
      <c r="F4" s="21"/>
      <c r="G4" s="24">
        <v>13185</v>
      </c>
      <c r="H4" s="24"/>
      <c r="I4" s="21"/>
      <c r="J4" s="21" t="s">
        <v>463</v>
      </c>
      <c r="K4" s="24">
        <v>-13185</v>
      </c>
    </row>
    <row r="5" spans="1:11" x14ac:dyDescent="0.25">
      <c r="A5" s="78">
        <v>46024</v>
      </c>
      <c r="B5" s="21" t="s">
        <v>31</v>
      </c>
      <c r="C5" s="21" t="s">
        <v>20</v>
      </c>
      <c r="D5" s="21" t="s">
        <v>13</v>
      </c>
      <c r="E5" s="21"/>
      <c r="F5" s="21"/>
      <c r="G5" s="24">
        <v>10749</v>
      </c>
      <c r="H5" s="24"/>
      <c r="I5" s="21"/>
      <c r="J5" s="21" t="s">
        <v>463</v>
      </c>
      <c r="K5" s="24">
        <v>-2436</v>
      </c>
    </row>
    <row r="6" spans="1:11" x14ac:dyDescent="0.25">
      <c r="A6" s="78">
        <v>46024</v>
      </c>
      <c r="B6" s="21" t="s">
        <v>21</v>
      </c>
      <c r="C6" s="21" t="s">
        <v>20</v>
      </c>
      <c r="D6" s="21" t="s">
        <v>22</v>
      </c>
      <c r="E6" s="21"/>
      <c r="F6" s="21"/>
      <c r="G6" s="24">
        <v>228.9</v>
      </c>
      <c r="H6" s="24"/>
      <c r="I6" s="21"/>
      <c r="J6" s="21" t="s">
        <v>463</v>
      </c>
      <c r="K6" s="24">
        <v>-2207.1</v>
      </c>
    </row>
    <row r="7" spans="1:11" x14ac:dyDescent="0.25">
      <c r="A7" s="82">
        <v>46024</v>
      </c>
      <c r="B7" s="21" t="s">
        <v>23</v>
      </c>
      <c r="C7" s="21" t="s">
        <v>12</v>
      </c>
      <c r="D7" s="21" t="s">
        <v>24</v>
      </c>
      <c r="E7" s="21" t="s">
        <v>17</v>
      </c>
      <c r="F7" s="21" t="s">
        <v>25</v>
      </c>
      <c r="G7" s="24">
        <v>35</v>
      </c>
      <c r="H7" s="24"/>
      <c r="I7" s="21"/>
      <c r="J7" s="21" t="s">
        <v>463</v>
      </c>
      <c r="K7" s="24">
        <v>-2242.1</v>
      </c>
    </row>
    <row r="8" spans="1:11" x14ac:dyDescent="0.25">
      <c r="A8" s="78">
        <v>46024</v>
      </c>
      <c r="B8" s="21" t="s">
        <v>11</v>
      </c>
      <c r="C8" s="21" t="s">
        <v>12</v>
      </c>
      <c r="D8" s="21" t="s">
        <v>19</v>
      </c>
      <c r="E8" s="21" t="s">
        <v>14</v>
      </c>
      <c r="F8" s="21" t="s">
        <v>15</v>
      </c>
      <c r="G8" s="24">
        <v>188</v>
      </c>
      <c r="H8" s="24"/>
      <c r="I8" s="21"/>
      <c r="J8" s="21" t="s">
        <v>463</v>
      </c>
      <c r="K8" s="24">
        <v>-2430.1</v>
      </c>
    </row>
    <row r="9" spans="1:11" x14ac:dyDescent="0.25">
      <c r="A9" s="78">
        <v>46024</v>
      </c>
      <c r="B9" s="21" t="s">
        <v>368</v>
      </c>
      <c r="C9" s="21" t="s">
        <v>12</v>
      </c>
      <c r="D9" s="21" t="s">
        <v>19</v>
      </c>
      <c r="E9" s="21" t="s">
        <v>17</v>
      </c>
      <c r="F9" s="21" t="s">
        <v>25</v>
      </c>
      <c r="G9" s="24">
        <v>203.5</v>
      </c>
      <c r="H9" s="24"/>
      <c r="I9" s="21"/>
      <c r="J9" s="21" t="s">
        <v>463</v>
      </c>
      <c r="K9" s="24">
        <v>-2633.6</v>
      </c>
    </row>
    <row r="10" spans="1:11" x14ac:dyDescent="0.25">
      <c r="A10" s="78">
        <v>46024</v>
      </c>
      <c r="B10" s="21" t="s">
        <v>464</v>
      </c>
      <c r="C10" s="21" t="s">
        <v>12</v>
      </c>
      <c r="D10" s="21" t="s">
        <v>74</v>
      </c>
      <c r="E10" s="21" t="s">
        <v>17</v>
      </c>
      <c r="F10" s="21"/>
      <c r="G10" s="24">
        <v>5091.58</v>
      </c>
      <c r="H10" s="24"/>
      <c r="I10" s="21"/>
      <c r="J10" s="21" t="s">
        <v>463</v>
      </c>
      <c r="K10" s="24">
        <v>-7725.18</v>
      </c>
    </row>
    <row r="11" spans="1:11" x14ac:dyDescent="0.25">
      <c r="A11" s="78">
        <v>46024</v>
      </c>
      <c r="B11" s="21" t="s">
        <v>465</v>
      </c>
      <c r="C11" s="21" t="s">
        <v>12</v>
      </c>
      <c r="D11" s="21" t="s">
        <v>74</v>
      </c>
      <c r="E11" s="21" t="s">
        <v>17</v>
      </c>
      <c r="F11" s="21" t="s">
        <v>25</v>
      </c>
      <c r="G11" s="24">
        <v>8462.74</v>
      </c>
      <c r="H11" s="24"/>
      <c r="I11" s="21"/>
      <c r="J11" s="21" t="s">
        <v>463</v>
      </c>
      <c r="K11" s="24">
        <v>-16187.92</v>
      </c>
    </row>
    <row r="12" spans="1:11" x14ac:dyDescent="0.25">
      <c r="A12" s="78">
        <v>46056</v>
      </c>
      <c r="B12" s="21" t="s">
        <v>11</v>
      </c>
      <c r="C12" s="21" t="s">
        <v>12</v>
      </c>
      <c r="D12" s="21" t="s">
        <v>19</v>
      </c>
      <c r="E12" s="21" t="s">
        <v>14</v>
      </c>
      <c r="F12" s="21" t="s">
        <v>15</v>
      </c>
      <c r="G12" s="24">
        <v>300</v>
      </c>
      <c r="H12" s="24"/>
      <c r="I12" s="21"/>
      <c r="J12" s="21" t="s">
        <v>466</v>
      </c>
      <c r="K12" s="24">
        <v>-16487.919999999998</v>
      </c>
    </row>
    <row r="13" spans="1:11" x14ac:dyDescent="0.25">
      <c r="A13" s="78">
        <v>46056</v>
      </c>
      <c r="B13" s="21" t="s">
        <v>34</v>
      </c>
      <c r="C13" s="21" t="s">
        <v>12</v>
      </c>
      <c r="D13" s="21" t="s">
        <v>34</v>
      </c>
      <c r="E13" s="21" t="s">
        <v>14</v>
      </c>
      <c r="F13" s="21" t="s">
        <v>15</v>
      </c>
      <c r="G13" s="24">
        <v>150</v>
      </c>
      <c r="H13" s="24"/>
      <c r="I13" s="21"/>
      <c r="J13" s="21" t="s">
        <v>466</v>
      </c>
      <c r="K13" s="24">
        <v>-16637.919999999998</v>
      </c>
    </row>
    <row r="14" spans="1:11" x14ac:dyDescent="0.25">
      <c r="A14" s="78">
        <v>46056</v>
      </c>
      <c r="B14" s="21" t="s">
        <v>13</v>
      </c>
      <c r="C14" s="21" t="s">
        <v>20</v>
      </c>
      <c r="D14" s="21" t="s">
        <v>13</v>
      </c>
      <c r="E14" s="21"/>
      <c r="F14" s="21"/>
      <c r="G14" s="24">
        <v>12622</v>
      </c>
      <c r="H14" s="24"/>
      <c r="I14" s="21"/>
      <c r="J14" s="21" t="s">
        <v>466</v>
      </c>
      <c r="K14" s="24">
        <v>-4015.9199999999978</v>
      </c>
    </row>
    <row r="15" spans="1:11" x14ac:dyDescent="0.25">
      <c r="A15" s="78">
        <v>46056</v>
      </c>
      <c r="B15" s="21" t="s">
        <v>21</v>
      </c>
      <c r="C15" s="21" t="s">
        <v>20</v>
      </c>
      <c r="D15" s="21" t="s">
        <v>22</v>
      </c>
      <c r="E15" s="21" t="s">
        <v>17</v>
      </c>
      <c r="F15" s="21"/>
      <c r="G15" s="24">
        <v>183.15</v>
      </c>
      <c r="H15" s="24"/>
      <c r="I15" s="21"/>
      <c r="J15" s="21" t="s">
        <v>466</v>
      </c>
      <c r="K15" s="24">
        <v>-3832.7699999999982</v>
      </c>
    </row>
    <row r="16" spans="1:11" x14ac:dyDescent="0.25">
      <c r="A16" s="78">
        <v>46056</v>
      </c>
      <c r="B16" s="21" t="s">
        <v>23</v>
      </c>
      <c r="C16" s="21" t="s">
        <v>12</v>
      </c>
      <c r="D16" s="21" t="s">
        <v>24</v>
      </c>
      <c r="E16" s="21" t="s">
        <v>17</v>
      </c>
      <c r="F16" s="21" t="s">
        <v>25</v>
      </c>
      <c r="G16" s="24">
        <v>44</v>
      </c>
      <c r="H16" s="24"/>
      <c r="I16" s="21"/>
      <c r="J16" s="21" t="s">
        <v>466</v>
      </c>
      <c r="K16" s="24">
        <v>-3876.7699999999982</v>
      </c>
    </row>
    <row r="17" spans="1:11" x14ac:dyDescent="0.25">
      <c r="A17" s="78">
        <v>46026</v>
      </c>
      <c r="B17" s="21" t="s">
        <v>11</v>
      </c>
      <c r="C17" s="21" t="s">
        <v>12</v>
      </c>
      <c r="D17" s="21" t="s">
        <v>19</v>
      </c>
      <c r="E17" s="21" t="s">
        <v>14</v>
      </c>
      <c r="F17" s="21" t="s">
        <v>15</v>
      </c>
      <c r="G17" s="24">
        <v>235</v>
      </c>
      <c r="H17" s="24"/>
      <c r="I17" s="21"/>
      <c r="J17" s="21" t="s">
        <v>463</v>
      </c>
      <c r="K17" s="24">
        <v>-4111.7699999999986</v>
      </c>
    </row>
    <row r="18" spans="1:11" x14ac:dyDescent="0.25">
      <c r="A18" s="78">
        <v>46026</v>
      </c>
      <c r="B18" s="21" t="s">
        <v>34</v>
      </c>
      <c r="C18" s="21" t="s">
        <v>12</v>
      </c>
      <c r="D18" s="21" t="s">
        <v>34</v>
      </c>
      <c r="E18" s="21" t="s">
        <v>14</v>
      </c>
      <c r="F18" s="21" t="s">
        <v>15</v>
      </c>
      <c r="G18" s="24">
        <v>270</v>
      </c>
      <c r="H18" s="24"/>
      <c r="I18" s="21"/>
      <c r="J18" s="21" t="s">
        <v>463</v>
      </c>
      <c r="K18" s="24">
        <v>-4381.7699999999986</v>
      </c>
    </row>
    <row r="19" spans="1:11" x14ac:dyDescent="0.25">
      <c r="A19" s="78">
        <v>46026</v>
      </c>
      <c r="B19" s="21" t="s">
        <v>13</v>
      </c>
      <c r="C19" s="21" t="s">
        <v>20</v>
      </c>
      <c r="D19" s="21" t="s">
        <v>13</v>
      </c>
      <c r="E19" s="21"/>
      <c r="F19" s="21"/>
      <c r="G19" s="24">
        <v>12260</v>
      </c>
      <c r="H19" s="24"/>
      <c r="I19" s="21"/>
      <c r="J19" s="21" t="s">
        <v>463</v>
      </c>
      <c r="K19" s="24">
        <v>7878.2300000000014</v>
      </c>
    </row>
    <row r="20" spans="1:11" x14ac:dyDescent="0.25">
      <c r="A20" s="78">
        <v>46026</v>
      </c>
      <c r="B20" s="21" t="s">
        <v>21</v>
      </c>
      <c r="C20" s="21" t="s">
        <v>20</v>
      </c>
      <c r="D20" s="21" t="s">
        <v>22</v>
      </c>
      <c r="E20" s="21" t="s">
        <v>17</v>
      </c>
      <c r="F20" s="21"/>
      <c r="G20" s="24">
        <v>798.02</v>
      </c>
      <c r="H20" s="24"/>
      <c r="I20" s="21"/>
      <c r="J20" s="21" t="s">
        <v>463</v>
      </c>
      <c r="K20" s="24">
        <v>8676.2500000000018</v>
      </c>
    </row>
    <row r="21" spans="1:11" x14ac:dyDescent="0.25">
      <c r="A21" s="78">
        <v>46026</v>
      </c>
      <c r="B21" s="21" t="s">
        <v>23</v>
      </c>
      <c r="C21" s="21" t="s">
        <v>12</v>
      </c>
      <c r="D21" s="21" t="s">
        <v>24</v>
      </c>
      <c r="E21" s="21" t="s">
        <v>17</v>
      </c>
      <c r="F21" s="21" t="s">
        <v>25</v>
      </c>
      <c r="G21" s="24">
        <v>95</v>
      </c>
      <c r="H21" s="24"/>
      <c r="I21" s="21"/>
      <c r="J21" s="21" t="s">
        <v>463</v>
      </c>
      <c r="K21" s="24">
        <v>8581.2500000000018</v>
      </c>
    </row>
    <row r="22" spans="1:11" x14ac:dyDescent="0.25">
      <c r="A22" s="78">
        <v>46027</v>
      </c>
      <c r="B22" s="21" t="s">
        <v>467</v>
      </c>
      <c r="C22" s="21" t="s">
        <v>12</v>
      </c>
      <c r="D22" s="21" t="s">
        <v>63</v>
      </c>
      <c r="E22" s="21" t="s">
        <v>17</v>
      </c>
      <c r="F22" s="21"/>
      <c r="G22" s="24">
        <v>929.88</v>
      </c>
      <c r="H22" s="24"/>
      <c r="I22" s="21"/>
      <c r="J22" s="21" t="s">
        <v>463</v>
      </c>
      <c r="K22" s="24">
        <v>7651.3700000000017</v>
      </c>
    </row>
    <row r="23" spans="1:11" x14ac:dyDescent="0.25">
      <c r="A23" s="78">
        <v>46027</v>
      </c>
      <c r="B23" s="21" t="s">
        <v>346</v>
      </c>
      <c r="C23" s="21" t="s">
        <v>12</v>
      </c>
      <c r="D23" s="21" t="s">
        <v>19</v>
      </c>
      <c r="E23" s="21" t="s">
        <v>17</v>
      </c>
      <c r="F23" s="21"/>
      <c r="G23" s="24">
        <v>1115.22</v>
      </c>
      <c r="H23" s="24"/>
      <c r="I23" s="21"/>
      <c r="J23" s="21" t="s">
        <v>463</v>
      </c>
      <c r="K23" s="24">
        <v>6536.1500000000005</v>
      </c>
    </row>
    <row r="24" spans="1:11" x14ac:dyDescent="0.25">
      <c r="A24" s="78">
        <v>46027</v>
      </c>
      <c r="B24" s="21" t="s">
        <v>346</v>
      </c>
      <c r="C24" s="21" t="s">
        <v>12</v>
      </c>
      <c r="D24" s="21" t="s">
        <v>19</v>
      </c>
      <c r="E24" s="21" t="s">
        <v>17</v>
      </c>
      <c r="F24" s="21"/>
      <c r="G24" s="24">
        <v>833.98</v>
      </c>
      <c r="H24" s="24"/>
      <c r="I24" s="21"/>
      <c r="J24" s="21" t="s">
        <v>463</v>
      </c>
      <c r="K24" s="24">
        <v>5702.1700000000019</v>
      </c>
    </row>
    <row r="25" spans="1:11" x14ac:dyDescent="0.25">
      <c r="A25" s="78">
        <v>46027</v>
      </c>
      <c r="B25" s="21" t="s">
        <v>468</v>
      </c>
      <c r="C25" s="21" t="s">
        <v>12</v>
      </c>
      <c r="D25" s="21" t="s">
        <v>19</v>
      </c>
      <c r="E25" s="21" t="s">
        <v>17</v>
      </c>
      <c r="F25" s="21"/>
      <c r="G25" s="24">
        <v>315</v>
      </c>
      <c r="H25" s="24"/>
      <c r="I25" s="21"/>
      <c r="J25" s="21" t="s">
        <v>463</v>
      </c>
      <c r="K25" s="24">
        <v>5387.1700000000019</v>
      </c>
    </row>
    <row r="26" spans="1:11" x14ac:dyDescent="0.25">
      <c r="A26" s="78">
        <v>46027</v>
      </c>
      <c r="B26" s="21" t="s">
        <v>469</v>
      </c>
      <c r="C26" s="21" t="s">
        <v>12</v>
      </c>
      <c r="D26" s="21" t="s">
        <v>19</v>
      </c>
      <c r="E26" s="21" t="s">
        <v>17</v>
      </c>
      <c r="F26" s="21"/>
      <c r="G26" s="24">
        <v>646</v>
      </c>
      <c r="H26" s="24"/>
      <c r="I26" s="21"/>
      <c r="J26" s="21" t="s">
        <v>463</v>
      </c>
      <c r="K26" s="24">
        <v>4741.1700000000019</v>
      </c>
    </row>
    <row r="27" spans="1:11" x14ac:dyDescent="0.25">
      <c r="A27" s="78">
        <v>46027</v>
      </c>
      <c r="B27" s="21" t="s">
        <v>39</v>
      </c>
      <c r="C27" s="21" t="s">
        <v>12</v>
      </c>
      <c r="D27" s="21" t="s">
        <v>40</v>
      </c>
      <c r="E27" s="21" t="s">
        <v>17</v>
      </c>
      <c r="F27" s="21"/>
      <c r="G27" s="24">
        <v>9000</v>
      </c>
      <c r="H27" s="24"/>
      <c r="I27" s="21"/>
      <c r="J27" s="21" t="s">
        <v>463</v>
      </c>
      <c r="K27" s="24">
        <v>-4258.8299999999981</v>
      </c>
    </row>
    <row r="28" spans="1:11" x14ac:dyDescent="0.25">
      <c r="A28" s="78">
        <v>46027</v>
      </c>
      <c r="B28" s="21" t="s">
        <v>11</v>
      </c>
      <c r="C28" s="21" t="s">
        <v>12</v>
      </c>
      <c r="D28" s="21" t="s">
        <v>19</v>
      </c>
      <c r="E28" s="21" t="s">
        <v>14</v>
      </c>
      <c r="F28" s="21"/>
      <c r="G28" s="24">
        <v>141</v>
      </c>
      <c r="H28" s="24"/>
      <c r="I28" s="21"/>
      <c r="J28" s="21" t="s">
        <v>463</v>
      </c>
      <c r="K28" s="24">
        <v>-4399.8299999999981</v>
      </c>
    </row>
    <row r="29" spans="1:11" x14ac:dyDescent="0.25">
      <c r="A29" s="78">
        <v>46027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4473</v>
      </c>
      <c r="H29" s="24"/>
      <c r="I29" s="21"/>
      <c r="J29" s="21" t="s">
        <v>463</v>
      </c>
      <c r="K29" s="24">
        <v>73.170000000001892</v>
      </c>
    </row>
    <row r="30" spans="1:11" x14ac:dyDescent="0.25">
      <c r="A30" s="78">
        <v>46027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96.29</v>
      </c>
      <c r="H30" s="24"/>
      <c r="I30" s="21"/>
      <c r="J30" s="21" t="s">
        <v>463</v>
      </c>
      <c r="K30" s="24">
        <v>169.46000000000191</v>
      </c>
    </row>
    <row r="31" spans="1:11" x14ac:dyDescent="0.25">
      <c r="A31" s="78">
        <v>46027</v>
      </c>
      <c r="B31" s="21" t="s">
        <v>23</v>
      </c>
      <c r="C31" s="21" t="s">
        <v>12</v>
      </c>
      <c r="D31" s="21" t="s">
        <v>24</v>
      </c>
      <c r="E31" s="21" t="s">
        <v>17</v>
      </c>
      <c r="F31" s="21"/>
      <c r="G31" s="24">
        <v>8</v>
      </c>
      <c r="H31" s="24"/>
      <c r="I31" s="21"/>
      <c r="J31" s="21" t="s">
        <v>463</v>
      </c>
      <c r="K31" s="24">
        <v>161.46000000000191</v>
      </c>
    </row>
    <row r="32" spans="1:11" x14ac:dyDescent="0.25">
      <c r="A32" s="78">
        <v>46027</v>
      </c>
      <c r="B32" s="21" t="s">
        <v>329</v>
      </c>
      <c r="C32" s="21" t="s">
        <v>12</v>
      </c>
      <c r="D32" s="21" t="s">
        <v>329</v>
      </c>
      <c r="E32" s="21" t="s">
        <v>17</v>
      </c>
      <c r="F32" s="21"/>
      <c r="G32" s="24">
        <v>5371.8</v>
      </c>
      <c r="H32" s="24"/>
      <c r="I32" s="21"/>
      <c r="J32" s="21" t="s">
        <v>463</v>
      </c>
      <c r="K32" s="24">
        <v>-5210.3399999999983</v>
      </c>
    </row>
    <row r="33" spans="1:11" x14ac:dyDescent="0.25">
      <c r="A33" s="78">
        <v>46027</v>
      </c>
      <c r="B33" s="21" t="s">
        <v>470</v>
      </c>
      <c r="C33" s="21" t="s">
        <v>12</v>
      </c>
      <c r="D33" s="21" t="s">
        <v>69</v>
      </c>
      <c r="E33" s="21" t="s">
        <v>17</v>
      </c>
      <c r="F33" s="21"/>
      <c r="G33" s="24">
        <v>1000</v>
      </c>
      <c r="H33" s="24"/>
      <c r="I33" s="21"/>
      <c r="J33" s="21" t="s">
        <v>463</v>
      </c>
      <c r="K33" s="24">
        <v>-6210.3399999999983</v>
      </c>
    </row>
    <row r="34" spans="1:11" x14ac:dyDescent="0.25">
      <c r="A34" s="78">
        <v>46028</v>
      </c>
      <c r="B34" s="21" t="s">
        <v>386</v>
      </c>
      <c r="C34" s="21" t="s">
        <v>12</v>
      </c>
      <c r="D34" s="21" t="s">
        <v>63</v>
      </c>
      <c r="E34" s="21" t="s">
        <v>14</v>
      </c>
      <c r="F34" s="21" t="s">
        <v>15</v>
      </c>
      <c r="G34" s="24">
        <v>20</v>
      </c>
      <c r="H34" s="24"/>
      <c r="I34" s="21"/>
      <c r="J34" s="21" t="s">
        <v>463</v>
      </c>
      <c r="K34" s="24">
        <v>-6230.3399999999983</v>
      </c>
    </row>
    <row r="35" spans="1:11" x14ac:dyDescent="0.25">
      <c r="A35" s="78">
        <v>46028</v>
      </c>
      <c r="B35" s="21" t="s">
        <v>13</v>
      </c>
      <c r="C35" s="21" t="s">
        <v>20</v>
      </c>
      <c r="D35" s="21" t="s">
        <v>13</v>
      </c>
      <c r="E35" s="21"/>
      <c r="F35" s="21"/>
      <c r="G35" s="24">
        <v>4131</v>
      </c>
      <c r="H35" s="24"/>
      <c r="I35" s="21"/>
      <c r="J35" s="21" t="s">
        <v>463</v>
      </c>
      <c r="K35" s="24">
        <v>-2099.3399999999979</v>
      </c>
    </row>
    <row r="36" spans="1:11" x14ac:dyDescent="0.25">
      <c r="A36" s="78">
        <v>46028</v>
      </c>
      <c r="B36" s="21" t="s">
        <v>21</v>
      </c>
      <c r="C36" s="21" t="s">
        <v>20</v>
      </c>
      <c r="D36" s="21" t="s">
        <v>22</v>
      </c>
      <c r="E36" s="21" t="s">
        <v>17</v>
      </c>
      <c r="F36" s="21"/>
      <c r="G36" s="24">
        <v>19.600000000000001</v>
      </c>
      <c r="H36" s="24"/>
      <c r="I36" s="21"/>
      <c r="J36" s="21" t="s">
        <v>463</v>
      </c>
      <c r="K36" s="24">
        <v>-2079.739999999998</v>
      </c>
    </row>
    <row r="37" spans="1:11" x14ac:dyDescent="0.25">
      <c r="A37" s="78">
        <v>46028</v>
      </c>
      <c r="B37" s="21" t="s">
        <v>23</v>
      </c>
      <c r="C37" s="21" t="s">
        <v>12</v>
      </c>
      <c r="D37" s="21" t="s">
        <v>24</v>
      </c>
      <c r="E37" s="21" t="s">
        <v>17</v>
      </c>
      <c r="F37" s="21"/>
      <c r="G37" s="24">
        <v>0</v>
      </c>
      <c r="H37" s="24"/>
      <c r="I37" s="21"/>
      <c r="J37" s="21" t="s">
        <v>463</v>
      </c>
      <c r="K37" s="24">
        <v>-2079.739999999998</v>
      </c>
    </row>
    <row r="38" spans="1:11" x14ac:dyDescent="0.25">
      <c r="A38" s="78">
        <v>46028</v>
      </c>
      <c r="B38" s="21" t="s">
        <v>468</v>
      </c>
      <c r="C38" s="21" t="s">
        <v>12</v>
      </c>
      <c r="D38" s="21" t="s">
        <v>19</v>
      </c>
      <c r="E38" s="21" t="s">
        <v>17</v>
      </c>
      <c r="F38" s="21" t="s">
        <v>25</v>
      </c>
      <c r="G38" s="24">
        <v>290</v>
      </c>
      <c r="H38" s="24"/>
      <c r="I38" s="21"/>
      <c r="J38" s="21" t="s">
        <v>463</v>
      </c>
      <c r="K38" s="24">
        <v>-2369.739999999998</v>
      </c>
    </row>
    <row r="39" spans="1:11" x14ac:dyDescent="0.25">
      <c r="A39" s="78">
        <v>46028</v>
      </c>
      <c r="B39" s="21" t="s">
        <v>311</v>
      </c>
      <c r="C39" s="21" t="s">
        <v>12</v>
      </c>
      <c r="D39" s="21" t="s">
        <v>19</v>
      </c>
      <c r="E39" s="21" t="s">
        <v>17</v>
      </c>
      <c r="F39" s="21"/>
      <c r="G39" s="24">
        <v>3208.22</v>
      </c>
      <c r="H39" s="24"/>
      <c r="I39" s="21"/>
      <c r="J39" s="21" t="s">
        <v>463</v>
      </c>
      <c r="K39" s="24">
        <v>-5577.9599999999982</v>
      </c>
    </row>
    <row r="40" spans="1:11" x14ac:dyDescent="0.25">
      <c r="A40" s="78">
        <v>46028</v>
      </c>
      <c r="B40" s="21" t="s">
        <v>373</v>
      </c>
      <c r="C40" s="21" t="s">
        <v>12</v>
      </c>
      <c r="D40" s="21" t="s">
        <v>63</v>
      </c>
      <c r="E40" s="21" t="s">
        <v>17</v>
      </c>
      <c r="F40" s="21"/>
      <c r="G40" s="24">
        <v>476.59</v>
      </c>
      <c r="H40" s="24"/>
      <c r="I40" s="21"/>
      <c r="J40" s="21" t="s">
        <v>463</v>
      </c>
      <c r="K40" s="24">
        <v>-6054.5499999999984</v>
      </c>
    </row>
    <row r="41" spans="1:11" x14ac:dyDescent="0.25">
      <c r="A41" s="78">
        <v>46028</v>
      </c>
      <c r="B41" s="21" t="s">
        <v>354</v>
      </c>
      <c r="C41" s="21" t="s">
        <v>12</v>
      </c>
      <c r="D41" s="21" t="s">
        <v>19</v>
      </c>
      <c r="E41" s="21" t="s">
        <v>17</v>
      </c>
      <c r="F41" s="21"/>
      <c r="G41" s="24">
        <v>3409.49</v>
      </c>
      <c r="H41" s="24"/>
      <c r="I41" s="21"/>
      <c r="J41" s="21" t="s">
        <v>463</v>
      </c>
      <c r="K41" s="24">
        <v>-9464.0399999999972</v>
      </c>
    </row>
    <row r="42" spans="1:11" x14ac:dyDescent="0.25">
      <c r="A42" s="78">
        <v>46028</v>
      </c>
      <c r="B42" s="21" t="s">
        <v>471</v>
      </c>
      <c r="C42" s="21" t="s">
        <v>12</v>
      </c>
      <c r="D42" s="21" t="s">
        <v>19</v>
      </c>
      <c r="E42" s="21" t="s">
        <v>17</v>
      </c>
      <c r="F42" s="21"/>
      <c r="G42" s="24">
        <v>2269.2600000000002</v>
      </c>
      <c r="H42" s="24"/>
      <c r="I42" s="21"/>
      <c r="J42" s="21" t="s">
        <v>463</v>
      </c>
      <c r="K42" s="24">
        <v>-11733.3</v>
      </c>
    </row>
    <row r="43" spans="1:11" x14ac:dyDescent="0.25">
      <c r="A43" s="78">
        <v>46028</v>
      </c>
      <c r="B43" s="21" t="s">
        <v>354</v>
      </c>
      <c r="C43" s="21" t="s">
        <v>12</v>
      </c>
      <c r="D43" s="21" t="s">
        <v>19</v>
      </c>
      <c r="E43" s="21" t="s">
        <v>17</v>
      </c>
      <c r="F43" s="21"/>
      <c r="G43" s="24">
        <v>2707.7</v>
      </c>
      <c r="H43" s="24"/>
      <c r="I43" s="21"/>
      <c r="J43" s="21" t="s">
        <v>463</v>
      </c>
      <c r="K43" s="24">
        <v>-14441</v>
      </c>
    </row>
    <row r="44" spans="1:11" x14ac:dyDescent="0.25">
      <c r="A44" s="78">
        <v>46028</v>
      </c>
      <c r="B44" s="21" t="s">
        <v>472</v>
      </c>
      <c r="C44" s="21" t="s">
        <v>12</v>
      </c>
      <c r="D44" s="21" t="s">
        <v>40</v>
      </c>
      <c r="E44" s="21" t="s">
        <v>17</v>
      </c>
      <c r="F44" s="21"/>
      <c r="G44" s="24">
        <v>102.2</v>
      </c>
      <c r="H44" s="24"/>
      <c r="I44" s="21"/>
      <c r="J44" s="21" t="s">
        <v>463</v>
      </c>
      <c r="K44" s="24">
        <v>-14543.2</v>
      </c>
    </row>
    <row r="45" spans="1:11" x14ac:dyDescent="0.25">
      <c r="A45" s="78">
        <v>46028</v>
      </c>
      <c r="B45" s="21" t="s">
        <v>473</v>
      </c>
      <c r="C45" s="21" t="s">
        <v>12</v>
      </c>
      <c r="D45" s="21" t="s">
        <v>19</v>
      </c>
      <c r="E45" s="21" t="s">
        <v>17</v>
      </c>
      <c r="F45" s="21"/>
      <c r="G45" s="24">
        <v>1028.1199999999999</v>
      </c>
      <c r="H45" s="24"/>
      <c r="I45" s="21"/>
      <c r="J45" s="21" t="s">
        <v>463</v>
      </c>
      <c r="K45" s="24">
        <v>-15571.32</v>
      </c>
    </row>
    <row r="46" spans="1:11" x14ac:dyDescent="0.25">
      <c r="A46" s="78">
        <v>46028</v>
      </c>
      <c r="B46" s="21" t="s">
        <v>11</v>
      </c>
      <c r="C46" s="21" t="s">
        <v>12</v>
      </c>
      <c r="D46" s="21" t="s">
        <v>19</v>
      </c>
      <c r="E46" s="21" t="s">
        <v>14</v>
      </c>
      <c r="F46" s="21" t="s">
        <v>15</v>
      </c>
      <c r="G46" s="24">
        <v>47</v>
      </c>
      <c r="H46" s="24"/>
      <c r="I46" s="21"/>
      <c r="J46" s="21" t="s">
        <v>463</v>
      </c>
      <c r="K46" s="24">
        <v>-15618.32</v>
      </c>
    </row>
    <row r="47" spans="1:11" x14ac:dyDescent="0.25">
      <c r="A47" s="78">
        <v>46029</v>
      </c>
      <c r="B47" s="21" t="s">
        <v>474</v>
      </c>
      <c r="C47" s="21" t="s">
        <v>12</v>
      </c>
      <c r="D47" s="21" t="s">
        <v>61</v>
      </c>
      <c r="E47" s="21" t="s">
        <v>17</v>
      </c>
      <c r="F47" s="21"/>
      <c r="G47" s="24">
        <v>342.77</v>
      </c>
      <c r="H47" s="24"/>
      <c r="J47" s="21" t="s">
        <v>463</v>
      </c>
      <c r="K47" s="24">
        <v>-15961.09</v>
      </c>
    </row>
    <row r="48" spans="1:11" x14ac:dyDescent="0.25">
      <c r="A48" s="78">
        <v>46029</v>
      </c>
      <c r="B48" s="21" t="s">
        <v>475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8362.66</v>
      </c>
      <c r="H48" s="24"/>
      <c r="J48" s="21" t="s">
        <v>463</v>
      </c>
      <c r="K48" s="24">
        <v>-24323.75</v>
      </c>
    </row>
    <row r="49" spans="1:11" x14ac:dyDescent="0.25">
      <c r="A49" s="79">
        <v>44203</v>
      </c>
      <c r="B49" s="21" t="s">
        <v>476</v>
      </c>
      <c r="C49" s="21" t="s">
        <v>12</v>
      </c>
      <c r="D49" s="21" t="s">
        <v>27</v>
      </c>
      <c r="E49" s="21" t="s">
        <v>17</v>
      </c>
      <c r="F49" s="21" t="s">
        <v>25</v>
      </c>
      <c r="G49" s="24">
        <v>4000</v>
      </c>
      <c r="H49" s="24"/>
      <c r="J49" s="21" t="s">
        <v>477</v>
      </c>
      <c r="K49" s="24">
        <v>-28323.75</v>
      </c>
    </row>
    <row r="50" spans="1:11" x14ac:dyDescent="0.25">
      <c r="A50" s="79">
        <v>45664</v>
      </c>
      <c r="B50" s="21" t="s">
        <v>13</v>
      </c>
      <c r="C50" s="21" t="s">
        <v>20</v>
      </c>
      <c r="D50" s="21" t="s">
        <v>13</v>
      </c>
      <c r="E50" s="21"/>
      <c r="F50" s="21"/>
      <c r="G50" s="24">
        <v>3146</v>
      </c>
      <c r="H50" s="24"/>
      <c r="J50" s="21" t="s">
        <v>478</v>
      </c>
      <c r="K50" s="24">
        <v>-25177.75</v>
      </c>
    </row>
    <row r="51" spans="1:11" x14ac:dyDescent="0.25">
      <c r="A51" s="78">
        <v>45664</v>
      </c>
      <c r="B51" s="21" t="s">
        <v>479</v>
      </c>
      <c r="C51" s="21" t="s">
        <v>20</v>
      </c>
      <c r="D51" s="21" t="s">
        <v>22</v>
      </c>
      <c r="E51" s="21" t="s">
        <v>17</v>
      </c>
      <c r="F51" s="21"/>
      <c r="G51" s="24">
        <v>0</v>
      </c>
      <c r="H51" s="24"/>
      <c r="J51" s="21" t="s">
        <v>478</v>
      </c>
      <c r="K51" s="24">
        <v>-25177.75</v>
      </c>
    </row>
    <row r="52" spans="1:11" x14ac:dyDescent="0.25">
      <c r="A52" s="78">
        <v>45664</v>
      </c>
      <c r="B52" s="21" t="s">
        <v>46</v>
      </c>
      <c r="C52" s="21" t="s">
        <v>12</v>
      </c>
      <c r="D52" s="21" t="s">
        <v>24</v>
      </c>
      <c r="E52" s="21" t="s">
        <v>17</v>
      </c>
      <c r="F52" s="21" t="s">
        <v>25</v>
      </c>
      <c r="G52" s="24">
        <v>0</v>
      </c>
      <c r="H52" s="24"/>
      <c r="J52" s="21" t="s">
        <v>478</v>
      </c>
      <c r="K52" s="24">
        <v>-25177.75</v>
      </c>
    </row>
    <row r="53" spans="1:11" x14ac:dyDescent="0.25">
      <c r="A53" s="78">
        <v>45664</v>
      </c>
      <c r="B53" s="21" t="s">
        <v>11</v>
      </c>
      <c r="C53" s="21" t="s">
        <v>12</v>
      </c>
      <c r="D53" s="21" t="s">
        <v>19</v>
      </c>
      <c r="E53" s="21" t="s">
        <v>14</v>
      </c>
      <c r="F53" s="21" t="s">
        <v>15</v>
      </c>
      <c r="G53" s="24">
        <v>244</v>
      </c>
      <c r="H53" s="24"/>
      <c r="J53" s="21" t="s">
        <v>478</v>
      </c>
      <c r="K53" s="24">
        <v>-25421.75</v>
      </c>
    </row>
    <row r="54" spans="1:11" x14ac:dyDescent="0.25">
      <c r="A54" s="78">
        <v>46030</v>
      </c>
      <c r="B54" s="21" t="s">
        <v>480</v>
      </c>
      <c r="C54" s="21" t="s">
        <v>12</v>
      </c>
      <c r="D54" s="21" t="s">
        <v>19</v>
      </c>
      <c r="E54" s="21" t="s">
        <v>17</v>
      </c>
      <c r="F54" s="21"/>
      <c r="G54" s="24">
        <v>156.08000000000001</v>
      </c>
      <c r="H54" s="24"/>
      <c r="J54" s="21" t="s">
        <v>463</v>
      </c>
      <c r="K54" s="24">
        <v>-25577.83</v>
      </c>
    </row>
    <row r="55" spans="1:11" x14ac:dyDescent="0.25">
      <c r="A55" s="78">
        <v>46030</v>
      </c>
      <c r="B55" s="21" t="s">
        <v>403</v>
      </c>
      <c r="C55" s="21" t="s">
        <v>12</v>
      </c>
      <c r="D55" s="21" t="s">
        <v>19</v>
      </c>
      <c r="E55" s="21" t="s">
        <v>14</v>
      </c>
      <c r="F55" s="21" t="s">
        <v>15</v>
      </c>
      <c r="G55" s="24">
        <v>470</v>
      </c>
      <c r="H55" s="24"/>
      <c r="J55" s="21" t="s">
        <v>463</v>
      </c>
      <c r="K55" s="24">
        <v>-26047.83</v>
      </c>
    </row>
    <row r="56" spans="1:11" x14ac:dyDescent="0.25">
      <c r="A56" s="78">
        <v>46030</v>
      </c>
      <c r="B56" s="21" t="s">
        <v>31</v>
      </c>
      <c r="C56" s="21" t="s">
        <v>20</v>
      </c>
      <c r="D56" s="21" t="s">
        <v>13</v>
      </c>
      <c r="E56" s="21"/>
      <c r="F56" s="21"/>
      <c r="G56" s="24">
        <v>5211</v>
      </c>
      <c r="H56" s="24"/>
      <c r="J56" s="21" t="s">
        <v>463</v>
      </c>
      <c r="K56" s="24">
        <v>-20836.830000000002</v>
      </c>
    </row>
    <row r="57" spans="1:11" x14ac:dyDescent="0.25">
      <c r="A57" s="78">
        <v>46030</v>
      </c>
      <c r="B57" s="21" t="s">
        <v>359</v>
      </c>
      <c r="C57" s="21" t="s">
        <v>20</v>
      </c>
      <c r="D57" s="21" t="s">
        <v>22</v>
      </c>
      <c r="E57" s="21" t="s">
        <v>17</v>
      </c>
      <c r="F57" s="21"/>
      <c r="G57" s="24">
        <v>0</v>
      </c>
      <c r="H57" s="24"/>
      <c r="J57" s="21" t="s">
        <v>463</v>
      </c>
      <c r="K57" s="24">
        <v>-20836.830000000002</v>
      </c>
    </row>
    <row r="58" spans="1:11" x14ac:dyDescent="0.25">
      <c r="A58" s="78">
        <v>46030</v>
      </c>
      <c r="B58" s="21" t="s">
        <v>46</v>
      </c>
      <c r="C58" s="21" t="s">
        <v>12</v>
      </c>
      <c r="D58" s="21" t="s">
        <v>24</v>
      </c>
      <c r="E58" s="21" t="s">
        <v>17</v>
      </c>
      <c r="F58" s="21" t="s">
        <v>25</v>
      </c>
      <c r="G58" s="24">
        <v>0</v>
      </c>
      <c r="H58" s="24"/>
      <c r="J58" s="21" t="s">
        <v>463</v>
      </c>
      <c r="K58" s="24">
        <v>-20836.830000000002</v>
      </c>
    </row>
    <row r="59" spans="1:11" x14ac:dyDescent="0.25">
      <c r="A59" s="78">
        <v>45665</v>
      </c>
      <c r="B59" s="21" t="s">
        <v>481</v>
      </c>
      <c r="C59" s="21" t="s">
        <v>12</v>
      </c>
      <c r="D59" s="21" t="s">
        <v>34</v>
      </c>
      <c r="E59" s="21" t="s">
        <v>17</v>
      </c>
      <c r="F59" s="21" t="s">
        <v>25</v>
      </c>
      <c r="G59" s="24">
        <v>112</v>
      </c>
      <c r="H59" s="24"/>
      <c r="J59" s="21" t="s">
        <v>478</v>
      </c>
      <c r="K59" s="24">
        <v>-20948.830000000002</v>
      </c>
    </row>
    <row r="60" spans="1:11" x14ac:dyDescent="0.25">
      <c r="A60" s="78">
        <v>45665</v>
      </c>
      <c r="B60" s="21" t="s">
        <v>482</v>
      </c>
      <c r="C60" s="21" t="s">
        <v>12</v>
      </c>
      <c r="D60" s="21" t="s">
        <v>27</v>
      </c>
      <c r="E60" s="21" t="s">
        <v>17</v>
      </c>
      <c r="F60" s="21" t="s">
        <v>25</v>
      </c>
      <c r="G60" s="24">
        <v>900</v>
      </c>
      <c r="H60" s="24"/>
      <c r="J60" s="21" t="s">
        <v>478</v>
      </c>
      <c r="K60" s="24">
        <v>-21848.83</v>
      </c>
    </row>
    <row r="61" spans="1:11" x14ac:dyDescent="0.25">
      <c r="A61" s="78">
        <v>46031</v>
      </c>
      <c r="B61" s="21" t="s">
        <v>350</v>
      </c>
      <c r="C61" s="21" t="s">
        <v>12</v>
      </c>
      <c r="D61" s="21" t="s">
        <v>19</v>
      </c>
      <c r="E61" s="21" t="s">
        <v>17</v>
      </c>
      <c r="F61" s="21"/>
      <c r="G61" s="24">
        <v>2097.7199999999998</v>
      </c>
      <c r="H61" s="24"/>
      <c r="J61" s="21" t="s">
        <v>463</v>
      </c>
      <c r="K61" s="24">
        <v>-23946.55</v>
      </c>
    </row>
    <row r="62" spans="1:11" x14ac:dyDescent="0.25">
      <c r="A62" s="78">
        <v>46031</v>
      </c>
      <c r="B62" s="21" t="s">
        <v>403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329</v>
      </c>
      <c r="H62" s="24"/>
      <c r="J62" s="21" t="s">
        <v>463</v>
      </c>
      <c r="K62" s="24">
        <v>-24275.55</v>
      </c>
    </row>
    <row r="63" spans="1:11" x14ac:dyDescent="0.25">
      <c r="A63" s="78">
        <v>46031</v>
      </c>
      <c r="B63" s="21" t="s">
        <v>31</v>
      </c>
      <c r="C63" s="21" t="s">
        <v>20</v>
      </c>
      <c r="D63" s="21" t="s">
        <v>13</v>
      </c>
      <c r="E63" s="21"/>
      <c r="F63" s="21"/>
      <c r="G63" s="24">
        <v>8220</v>
      </c>
      <c r="H63" s="24"/>
      <c r="J63" s="21" t="s">
        <v>463</v>
      </c>
      <c r="K63" s="24">
        <v>-16055.55</v>
      </c>
    </row>
    <row r="64" spans="1:11" x14ac:dyDescent="0.25">
      <c r="A64" s="78">
        <v>46031</v>
      </c>
      <c r="B64" s="21" t="s">
        <v>45</v>
      </c>
      <c r="C64" s="21" t="s">
        <v>20</v>
      </c>
      <c r="D64" s="21" t="s">
        <v>22</v>
      </c>
      <c r="E64" s="21" t="s">
        <v>17</v>
      </c>
      <c r="F64" s="21"/>
      <c r="G64" s="24">
        <v>58.01</v>
      </c>
      <c r="H64" s="24"/>
      <c r="J64" s="21" t="s">
        <v>463</v>
      </c>
      <c r="K64" s="24">
        <v>-15997.54</v>
      </c>
    </row>
    <row r="65" spans="1:11" x14ac:dyDescent="0.25">
      <c r="A65" s="78">
        <v>46031</v>
      </c>
      <c r="B65" s="21" t="s">
        <v>46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17</v>
      </c>
      <c r="H65" s="24"/>
      <c r="J65" s="21" t="s">
        <v>463</v>
      </c>
      <c r="K65" s="24">
        <v>-16014.54</v>
      </c>
    </row>
    <row r="66" spans="1:11" x14ac:dyDescent="0.25">
      <c r="A66" s="78">
        <v>46031</v>
      </c>
      <c r="B66" s="21" t="s">
        <v>368</v>
      </c>
      <c r="C66" s="21" t="s">
        <v>12</v>
      </c>
      <c r="D66" s="21" t="s">
        <v>19</v>
      </c>
      <c r="E66" s="21" t="s">
        <v>17</v>
      </c>
      <c r="F66" s="21" t="s">
        <v>25</v>
      </c>
      <c r="G66" s="24">
        <v>378.5</v>
      </c>
      <c r="H66" s="24"/>
      <c r="J66" s="21" t="s">
        <v>463</v>
      </c>
      <c r="K66" s="24">
        <v>-16393.04</v>
      </c>
    </row>
    <row r="67" spans="1:11" x14ac:dyDescent="0.25">
      <c r="A67" s="78">
        <v>46032</v>
      </c>
      <c r="B67" s="21" t="s">
        <v>69</v>
      </c>
      <c r="C67" s="21" t="s">
        <v>12</v>
      </c>
      <c r="D67" s="21" t="s">
        <v>69</v>
      </c>
      <c r="E67" s="21" t="s">
        <v>17</v>
      </c>
      <c r="F67" s="21" t="s">
        <v>25</v>
      </c>
      <c r="G67" s="24">
        <v>450</v>
      </c>
      <c r="H67" s="24"/>
      <c r="J67" s="21" t="s">
        <v>463</v>
      </c>
      <c r="K67" s="24">
        <v>-16843.04</v>
      </c>
    </row>
    <row r="68" spans="1:11" x14ac:dyDescent="0.25">
      <c r="A68" s="78">
        <v>46032</v>
      </c>
      <c r="B68" s="21" t="s">
        <v>67</v>
      </c>
      <c r="C68" s="21" t="s">
        <v>12</v>
      </c>
      <c r="D68" s="21" t="s">
        <v>67</v>
      </c>
      <c r="E68" s="21" t="s">
        <v>17</v>
      </c>
      <c r="F68" s="21" t="s">
        <v>25</v>
      </c>
      <c r="G68" s="24">
        <v>9629.0499999999993</v>
      </c>
      <c r="H68" s="24"/>
      <c r="J68" s="21" t="s">
        <v>463</v>
      </c>
      <c r="K68" s="24">
        <v>-26472.09</v>
      </c>
    </row>
    <row r="69" spans="1:11" x14ac:dyDescent="0.25">
      <c r="A69" s="83">
        <v>46032</v>
      </c>
      <c r="B69" s="21" t="s">
        <v>483</v>
      </c>
      <c r="C69" s="21" t="s">
        <v>12</v>
      </c>
      <c r="D69" s="21" t="s">
        <v>27</v>
      </c>
      <c r="E69" s="21" t="s">
        <v>17</v>
      </c>
      <c r="F69" s="21"/>
      <c r="G69" s="24">
        <v>72</v>
      </c>
      <c r="H69" s="24"/>
      <c r="J69" s="21" t="s">
        <v>463</v>
      </c>
      <c r="K69" s="24">
        <v>-26544.09</v>
      </c>
    </row>
    <row r="70" spans="1:11" x14ac:dyDescent="0.25">
      <c r="A70" s="78">
        <v>46032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11002</v>
      </c>
      <c r="H70" s="24"/>
      <c r="J70" s="21" t="s">
        <v>463</v>
      </c>
      <c r="K70" s="24">
        <v>-15542.09</v>
      </c>
    </row>
    <row r="71" spans="1:11" x14ac:dyDescent="0.25">
      <c r="A71" s="78">
        <v>46032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259.87</v>
      </c>
      <c r="H71" s="24"/>
      <c r="J71" s="21" t="s">
        <v>463</v>
      </c>
      <c r="K71" s="24">
        <v>-15282.22</v>
      </c>
    </row>
    <row r="72" spans="1:11" x14ac:dyDescent="0.25">
      <c r="A72" s="78">
        <v>46032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43</v>
      </c>
      <c r="H72" s="24"/>
      <c r="J72" s="21" t="s">
        <v>463</v>
      </c>
      <c r="K72" s="24">
        <v>-15325.22</v>
      </c>
    </row>
    <row r="73" spans="1:11" x14ac:dyDescent="0.25">
      <c r="A73" s="78">
        <v>46032</v>
      </c>
      <c r="B73" s="21" t="s">
        <v>34</v>
      </c>
      <c r="C73" s="21" t="s">
        <v>12</v>
      </c>
      <c r="D73" s="21" t="s">
        <v>34</v>
      </c>
      <c r="E73" s="21" t="s">
        <v>14</v>
      </c>
      <c r="F73" s="21" t="s">
        <v>15</v>
      </c>
      <c r="G73" s="24">
        <v>150</v>
      </c>
      <c r="H73" s="24"/>
      <c r="J73" s="21" t="s">
        <v>463</v>
      </c>
      <c r="K73" s="24">
        <v>-15475.22</v>
      </c>
    </row>
    <row r="74" spans="1:11" x14ac:dyDescent="0.25">
      <c r="A74" s="78">
        <v>46032</v>
      </c>
      <c r="B74" s="21" t="s">
        <v>433</v>
      </c>
      <c r="C74" s="21" t="s">
        <v>12</v>
      </c>
      <c r="D74" s="21" t="s">
        <v>40</v>
      </c>
      <c r="E74" s="21" t="s">
        <v>17</v>
      </c>
      <c r="F74" s="21"/>
      <c r="G74" s="24">
        <v>685</v>
      </c>
      <c r="H74" s="24"/>
      <c r="J74" s="21" t="s">
        <v>463</v>
      </c>
      <c r="K74" s="24">
        <v>-16160.22</v>
      </c>
    </row>
    <row r="75" spans="1:11" x14ac:dyDescent="0.25">
      <c r="A75" s="78">
        <v>46032</v>
      </c>
      <c r="B75" s="21" t="s">
        <v>468</v>
      </c>
      <c r="C75" s="21" t="s">
        <v>12</v>
      </c>
      <c r="D75" s="21" t="s">
        <v>19</v>
      </c>
      <c r="E75" s="21" t="s">
        <v>17</v>
      </c>
      <c r="F75" s="21" t="s">
        <v>25</v>
      </c>
      <c r="G75" s="24">
        <v>110</v>
      </c>
      <c r="H75" s="24"/>
      <c r="J75" s="21" t="s">
        <v>463</v>
      </c>
      <c r="K75" s="24">
        <v>-16270.22</v>
      </c>
    </row>
    <row r="76" spans="1:11" x14ac:dyDescent="0.25">
      <c r="A76" s="78">
        <v>46033</v>
      </c>
      <c r="B76" s="21" t="s">
        <v>31</v>
      </c>
      <c r="C76" s="21" t="s">
        <v>20</v>
      </c>
      <c r="D76" s="21" t="s">
        <v>13</v>
      </c>
      <c r="E76" s="21"/>
      <c r="F76" s="21"/>
      <c r="G76" s="24">
        <v>11570</v>
      </c>
      <c r="H76" s="24"/>
      <c r="J76" s="21" t="s">
        <v>463</v>
      </c>
      <c r="K76" s="24">
        <v>-4700.2199999999993</v>
      </c>
    </row>
    <row r="77" spans="1:11" x14ac:dyDescent="0.25">
      <c r="A77" s="78">
        <v>46033</v>
      </c>
      <c r="B77" s="21" t="s">
        <v>45</v>
      </c>
      <c r="C77" s="21" t="s">
        <v>20</v>
      </c>
      <c r="D77" s="21" t="s">
        <v>22</v>
      </c>
      <c r="E77" s="21" t="s">
        <v>17</v>
      </c>
      <c r="F77" s="21"/>
      <c r="G77" s="24">
        <v>643.9</v>
      </c>
      <c r="H77" s="24"/>
      <c r="J77" s="21" t="s">
        <v>463</v>
      </c>
      <c r="K77" s="24">
        <v>-4056.3199999999988</v>
      </c>
    </row>
    <row r="78" spans="1:11" x14ac:dyDescent="0.25">
      <c r="A78" s="78">
        <v>46033</v>
      </c>
      <c r="B78" s="21" t="s">
        <v>23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89</v>
      </c>
      <c r="H78" s="24"/>
      <c r="J78" s="21" t="s">
        <v>463</v>
      </c>
      <c r="K78" s="24">
        <v>-4145.32</v>
      </c>
    </row>
    <row r="79" spans="1:11" x14ac:dyDescent="0.25">
      <c r="A79" s="78">
        <v>46033</v>
      </c>
      <c r="B79" s="21" t="s">
        <v>11</v>
      </c>
      <c r="C79" s="21" t="s">
        <v>12</v>
      </c>
      <c r="D79" s="21" t="s">
        <v>19</v>
      </c>
      <c r="E79" s="21" t="s">
        <v>14</v>
      </c>
      <c r="F79" s="21" t="s">
        <v>15</v>
      </c>
      <c r="G79" s="24">
        <v>94</v>
      </c>
      <c r="H79" s="24"/>
      <c r="J79" s="21" t="s">
        <v>463</v>
      </c>
      <c r="K79" s="24">
        <v>-4239.32</v>
      </c>
    </row>
    <row r="80" spans="1:11" x14ac:dyDescent="0.25">
      <c r="A80" s="78">
        <v>46033</v>
      </c>
      <c r="B80" s="21" t="s">
        <v>34</v>
      </c>
      <c r="C80" s="21" t="s">
        <v>12</v>
      </c>
      <c r="D80" s="21" t="s">
        <v>34</v>
      </c>
      <c r="E80" s="21" t="s">
        <v>14</v>
      </c>
      <c r="F80" s="21" t="s">
        <v>15</v>
      </c>
      <c r="G80" s="24">
        <v>300</v>
      </c>
      <c r="H80" s="24"/>
      <c r="J80" s="21" t="s">
        <v>463</v>
      </c>
      <c r="K80" s="24">
        <v>-4539.32</v>
      </c>
    </row>
    <row r="81" spans="1:11" x14ac:dyDescent="0.25">
      <c r="A81" s="78">
        <v>46034</v>
      </c>
      <c r="B81" s="21" t="s">
        <v>326</v>
      </c>
      <c r="C81" s="21" t="s">
        <v>12</v>
      </c>
      <c r="D81" s="21" t="s">
        <v>66</v>
      </c>
      <c r="E81" s="21" t="s">
        <v>17</v>
      </c>
      <c r="F81" s="21" t="s">
        <v>25</v>
      </c>
      <c r="G81" s="24">
        <v>45</v>
      </c>
      <c r="H81" s="24"/>
      <c r="J81" s="21" t="s">
        <v>463</v>
      </c>
      <c r="K81" s="24">
        <v>-4584.32</v>
      </c>
    </row>
    <row r="82" spans="1:11" x14ac:dyDescent="0.25">
      <c r="A82" s="78">
        <v>46034</v>
      </c>
      <c r="B82" s="21" t="s">
        <v>371</v>
      </c>
      <c r="C82" s="21" t="s">
        <v>12</v>
      </c>
      <c r="D82" s="21" t="s">
        <v>19</v>
      </c>
      <c r="E82" s="21" t="s">
        <v>17</v>
      </c>
      <c r="F82" s="21"/>
      <c r="G82" s="24">
        <v>557.34</v>
      </c>
      <c r="H82" s="24"/>
      <c r="J82" s="21" t="s">
        <v>463</v>
      </c>
      <c r="K82" s="24">
        <v>-5141.66</v>
      </c>
    </row>
    <row r="83" spans="1:11" x14ac:dyDescent="0.25">
      <c r="A83" s="78">
        <v>46034</v>
      </c>
      <c r="B83" s="21" t="s">
        <v>484</v>
      </c>
      <c r="C83" s="21" t="s">
        <v>12</v>
      </c>
      <c r="D83" s="21" t="s">
        <v>63</v>
      </c>
      <c r="E83" s="21" t="s">
        <v>17</v>
      </c>
      <c r="F83" s="21" t="s">
        <v>25</v>
      </c>
      <c r="G83" s="24">
        <v>2078.71</v>
      </c>
      <c r="H83" s="24"/>
      <c r="J83" s="21" t="s">
        <v>463</v>
      </c>
      <c r="K83" s="24">
        <v>-7220.37</v>
      </c>
    </row>
    <row r="84" spans="1:11" x14ac:dyDescent="0.25">
      <c r="A84" s="78">
        <v>46034</v>
      </c>
      <c r="B84" s="21" t="s">
        <v>31</v>
      </c>
      <c r="C84" s="21" t="s">
        <v>20</v>
      </c>
      <c r="D84" s="21" t="s">
        <v>13</v>
      </c>
      <c r="E84" s="21"/>
      <c r="F84" s="21"/>
      <c r="G84" s="24">
        <v>4081</v>
      </c>
      <c r="H84" s="24"/>
      <c r="J84" s="21" t="s">
        <v>463</v>
      </c>
      <c r="K84" s="24">
        <v>-3139.37</v>
      </c>
    </row>
    <row r="85" spans="1:11" x14ac:dyDescent="0.25">
      <c r="A85" s="78">
        <v>46034</v>
      </c>
      <c r="B85" s="21" t="s">
        <v>45</v>
      </c>
      <c r="C85" s="21" t="s">
        <v>20</v>
      </c>
      <c r="D85" s="21" t="s">
        <v>22</v>
      </c>
      <c r="E85" s="21" t="s">
        <v>17</v>
      </c>
      <c r="F85" s="21"/>
      <c r="G85" s="24">
        <v>157.56</v>
      </c>
      <c r="H85" s="24"/>
      <c r="J85" s="21" t="s">
        <v>463</v>
      </c>
      <c r="K85" s="24">
        <v>-2981.81</v>
      </c>
    </row>
    <row r="86" spans="1:11" x14ac:dyDescent="0.25">
      <c r="A86" s="80">
        <v>46034</v>
      </c>
      <c r="B86" s="21" t="s">
        <v>46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18</v>
      </c>
      <c r="H86" s="24"/>
      <c r="J86" s="21" t="s">
        <v>463</v>
      </c>
      <c r="K86" s="24">
        <v>-2999.81</v>
      </c>
    </row>
    <row r="87" spans="1:11" x14ac:dyDescent="0.25">
      <c r="A87" s="78">
        <v>20466</v>
      </c>
      <c r="B87" s="21" t="s">
        <v>403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141</v>
      </c>
      <c r="H87" s="24"/>
      <c r="J87" s="21" t="s">
        <v>485</v>
      </c>
      <c r="K87" s="24">
        <v>-3140.81</v>
      </c>
    </row>
    <row r="88" spans="1:11" x14ac:dyDescent="0.25">
      <c r="A88" s="78">
        <v>46034</v>
      </c>
      <c r="B88" s="21" t="s">
        <v>486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35</v>
      </c>
      <c r="H88" s="24"/>
      <c r="J88" s="21" t="s">
        <v>463</v>
      </c>
      <c r="K88" s="24">
        <v>-3175.81</v>
      </c>
    </row>
    <row r="89" spans="1:11" x14ac:dyDescent="0.25">
      <c r="A89" s="78">
        <v>46035</v>
      </c>
      <c r="B89" s="21" t="s">
        <v>311</v>
      </c>
      <c r="C89" s="21" t="s">
        <v>12</v>
      </c>
      <c r="D89" s="21" t="s">
        <v>19</v>
      </c>
      <c r="E89" s="21" t="s">
        <v>17</v>
      </c>
      <c r="F89" s="21"/>
      <c r="G89" s="24">
        <v>514.83000000000004</v>
      </c>
      <c r="H89" s="24"/>
      <c r="J89" s="21" t="s">
        <v>463</v>
      </c>
      <c r="K89" s="24">
        <v>-3690.64</v>
      </c>
    </row>
    <row r="90" spans="1:11" x14ac:dyDescent="0.25">
      <c r="A90" s="78">
        <v>46035</v>
      </c>
      <c r="B90" s="21" t="s">
        <v>354</v>
      </c>
      <c r="C90" s="21" t="s">
        <v>12</v>
      </c>
      <c r="D90" s="21" t="s">
        <v>19</v>
      </c>
      <c r="E90" s="21" t="s">
        <v>17</v>
      </c>
      <c r="F90" s="21"/>
      <c r="G90" s="24">
        <v>3409.49</v>
      </c>
      <c r="H90" s="24"/>
      <c r="J90" s="21" t="s">
        <v>463</v>
      </c>
      <c r="K90" s="24">
        <v>-7100.1299999999992</v>
      </c>
    </row>
    <row r="91" spans="1:11" x14ac:dyDescent="0.25">
      <c r="A91" s="78">
        <v>46035</v>
      </c>
      <c r="B91" s="21" t="s">
        <v>487</v>
      </c>
      <c r="C91" s="21" t="s">
        <v>12</v>
      </c>
      <c r="D91" s="21" t="s">
        <v>63</v>
      </c>
      <c r="E91" s="21" t="s">
        <v>17</v>
      </c>
      <c r="F91" s="21"/>
      <c r="G91" s="24">
        <v>754</v>
      </c>
      <c r="H91" s="24"/>
      <c r="J91" s="21" t="s">
        <v>463</v>
      </c>
      <c r="K91" s="24">
        <v>-7854.1299999999992</v>
      </c>
    </row>
    <row r="92" spans="1:11" x14ac:dyDescent="0.25">
      <c r="A92" s="78">
        <v>46035</v>
      </c>
      <c r="B92" s="21" t="s">
        <v>98</v>
      </c>
      <c r="C92" s="21" t="s">
        <v>12</v>
      </c>
      <c r="D92" s="21" t="s">
        <v>63</v>
      </c>
      <c r="E92" s="21" t="s">
        <v>17</v>
      </c>
      <c r="F92" s="21" t="s">
        <v>25</v>
      </c>
      <c r="G92" s="24">
        <v>600</v>
      </c>
      <c r="H92" s="24"/>
      <c r="J92" s="21" t="s">
        <v>463</v>
      </c>
      <c r="K92" s="24">
        <v>-8454.1299999999992</v>
      </c>
    </row>
    <row r="93" spans="1:11" x14ac:dyDescent="0.25">
      <c r="A93" s="79">
        <v>46035</v>
      </c>
      <c r="B93" s="21" t="s">
        <v>13</v>
      </c>
      <c r="C93" s="21" t="s">
        <v>20</v>
      </c>
      <c r="D93" s="21" t="s">
        <v>13</v>
      </c>
      <c r="E93" s="21"/>
      <c r="F93" s="21"/>
      <c r="G93" s="24">
        <v>3341</v>
      </c>
      <c r="H93" s="24"/>
      <c r="J93" s="21" t="s">
        <v>463</v>
      </c>
      <c r="K93" s="24">
        <v>-5113.1299999999992</v>
      </c>
    </row>
    <row r="94" spans="1:11" x14ac:dyDescent="0.25">
      <c r="A94" s="78">
        <v>46035</v>
      </c>
      <c r="B94" s="21" t="s">
        <v>21</v>
      </c>
      <c r="C94" s="21" t="s">
        <v>20</v>
      </c>
      <c r="D94" s="21" t="s">
        <v>22</v>
      </c>
      <c r="E94" s="21" t="s">
        <v>17</v>
      </c>
      <c r="F94" s="21"/>
      <c r="G94" s="24">
        <v>0</v>
      </c>
      <c r="H94" s="24"/>
      <c r="J94" s="21" t="s">
        <v>463</v>
      </c>
      <c r="K94" s="24">
        <v>-5113.1299999999992</v>
      </c>
    </row>
    <row r="95" spans="1:11" x14ac:dyDescent="0.25">
      <c r="A95" s="78">
        <v>46035</v>
      </c>
      <c r="B95" s="21" t="s">
        <v>23</v>
      </c>
      <c r="C95" s="21" t="s">
        <v>12</v>
      </c>
      <c r="D95" s="21" t="s">
        <v>24</v>
      </c>
      <c r="E95" s="21" t="s">
        <v>17</v>
      </c>
      <c r="F95" s="21" t="s">
        <v>25</v>
      </c>
      <c r="G95" s="24">
        <v>0</v>
      </c>
      <c r="H95" s="24"/>
      <c r="J95" s="21" t="s">
        <v>463</v>
      </c>
      <c r="K95" s="24">
        <v>-5113.1299999999992</v>
      </c>
    </row>
    <row r="96" spans="1:11" x14ac:dyDescent="0.25">
      <c r="A96" s="78">
        <v>46035</v>
      </c>
      <c r="B96" s="21" t="s">
        <v>11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463</v>
      </c>
      <c r="K96" s="24">
        <v>-5207.1299999999992</v>
      </c>
    </row>
    <row r="97" spans="1:11" x14ac:dyDescent="0.25">
      <c r="A97" s="79">
        <v>46035</v>
      </c>
      <c r="B97" s="21" t="s">
        <v>488</v>
      </c>
      <c r="C97" s="21" t="s">
        <v>12</v>
      </c>
      <c r="D97" s="21" t="s">
        <v>34</v>
      </c>
      <c r="E97" s="21" t="s">
        <v>14</v>
      </c>
      <c r="F97" s="21" t="s">
        <v>15</v>
      </c>
      <c r="G97" s="24">
        <v>200</v>
      </c>
      <c r="H97" s="24"/>
      <c r="J97" s="21" t="s">
        <v>463</v>
      </c>
      <c r="K97" s="24">
        <v>-5407.1299999999992</v>
      </c>
    </row>
    <row r="98" spans="1:11" x14ac:dyDescent="0.25">
      <c r="A98" s="78">
        <v>46036</v>
      </c>
      <c r="B98" s="21" t="s">
        <v>13</v>
      </c>
      <c r="C98" s="21" t="s">
        <v>20</v>
      </c>
      <c r="D98" s="21" t="s">
        <v>13</v>
      </c>
      <c r="E98" s="21"/>
      <c r="F98" s="21"/>
      <c r="G98" s="24">
        <v>3528</v>
      </c>
      <c r="H98" s="24"/>
      <c r="J98" s="21" t="s">
        <v>463</v>
      </c>
      <c r="K98" s="24">
        <v>-1879.129999999999</v>
      </c>
    </row>
    <row r="99" spans="1:11" x14ac:dyDescent="0.25">
      <c r="A99" s="83">
        <v>46036</v>
      </c>
      <c r="B99" s="21" t="s">
        <v>489</v>
      </c>
      <c r="C99" s="21" t="s">
        <v>20</v>
      </c>
      <c r="D99" s="21" t="s">
        <v>22</v>
      </c>
      <c r="E99" s="21" t="s">
        <v>17</v>
      </c>
      <c r="F99" s="21"/>
      <c r="G99" s="24">
        <v>0</v>
      </c>
      <c r="H99" s="24"/>
      <c r="J99" s="21" t="s">
        <v>463</v>
      </c>
      <c r="K99" s="24">
        <v>-1879.129999999999</v>
      </c>
    </row>
    <row r="100" spans="1:11" x14ac:dyDescent="0.25">
      <c r="A100" s="81">
        <v>46036</v>
      </c>
      <c r="B100" s="21" t="s">
        <v>23</v>
      </c>
      <c r="C100" s="21" t="s">
        <v>12</v>
      </c>
      <c r="D100" s="21" t="s">
        <v>24</v>
      </c>
      <c r="E100" s="21" t="s">
        <v>17</v>
      </c>
      <c r="F100" s="21" t="s">
        <v>25</v>
      </c>
      <c r="G100" s="24">
        <v>0</v>
      </c>
      <c r="H100" s="24"/>
      <c r="J100" s="21" t="s">
        <v>463</v>
      </c>
      <c r="K100" s="24">
        <v>-1879.129999999999</v>
      </c>
    </row>
    <row r="101" spans="1:11" x14ac:dyDescent="0.25">
      <c r="A101" s="78">
        <v>46036</v>
      </c>
      <c r="B101" s="21" t="s">
        <v>11</v>
      </c>
      <c r="C101" s="21" t="s">
        <v>12</v>
      </c>
      <c r="D101" s="21" t="s">
        <v>19</v>
      </c>
      <c r="E101" s="21" t="s">
        <v>14</v>
      </c>
      <c r="F101" s="21" t="s">
        <v>15</v>
      </c>
      <c r="G101" s="24">
        <v>94</v>
      </c>
      <c r="H101" s="24"/>
      <c r="J101" s="21" t="s">
        <v>463</v>
      </c>
      <c r="K101" s="24">
        <v>-1973.129999999999</v>
      </c>
    </row>
    <row r="102" spans="1:11" x14ac:dyDescent="0.25">
      <c r="A102" s="78">
        <v>46036</v>
      </c>
      <c r="B102" s="21" t="s">
        <v>490</v>
      </c>
      <c r="C102" s="21" t="s">
        <v>12</v>
      </c>
      <c r="D102" s="21" t="s">
        <v>63</v>
      </c>
      <c r="E102" s="21" t="s">
        <v>14</v>
      </c>
      <c r="F102" s="21" t="s">
        <v>15</v>
      </c>
      <c r="G102" s="24">
        <v>72</v>
      </c>
      <c r="H102" s="24"/>
      <c r="J102" s="21" t="s">
        <v>463</v>
      </c>
      <c r="K102" s="24">
        <v>-2045.129999999999</v>
      </c>
    </row>
    <row r="103" spans="1:11" x14ac:dyDescent="0.25">
      <c r="A103" s="78">
        <v>46036</v>
      </c>
      <c r="B103" s="21" t="s">
        <v>491</v>
      </c>
      <c r="C103" s="21" t="s">
        <v>12</v>
      </c>
      <c r="D103" s="21" t="s">
        <v>19</v>
      </c>
      <c r="E103" s="21" t="s">
        <v>17</v>
      </c>
      <c r="F103" s="21" t="s">
        <v>25</v>
      </c>
      <c r="G103" s="24">
        <v>611.88</v>
      </c>
      <c r="H103" s="24"/>
      <c r="J103" s="21" t="s">
        <v>463</v>
      </c>
      <c r="K103" s="24">
        <v>-2657.0099999999989</v>
      </c>
    </row>
    <row r="104" spans="1:11" x14ac:dyDescent="0.25">
      <c r="A104" s="78">
        <v>46037</v>
      </c>
      <c r="B104" s="21" t="s">
        <v>435</v>
      </c>
      <c r="C104" s="21" t="s">
        <v>12</v>
      </c>
      <c r="D104" s="21" t="s">
        <v>27</v>
      </c>
      <c r="E104" s="21" t="s">
        <v>17</v>
      </c>
      <c r="F104" s="21"/>
      <c r="G104" s="24">
        <v>202.8</v>
      </c>
      <c r="H104" s="24"/>
      <c r="J104" s="21" t="s">
        <v>463</v>
      </c>
      <c r="K104" s="24">
        <v>-2859.809999999999</v>
      </c>
    </row>
    <row r="105" spans="1:11" x14ac:dyDescent="0.25">
      <c r="A105" s="78">
        <v>46037</v>
      </c>
      <c r="B105" s="21" t="s">
        <v>369</v>
      </c>
      <c r="C105" s="21" t="s">
        <v>12</v>
      </c>
      <c r="D105" s="21" t="s">
        <v>40</v>
      </c>
      <c r="E105" s="21" t="s">
        <v>17</v>
      </c>
      <c r="F105" s="21" t="s">
        <v>25</v>
      </c>
      <c r="G105" s="24">
        <v>99.9</v>
      </c>
      <c r="H105" s="24"/>
      <c r="J105" s="21" t="s">
        <v>463</v>
      </c>
      <c r="K105" s="24">
        <v>-2959.71</v>
      </c>
    </row>
    <row r="106" spans="1:11" x14ac:dyDescent="0.25">
      <c r="A106" s="78">
        <v>46037</v>
      </c>
      <c r="B106" s="21" t="s">
        <v>492</v>
      </c>
      <c r="C106" s="21" t="s">
        <v>12</v>
      </c>
      <c r="D106" s="21" t="s">
        <v>40</v>
      </c>
      <c r="E106" s="21" t="s">
        <v>17</v>
      </c>
      <c r="F106" s="21" t="s">
        <v>25</v>
      </c>
      <c r="G106" s="24">
        <v>350</v>
      </c>
      <c r="H106" s="24"/>
      <c r="J106" s="21" t="s">
        <v>463</v>
      </c>
      <c r="K106" s="24">
        <v>-3309.71</v>
      </c>
    </row>
    <row r="107" spans="1:11" x14ac:dyDescent="0.25">
      <c r="A107" s="78">
        <v>46037</v>
      </c>
      <c r="B107" s="21" t="s">
        <v>31</v>
      </c>
      <c r="C107" s="21" t="s">
        <v>20</v>
      </c>
      <c r="D107" s="21" t="s">
        <v>13</v>
      </c>
      <c r="E107" s="21"/>
      <c r="F107" s="21"/>
      <c r="G107" s="24">
        <v>2990</v>
      </c>
      <c r="H107" s="24"/>
      <c r="J107" s="21" t="s">
        <v>463</v>
      </c>
      <c r="K107" s="24">
        <v>-319.70999999999958</v>
      </c>
    </row>
    <row r="108" spans="1:11" x14ac:dyDescent="0.25">
      <c r="A108" s="78">
        <v>46037</v>
      </c>
      <c r="B108" s="21" t="s">
        <v>45</v>
      </c>
      <c r="C108" s="21" t="s">
        <v>20</v>
      </c>
      <c r="D108" s="21" t="s">
        <v>22</v>
      </c>
      <c r="E108" s="21" t="s">
        <v>17</v>
      </c>
      <c r="F108" s="21"/>
      <c r="G108" s="24">
        <v>0</v>
      </c>
      <c r="H108" s="24"/>
      <c r="J108" s="21" t="s">
        <v>463</v>
      </c>
      <c r="K108" s="24">
        <v>-319.70999999999958</v>
      </c>
    </row>
    <row r="109" spans="1:11" x14ac:dyDescent="0.25">
      <c r="A109" s="78">
        <v>46037</v>
      </c>
      <c r="B109" s="21" t="s">
        <v>46</v>
      </c>
      <c r="C109" s="21" t="s">
        <v>12</v>
      </c>
      <c r="D109" s="21" t="s">
        <v>24</v>
      </c>
      <c r="E109" s="21" t="s">
        <v>17</v>
      </c>
      <c r="F109" s="21" t="s">
        <v>25</v>
      </c>
      <c r="G109" s="24">
        <v>0</v>
      </c>
      <c r="H109" s="24"/>
      <c r="J109" s="21" t="s">
        <v>463</v>
      </c>
      <c r="K109" s="24">
        <v>-319.70999999999958</v>
      </c>
    </row>
    <row r="110" spans="1:11" x14ac:dyDescent="0.25">
      <c r="A110" s="78">
        <v>46037</v>
      </c>
      <c r="B110" s="21" t="s">
        <v>403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282</v>
      </c>
      <c r="H110" s="24"/>
      <c r="J110" s="21" t="s">
        <v>463</v>
      </c>
      <c r="K110" s="24">
        <v>-601.70999999999958</v>
      </c>
    </row>
    <row r="111" spans="1:11" x14ac:dyDescent="0.25">
      <c r="A111" s="78">
        <v>46037</v>
      </c>
      <c r="B111" s="21" t="s">
        <v>493</v>
      </c>
      <c r="C111" s="21" t="s">
        <v>12</v>
      </c>
      <c r="D111" s="21" t="s">
        <v>19</v>
      </c>
      <c r="E111" s="21" t="s">
        <v>14</v>
      </c>
      <c r="F111" s="21" t="s">
        <v>15</v>
      </c>
      <c r="G111" s="24">
        <v>100</v>
      </c>
      <c r="H111" s="24"/>
      <c r="J111" s="21" t="s">
        <v>463</v>
      </c>
      <c r="K111" s="24">
        <v>-701.70999999999958</v>
      </c>
    </row>
    <row r="112" spans="1:11" x14ac:dyDescent="0.25">
      <c r="A112" s="78">
        <v>46037</v>
      </c>
      <c r="B112" s="21" t="s">
        <v>494</v>
      </c>
      <c r="C112" s="21" t="s">
        <v>12</v>
      </c>
      <c r="D112" s="21" t="s">
        <v>34</v>
      </c>
      <c r="E112" s="21" t="s">
        <v>14</v>
      </c>
      <c r="F112" s="21" t="s">
        <v>15</v>
      </c>
      <c r="G112" s="24">
        <v>300</v>
      </c>
      <c r="H112" s="24"/>
      <c r="J112" s="21" t="s">
        <v>463</v>
      </c>
      <c r="K112" s="24">
        <v>-1001.71</v>
      </c>
    </row>
    <row r="113" spans="1:11" x14ac:dyDescent="0.25">
      <c r="A113" s="78">
        <v>46037</v>
      </c>
      <c r="B113" s="21" t="s">
        <v>495</v>
      </c>
      <c r="C113" s="21" t="s">
        <v>12</v>
      </c>
      <c r="D113" s="21" t="s">
        <v>66</v>
      </c>
      <c r="E113" s="21" t="s">
        <v>17</v>
      </c>
      <c r="F113" s="21" t="s">
        <v>25</v>
      </c>
      <c r="G113" s="24">
        <v>3</v>
      </c>
      <c r="H113" s="24"/>
      <c r="J113" s="21" t="s">
        <v>463</v>
      </c>
      <c r="K113" s="24">
        <v>-1004.71</v>
      </c>
    </row>
    <row r="114" spans="1:11" x14ac:dyDescent="0.25">
      <c r="A114" s="80">
        <v>46038</v>
      </c>
      <c r="B114" s="21" t="s">
        <v>311</v>
      </c>
      <c r="C114" s="21" t="s">
        <v>12</v>
      </c>
      <c r="D114" s="21" t="s">
        <v>19</v>
      </c>
      <c r="E114" s="21" t="s">
        <v>17</v>
      </c>
      <c r="F114" s="21"/>
      <c r="G114" s="24">
        <v>883.29</v>
      </c>
      <c r="H114" s="24"/>
      <c r="J114" s="21" t="s">
        <v>463</v>
      </c>
      <c r="K114" s="24">
        <v>-1888</v>
      </c>
    </row>
    <row r="115" spans="1:11" x14ac:dyDescent="0.25">
      <c r="A115" s="78">
        <v>46038</v>
      </c>
      <c r="B115" s="21" t="s">
        <v>473</v>
      </c>
      <c r="C115" s="21" t="s">
        <v>12</v>
      </c>
      <c r="D115" s="21" t="s">
        <v>19</v>
      </c>
      <c r="E115" s="21" t="s">
        <v>17</v>
      </c>
      <c r="F115" s="21"/>
      <c r="G115" s="24">
        <v>222.34</v>
      </c>
      <c r="H115" s="24"/>
      <c r="J115" s="21" t="s">
        <v>463</v>
      </c>
      <c r="K115" s="24">
        <v>-2110.34</v>
      </c>
    </row>
    <row r="116" spans="1:11" x14ac:dyDescent="0.25">
      <c r="A116" s="78">
        <v>46038</v>
      </c>
      <c r="B116" s="21" t="s">
        <v>473</v>
      </c>
      <c r="C116" s="21" t="s">
        <v>12</v>
      </c>
      <c r="D116" s="21" t="s">
        <v>19</v>
      </c>
      <c r="E116" s="21" t="s">
        <v>17</v>
      </c>
      <c r="F116" s="21"/>
      <c r="G116" s="24">
        <v>329.39</v>
      </c>
      <c r="H116" s="24"/>
      <c r="J116" s="21" t="s">
        <v>463</v>
      </c>
      <c r="K116" s="24">
        <v>-2439.73</v>
      </c>
    </row>
    <row r="117" spans="1:11" x14ac:dyDescent="0.25">
      <c r="A117" s="80">
        <v>46038</v>
      </c>
      <c r="B117" s="21" t="s">
        <v>496</v>
      </c>
      <c r="C117" s="21" t="s">
        <v>12</v>
      </c>
      <c r="D117" s="21" t="s">
        <v>66</v>
      </c>
      <c r="E117" s="21" t="s">
        <v>17</v>
      </c>
      <c r="F117" s="21" t="s">
        <v>25</v>
      </c>
      <c r="G117" s="24">
        <v>506.46</v>
      </c>
      <c r="H117" s="24"/>
      <c r="J117" s="21" t="s">
        <v>463</v>
      </c>
      <c r="K117" s="24">
        <v>-2946.19</v>
      </c>
    </row>
    <row r="118" spans="1:11" x14ac:dyDescent="0.25">
      <c r="A118" s="78">
        <v>46038</v>
      </c>
      <c r="B118" s="21" t="s">
        <v>13</v>
      </c>
      <c r="C118" s="21" t="s">
        <v>20</v>
      </c>
      <c r="D118" s="21" t="s">
        <v>13</v>
      </c>
      <c r="E118" s="21"/>
      <c r="F118" s="21"/>
      <c r="G118" s="24">
        <v>5074</v>
      </c>
      <c r="H118" s="24"/>
      <c r="J118" s="21" t="s">
        <v>463</v>
      </c>
      <c r="K118" s="24">
        <v>2127.81</v>
      </c>
    </row>
    <row r="119" spans="1:11" x14ac:dyDescent="0.25">
      <c r="A119" s="78">
        <v>46038</v>
      </c>
      <c r="B119" s="21" t="s">
        <v>21</v>
      </c>
      <c r="C119" s="21" t="s">
        <v>20</v>
      </c>
      <c r="D119" s="21" t="s">
        <v>22</v>
      </c>
      <c r="E119" s="21" t="s">
        <v>17</v>
      </c>
      <c r="F119" s="21"/>
      <c r="G119" s="24">
        <v>95.88</v>
      </c>
      <c r="H119" s="24"/>
      <c r="J119" s="21" t="s">
        <v>463</v>
      </c>
      <c r="K119" s="24">
        <v>2223.690000000001</v>
      </c>
    </row>
    <row r="120" spans="1:11" x14ac:dyDescent="0.25">
      <c r="A120" s="78">
        <v>46038</v>
      </c>
      <c r="B120" s="21" t="s">
        <v>23</v>
      </c>
      <c r="C120" s="21" t="s">
        <v>12</v>
      </c>
      <c r="D120" s="21" t="s">
        <v>24</v>
      </c>
      <c r="E120" s="21" t="s">
        <v>17</v>
      </c>
      <c r="F120" s="21" t="s">
        <v>25</v>
      </c>
      <c r="G120" s="24">
        <v>18</v>
      </c>
      <c r="H120" s="24"/>
      <c r="J120" s="21" t="s">
        <v>463</v>
      </c>
      <c r="K120" s="24">
        <v>2205.690000000001</v>
      </c>
    </row>
    <row r="121" spans="1:11" x14ac:dyDescent="0.25">
      <c r="A121" s="78">
        <v>46038</v>
      </c>
      <c r="B121" s="21" t="s">
        <v>11</v>
      </c>
      <c r="C121" s="21" t="s">
        <v>12</v>
      </c>
      <c r="D121" s="21" t="s">
        <v>19</v>
      </c>
      <c r="E121" s="21" t="s">
        <v>14</v>
      </c>
      <c r="F121" s="21" t="s">
        <v>15</v>
      </c>
      <c r="G121" s="24">
        <v>329</v>
      </c>
      <c r="H121" s="24"/>
      <c r="J121" s="21" t="s">
        <v>463</v>
      </c>
      <c r="K121" s="24">
        <v>1876.690000000001</v>
      </c>
    </row>
    <row r="122" spans="1:11" x14ac:dyDescent="0.25">
      <c r="A122" s="78">
        <v>46038</v>
      </c>
      <c r="B122" s="21" t="s">
        <v>417</v>
      </c>
      <c r="C122" s="21" t="s">
        <v>12</v>
      </c>
      <c r="D122" s="21" t="s">
        <v>19</v>
      </c>
      <c r="E122" s="21" t="s">
        <v>17</v>
      </c>
      <c r="F122" s="21" t="s">
        <v>25</v>
      </c>
      <c r="G122" s="24">
        <v>395</v>
      </c>
      <c r="H122" s="24"/>
      <c r="J122" s="21" t="s">
        <v>463</v>
      </c>
      <c r="K122" s="24">
        <v>1481.690000000001</v>
      </c>
    </row>
    <row r="123" spans="1:11" x14ac:dyDescent="0.25">
      <c r="A123" s="78">
        <v>46038</v>
      </c>
      <c r="B123" s="21" t="s">
        <v>495</v>
      </c>
      <c r="C123" s="21" t="s">
        <v>12</v>
      </c>
      <c r="D123" s="21" t="s">
        <v>27</v>
      </c>
      <c r="E123" s="21" t="s">
        <v>14</v>
      </c>
      <c r="F123" s="21" t="s">
        <v>15</v>
      </c>
      <c r="G123" s="24">
        <v>3</v>
      </c>
      <c r="H123" s="24"/>
      <c r="J123" s="21" t="s">
        <v>463</v>
      </c>
      <c r="K123" s="24">
        <v>1478.690000000001</v>
      </c>
    </row>
    <row r="124" spans="1:11" x14ac:dyDescent="0.25">
      <c r="A124" s="78">
        <v>46039</v>
      </c>
      <c r="B124" s="21" t="s">
        <v>31</v>
      </c>
      <c r="C124" s="21" t="s">
        <v>20</v>
      </c>
      <c r="D124" s="21" t="s">
        <v>13</v>
      </c>
      <c r="E124" s="21"/>
      <c r="F124" s="21"/>
      <c r="G124" s="24">
        <v>8892</v>
      </c>
      <c r="H124" s="24"/>
      <c r="J124" s="21" t="s">
        <v>463</v>
      </c>
      <c r="K124" s="24">
        <v>10370.69</v>
      </c>
    </row>
    <row r="125" spans="1:11" x14ac:dyDescent="0.25">
      <c r="A125" s="78">
        <v>46039</v>
      </c>
      <c r="B125" s="21" t="s">
        <v>45</v>
      </c>
      <c r="C125" s="21" t="s">
        <v>20</v>
      </c>
      <c r="D125" s="21" t="s">
        <v>22</v>
      </c>
      <c r="E125" s="21" t="s">
        <v>17</v>
      </c>
      <c r="F125" s="21"/>
      <c r="G125" s="24">
        <v>297.36</v>
      </c>
      <c r="H125" s="24"/>
      <c r="J125" s="21" t="s">
        <v>463</v>
      </c>
      <c r="K125" s="24">
        <v>10668.05</v>
      </c>
    </row>
    <row r="126" spans="1:11" x14ac:dyDescent="0.25">
      <c r="A126" s="78">
        <v>46039</v>
      </c>
      <c r="B126" s="21" t="s">
        <v>46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52</v>
      </c>
      <c r="H126" s="24"/>
      <c r="J126" s="21" t="s">
        <v>463</v>
      </c>
      <c r="K126" s="24">
        <v>10616.05</v>
      </c>
    </row>
    <row r="127" spans="1:11" x14ac:dyDescent="0.25">
      <c r="A127" s="80">
        <v>46039</v>
      </c>
      <c r="B127" s="21" t="s">
        <v>497</v>
      </c>
      <c r="C127" s="21" t="s">
        <v>12</v>
      </c>
      <c r="D127" s="21" t="s">
        <v>34</v>
      </c>
      <c r="E127" s="21" t="s">
        <v>14</v>
      </c>
      <c r="F127" s="21" t="s">
        <v>15</v>
      </c>
      <c r="G127" s="24">
        <v>50</v>
      </c>
      <c r="H127" s="24"/>
      <c r="J127" s="21" t="s">
        <v>463</v>
      </c>
      <c r="K127" s="24">
        <v>10566.05</v>
      </c>
    </row>
    <row r="128" spans="1:11" x14ac:dyDescent="0.25">
      <c r="A128" s="78">
        <v>46040</v>
      </c>
      <c r="B128" s="21" t="s">
        <v>13</v>
      </c>
      <c r="C128" s="21" t="s">
        <v>20</v>
      </c>
      <c r="D128" s="21" t="s">
        <v>13</v>
      </c>
      <c r="E128" s="21"/>
      <c r="F128" s="21"/>
      <c r="G128" s="24">
        <v>6136</v>
      </c>
      <c r="H128" s="24"/>
      <c r="J128" s="21" t="s">
        <v>463</v>
      </c>
      <c r="K128" s="24">
        <v>16702.05</v>
      </c>
    </row>
    <row r="129" spans="1:11" x14ac:dyDescent="0.25">
      <c r="A129" s="78">
        <v>46040</v>
      </c>
      <c r="B129" s="21" t="s">
        <v>21</v>
      </c>
      <c r="C129" s="21" t="s">
        <v>20</v>
      </c>
      <c r="D129" s="21" t="s">
        <v>22</v>
      </c>
      <c r="E129" s="21" t="s">
        <v>17</v>
      </c>
      <c r="F129" s="21"/>
      <c r="G129" s="24">
        <v>331.95</v>
      </c>
      <c r="H129" s="24"/>
      <c r="J129" s="21" t="s">
        <v>463</v>
      </c>
      <c r="K129" s="24">
        <v>17034</v>
      </c>
    </row>
    <row r="130" spans="1:11" x14ac:dyDescent="0.25">
      <c r="A130" s="78">
        <v>46040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71</v>
      </c>
      <c r="H130" s="24"/>
      <c r="J130" s="21" t="s">
        <v>463</v>
      </c>
      <c r="K130" s="24">
        <v>16963</v>
      </c>
    </row>
    <row r="131" spans="1:11" x14ac:dyDescent="0.25">
      <c r="A131" s="78">
        <v>46040</v>
      </c>
      <c r="B131" s="21" t="s">
        <v>34</v>
      </c>
      <c r="C131" s="21" t="s">
        <v>12</v>
      </c>
      <c r="D131" s="21" t="s">
        <v>34</v>
      </c>
      <c r="E131" s="21" t="s">
        <v>14</v>
      </c>
      <c r="F131" s="21" t="s">
        <v>15</v>
      </c>
      <c r="G131" s="24">
        <v>0</v>
      </c>
      <c r="H131" s="24"/>
      <c r="J131" s="21" t="s">
        <v>463</v>
      </c>
      <c r="K131" s="24">
        <v>16963</v>
      </c>
    </row>
    <row r="132" spans="1:11" x14ac:dyDescent="0.25">
      <c r="A132" s="78">
        <v>46040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0</v>
      </c>
      <c r="H132" s="24"/>
      <c r="J132" s="21" t="s">
        <v>463</v>
      </c>
      <c r="K132" s="24">
        <v>16963</v>
      </c>
    </row>
    <row r="133" spans="1:11" x14ac:dyDescent="0.25">
      <c r="A133" s="78">
        <v>46040</v>
      </c>
      <c r="B133" s="21" t="s">
        <v>498</v>
      </c>
      <c r="C133" s="21" t="s">
        <v>12</v>
      </c>
      <c r="D133" s="21" t="s">
        <v>27</v>
      </c>
      <c r="E133" s="21" t="s">
        <v>14</v>
      </c>
      <c r="F133" s="21" t="s">
        <v>15</v>
      </c>
      <c r="G133" s="24">
        <v>285</v>
      </c>
      <c r="H133" s="24"/>
      <c r="J133" s="21" t="s">
        <v>463</v>
      </c>
      <c r="K133" s="24">
        <v>16678</v>
      </c>
    </row>
    <row r="134" spans="1:11" x14ac:dyDescent="0.25">
      <c r="A134" s="78">
        <v>46040</v>
      </c>
      <c r="B134" s="21" t="s">
        <v>499</v>
      </c>
      <c r="C134" s="21" t="s">
        <v>12</v>
      </c>
      <c r="D134" s="21" t="s">
        <v>27</v>
      </c>
      <c r="E134" s="21" t="s">
        <v>17</v>
      </c>
      <c r="F134" s="21" t="s">
        <v>25</v>
      </c>
      <c r="G134" s="24">
        <v>1802.9</v>
      </c>
      <c r="H134" s="24"/>
      <c r="J134" s="21" t="s">
        <v>463</v>
      </c>
      <c r="K134" s="24">
        <v>14875.1</v>
      </c>
    </row>
    <row r="135" spans="1:11" x14ac:dyDescent="0.25">
      <c r="A135" s="78">
        <v>46040</v>
      </c>
      <c r="B135" s="21" t="s">
        <v>356</v>
      </c>
      <c r="C135" s="21" t="s">
        <v>12</v>
      </c>
      <c r="D135" s="21" t="s">
        <v>19</v>
      </c>
      <c r="E135" s="21" t="s">
        <v>17</v>
      </c>
      <c r="F135" s="21"/>
      <c r="G135" s="24">
        <v>526.15</v>
      </c>
      <c r="H135" s="24"/>
      <c r="J135" s="21" t="s">
        <v>463</v>
      </c>
      <c r="K135" s="24">
        <v>14348.95</v>
      </c>
    </row>
    <row r="136" spans="1:11" x14ac:dyDescent="0.25">
      <c r="A136" s="78">
        <v>46040</v>
      </c>
      <c r="B136" s="21" t="s">
        <v>350</v>
      </c>
      <c r="C136" s="21" t="s">
        <v>12</v>
      </c>
      <c r="D136" s="21" t="s">
        <v>19</v>
      </c>
      <c r="E136" s="21" t="s">
        <v>17</v>
      </c>
      <c r="F136" s="21"/>
      <c r="G136" s="24">
        <v>817.19</v>
      </c>
      <c r="H136" s="24"/>
      <c r="J136" s="21" t="s">
        <v>463</v>
      </c>
      <c r="K136" s="24">
        <v>13531.76</v>
      </c>
    </row>
    <row r="137" spans="1:11" x14ac:dyDescent="0.25">
      <c r="A137" s="78">
        <v>46041</v>
      </c>
      <c r="B137" s="21" t="s">
        <v>368</v>
      </c>
      <c r="C137" s="21" t="s">
        <v>12</v>
      </c>
      <c r="D137" s="21" t="s">
        <v>19</v>
      </c>
      <c r="E137" s="21" t="s">
        <v>17</v>
      </c>
      <c r="F137" s="21" t="s">
        <v>25</v>
      </c>
      <c r="G137" s="24">
        <v>382.5</v>
      </c>
      <c r="H137" s="24"/>
      <c r="J137" s="21" t="s">
        <v>463</v>
      </c>
      <c r="K137" s="24">
        <v>13149.26</v>
      </c>
    </row>
    <row r="138" spans="1:11" x14ac:dyDescent="0.25">
      <c r="A138" s="83">
        <v>46041</v>
      </c>
      <c r="B138" s="21" t="s">
        <v>500</v>
      </c>
      <c r="C138" s="21" t="s">
        <v>12</v>
      </c>
      <c r="D138" s="21" t="s">
        <v>40</v>
      </c>
      <c r="E138" s="21" t="s">
        <v>17</v>
      </c>
      <c r="F138" s="21" t="s">
        <v>25</v>
      </c>
      <c r="G138" s="24">
        <v>800</v>
      </c>
      <c r="H138" s="24"/>
      <c r="J138" s="21" t="s">
        <v>463</v>
      </c>
      <c r="K138" s="24">
        <v>12349.26</v>
      </c>
    </row>
    <row r="139" spans="1:11" x14ac:dyDescent="0.25">
      <c r="A139" s="83">
        <v>46041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3678</v>
      </c>
      <c r="H139" s="24"/>
      <c r="J139" s="21" t="s">
        <v>463</v>
      </c>
      <c r="K139" s="24">
        <v>16027.26</v>
      </c>
    </row>
    <row r="140" spans="1:11" x14ac:dyDescent="0.25">
      <c r="A140" s="78">
        <v>46041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54.89</v>
      </c>
      <c r="H140" s="24"/>
      <c r="J140" s="21" t="s">
        <v>463</v>
      </c>
      <c r="K140" s="24">
        <v>16082.15</v>
      </c>
    </row>
    <row r="141" spans="1:11" x14ac:dyDescent="0.25">
      <c r="A141" s="78">
        <v>46041</v>
      </c>
      <c r="B141" s="21" t="s">
        <v>23</v>
      </c>
      <c r="C141" s="21" t="s">
        <v>12</v>
      </c>
      <c r="D141" s="21" t="s">
        <v>24</v>
      </c>
      <c r="E141" s="21" t="s">
        <v>17</v>
      </c>
      <c r="F141" s="21" t="s">
        <v>25</v>
      </c>
      <c r="G141" s="24">
        <v>9</v>
      </c>
      <c r="H141" s="24"/>
      <c r="J141" s="21" t="s">
        <v>463</v>
      </c>
      <c r="K141" s="24">
        <v>16073.15</v>
      </c>
    </row>
    <row r="142" spans="1:11" x14ac:dyDescent="0.25">
      <c r="A142" s="78">
        <v>46042</v>
      </c>
      <c r="B142" s="21" t="s">
        <v>471</v>
      </c>
      <c r="C142" s="21" t="s">
        <v>12</v>
      </c>
      <c r="D142" s="21" t="s">
        <v>19</v>
      </c>
      <c r="E142" s="21" t="s">
        <v>17</v>
      </c>
      <c r="F142" s="21"/>
      <c r="G142" s="24">
        <v>2269.2600000000002</v>
      </c>
      <c r="H142" s="24"/>
      <c r="J142" s="21" t="s">
        <v>463</v>
      </c>
      <c r="K142" s="24">
        <v>13803.89</v>
      </c>
    </row>
    <row r="143" spans="1:11" x14ac:dyDescent="0.25">
      <c r="A143" s="78">
        <v>46042</v>
      </c>
      <c r="B143" s="21" t="s">
        <v>354</v>
      </c>
      <c r="C143" s="21" t="s">
        <v>12</v>
      </c>
      <c r="D143" s="21" t="s">
        <v>19</v>
      </c>
      <c r="E143" s="21" t="s">
        <v>17</v>
      </c>
      <c r="F143" s="21"/>
      <c r="G143" s="24">
        <v>3409.49</v>
      </c>
      <c r="H143" s="24"/>
      <c r="J143" s="21" t="s">
        <v>463</v>
      </c>
      <c r="K143" s="24">
        <v>10394.4</v>
      </c>
    </row>
    <row r="144" spans="1:11" x14ac:dyDescent="0.25">
      <c r="A144" s="78">
        <v>46042</v>
      </c>
      <c r="B144" s="21" t="s">
        <v>373</v>
      </c>
      <c r="C144" s="21" t="s">
        <v>12</v>
      </c>
      <c r="D144" s="21" t="s">
        <v>63</v>
      </c>
      <c r="E144" s="21" t="s">
        <v>17</v>
      </c>
      <c r="F144" s="21"/>
      <c r="G144" s="24">
        <v>447.5</v>
      </c>
      <c r="H144" s="24"/>
      <c r="J144" s="21" t="s">
        <v>463</v>
      </c>
      <c r="K144" s="24">
        <v>9946.9000000000033</v>
      </c>
    </row>
    <row r="145" spans="1:11" x14ac:dyDescent="0.25">
      <c r="A145" s="78">
        <v>46042</v>
      </c>
      <c r="B145" s="21" t="s">
        <v>501</v>
      </c>
      <c r="C145" s="21" t="s">
        <v>12</v>
      </c>
      <c r="D145" s="21" t="s">
        <v>59</v>
      </c>
      <c r="E145" s="21" t="s">
        <v>17</v>
      </c>
      <c r="F145" s="21"/>
      <c r="G145" s="24">
        <v>3499.65</v>
      </c>
      <c r="H145" s="24"/>
      <c r="J145" s="21" t="s">
        <v>463</v>
      </c>
      <c r="K145" s="24">
        <v>6447.2500000000036</v>
      </c>
    </row>
    <row r="146" spans="1:11" x14ac:dyDescent="0.25">
      <c r="A146" s="78">
        <v>46042</v>
      </c>
      <c r="B146" s="21" t="s">
        <v>502</v>
      </c>
      <c r="C146" s="21" t="s">
        <v>12</v>
      </c>
      <c r="D146" s="21" t="s">
        <v>59</v>
      </c>
      <c r="E146" s="21" t="s">
        <v>17</v>
      </c>
      <c r="F146" s="21"/>
      <c r="G146" s="24">
        <v>1074.93</v>
      </c>
      <c r="H146" s="24"/>
      <c r="J146" s="21" t="s">
        <v>463</v>
      </c>
      <c r="K146" s="24">
        <v>5372.3200000000033</v>
      </c>
    </row>
    <row r="147" spans="1:11" x14ac:dyDescent="0.25">
      <c r="A147" s="78">
        <v>46042</v>
      </c>
      <c r="B147" s="21" t="s">
        <v>503</v>
      </c>
      <c r="C147" s="21" t="s">
        <v>12</v>
      </c>
      <c r="D147" s="21" t="s">
        <v>59</v>
      </c>
      <c r="E147" s="21" t="s">
        <v>17</v>
      </c>
      <c r="F147" s="21"/>
      <c r="G147" s="24">
        <v>832.34</v>
      </c>
      <c r="H147" s="24"/>
      <c r="J147" s="21" t="s">
        <v>463</v>
      </c>
      <c r="K147" s="24">
        <v>4539.9800000000032</v>
      </c>
    </row>
    <row r="148" spans="1:11" x14ac:dyDescent="0.25">
      <c r="A148" s="78">
        <v>46042</v>
      </c>
      <c r="B148" s="21" t="s">
        <v>504</v>
      </c>
      <c r="C148" s="21" t="s">
        <v>12</v>
      </c>
      <c r="D148" s="21" t="s">
        <v>59</v>
      </c>
      <c r="E148" s="21" t="s">
        <v>17</v>
      </c>
      <c r="F148" s="21"/>
      <c r="G148" s="24">
        <v>13722.55</v>
      </c>
      <c r="H148" s="24"/>
      <c r="J148" s="21" t="s">
        <v>463</v>
      </c>
      <c r="K148" s="24">
        <v>-9182.5699999999961</v>
      </c>
    </row>
    <row r="149" spans="1:11" x14ac:dyDescent="0.25">
      <c r="A149" s="78">
        <v>46042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3462</v>
      </c>
      <c r="H149" s="24"/>
      <c r="J149" s="21" t="s">
        <v>463</v>
      </c>
      <c r="K149" s="24">
        <v>-5720.5699999999961</v>
      </c>
    </row>
    <row r="150" spans="1:11" x14ac:dyDescent="0.25">
      <c r="A150" s="78">
        <v>46042</v>
      </c>
      <c r="B150" s="21" t="s">
        <v>505</v>
      </c>
      <c r="C150" s="21" t="s">
        <v>20</v>
      </c>
      <c r="D150" s="21" t="s">
        <v>22</v>
      </c>
      <c r="E150" s="21" t="s">
        <v>17</v>
      </c>
      <c r="F150" s="21"/>
      <c r="G150" s="24">
        <v>18.989999999999998</v>
      </c>
      <c r="H150" s="24"/>
      <c r="J150" s="21" t="s">
        <v>463</v>
      </c>
      <c r="K150" s="24">
        <v>-5701.5799999999963</v>
      </c>
    </row>
    <row r="151" spans="1:11" x14ac:dyDescent="0.25">
      <c r="A151" s="78">
        <v>46042</v>
      </c>
      <c r="B151" s="21" t="s">
        <v>23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463</v>
      </c>
      <c r="K151" s="24">
        <v>-5710.5799999999963</v>
      </c>
    </row>
    <row r="152" spans="1:11" x14ac:dyDescent="0.25">
      <c r="A152" s="78">
        <v>46042</v>
      </c>
      <c r="B152" s="21" t="s">
        <v>506</v>
      </c>
      <c r="C152" s="21" t="s">
        <v>12</v>
      </c>
      <c r="D152" s="21" t="s">
        <v>27</v>
      </c>
      <c r="E152" s="21" t="s">
        <v>17</v>
      </c>
      <c r="F152" s="21" t="s">
        <v>25</v>
      </c>
      <c r="G152" s="24">
        <v>500</v>
      </c>
      <c r="H152" s="24"/>
      <c r="J152" s="21" t="s">
        <v>463</v>
      </c>
      <c r="K152" s="24">
        <v>-6210.5799999999963</v>
      </c>
    </row>
    <row r="153" spans="1:11" x14ac:dyDescent="0.25">
      <c r="A153" s="78">
        <v>46042</v>
      </c>
      <c r="B153" s="21" t="s">
        <v>507</v>
      </c>
      <c r="C153" s="21" t="s">
        <v>12</v>
      </c>
      <c r="D153" s="21" t="s">
        <v>61</v>
      </c>
      <c r="E153" s="21" t="s">
        <v>17</v>
      </c>
      <c r="F153" s="21" t="s">
        <v>25</v>
      </c>
      <c r="G153" s="24">
        <v>180.41</v>
      </c>
      <c r="H153" s="24"/>
      <c r="J153" s="21" t="s">
        <v>463</v>
      </c>
      <c r="K153" s="24">
        <v>-6390.9899999999961</v>
      </c>
    </row>
    <row r="154" spans="1:11" x14ac:dyDescent="0.25">
      <c r="A154" s="78">
        <v>46042</v>
      </c>
      <c r="B154" s="21" t="s">
        <v>11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0</v>
      </c>
      <c r="H154" s="24"/>
      <c r="J154" s="21" t="s">
        <v>463</v>
      </c>
      <c r="K154" s="24">
        <v>-6390.9899999999961</v>
      </c>
    </row>
    <row r="155" spans="1:11" x14ac:dyDescent="0.25">
      <c r="A155" s="78">
        <v>46043</v>
      </c>
      <c r="B155" s="21" t="s">
        <v>508</v>
      </c>
      <c r="C155" s="21" t="s">
        <v>12</v>
      </c>
      <c r="D155" s="21" t="s">
        <v>19</v>
      </c>
      <c r="E155" s="21" t="s">
        <v>17</v>
      </c>
      <c r="F155" s="21"/>
      <c r="G155" s="24">
        <v>278</v>
      </c>
      <c r="H155" s="24"/>
      <c r="J155" s="21" t="s">
        <v>463</v>
      </c>
      <c r="K155" s="24">
        <v>-6668.9899999999961</v>
      </c>
    </row>
    <row r="156" spans="1:11" x14ac:dyDescent="0.25">
      <c r="A156" s="78">
        <v>46043</v>
      </c>
      <c r="B156" s="21" t="s">
        <v>407</v>
      </c>
      <c r="C156" s="21" t="s">
        <v>12</v>
      </c>
      <c r="D156" s="21" t="s">
        <v>19</v>
      </c>
      <c r="E156" s="21" t="s">
        <v>17</v>
      </c>
      <c r="F156" s="21"/>
      <c r="G156" s="24">
        <v>747.87</v>
      </c>
      <c r="H156" s="24"/>
      <c r="J156" s="21" t="s">
        <v>463</v>
      </c>
      <c r="K156" s="24">
        <v>-7416.859999999996</v>
      </c>
    </row>
    <row r="157" spans="1:11" x14ac:dyDescent="0.25">
      <c r="A157" s="78">
        <v>46043</v>
      </c>
      <c r="B157" s="21" t="s">
        <v>13</v>
      </c>
      <c r="C157" s="21" t="s">
        <v>20</v>
      </c>
      <c r="D157" s="21" t="s">
        <v>13</v>
      </c>
      <c r="E157" s="21"/>
      <c r="F157" s="21"/>
      <c r="G157" s="24">
        <v>2175</v>
      </c>
      <c r="H157" s="24"/>
      <c r="J157" s="21" t="s">
        <v>463</v>
      </c>
      <c r="K157" s="24">
        <v>-5241.859999999996</v>
      </c>
    </row>
    <row r="158" spans="1:11" x14ac:dyDescent="0.25">
      <c r="A158" s="78">
        <v>46043</v>
      </c>
      <c r="B158" s="21" t="s">
        <v>21</v>
      </c>
      <c r="C158" s="21" t="s">
        <v>20</v>
      </c>
      <c r="D158" s="21" t="s">
        <v>22</v>
      </c>
      <c r="E158" s="21" t="s">
        <v>17</v>
      </c>
      <c r="F158" s="21"/>
      <c r="G158" s="24">
        <v>80.48</v>
      </c>
      <c r="H158" s="24"/>
      <c r="J158" s="21" t="s">
        <v>463</v>
      </c>
      <c r="K158" s="24">
        <v>-5161.3799999999956</v>
      </c>
    </row>
    <row r="159" spans="1:11" x14ac:dyDescent="0.25">
      <c r="A159" s="78">
        <v>46043</v>
      </c>
      <c r="B159" s="21" t="s">
        <v>23</v>
      </c>
      <c r="C159" s="21" t="s">
        <v>12</v>
      </c>
      <c r="D159" s="21" t="s">
        <v>24</v>
      </c>
      <c r="E159" s="21" t="s">
        <v>17</v>
      </c>
      <c r="F159" s="21" t="s">
        <v>25</v>
      </c>
      <c r="G159" s="24">
        <v>36</v>
      </c>
      <c r="H159" s="24"/>
      <c r="J159" s="21" t="s">
        <v>463</v>
      </c>
      <c r="K159" s="24">
        <v>-5197.3799999999956</v>
      </c>
    </row>
    <row r="160" spans="1:11" x14ac:dyDescent="0.25">
      <c r="A160" s="78">
        <v>46074</v>
      </c>
      <c r="B160" s="21" t="s">
        <v>11</v>
      </c>
      <c r="C160" s="21" t="s">
        <v>12</v>
      </c>
      <c r="D160" s="21" t="s">
        <v>19</v>
      </c>
      <c r="E160" s="21" t="s">
        <v>14</v>
      </c>
      <c r="F160" s="21" t="s">
        <v>15</v>
      </c>
      <c r="G160" s="24">
        <v>235</v>
      </c>
      <c r="H160" s="24"/>
      <c r="J160" s="21" t="s">
        <v>466</v>
      </c>
      <c r="K160" s="24">
        <v>-5432.3799999999956</v>
      </c>
    </row>
    <row r="161" spans="1:11" x14ac:dyDescent="0.25">
      <c r="A161" s="78">
        <v>46044</v>
      </c>
      <c r="B161" s="21" t="s">
        <v>509</v>
      </c>
      <c r="C161" s="21" t="s">
        <v>12</v>
      </c>
      <c r="D161" s="21" t="s">
        <v>65</v>
      </c>
      <c r="E161" s="21" t="s">
        <v>17</v>
      </c>
      <c r="F161" s="21" t="s">
        <v>25</v>
      </c>
      <c r="G161" s="24">
        <v>45</v>
      </c>
      <c r="H161" s="24"/>
      <c r="J161" s="21" t="s">
        <v>463</v>
      </c>
      <c r="K161" s="24">
        <v>-5477.3799999999956</v>
      </c>
    </row>
    <row r="162" spans="1:11" x14ac:dyDescent="0.25">
      <c r="A162" s="78">
        <v>46044</v>
      </c>
      <c r="B162" s="21" t="s">
        <v>510</v>
      </c>
      <c r="C162" s="21" t="s">
        <v>12</v>
      </c>
      <c r="D162" s="21" t="s">
        <v>40</v>
      </c>
      <c r="E162" s="21" t="s">
        <v>17</v>
      </c>
      <c r="F162" s="21" t="s">
        <v>25</v>
      </c>
      <c r="G162" s="24">
        <v>130</v>
      </c>
      <c r="H162" s="24"/>
      <c r="I162" s="21" t="s">
        <v>511</v>
      </c>
      <c r="J162" s="21" t="s">
        <v>463</v>
      </c>
      <c r="K162" s="24">
        <v>-5607.3799999999956</v>
      </c>
    </row>
    <row r="163" spans="1:11" x14ac:dyDescent="0.25">
      <c r="A163" s="78">
        <v>46044</v>
      </c>
      <c r="B163" s="21" t="s">
        <v>31</v>
      </c>
      <c r="C163" s="21" t="s">
        <v>20</v>
      </c>
      <c r="D163" s="21" t="s">
        <v>13</v>
      </c>
      <c r="E163" s="21"/>
      <c r="F163" s="21"/>
      <c r="G163" s="24">
        <v>2976</v>
      </c>
      <c r="H163" s="24"/>
      <c r="J163" s="21" t="s">
        <v>463</v>
      </c>
      <c r="K163" s="24">
        <v>-2631.379999999996</v>
      </c>
    </row>
    <row r="164" spans="1:11" x14ac:dyDescent="0.25">
      <c r="A164" s="78">
        <v>46044</v>
      </c>
      <c r="B164" s="21" t="s">
        <v>21</v>
      </c>
      <c r="C164" s="21" t="s">
        <v>20</v>
      </c>
      <c r="D164" s="21" t="s">
        <v>22</v>
      </c>
      <c r="E164" s="21" t="s">
        <v>17</v>
      </c>
      <c r="F164" s="21"/>
      <c r="G164" s="24">
        <v>85.29</v>
      </c>
      <c r="H164" s="24"/>
      <c r="J164" s="21" t="s">
        <v>463</v>
      </c>
      <c r="K164" s="24">
        <v>-2546.089999999997</v>
      </c>
    </row>
    <row r="165" spans="1:11" x14ac:dyDescent="0.25">
      <c r="A165" s="78">
        <v>46044</v>
      </c>
      <c r="B165" s="21" t="s">
        <v>23</v>
      </c>
      <c r="C165" s="21" t="s">
        <v>12</v>
      </c>
      <c r="D165" s="21" t="s">
        <v>24</v>
      </c>
      <c r="E165" s="21" t="s">
        <v>17</v>
      </c>
      <c r="F165" s="21" t="s">
        <v>25</v>
      </c>
      <c r="G165" s="24">
        <v>9</v>
      </c>
      <c r="H165" s="24"/>
      <c r="J165" s="21" t="s">
        <v>463</v>
      </c>
      <c r="K165" s="24">
        <v>-2555.089999999997</v>
      </c>
    </row>
    <row r="166" spans="1:11" x14ac:dyDescent="0.25">
      <c r="A166" s="78">
        <v>46044</v>
      </c>
      <c r="B166" s="21" t="s">
        <v>11</v>
      </c>
      <c r="C166" s="21" t="s">
        <v>12</v>
      </c>
      <c r="D166" s="21" t="s">
        <v>19</v>
      </c>
      <c r="E166" s="21" t="s">
        <v>14</v>
      </c>
      <c r="F166" s="21" t="s">
        <v>15</v>
      </c>
      <c r="G166" s="24">
        <v>235</v>
      </c>
      <c r="H166" s="24"/>
      <c r="J166" s="21" t="s">
        <v>463</v>
      </c>
      <c r="K166" s="24">
        <v>-2790.089999999997</v>
      </c>
    </row>
    <row r="167" spans="1:11" x14ac:dyDescent="0.25">
      <c r="A167" s="78">
        <v>46045</v>
      </c>
      <c r="B167" s="21" t="s">
        <v>311</v>
      </c>
      <c r="C167" s="21" t="s">
        <v>12</v>
      </c>
      <c r="D167" s="21" t="s">
        <v>19</v>
      </c>
      <c r="E167" s="21" t="s">
        <v>17</v>
      </c>
      <c r="F167" s="21"/>
      <c r="G167" s="24">
        <v>2675.38</v>
      </c>
      <c r="H167" s="24"/>
      <c r="J167" s="21" t="s">
        <v>463</v>
      </c>
      <c r="K167" s="24">
        <v>-5465.4699999999966</v>
      </c>
    </row>
    <row r="168" spans="1:11" x14ac:dyDescent="0.25">
      <c r="A168" s="78">
        <v>46045</v>
      </c>
      <c r="B168" s="21" t="s">
        <v>13</v>
      </c>
      <c r="C168" s="21" t="s">
        <v>20</v>
      </c>
      <c r="D168" s="21" t="s">
        <v>13</v>
      </c>
      <c r="E168" s="21"/>
      <c r="F168" s="21"/>
      <c r="G168" s="24">
        <v>2072</v>
      </c>
      <c r="H168" s="24"/>
      <c r="J168" s="21" t="s">
        <v>463</v>
      </c>
      <c r="K168" s="24">
        <v>-3393.4699999999971</v>
      </c>
    </row>
    <row r="169" spans="1:11" x14ac:dyDescent="0.25">
      <c r="A169" s="78">
        <v>46045</v>
      </c>
      <c r="B169" s="21" t="s">
        <v>21</v>
      </c>
      <c r="C169" s="21" t="s">
        <v>20</v>
      </c>
      <c r="D169" s="21" t="s">
        <v>22</v>
      </c>
      <c r="E169" s="21" t="s">
        <v>17</v>
      </c>
      <c r="F169" s="21"/>
      <c r="G169" s="24">
        <v>251</v>
      </c>
      <c r="H169" s="24"/>
      <c r="J169" s="21" t="s">
        <v>463</v>
      </c>
      <c r="K169" s="24">
        <v>-3142.4699999999971</v>
      </c>
    </row>
    <row r="170" spans="1:11" x14ac:dyDescent="0.25">
      <c r="A170" s="78">
        <v>46045</v>
      </c>
      <c r="B170" s="21" t="s">
        <v>512</v>
      </c>
      <c r="C170" s="21" t="s">
        <v>12</v>
      </c>
      <c r="D170" s="21" t="s">
        <v>24</v>
      </c>
      <c r="E170" s="21" t="s">
        <v>17</v>
      </c>
      <c r="F170" s="21" t="s">
        <v>25</v>
      </c>
      <c r="G170" s="24">
        <v>25</v>
      </c>
      <c r="H170" s="24"/>
      <c r="J170" s="21" t="s">
        <v>463</v>
      </c>
      <c r="K170" s="24">
        <v>-3167.4699999999971</v>
      </c>
    </row>
    <row r="171" spans="1:11" x14ac:dyDescent="0.25">
      <c r="A171" s="78">
        <v>46045</v>
      </c>
      <c r="B171" s="21" t="s">
        <v>11</v>
      </c>
      <c r="C171" s="21" t="s">
        <v>12</v>
      </c>
      <c r="D171" s="21" t="s">
        <v>19</v>
      </c>
      <c r="E171" s="21" t="s">
        <v>14</v>
      </c>
      <c r="F171" s="21" t="s">
        <v>15</v>
      </c>
      <c r="G171" s="24">
        <v>0</v>
      </c>
      <c r="H171" s="24"/>
      <c r="J171" s="21" t="s">
        <v>463</v>
      </c>
      <c r="K171" s="24">
        <v>-3167.4699999999971</v>
      </c>
    </row>
    <row r="172" spans="1:11" x14ac:dyDescent="0.25">
      <c r="A172" s="78">
        <v>46045</v>
      </c>
      <c r="B172" s="21" t="s">
        <v>513</v>
      </c>
      <c r="C172" s="21" t="s">
        <v>12</v>
      </c>
      <c r="D172" s="21" t="s">
        <v>40</v>
      </c>
      <c r="E172" s="21" t="s">
        <v>17</v>
      </c>
      <c r="F172" s="21" t="s">
        <v>25</v>
      </c>
      <c r="G172" s="24">
        <v>365</v>
      </c>
      <c r="H172" s="24"/>
      <c r="J172" s="21" t="s">
        <v>463</v>
      </c>
      <c r="K172" s="24">
        <v>-3532.4699999999971</v>
      </c>
    </row>
    <row r="173" spans="1:11" x14ac:dyDescent="0.25">
      <c r="A173" s="78">
        <v>46046</v>
      </c>
      <c r="B173" s="21" t="s">
        <v>514</v>
      </c>
      <c r="C173" s="21" t="s">
        <v>12</v>
      </c>
      <c r="D173" s="21" t="s">
        <v>27</v>
      </c>
      <c r="E173" s="21" t="s">
        <v>17</v>
      </c>
      <c r="F173" s="21" t="s">
        <v>25</v>
      </c>
      <c r="G173" s="24">
        <v>286</v>
      </c>
      <c r="H173" s="24"/>
      <c r="J173" s="21" t="s">
        <v>463</v>
      </c>
      <c r="K173" s="24">
        <v>-3818.4699999999971</v>
      </c>
    </row>
    <row r="174" spans="1:11" x14ac:dyDescent="0.25">
      <c r="A174" s="78">
        <v>46046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6766</v>
      </c>
      <c r="H174" s="24"/>
      <c r="J174" s="21" t="s">
        <v>463</v>
      </c>
      <c r="K174" s="24">
        <v>2947.5300000000029</v>
      </c>
    </row>
    <row r="175" spans="1:11" x14ac:dyDescent="0.25">
      <c r="A175" s="78">
        <v>46046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312.93</v>
      </c>
      <c r="H175" s="24"/>
      <c r="J175" s="21" t="s">
        <v>463</v>
      </c>
      <c r="K175" s="24">
        <v>3260.4600000000032</v>
      </c>
    </row>
    <row r="176" spans="1:11" x14ac:dyDescent="0.25">
      <c r="A176" s="78">
        <v>37280</v>
      </c>
      <c r="B176" s="21" t="s">
        <v>515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43</v>
      </c>
      <c r="H176" s="24"/>
      <c r="J176" s="21" t="s">
        <v>516</v>
      </c>
      <c r="K176" s="24">
        <v>3217.4600000000032</v>
      </c>
    </row>
    <row r="177" spans="1:11" x14ac:dyDescent="0.25">
      <c r="A177" s="78">
        <v>46047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25</v>
      </c>
      <c r="G177" s="24">
        <v>188</v>
      </c>
      <c r="H177" s="24"/>
      <c r="J177" s="21" t="s">
        <v>463</v>
      </c>
      <c r="K177" s="24">
        <v>3029.4600000000032</v>
      </c>
    </row>
    <row r="178" spans="1:11" x14ac:dyDescent="0.25">
      <c r="A178" s="78">
        <v>46047</v>
      </c>
      <c r="B178" s="21" t="s">
        <v>517</v>
      </c>
      <c r="C178" s="21" t="s">
        <v>12</v>
      </c>
      <c r="D178" s="21" t="s">
        <v>34</v>
      </c>
      <c r="E178" s="21" t="s">
        <v>14</v>
      </c>
      <c r="F178" s="21" t="s">
        <v>15</v>
      </c>
      <c r="G178" s="24">
        <v>170</v>
      </c>
      <c r="H178" s="24"/>
      <c r="J178" s="21" t="s">
        <v>463</v>
      </c>
      <c r="K178" s="24">
        <v>2859.4600000000032</v>
      </c>
    </row>
    <row r="179" spans="1:11" x14ac:dyDescent="0.25">
      <c r="A179" s="78">
        <v>46047</v>
      </c>
      <c r="B179" s="21" t="s">
        <v>33</v>
      </c>
      <c r="C179" s="21" t="s">
        <v>12</v>
      </c>
      <c r="D179" s="21" t="s">
        <v>34</v>
      </c>
      <c r="E179" s="21" t="s">
        <v>17</v>
      </c>
      <c r="F179" s="21" t="s">
        <v>25</v>
      </c>
      <c r="G179" s="24">
        <v>150</v>
      </c>
      <c r="H179" s="24"/>
      <c r="J179" s="21" t="s">
        <v>463</v>
      </c>
      <c r="K179" s="24">
        <v>2709.4600000000032</v>
      </c>
    </row>
    <row r="180" spans="1:11" x14ac:dyDescent="0.25">
      <c r="A180" s="78">
        <v>46047</v>
      </c>
      <c r="B180" s="21" t="s">
        <v>13</v>
      </c>
      <c r="C180" s="21" t="s">
        <v>20</v>
      </c>
      <c r="D180" s="21" t="s">
        <v>13</v>
      </c>
      <c r="E180" s="21"/>
      <c r="F180" s="21"/>
      <c r="G180" s="24">
        <v>6596.5</v>
      </c>
      <c r="H180" s="24"/>
      <c r="J180" s="21" t="s">
        <v>463</v>
      </c>
      <c r="K180" s="24">
        <v>9305.9600000000028</v>
      </c>
    </row>
    <row r="181" spans="1:11" x14ac:dyDescent="0.25">
      <c r="A181" s="78">
        <v>46047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116.44</v>
      </c>
      <c r="H181" s="24"/>
      <c r="J181" s="21" t="s">
        <v>463</v>
      </c>
      <c r="K181" s="24">
        <v>9422.4000000000033</v>
      </c>
    </row>
    <row r="182" spans="1:11" x14ac:dyDescent="0.25">
      <c r="A182" s="78">
        <v>46047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27</v>
      </c>
      <c r="H182" s="24"/>
      <c r="J182" s="21" t="s">
        <v>463</v>
      </c>
      <c r="K182" s="24">
        <v>9395.4000000000033</v>
      </c>
    </row>
    <row r="183" spans="1:11" x14ac:dyDescent="0.25">
      <c r="A183" s="78">
        <v>46048</v>
      </c>
      <c r="B183" s="21" t="s">
        <v>31</v>
      </c>
      <c r="C183" s="21" t="s">
        <v>20</v>
      </c>
      <c r="D183" s="21" t="s">
        <v>13</v>
      </c>
      <c r="E183" s="21"/>
      <c r="F183" s="21"/>
      <c r="G183" s="24">
        <v>2696</v>
      </c>
      <c r="H183" s="24"/>
      <c r="J183" s="21" t="s">
        <v>463</v>
      </c>
      <c r="K183" s="24">
        <v>12091.4</v>
      </c>
    </row>
    <row r="184" spans="1:11" x14ac:dyDescent="0.25">
      <c r="A184" s="78">
        <v>46048</v>
      </c>
      <c r="B184" s="21" t="s">
        <v>45</v>
      </c>
      <c r="C184" s="21" t="s">
        <v>20</v>
      </c>
      <c r="D184" s="21" t="s">
        <v>22</v>
      </c>
      <c r="E184" s="21" t="s">
        <v>17</v>
      </c>
      <c r="F184" s="21"/>
      <c r="G184" s="24">
        <v>77.239999999999995</v>
      </c>
      <c r="H184" s="24"/>
      <c r="J184" s="21" t="s">
        <v>463</v>
      </c>
      <c r="K184" s="24">
        <v>12168.64</v>
      </c>
    </row>
    <row r="185" spans="1:11" x14ac:dyDescent="0.25">
      <c r="A185" s="78">
        <v>46048</v>
      </c>
      <c r="B185" s="21" t="s">
        <v>46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18</v>
      </c>
      <c r="H185" s="24"/>
      <c r="J185" s="21" t="s">
        <v>463</v>
      </c>
      <c r="K185" s="24">
        <v>12150.64</v>
      </c>
    </row>
    <row r="186" spans="1:11" x14ac:dyDescent="0.25">
      <c r="A186" s="78">
        <v>46048</v>
      </c>
      <c r="B186" s="21" t="s">
        <v>518</v>
      </c>
      <c r="C186" s="21" t="s">
        <v>12</v>
      </c>
      <c r="D186" s="21" t="s">
        <v>19</v>
      </c>
      <c r="E186" s="21" t="s">
        <v>14</v>
      </c>
      <c r="F186" s="21" t="s">
        <v>15</v>
      </c>
      <c r="G186" s="24">
        <v>50</v>
      </c>
      <c r="H186" s="24"/>
      <c r="J186" s="21" t="s">
        <v>463</v>
      </c>
      <c r="K186" s="24">
        <v>12100.64</v>
      </c>
    </row>
    <row r="187" spans="1:11" x14ac:dyDescent="0.25">
      <c r="A187" s="78">
        <v>46049</v>
      </c>
      <c r="B187" s="21" t="s">
        <v>519</v>
      </c>
      <c r="C187" s="21" t="s">
        <v>12</v>
      </c>
      <c r="D187" s="21" t="s">
        <v>40</v>
      </c>
      <c r="E187" s="21" t="s">
        <v>14</v>
      </c>
      <c r="F187" s="21" t="s">
        <v>15</v>
      </c>
      <c r="G187" s="24">
        <v>3230</v>
      </c>
      <c r="H187" s="24"/>
      <c r="J187" s="21" t="s">
        <v>463</v>
      </c>
      <c r="K187" s="24">
        <v>8870.6400000000031</v>
      </c>
    </row>
    <row r="188" spans="1:11" x14ac:dyDescent="0.25">
      <c r="A188" s="78">
        <v>46049</v>
      </c>
      <c r="B188" s="21" t="s">
        <v>31</v>
      </c>
      <c r="C188" s="21" t="s">
        <v>20</v>
      </c>
      <c r="D188" s="21" t="s">
        <v>13</v>
      </c>
      <c r="E188" s="21"/>
      <c r="F188" s="21"/>
      <c r="G188" s="24">
        <v>2522</v>
      </c>
      <c r="H188" s="24"/>
      <c r="J188" s="21" t="s">
        <v>463</v>
      </c>
      <c r="K188" s="24">
        <v>11392.64</v>
      </c>
    </row>
    <row r="189" spans="1:11" x14ac:dyDescent="0.25">
      <c r="A189" s="78">
        <v>46049</v>
      </c>
      <c r="B189" s="21" t="s">
        <v>21</v>
      </c>
      <c r="C189" s="21" t="s">
        <v>20</v>
      </c>
      <c r="D189" s="21" t="s">
        <v>22</v>
      </c>
      <c r="E189" s="21" t="s">
        <v>17</v>
      </c>
      <c r="F189" s="21"/>
      <c r="G189" s="24">
        <v>0</v>
      </c>
      <c r="H189" s="24"/>
      <c r="J189" s="21" t="s">
        <v>463</v>
      </c>
      <c r="K189" s="24">
        <v>11392.64</v>
      </c>
    </row>
    <row r="190" spans="1:11" x14ac:dyDescent="0.25">
      <c r="A190" s="78">
        <v>46049</v>
      </c>
      <c r="B190" s="21" t="s">
        <v>23</v>
      </c>
      <c r="C190" s="21" t="s">
        <v>12</v>
      </c>
      <c r="D190" s="21" t="s">
        <v>24</v>
      </c>
      <c r="E190" s="21" t="s">
        <v>17</v>
      </c>
      <c r="F190" s="21" t="s">
        <v>25</v>
      </c>
      <c r="G190" s="24">
        <v>0</v>
      </c>
      <c r="H190" s="24"/>
      <c r="J190" s="21" t="s">
        <v>463</v>
      </c>
      <c r="K190" s="24">
        <v>11392.64</v>
      </c>
    </row>
    <row r="191" spans="1:11" x14ac:dyDescent="0.25">
      <c r="A191" s="78">
        <v>46049</v>
      </c>
      <c r="B191" s="21" t="s">
        <v>11</v>
      </c>
      <c r="C191" s="21" t="s">
        <v>12</v>
      </c>
      <c r="D191" s="21" t="s">
        <v>19</v>
      </c>
      <c r="E191" s="21" t="s">
        <v>14</v>
      </c>
      <c r="F191" s="21" t="s">
        <v>15</v>
      </c>
      <c r="G191" s="24">
        <v>124</v>
      </c>
      <c r="H191" s="24"/>
      <c r="J191" s="21" t="s">
        <v>463</v>
      </c>
      <c r="K191" s="24">
        <v>11268.64</v>
      </c>
    </row>
    <row r="192" spans="1:11" x14ac:dyDescent="0.25">
      <c r="A192" s="78">
        <v>46049</v>
      </c>
      <c r="B192" s="21" t="s">
        <v>354</v>
      </c>
      <c r="C192" s="21" t="s">
        <v>12</v>
      </c>
      <c r="D192" s="21" t="s">
        <v>19</v>
      </c>
      <c r="E192" s="21" t="s">
        <v>17</v>
      </c>
      <c r="F192" s="21"/>
      <c r="G192" s="24">
        <v>552</v>
      </c>
      <c r="H192" s="24"/>
      <c r="J192" s="21" t="s">
        <v>463</v>
      </c>
      <c r="K192" s="24">
        <v>10716.64</v>
      </c>
    </row>
    <row r="193" spans="1:11" x14ac:dyDescent="0.25">
      <c r="A193" s="78">
        <v>46049</v>
      </c>
      <c r="B193" s="21" t="s">
        <v>354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463</v>
      </c>
      <c r="K193" s="24">
        <v>9809.4400000000023</v>
      </c>
    </row>
    <row r="194" spans="1:11" x14ac:dyDescent="0.25">
      <c r="A194" s="78">
        <v>46049</v>
      </c>
      <c r="B194" s="21" t="s">
        <v>354</v>
      </c>
      <c r="C194" s="21" t="s">
        <v>12</v>
      </c>
      <c r="D194" s="21" t="s">
        <v>19</v>
      </c>
      <c r="E194" s="21" t="s">
        <v>17</v>
      </c>
      <c r="F194" s="21"/>
      <c r="G194" s="24">
        <v>907.2</v>
      </c>
      <c r="H194" s="24"/>
      <c r="J194" s="21" t="s">
        <v>463</v>
      </c>
      <c r="K194" s="24">
        <v>8902.2400000000016</v>
      </c>
    </row>
    <row r="195" spans="1:11" x14ac:dyDescent="0.25">
      <c r="A195" s="78">
        <v>46049</v>
      </c>
      <c r="B195" s="21" t="s">
        <v>353</v>
      </c>
      <c r="C195" s="21" t="s">
        <v>12</v>
      </c>
      <c r="D195" s="21" t="s">
        <v>19</v>
      </c>
      <c r="E195" s="21" t="s">
        <v>17</v>
      </c>
      <c r="F195" s="21"/>
      <c r="G195" s="24">
        <v>1794.8</v>
      </c>
      <c r="H195" s="24"/>
      <c r="J195" s="21" t="s">
        <v>463</v>
      </c>
      <c r="K195" s="24">
        <v>7107.4400000000014</v>
      </c>
    </row>
    <row r="196" spans="1:11" x14ac:dyDescent="0.25">
      <c r="A196" s="78">
        <v>46050</v>
      </c>
      <c r="B196" s="21" t="s">
        <v>391</v>
      </c>
      <c r="C196" s="21" t="s">
        <v>12</v>
      </c>
      <c r="D196" s="21" t="s">
        <v>19</v>
      </c>
      <c r="E196" s="21" t="s">
        <v>17</v>
      </c>
      <c r="F196" s="21"/>
      <c r="G196" s="24">
        <v>614.16</v>
      </c>
      <c r="H196" s="24"/>
      <c r="J196" s="21" t="s">
        <v>463</v>
      </c>
      <c r="K196" s="24">
        <v>6493.2800000000016</v>
      </c>
    </row>
    <row r="197" spans="1:11" x14ac:dyDescent="0.25">
      <c r="A197" s="78">
        <v>46050</v>
      </c>
      <c r="B197" s="21" t="s">
        <v>520</v>
      </c>
      <c r="C197" s="21" t="s">
        <v>12</v>
      </c>
      <c r="D197" s="21" t="s">
        <v>19</v>
      </c>
      <c r="E197" s="21" t="s">
        <v>17</v>
      </c>
      <c r="F197" s="21"/>
      <c r="G197" s="24">
        <v>116.97</v>
      </c>
      <c r="H197" s="24"/>
      <c r="J197" s="21" t="s">
        <v>463</v>
      </c>
      <c r="K197" s="24">
        <v>6376.3100000000013</v>
      </c>
    </row>
    <row r="198" spans="1:11" x14ac:dyDescent="0.25">
      <c r="A198" s="78">
        <v>46050</v>
      </c>
      <c r="B198" s="21" t="s">
        <v>31</v>
      </c>
      <c r="C198" s="21" t="s">
        <v>20</v>
      </c>
      <c r="D198" s="21" t="s">
        <v>13</v>
      </c>
      <c r="E198" s="21"/>
      <c r="F198" s="21"/>
      <c r="G198" s="24">
        <v>2076</v>
      </c>
      <c r="H198" s="24"/>
      <c r="J198" s="21" t="s">
        <v>463</v>
      </c>
      <c r="K198" s="24">
        <v>8452.3100000000013</v>
      </c>
    </row>
    <row r="199" spans="1:11" x14ac:dyDescent="0.25">
      <c r="A199" s="78">
        <v>46050</v>
      </c>
      <c r="B199" s="21" t="s">
        <v>45</v>
      </c>
      <c r="C199" s="21" t="s">
        <v>20</v>
      </c>
      <c r="D199" s="21" t="s">
        <v>22</v>
      </c>
      <c r="E199" s="21" t="s">
        <v>17</v>
      </c>
      <c r="F199" s="21"/>
      <c r="G199" s="24">
        <v>0</v>
      </c>
      <c r="H199" s="24"/>
      <c r="J199" s="21" t="s">
        <v>463</v>
      </c>
      <c r="K199" s="24">
        <v>8452.3100000000013</v>
      </c>
    </row>
    <row r="200" spans="1:11" x14ac:dyDescent="0.25">
      <c r="A200" s="78">
        <v>46050</v>
      </c>
      <c r="B200" s="21" t="s">
        <v>46</v>
      </c>
      <c r="C200" s="21" t="s">
        <v>12</v>
      </c>
      <c r="D200" s="21" t="s">
        <v>24</v>
      </c>
      <c r="E200" s="21" t="s">
        <v>17</v>
      </c>
      <c r="F200" s="21" t="s">
        <v>25</v>
      </c>
      <c r="G200" s="24">
        <v>0</v>
      </c>
      <c r="H200" s="24"/>
      <c r="J200" s="21" t="s">
        <v>463</v>
      </c>
      <c r="K200" s="24">
        <v>8452.3100000000013</v>
      </c>
    </row>
    <row r="201" spans="1:11" x14ac:dyDescent="0.25">
      <c r="A201" s="78">
        <v>46050</v>
      </c>
      <c r="B201" s="21" t="s">
        <v>403</v>
      </c>
      <c r="C201" s="21" t="s">
        <v>12</v>
      </c>
      <c r="D201" s="21" t="s">
        <v>19</v>
      </c>
      <c r="E201" s="21" t="s">
        <v>14</v>
      </c>
      <c r="F201" s="21" t="s">
        <v>15</v>
      </c>
      <c r="G201" s="24">
        <v>188</v>
      </c>
      <c r="H201" s="24"/>
      <c r="J201" s="21" t="s">
        <v>463</v>
      </c>
      <c r="K201" s="24">
        <v>8264.3100000000013</v>
      </c>
    </row>
    <row r="202" spans="1:11" x14ac:dyDescent="0.25">
      <c r="A202" s="78">
        <v>46051</v>
      </c>
      <c r="B202" s="21" t="s">
        <v>445</v>
      </c>
      <c r="C202" s="21" t="s">
        <v>12</v>
      </c>
      <c r="D202" s="21" t="s">
        <v>59</v>
      </c>
      <c r="E202" s="21" t="s">
        <v>17</v>
      </c>
      <c r="F202" s="21"/>
      <c r="G202" s="24">
        <v>869.4</v>
      </c>
      <c r="H202" s="24"/>
      <c r="J202" s="21" t="s">
        <v>463</v>
      </c>
      <c r="K202" s="24">
        <v>7394.9100000000017</v>
      </c>
    </row>
    <row r="203" spans="1:11" x14ac:dyDescent="0.25">
      <c r="A203" s="78">
        <v>46051</v>
      </c>
      <c r="B203" s="21" t="s">
        <v>521</v>
      </c>
      <c r="C203" s="21" t="s">
        <v>12</v>
      </c>
      <c r="D203" s="21" t="s">
        <v>40</v>
      </c>
      <c r="E203" s="21" t="s">
        <v>17</v>
      </c>
      <c r="F203" s="21"/>
      <c r="G203" s="24">
        <v>370</v>
      </c>
      <c r="H203" s="24"/>
      <c r="J203" s="21" t="s">
        <v>463</v>
      </c>
      <c r="K203" s="24">
        <v>7024.9100000000017</v>
      </c>
    </row>
    <row r="204" spans="1:11" x14ac:dyDescent="0.25">
      <c r="A204" s="78">
        <v>46051</v>
      </c>
      <c r="B204" s="21" t="s">
        <v>403</v>
      </c>
      <c r="C204" s="21" t="s">
        <v>12</v>
      </c>
      <c r="D204" s="21" t="s">
        <v>19</v>
      </c>
      <c r="E204" s="21" t="s">
        <v>14</v>
      </c>
      <c r="F204" s="21" t="s">
        <v>15</v>
      </c>
      <c r="G204" s="24">
        <v>141</v>
      </c>
      <c r="H204" s="24"/>
      <c r="J204" s="21" t="s">
        <v>463</v>
      </c>
      <c r="K204" s="24">
        <v>6883.9100000000017</v>
      </c>
    </row>
    <row r="205" spans="1:11" x14ac:dyDescent="0.25">
      <c r="A205" s="78">
        <v>46051</v>
      </c>
      <c r="B205" s="21" t="s">
        <v>46</v>
      </c>
      <c r="C205" s="21" t="s">
        <v>12</v>
      </c>
      <c r="D205" s="21" t="s">
        <v>24</v>
      </c>
      <c r="E205" s="21" t="s">
        <v>17</v>
      </c>
      <c r="F205" s="21" t="s">
        <v>25</v>
      </c>
      <c r="G205" s="24">
        <v>9</v>
      </c>
      <c r="H205" s="24"/>
      <c r="J205" s="21" t="s">
        <v>463</v>
      </c>
      <c r="K205" s="24">
        <v>6874.9100000000017</v>
      </c>
    </row>
    <row r="206" spans="1:11" x14ac:dyDescent="0.25">
      <c r="A206" s="78">
        <v>46051</v>
      </c>
      <c r="B206" s="21" t="s">
        <v>31</v>
      </c>
      <c r="C206" s="21" t="s">
        <v>20</v>
      </c>
      <c r="D206" s="21" t="s">
        <v>13</v>
      </c>
      <c r="E206" s="21"/>
      <c r="F206" s="21"/>
      <c r="G206" s="24">
        <v>2596</v>
      </c>
      <c r="H206" s="24"/>
      <c r="J206" s="21" t="s">
        <v>463</v>
      </c>
      <c r="K206" s="24">
        <v>9470.9100000000017</v>
      </c>
    </row>
    <row r="207" spans="1:11" x14ac:dyDescent="0.25">
      <c r="A207" s="78">
        <v>46051</v>
      </c>
      <c r="B207" s="21" t="s">
        <v>45</v>
      </c>
      <c r="C207" s="21" t="s">
        <v>20</v>
      </c>
      <c r="D207" s="21" t="s">
        <v>22</v>
      </c>
      <c r="E207" s="21" t="s">
        <v>17</v>
      </c>
      <c r="F207" s="21"/>
      <c r="G207" s="24">
        <v>40.24</v>
      </c>
      <c r="H207" s="24"/>
      <c r="J207" s="21" t="s">
        <v>463</v>
      </c>
      <c r="K207" s="24">
        <v>9511.1500000000015</v>
      </c>
    </row>
    <row r="208" spans="1:11" x14ac:dyDescent="0.25">
      <c r="A208" s="78">
        <v>46051</v>
      </c>
      <c r="B208" s="21" t="s">
        <v>522</v>
      </c>
      <c r="C208" s="21" t="s">
        <v>12</v>
      </c>
      <c r="D208" s="21" t="s">
        <v>27</v>
      </c>
      <c r="E208" s="21" t="s">
        <v>17</v>
      </c>
      <c r="F208" s="21" t="s">
        <v>25</v>
      </c>
      <c r="G208" s="24">
        <v>218</v>
      </c>
      <c r="H208" s="24"/>
      <c r="J208" s="21" t="s">
        <v>463</v>
      </c>
      <c r="K208" s="24">
        <v>9293.1500000000015</v>
      </c>
    </row>
    <row r="209" spans="1:11" x14ac:dyDescent="0.25">
      <c r="A209" s="78">
        <v>46052</v>
      </c>
      <c r="B209" s="21" t="s">
        <v>11</v>
      </c>
      <c r="C209" s="21" t="s">
        <v>12</v>
      </c>
      <c r="D209" s="21" t="s">
        <v>19</v>
      </c>
      <c r="E209" s="21" t="s">
        <v>14</v>
      </c>
      <c r="F209" s="21" t="s">
        <v>15</v>
      </c>
      <c r="G209" s="24">
        <v>282</v>
      </c>
      <c r="H209" s="24"/>
      <c r="J209" s="21" t="s">
        <v>463</v>
      </c>
      <c r="K209" s="24">
        <v>9011.1500000000015</v>
      </c>
    </row>
    <row r="210" spans="1:11" x14ac:dyDescent="0.25">
      <c r="A210" s="78">
        <v>46052</v>
      </c>
      <c r="B210" s="21" t="s">
        <v>13</v>
      </c>
      <c r="C210" s="21" t="s">
        <v>20</v>
      </c>
      <c r="D210" s="21" t="s">
        <v>13</v>
      </c>
      <c r="E210" s="21"/>
      <c r="F210" s="21"/>
      <c r="G210" s="24">
        <v>1925</v>
      </c>
      <c r="H210" s="24"/>
      <c r="J210" s="21" t="s">
        <v>463</v>
      </c>
      <c r="K210" s="24">
        <v>10936.15</v>
      </c>
    </row>
    <row r="211" spans="1:11" x14ac:dyDescent="0.25">
      <c r="A211" s="78">
        <v>46052</v>
      </c>
      <c r="B211" s="21" t="s">
        <v>21</v>
      </c>
      <c r="C211" s="21" t="s">
        <v>20</v>
      </c>
      <c r="D211" s="21" t="s">
        <v>22</v>
      </c>
      <c r="E211" s="21" t="s">
        <v>17</v>
      </c>
      <c r="F211" s="21"/>
      <c r="G211" s="24">
        <v>29.5</v>
      </c>
      <c r="H211" s="24"/>
      <c r="J211" s="21" t="s">
        <v>463</v>
      </c>
      <c r="K211" s="24">
        <v>10965.65</v>
      </c>
    </row>
    <row r="212" spans="1:11" x14ac:dyDescent="0.25">
      <c r="A212" s="78">
        <v>46052</v>
      </c>
      <c r="B212" s="21" t="s">
        <v>23</v>
      </c>
      <c r="C212" s="21" t="s">
        <v>12</v>
      </c>
      <c r="D212" s="21" t="s">
        <v>24</v>
      </c>
      <c r="E212" s="21" t="s">
        <v>17</v>
      </c>
      <c r="F212" s="21" t="s">
        <v>25</v>
      </c>
      <c r="G212" s="24">
        <v>21</v>
      </c>
      <c r="H212" s="24"/>
      <c r="J212" s="21" t="s">
        <v>463</v>
      </c>
      <c r="K212" s="24">
        <v>10944.65</v>
      </c>
    </row>
    <row r="213" spans="1:11" x14ac:dyDescent="0.25">
      <c r="A213" s="78">
        <v>46052</v>
      </c>
      <c r="B213" s="21" t="s">
        <v>523</v>
      </c>
      <c r="C213" s="21" t="s">
        <v>12</v>
      </c>
      <c r="D213" s="21" t="s">
        <v>69</v>
      </c>
      <c r="E213" s="21" t="s">
        <v>17</v>
      </c>
      <c r="F213" s="21" t="s">
        <v>25</v>
      </c>
      <c r="G213" s="24">
        <v>100</v>
      </c>
      <c r="H213" s="24"/>
      <c r="J213" s="21" t="s">
        <v>463</v>
      </c>
      <c r="K213" s="24">
        <v>10844.65</v>
      </c>
    </row>
    <row r="214" spans="1:11" x14ac:dyDescent="0.25">
      <c r="A214" s="78">
        <v>46053</v>
      </c>
      <c r="B214" s="21" t="s">
        <v>524</v>
      </c>
      <c r="C214" s="21" t="s">
        <v>12</v>
      </c>
      <c r="D214" s="21" t="s">
        <v>69</v>
      </c>
      <c r="E214" s="21" t="s">
        <v>17</v>
      </c>
      <c r="F214" s="21" t="s">
        <v>25</v>
      </c>
      <c r="G214" s="24">
        <v>600</v>
      </c>
      <c r="H214" s="24"/>
      <c r="J214" s="21" t="s">
        <v>463</v>
      </c>
      <c r="K214" s="24">
        <v>10244.65</v>
      </c>
    </row>
    <row r="215" spans="1:11" x14ac:dyDescent="0.25">
      <c r="A215" s="78">
        <v>46053</v>
      </c>
      <c r="B215" s="21" t="s">
        <v>317</v>
      </c>
      <c r="C215" s="21" t="s">
        <v>12</v>
      </c>
      <c r="D215" s="21" t="s">
        <v>27</v>
      </c>
      <c r="E215" s="21" t="s">
        <v>17</v>
      </c>
      <c r="F215" s="21"/>
      <c r="G215" s="24">
        <v>2000</v>
      </c>
      <c r="H215" s="24"/>
      <c r="J215" s="21" t="s">
        <v>463</v>
      </c>
      <c r="K215" s="24">
        <v>8244.6500000000015</v>
      </c>
    </row>
    <row r="216" spans="1:11" x14ac:dyDescent="0.25">
      <c r="A216" s="78">
        <v>46053</v>
      </c>
      <c r="B216" s="21" t="s">
        <v>31</v>
      </c>
      <c r="C216" s="21" t="s">
        <v>20</v>
      </c>
      <c r="D216" s="21" t="s">
        <v>13</v>
      </c>
      <c r="E216" s="21"/>
      <c r="F216" s="21"/>
      <c r="G216" s="24">
        <v>8313</v>
      </c>
      <c r="H216" s="24"/>
      <c r="J216" s="21" t="s">
        <v>463</v>
      </c>
      <c r="K216" s="24">
        <v>16557.650000000001</v>
      </c>
    </row>
    <row r="217" spans="1:11" x14ac:dyDescent="0.25">
      <c r="A217" s="78">
        <v>46053</v>
      </c>
      <c r="B217" s="21" t="s">
        <v>45</v>
      </c>
      <c r="C217" s="21" t="s">
        <v>20</v>
      </c>
      <c r="D217" s="21" t="s">
        <v>22</v>
      </c>
      <c r="E217" s="21" t="s">
        <v>17</v>
      </c>
      <c r="F217" s="21"/>
      <c r="G217" s="24">
        <v>194</v>
      </c>
      <c r="H217" s="24"/>
      <c r="J217" s="21" t="s">
        <v>463</v>
      </c>
      <c r="K217" s="24">
        <v>16751.650000000001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84">
        <v>46054</v>
      </c>
      <c r="B2" s="5" t="s">
        <v>525</v>
      </c>
      <c r="C2" s="5" t="s">
        <v>12</v>
      </c>
      <c r="D2" s="5" t="s">
        <v>34</v>
      </c>
      <c r="E2" s="5" t="s">
        <v>17</v>
      </c>
      <c r="F2" s="5" t="s">
        <v>25</v>
      </c>
      <c r="G2" s="26">
        <v>390</v>
      </c>
      <c r="H2" s="26"/>
      <c r="I2" s="5"/>
      <c r="J2" s="5" t="s">
        <v>466</v>
      </c>
      <c r="K2" s="26">
        <v>-390</v>
      </c>
    </row>
    <row r="3" spans="1:11" x14ac:dyDescent="0.25">
      <c r="A3" s="84">
        <v>46054</v>
      </c>
      <c r="B3" s="5" t="s">
        <v>31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466</v>
      </c>
      <c r="K3" s="26">
        <v>5446</v>
      </c>
    </row>
    <row r="4" spans="1:11" x14ac:dyDescent="0.25">
      <c r="A4" s="84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466</v>
      </c>
      <c r="K4" s="26">
        <v>5833.11</v>
      </c>
    </row>
    <row r="5" spans="1:11" x14ac:dyDescent="0.25">
      <c r="A5" s="84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466</v>
      </c>
      <c r="K5" s="26">
        <v>5779.11</v>
      </c>
    </row>
    <row r="6" spans="1:11" x14ac:dyDescent="0.25">
      <c r="A6" s="84">
        <v>46055</v>
      </c>
      <c r="B6" s="5" t="s">
        <v>356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466</v>
      </c>
      <c r="K6" s="26">
        <v>5315</v>
      </c>
    </row>
    <row r="7" spans="1:11" x14ac:dyDescent="0.25">
      <c r="A7" s="84">
        <v>46055</v>
      </c>
      <c r="B7" s="5" t="s">
        <v>445</v>
      </c>
      <c r="C7" s="5" t="s">
        <v>12</v>
      </c>
      <c r="D7" s="5" t="s">
        <v>59</v>
      </c>
      <c r="E7" s="5" t="s">
        <v>17</v>
      </c>
      <c r="F7" s="5"/>
      <c r="G7" s="26">
        <v>263.86</v>
      </c>
      <c r="H7" s="26"/>
      <c r="I7" s="5"/>
      <c r="J7" s="5" t="s">
        <v>466</v>
      </c>
      <c r="K7" s="26">
        <v>5051.1400000000003</v>
      </c>
    </row>
    <row r="8" spans="1:11" x14ac:dyDescent="0.25">
      <c r="A8" s="84">
        <v>46055</v>
      </c>
      <c r="B8" s="5" t="s">
        <v>31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466</v>
      </c>
      <c r="K8" s="26">
        <v>6708.14</v>
      </c>
    </row>
    <row r="9" spans="1:11" x14ac:dyDescent="0.25">
      <c r="A9" s="84">
        <v>46055</v>
      </c>
      <c r="B9" s="5" t="s">
        <v>45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466</v>
      </c>
      <c r="K9" s="26">
        <v>6708.14</v>
      </c>
    </row>
    <row r="10" spans="1:11" x14ac:dyDescent="0.25">
      <c r="A10" s="84">
        <v>46055</v>
      </c>
      <c r="B10" s="5" t="s">
        <v>46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466</v>
      </c>
      <c r="K10" s="26">
        <v>6708.14</v>
      </c>
    </row>
    <row r="11" spans="1:11" x14ac:dyDescent="0.25">
      <c r="A11" s="84">
        <v>46055</v>
      </c>
      <c r="B11" s="5" t="s">
        <v>403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466</v>
      </c>
      <c r="K11" s="26">
        <v>6708.14</v>
      </c>
    </row>
    <row r="12" spans="1:11" x14ac:dyDescent="0.25">
      <c r="A12" s="84">
        <v>46055</v>
      </c>
      <c r="B12" s="5" t="s">
        <v>526</v>
      </c>
      <c r="C12" s="5" t="s">
        <v>12</v>
      </c>
      <c r="D12" s="5" t="s">
        <v>65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466</v>
      </c>
      <c r="K12" s="26">
        <v>6663.14</v>
      </c>
    </row>
    <row r="13" spans="1:11" x14ac:dyDescent="0.25">
      <c r="A13" s="84">
        <v>46055</v>
      </c>
      <c r="B13" s="5" t="s">
        <v>527</v>
      </c>
      <c r="C13" s="5" t="s">
        <v>12</v>
      </c>
      <c r="D13" s="5" t="s">
        <v>69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466</v>
      </c>
      <c r="K13" s="26">
        <v>6618.14</v>
      </c>
    </row>
    <row r="14" spans="1:11" x14ac:dyDescent="0.25">
      <c r="A14" s="84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466</v>
      </c>
      <c r="K14" s="26">
        <v>7914.14</v>
      </c>
    </row>
    <row r="15" spans="1:11" x14ac:dyDescent="0.25">
      <c r="A15" s="84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466</v>
      </c>
      <c r="K15" s="26">
        <v>8065.93</v>
      </c>
    </row>
    <row r="16" spans="1:11" x14ac:dyDescent="0.25">
      <c r="A16" s="84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466</v>
      </c>
      <c r="K16" s="26">
        <v>8029.93</v>
      </c>
    </row>
    <row r="17" spans="1:11" x14ac:dyDescent="0.25">
      <c r="A17" s="84">
        <v>46056</v>
      </c>
      <c r="B17" s="5" t="s">
        <v>403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466</v>
      </c>
      <c r="K17" s="26">
        <v>8029.93</v>
      </c>
    </row>
    <row r="18" spans="1:11" x14ac:dyDescent="0.25">
      <c r="A18" s="84">
        <v>46056</v>
      </c>
      <c r="B18" s="5" t="s">
        <v>32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466</v>
      </c>
      <c r="K18" s="26">
        <v>7574.93</v>
      </c>
    </row>
    <row r="19" spans="1:11" x14ac:dyDescent="0.25">
      <c r="A19" s="84">
        <v>46056</v>
      </c>
      <c r="B19" s="5" t="s">
        <v>528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466</v>
      </c>
      <c r="K19" s="26">
        <v>7371.43</v>
      </c>
    </row>
    <row r="20" spans="1:11" x14ac:dyDescent="0.25">
      <c r="A20" s="84">
        <v>46056</v>
      </c>
      <c r="B20" s="5" t="s">
        <v>407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466</v>
      </c>
      <c r="K20" s="26">
        <v>6662.55</v>
      </c>
    </row>
    <row r="21" spans="1:11" x14ac:dyDescent="0.25">
      <c r="A21" s="84">
        <v>46056</v>
      </c>
      <c r="B21" s="5" t="s">
        <v>396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466</v>
      </c>
      <c r="K21" s="26">
        <v>5555.75</v>
      </c>
    </row>
    <row r="22" spans="1:11" x14ac:dyDescent="0.25">
      <c r="A22" s="84">
        <v>46056</v>
      </c>
      <c r="B22" s="5" t="s">
        <v>395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466</v>
      </c>
      <c r="K22" s="26">
        <v>2733.75</v>
      </c>
    </row>
    <row r="23" spans="1:11" x14ac:dyDescent="0.25">
      <c r="A23" s="84">
        <v>46056</v>
      </c>
      <c r="B23" s="5" t="s">
        <v>529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466</v>
      </c>
      <c r="K23" s="26">
        <v>463.80999999999989</v>
      </c>
    </row>
    <row r="24" spans="1:11" x14ac:dyDescent="0.25">
      <c r="A24" s="84">
        <v>46056</v>
      </c>
      <c r="B24" s="5" t="s">
        <v>530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466</v>
      </c>
      <c r="K24" s="26">
        <v>410.80999999999989</v>
      </c>
    </row>
    <row r="25" spans="1:11" x14ac:dyDescent="0.25">
      <c r="A25" s="84">
        <v>46057</v>
      </c>
      <c r="B25" s="5" t="s">
        <v>31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466</v>
      </c>
      <c r="K25" s="26">
        <v>2256.81</v>
      </c>
    </row>
    <row r="26" spans="1:11" x14ac:dyDescent="0.25">
      <c r="A26" s="84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466</v>
      </c>
      <c r="K26" s="26">
        <v>2483.6999999999998</v>
      </c>
    </row>
    <row r="27" spans="1:11" x14ac:dyDescent="0.25">
      <c r="A27" s="84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466</v>
      </c>
      <c r="K27" s="26">
        <v>2456.6999999999998</v>
      </c>
    </row>
    <row r="28" spans="1:11" x14ac:dyDescent="0.25">
      <c r="A28" s="84">
        <v>46057</v>
      </c>
      <c r="B28" s="5" t="s">
        <v>403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466</v>
      </c>
      <c r="K28" s="26">
        <v>2221.6999999999998</v>
      </c>
    </row>
    <row r="29" spans="1:11" x14ac:dyDescent="0.25">
      <c r="A29" s="84">
        <v>46057</v>
      </c>
      <c r="B29" s="5" t="s">
        <v>531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466</v>
      </c>
      <c r="K29" s="26">
        <v>-4047.3200000000011</v>
      </c>
    </row>
    <row r="30" spans="1:11" x14ac:dyDescent="0.25">
      <c r="A30" s="84">
        <v>46057</v>
      </c>
      <c r="B30" s="5" t="s">
        <v>532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466</v>
      </c>
      <c r="K30" s="26">
        <v>-8547.32</v>
      </c>
    </row>
    <row r="31" spans="1:11" x14ac:dyDescent="0.25">
      <c r="A31" s="84">
        <v>46058</v>
      </c>
      <c r="B31" s="5" t="s">
        <v>533</v>
      </c>
      <c r="C31" s="5" t="s">
        <v>12</v>
      </c>
      <c r="D31" s="5" t="s">
        <v>329</v>
      </c>
      <c r="E31" s="5" t="s">
        <v>17</v>
      </c>
      <c r="F31" s="5"/>
      <c r="G31" s="26">
        <v>4243.3900000000003</v>
      </c>
      <c r="H31" s="26"/>
      <c r="I31" s="5"/>
      <c r="J31" s="5" t="s">
        <v>466</v>
      </c>
      <c r="K31" s="26">
        <v>-12790.71</v>
      </c>
    </row>
    <row r="32" spans="1:11" x14ac:dyDescent="0.25">
      <c r="A32" s="84">
        <v>46058</v>
      </c>
      <c r="B32" s="5" t="s">
        <v>306</v>
      </c>
      <c r="C32" s="5" t="s">
        <v>12</v>
      </c>
      <c r="D32" s="5" t="s">
        <v>69</v>
      </c>
      <c r="E32" s="5" t="s">
        <v>17</v>
      </c>
      <c r="F32" s="5"/>
      <c r="G32" s="26">
        <v>1000</v>
      </c>
      <c r="H32" s="26"/>
      <c r="I32" s="5"/>
      <c r="J32" s="5" t="s">
        <v>466</v>
      </c>
      <c r="K32" s="26">
        <v>-13790.71</v>
      </c>
    </row>
    <row r="33" spans="1:11" x14ac:dyDescent="0.25">
      <c r="A33" s="84">
        <v>46058</v>
      </c>
      <c r="B33" s="5" t="s">
        <v>39</v>
      </c>
      <c r="C33" s="5" t="s">
        <v>12</v>
      </c>
      <c r="D33" s="5" t="s">
        <v>40</v>
      </c>
      <c r="E33" s="5" t="s">
        <v>17</v>
      </c>
      <c r="F33" s="5"/>
      <c r="G33" s="26">
        <v>9000</v>
      </c>
      <c r="H33" s="26"/>
      <c r="I33" s="5"/>
      <c r="J33" s="5" t="s">
        <v>466</v>
      </c>
      <c r="K33" s="26">
        <v>-22790.71</v>
      </c>
    </row>
    <row r="34" spans="1:11" x14ac:dyDescent="0.25">
      <c r="A34" s="84">
        <v>46058</v>
      </c>
      <c r="B34" s="5" t="s">
        <v>42</v>
      </c>
      <c r="C34" s="5" t="s">
        <v>12</v>
      </c>
      <c r="D34" s="5" t="s">
        <v>40</v>
      </c>
      <c r="E34" s="5" t="s">
        <v>17</v>
      </c>
      <c r="F34" s="5"/>
      <c r="G34" s="26">
        <v>100</v>
      </c>
      <c r="H34" s="26"/>
      <c r="I34" s="5"/>
      <c r="J34" s="5" t="s">
        <v>466</v>
      </c>
      <c r="K34" s="26">
        <v>-22890.71</v>
      </c>
    </row>
    <row r="35" spans="1:11" x14ac:dyDescent="0.25">
      <c r="A35" s="84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466</v>
      </c>
      <c r="K35" s="26">
        <v>-22890.71</v>
      </c>
    </row>
    <row r="36" spans="1:11" x14ac:dyDescent="0.25">
      <c r="A36" s="84">
        <v>46058</v>
      </c>
      <c r="B36" s="5" t="s">
        <v>31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466</v>
      </c>
      <c r="K36" s="26">
        <v>-21066.71</v>
      </c>
    </row>
    <row r="37" spans="1:11" x14ac:dyDescent="0.25">
      <c r="A37" s="84">
        <v>46058</v>
      </c>
      <c r="B37" s="5" t="s">
        <v>359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466</v>
      </c>
      <c r="K37" s="26">
        <v>-21066.71</v>
      </c>
    </row>
    <row r="38" spans="1:11" x14ac:dyDescent="0.25">
      <c r="A38" s="84">
        <v>46058</v>
      </c>
      <c r="B38" s="5" t="s">
        <v>46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466</v>
      </c>
      <c r="K38" s="26">
        <v>-21066.71</v>
      </c>
    </row>
    <row r="39" spans="1:11" x14ac:dyDescent="0.25">
      <c r="A39" s="84">
        <v>46058</v>
      </c>
      <c r="B39" s="5" t="s">
        <v>372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466</v>
      </c>
      <c r="K39" s="26">
        <v>-21661.21</v>
      </c>
    </row>
    <row r="40" spans="1:11" x14ac:dyDescent="0.25">
      <c r="A40" s="84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466</v>
      </c>
      <c r="K40" s="26">
        <v>-21990.21</v>
      </c>
    </row>
    <row r="41" spans="1:11" x14ac:dyDescent="0.25">
      <c r="A41" s="84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466</v>
      </c>
      <c r="K41" s="26">
        <v>-20150.21</v>
      </c>
    </row>
    <row r="42" spans="1:11" x14ac:dyDescent="0.25">
      <c r="A42" s="84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466</v>
      </c>
      <c r="K42" s="26">
        <v>-19992.37</v>
      </c>
    </row>
    <row r="43" spans="1:11" x14ac:dyDescent="0.25">
      <c r="A43" s="84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466</v>
      </c>
      <c r="K43" s="26">
        <v>-20036.37</v>
      </c>
    </row>
    <row r="44" spans="1:11" x14ac:dyDescent="0.25">
      <c r="A44" s="84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466</v>
      </c>
      <c r="K44" s="26">
        <v>-15413.37</v>
      </c>
    </row>
    <row r="45" spans="1:11" x14ac:dyDescent="0.25">
      <c r="A45" s="84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466</v>
      </c>
      <c r="K45" s="26">
        <v>-15304.42</v>
      </c>
    </row>
    <row r="46" spans="1:11" x14ac:dyDescent="0.25">
      <c r="A46" s="84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466</v>
      </c>
      <c r="K46" s="26">
        <v>-15321.42</v>
      </c>
    </row>
    <row r="47" spans="1:11" x14ac:dyDescent="0.25">
      <c r="A47" s="84">
        <v>46060</v>
      </c>
      <c r="B47" s="5" t="s">
        <v>534</v>
      </c>
      <c r="C47" s="5" t="s">
        <v>12</v>
      </c>
      <c r="D47" s="5" t="s">
        <v>34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466</v>
      </c>
      <c r="K47" s="26">
        <v>-15651.42</v>
      </c>
    </row>
    <row r="48" spans="1:11" x14ac:dyDescent="0.25">
      <c r="A48" s="84">
        <v>46060</v>
      </c>
      <c r="B48" s="5" t="s">
        <v>535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466</v>
      </c>
      <c r="K48" s="26">
        <v>-16001.42</v>
      </c>
    </row>
    <row r="49" spans="1:11" x14ac:dyDescent="0.25">
      <c r="A49" s="84">
        <v>46060</v>
      </c>
      <c r="B49" s="5" t="s">
        <v>536</v>
      </c>
      <c r="C49" s="5" t="s">
        <v>12</v>
      </c>
      <c r="D49" s="5" t="s">
        <v>63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466</v>
      </c>
      <c r="K49" s="26">
        <v>-16051.42</v>
      </c>
    </row>
    <row r="50" spans="1:11" x14ac:dyDescent="0.25">
      <c r="A50" s="84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466</v>
      </c>
      <c r="K50" s="26">
        <v>-10625.42</v>
      </c>
    </row>
    <row r="51" spans="1:11" x14ac:dyDescent="0.25">
      <c r="A51" s="84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466</v>
      </c>
      <c r="K51" s="26">
        <v>-10434.1</v>
      </c>
    </row>
    <row r="52" spans="1:11" x14ac:dyDescent="0.25">
      <c r="A52" s="84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466</v>
      </c>
      <c r="K52" s="26">
        <v>-10451.1</v>
      </c>
    </row>
    <row r="53" spans="1:11" x14ac:dyDescent="0.25">
      <c r="A53" s="84">
        <v>46061</v>
      </c>
      <c r="B53" s="5" t="s">
        <v>386</v>
      </c>
      <c r="C53" s="5" t="s">
        <v>12</v>
      </c>
      <c r="D53" s="5" t="s">
        <v>63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466</v>
      </c>
      <c r="K53" s="26">
        <v>-10471.1</v>
      </c>
    </row>
    <row r="54" spans="1:11" x14ac:dyDescent="0.25">
      <c r="A54" s="84">
        <v>46062</v>
      </c>
      <c r="B54" s="5" t="s">
        <v>350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466</v>
      </c>
      <c r="K54" s="26">
        <v>-12568.87</v>
      </c>
    </row>
    <row r="55" spans="1:11" x14ac:dyDescent="0.25">
      <c r="A55" s="84">
        <v>46062</v>
      </c>
      <c r="B55" s="5" t="s">
        <v>423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466</v>
      </c>
      <c r="K55" s="26">
        <v>-12951.37</v>
      </c>
    </row>
    <row r="56" spans="1:11" x14ac:dyDescent="0.25">
      <c r="A56" s="84">
        <v>46062</v>
      </c>
      <c r="B56" s="5" t="s">
        <v>31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466</v>
      </c>
      <c r="K56" s="26">
        <v>-12382.37</v>
      </c>
    </row>
    <row r="57" spans="1:11" x14ac:dyDescent="0.25">
      <c r="A57" s="84">
        <v>46062</v>
      </c>
      <c r="B57" s="5" t="s">
        <v>45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466</v>
      </c>
      <c r="K57" s="26">
        <v>-12371.47</v>
      </c>
    </row>
    <row r="58" spans="1:11" x14ac:dyDescent="0.25">
      <c r="A58" s="84">
        <v>46062</v>
      </c>
      <c r="B58" s="5" t="s">
        <v>46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466</v>
      </c>
      <c r="K58" s="26">
        <v>-12380.47</v>
      </c>
    </row>
    <row r="59" spans="1:11" x14ac:dyDescent="0.25">
      <c r="A59" s="84">
        <v>46063</v>
      </c>
      <c r="B59" s="5" t="s">
        <v>67</v>
      </c>
      <c r="C59" s="5" t="s">
        <v>12</v>
      </c>
      <c r="D59" s="5" t="s">
        <v>67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466</v>
      </c>
      <c r="K59" s="26">
        <v>-22553.07</v>
      </c>
    </row>
    <row r="60" spans="1:11" x14ac:dyDescent="0.25">
      <c r="A60" s="84">
        <v>46063</v>
      </c>
      <c r="B60" s="5" t="s">
        <v>69</v>
      </c>
      <c r="C60" s="5" t="s">
        <v>12</v>
      </c>
      <c r="D60" s="5" t="s">
        <v>69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466</v>
      </c>
      <c r="K60" s="26">
        <v>-23003.07</v>
      </c>
    </row>
    <row r="61" spans="1:11" x14ac:dyDescent="0.25">
      <c r="A61" s="84">
        <v>46063</v>
      </c>
      <c r="B61" s="5" t="s">
        <v>537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466</v>
      </c>
      <c r="K61" s="26">
        <v>-23063.07</v>
      </c>
    </row>
    <row r="62" spans="1:11" x14ac:dyDescent="0.25">
      <c r="A62" s="84">
        <v>46063</v>
      </c>
      <c r="B62" s="5" t="s">
        <v>65</v>
      </c>
      <c r="C62" s="5" t="s">
        <v>12</v>
      </c>
      <c r="D62" s="5" t="s">
        <v>65</v>
      </c>
      <c r="E62" s="5" t="s">
        <v>17</v>
      </c>
      <c r="F62" s="5"/>
      <c r="G62" s="26">
        <v>732</v>
      </c>
      <c r="H62" s="26"/>
      <c r="I62" s="5"/>
      <c r="J62" s="5" t="s">
        <v>466</v>
      </c>
      <c r="K62" s="26">
        <v>-23795.07</v>
      </c>
    </row>
    <row r="63" spans="1:11" x14ac:dyDescent="0.25">
      <c r="A63" s="84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466</v>
      </c>
      <c r="K63" s="26">
        <v>-21969.07</v>
      </c>
    </row>
    <row r="64" spans="1:11" x14ac:dyDescent="0.25">
      <c r="A64" s="84">
        <v>46063</v>
      </c>
      <c r="B64" s="5" t="s">
        <v>359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466</v>
      </c>
      <c r="K64" s="26">
        <v>-21911.17</v>
      </c>
    </row>
    <row r="65" spans="1:11" x14ac:dyDescent="0.25">
      <c r="A65" s="84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466</v>
      </c>
      <c r="K65" s="26">
        <v>-21920.17</v>
      </c>
    </row>
    <row r="66" spans="1:11" x14ac:dyDescent="0.25">
      <c r="A66" s="84">
        <v>46063</v>
      </c>
      <c r="B66" s="5" t="s">
        <v>354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466</v>
      </c>
      <c r="K66" s="26">
        <v>-23025.57</v>
      </c>
    </row>
    <row r="67" spans="1:11" x14ac:dyDescent="0.25">
      <c r="A67" s="84">
        <v>46063</v>
      </c>
      <c r="B67" s="5" t="s">
        <v>354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466</v>
      </c>
      <c r="K67" s="26">
        <v>-24133.17</v>
      </c>
    </row>
    <row r="68" spans="1:11" x14ac:dyDescent="0.25">
      <c r="A68" s="84">
        <v>46063</v>
      </c>
      <c r="B68" s="5" t="s">
        <v>32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466</v>
      </c>
      <c r="K68" s="26">
        <v>-24289.17</v>
      </c>
    </row>
    <row r="69" spans="1:11" x14ac:dyDescent="0.25">
      <c r="A69" s="84">
        <v>46063</v>
      </c>
      <c r="B69" s="5" t="s">
        <v>538</v>
      </c>
      <c r="C69" s="5" t="s">
        <v>12</v>
      </c>
      <c r="D69" s="5" t="s">
        <v>69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466</v>
      </c>
      <c r="K69" s="26">
        <v>-24789.17</v>
      </c>
    </row>
    <row r="70" spans="1:11" x14ac:dyDescent="0.25">
      <c r="A70" s="84">
        <v>46063</v>
      </c>
      <c r="B70" s="5" t="s">
        <v>539</v>
      </c>
      <c r="C70" s="5" t="s">
        <v>12</v>
      </c>
      <c r="D70" s="5" t="s">
        <v>63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466</v>
      </c>
      <c r="K70" s="26">
        <v>-26322.57</v>
      </c>
    </row>
    <row r="71" spans="1:11" x14ac:dyDescent="0.25">
      <c r="A71" s="84">
        <v>46064</v>
      </c>
      <c r="B71" s="5" t="s">
        <v>540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466</v>
      </c>
      <c r="K71" s="26">
        <v>-27205.23</v>
      </c>
    </row>
    <row r="72" spans="1:11" x14ac:dyDescent="0.25">
      <c r="A72" s="84">
        <v>46064</v>
      </c>
      <c r="B72" s="5" t="s">
        <v>407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466</v>
      </c>
      <c r="K72" s="26">
        <v>-27322.2</v>
      </c>
    </row>
    <row r="73" spans="1:11" x14ac:dyDescent="0.25">
      <c r="A73" s="84">
        <v>46064</v>
      </c>
      <c r="B73" s="5" t="s">
        <v>408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466</v>
      </c>
      <c r="K73" s="26">
        <v>-29153.79</v>
      </c>
    </row>
    <row r="74" spans="1:11" x14ac:dyDescent="0.25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466</v>
      </c>
      <c r="K74" s="26">
        <v>-29153.79</v>
      </c>
    </row>
    <row r="75" spans="1:11" x14ac:dyDescent="0.25">
      <c r="A75" s="84">
        <v>46064</v>
      </c>
      <c r="B75" s="5" t="s">
        <v>31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466</v>
      </c>
      <c r="K75" s="26">
        <v>-27999.19</v>
      </c>
    </row>
    <row r="76" spans="1:11" x14ac:dyDescent="0.25">
      <c r="A76" s="84">
        <v>46064</v>
      </c>
      <c r="B76" s="5" t="s">
        <v>45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466</v>
      </c>
      <c r="K76" s="26">
        <v>-27974.89</v>
      </c>
    </row>
    <row r="77" spans="1:11" x14ac:dyDescent="0.25">
      <c r="A77" s="84">
        <v>46064</v>
      </c>
      <c r="B77" s="5" t="s">
        <v>46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466</v>
      </c>
      <c r="K77" s="26">
        <v>-27983.89</v>
      </c>
    </row>
    <row r="78" spans="1:11" x14ac:dyDescent="0.25">
      <c r="A78" s="84">
        <v>46064</v>
      </c>
      <c r="B78" s="5" t="s">
        <v>541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466</v>
      </c>
      <c r="K78" s="26">
        <v>-29088.89</v>
      </c>
    </row>
    <row r="79" spans="1:11" x14ac:dyDescent="0.25">
      <c r="A79" s="84">
        <v>46065</v>
      </c>
      <c r="B79" s="5" t="s">
        <v>350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466</v>
      </c>
      <c r="K79" s="26">
        <v>-34245.19</v>
      </c>
    </row>
    <row r="80" spans="1:11" x14ac:dyDescent="0.25">
      <c r="A80" s="64">
        <v>46065</v>
      </c>
      <c r="B80" s="5" t="s">
        <v>403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466</v>
      </c>
      <c r="K80" s="26">
        <v>-34821.19</v>
      </c>
    </row>
    <row r="81" spans="1:11" x14ac:dyDescent="0.25">
      <c r="A81" s="64">
        <v>46065</v>
      </c>
      <c r="B81" s="5" t="s">
        <v>31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466</v>
      </c>
      <c r="K81" s="26">
        <v>-32708.19</v>
      </c>
    </row>
    <row r="82" spans="1:11" x14ac:dyDescent="0.25">
      <c r="A82" s="84">
        <v>46065</v>
      </c>
      <c r="B82" s="5" t="s">
        <v>45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466</v>
      </c>
      <c r="K82" s="26">
        <v>-32633.8</v>
      </c>
    </row>
    <row r="83" spans="1:11" x14ac:dyDescent="0.25">
      <c r="A83" s="84">
        <v>46065</v>
      </c>
      <c r="B83" s="5" t="s">
        <v>46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466</v>
      </c>
      <c r="K83" s="26">
        <v>-32651.8</v>
      </c>
    </row>
    <row r="84" spans="1:11" x14ac:dyDescent="0.25">
      <c r="A84" s="64">
        <v>46065</v>
      </c>
      <c r="B84" s="5" t="s">
        <v>542</v>
      </c>
      <c r="C84" s="5" t="s">
        <v>12</v>
      </c>
      <c r="D84" s="5" t="s">
        <v>34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466</v>
      </c>
      <c r="K84" s="26">
        <v>-32801.800000000003</v>
      </c>
    </row>
    <row r="85" spans="1:11" x14ac:dyDescent="0.25">
      <c r="A85" s="84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466</v>
      </c>
      <c r="K85" s="26">
        <v>-33471.800000000003</v>
      </c>
    </row>
    <row r="86" spans="1:11" x14ac:dyDescent="0.25">
      <c r="A86" s="84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466</v>
      </c>
      <c r="K86" s="26">
        <v>-28182.799999999999</v>
      </c>
    </row>
    <row r="87" spans="1:11" x14ac:dyDescent="0.25">
      <c r="A87" s="84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466</v>
      </c>
      <c r="K87" s="26">
        <v>-28083.02</v>
      </c>
    </row>
    <row r="88" spans="1:11" x14ac:dyDescent="0.25">
      <c r="A88" s="84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466</v>
      </c>
      <c r="K88" s="26">
        <v>-28119.02</v>
      </c>
    </row>
    <row r="89" spans="1:11" x14ac:dyDescent="0.25">
      <c r="A89" s="84">
        <v>46067</v>
      </c>
      <c r="B89" s="5" t="s">
        <v>543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466</v>
      </c>
      <c r="K89" s="26">
        <v>-28169.02</v>
      </c>
    </row>
    <row r="90" spans="1:11" x14ac:dyDescent="0.25">
      <c r="A90" s="84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466</v>
      </c>
      <c r="K90" s="26">
        <v>-15812.02</v>
      </c>
    </row>
    <row r="91" spans="1:11" x14ac:dyDescent="0.25">
      <c r="A91" s="84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466</v>
      </c>
      <c r="K91" s="26">
        <v>-15302.86</v>
      </c>
    </row>
    <row r="92" spans="1:11" x14ac:dyDescent="0.25">
      <c r="A92" s="84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466</v>
      </c>
      <c r="K92" s="26">
        <v>-15381.86</v>
      </c>
    </row>
    <row r="93" spans="1:11" x14ac:dyDescent="0.25">
      <c r="A93" s="84">
        <v>46067</v>
      </c>
      <c r="B93" s="5" t="s">
        <v>34</v>
      </c>
      <c r="C93" s="5" t="s">
        <v>12</v>
      </c>
      <c r="D93" s="5" t="s">
        <v>34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466</v>
      </c>
      <c r="K93" s="26">
        <v>-15531.86</v>
      </c>
    </row>
    <row r="94" spans="1:11" x14ac:dyDescent="0.25">
      <c r="A94" s="84">
        <v>46067</v>
      </c>
      <c r="B94" s="5" t="s">
        <v>544</v>
      </c>
      <c r="C94" s="5" t="s">
        <v>12</v>
      </c>
      <c r="D94" s="5" t="s">
        <v>68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466</v>
      </c>
      <c r="K94" s="26">
        <v>-15564.86</v>
      </c>
    </row>
    <row r="95" spans="1:11" x14ac:dyDescent="0.25">
      <c r="A95" s="84">
        <v>46068</v>
      </c>
      <c r="B95" s="5" t="s">
        <v>34</v>
      </c>
      <c r="C95" s="5" t="s">
        <v>12</v>
      </c>
      <c r="D95" s="5" t="s">
        <v>34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466</v>
      </c>
      <c r="K95" s="26">
        <v>-15844.86</v>
      </c>
    </row>
    <row r="96" spans="1:11" x14ac:dyDescent="0.25">
      <c r="A96" s="84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466</v>
      </c>
      <c r="K96" s="26">
        <v>-16326.86</v>
      </c>
    </row>
    <row r="97" spans="1:11" x14ac:dyDescent="0.25">
      <c r="A97" s="84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466</v>
      </c>
      <c r="K97" s="26">
        <v>-1009.860000000004</v>
      </c>
    </row>
    <row r="98" spans="1:11" x14ac:dyDescent="0.25">
      <c r="A98" s="84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466</v>
      </c>
      <c r="K98" s="26">
        <v>-348.42000000000422</v>
      </c>
    </row>
    <row r="99" spans="1:11" x14ac:dyDescent="0.25">
      <c r="A99" s="84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466</v>
      </c>
      <c r="K99" s="26">
        <v>-455.42000000000422</v>
      </c>
    </row>
    <row r="100" spans="1:11" x14ac:dyDescent="0.25">
      <c r="A100" s="84">
        <v>46069</v>
      </c>
      <c r="B100" s="5" t="s">
        <v>528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466</v>
      </c>
      <c r="K100" s="26">
        <v>-658.92000000000417</v>
      </c>
    </row>
    <row r="101" spans="1:11" x14ac:dyDescent="0.25">
      <c r="A101" s="84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466</v>
      </c>
      <c r="K101" s="26">
        <v>14653.08</v>
      </c>
    </row>
    <row r="102" spans="1:11" x14ac:dyDescent="0.25">
      <c r="A102" s="84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466</v>
      </c>
      <c r="K102" s="26">
        <v>14987.99</v>
      </c>
    </row>
    <row r="103" spans="1:11" x14ac:dyDescent="0.25">
      <c r="A103" s="84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466</v>
      </c>
      <c r="K103" s="26">
        <v>14944.99</v>
      </c>
    </row>
    <row r="104" spans="1:11" x14ac:dyDescent="0.25">
      <c r="A104" s="84">
        <v>46069</v>
      </c>
      <c r="B104" s="5" t="s">
        <v>34</v>
      </c>
      <c r="C104" s="5" t="s">
        <v>12</v>
      </c>
      <c r="D104" s="5" t="s">
        <v>34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466</v>
      </c>
      <c r="K104" s="26">
        <v>14794.99</v>
      </c>
    </row>
    <row r="105" spans="1:11" x14ac:dyDescent="0.25">
      <c r="A105" s="84">
        <v>46069</v>
      </c>
      <c r="B105" s="5" t="s">
        <v>350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466</v>
      </c>
      <c r="K105" s="26">
        <v>13911.7</v>
      </c>
    </row>
    <row r="106" spans="1:11" x14ac:dyDescent="0.25">
      <c r="A106" s="84">
        <v>46069</v>
      </c>
      <c r="B106" s="5" t="s">
        <v>392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466</v>
      </c>
      <c r="K106" s="26">
        <v>13044.58</v>
      </c>
    </row>
    <row r="107" spans="1:11" x14ac:dyDescent="0.25">
      <c r="A107" s="84">
        <v>46069</v>
      </c>
      <c r="B107" s="5" t="s">
        <v>392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466</v>
      </c>
      <c r="K107" s="26">
        <v>12627.59</v>
      </c>
    </row>
    <row r="108" spans="1:11" x14ac:dyDescent="0.25">
      <c r="A108" s="84">
        <v>46070</v>
      </c>
      <c r="B108" s="5" t="s">
        <v>356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466</v>
      </c>
      <c r="K108" s="26">
        <v>11737.35</v>
      </c>
    </row>
    <row r="109" spans="1:11" x14ac:dyDescent="0.25">
      <c r="A109" s="84">
        <v>46070</v>
      </c>
      <c r="B109" s="5" t="s">
        <v>403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466</v>
      </c>
      <c r="K109" s="26">
        <v>11367.35</v>
      </c>
    </row>
    <row r="110" spans="1:11" x14ac:dyDescent="0.25">
      <c r="A110" s="84">
        <v>46070</v>
      </c>
      <c r="B110" s="5" t="s">
        <v>31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466</v>
      </c>
      <c r="K110" s="26">
        <v>18591.349999999999</v>
      </c>
    </row>
    <row r="111" spans="1:11" x14ac:dyDescent="0.25">
      <c r="A111" s="84">
        <v>46070</v>
      </c>
      <c r="B111" s="5" t="s">
        <v>45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466</v>
      </c>
      <c r="K111" s="26">
        <v>18893.439999999999</v>
      </c>
    </row>
    <row r="112" spans="1:11" x14ac:dyDescent="0.25">
      <c r="A112" s="84">
        <v>46070</v>
      </c>
      <c r="B112" s="5" t="s">
        <v>46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466</v>
      </c>
      <c r="K112" s="26">
        <v>18848.439999999999</v>
      </c>
    </row>
    <row r="113" spans="1:11" x14ac:dyDescent="0.25">
      <c r="A113" s="84">
        <v>46070</v>
      </c>
      <c r="B113" s="5" t="s">
        <v>497</v>
      </c>
      <c r="C113" s="5" t="s">
        <v>12</v>
      </c>
      <c r="D113" s="5" t="s">
        <v>34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466</v>
      </c>
      <c r="K113" s="26">
        <v>18698.439999999999</v>
      </c>
    </row>
    <row r="114" spans="1:11" x14ac:dyDescent="0.25">
      <c r="A114" s="84">
        <v>46070</v>
      </c>
      <c r="B114" s="5" t="s">
        <v>545</v>
      </c>
      <c r="C114" s="5" t="s">
        <v>12</v>
      </c>
      <c r="D114" s="5" t="s">
        <v>34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466</v>
      </c>
      <c r="K114" s="26">
        <v>18648.439999999999</v>
      </c>
    </row>
    <row r="115" spans="1:11" x14ac:dyDescent="0.25">
      <c r="A115" s="84">
        <v>46071</v>
      </c>
      <c r="B115" s="5" t="s">
        <v>32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466</v>
      </c>
      <c r="K115" s="26">
        <v>18388.439999999999</v>
      </c>
    </row>
    <row r="116" spans="1:11" x14ac:dyDescent="0.25">
      <c r="A116" s="84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466</v>
      </c>
      <c r="K116" s="26">
        <v>21913.439999999999</v>
      </c>
    </row>
    <row r="117" spans="1:11" x14ac:dyDescent="0.25">
      <c r="A117" s="84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466</v>
      </c>
      <c r="K117" s="26">
        <v>21913.439999999999</v>
      </c>
    </row>
    <row r="118" spans="1:11" x14ac:dyDescent="0.25">
      <c r="A118" s="84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466</v>
      </c>
      <c r="K118" s="26">
        <v>21913.439999999999</v>
      </c>
    </row>
    <row r="119" spans="1:11" x14ac:dyDescent="0.25">
      <c r="A119" s="84">
        <v>46071</v>
      </c>
      <c r="B119" s="5" t="s">
        <v>372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466</v>
      </c>
      <c r="K119" s="26">
        <v>21255.69</v>
      </c>
    </row>
    <row r="120" spans="1:11" x14ac:dyDescent="0.25">
      <c r="A120" s="84">
        <v>46071</v>
      </c>
      <c r="B120" s="5" t="s">
        <v>350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466</v>
      </c>
      <c r="K120" s="26">
        <v>20438.48</v>
      </c>
    </row>
    <row r="121" spans="1:11" x14ac:dyDescent="0.25">
      <c r="A121" s="84">
        <v>46071</v>
      </c>
      <c r="B121" s="5" t="s">
        <v>382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466</v>
      </c>
      <c r="K121" s="26">
        <v>19555.82</v>
      </c>
    </row>
    <row r="122" spans="1:11" x14ac:dyDescent="0.25">
      <c r="A122" s="84">
        <v>46071</v>
      </c>
      <c r="B122" s="5" t="s">
        <v>407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466</v>
      </c>
      <c r="K122" s="26">
        <v>18846.939999999999</v>
      </c>
    </row>
    <row r="123" spans="1:11" x14ac:dyDescent="0.25">
      <c r="A123" s="84">
        <v>46071</v>
      </c>
      <c r="B123" s="5" t="s">
        <v>546</v>
      </c>
      <c r="C123" s="5" t="s">
        <v>12</v>
      </c>
      <c r="D123" s="5" t="s">
        <v>40</v>
      </c>
      <c r="E123" s="5" t="s">
        <v>17</v>
      </c>
      <c r="F123" s="5"/>
      <c r="G123" s="26">
        <v>99.9</v>
      </c>
      <c r="H123" s="26"/>
      <c r="I123" s="5"/>
      <c r="J123" s="5" t="s">
        <v>466</v>
      </c>
      <c r="K123" s="26">
        <v>18747.04</v>
      </c>
    </row>
    <row r="124" spans="1:11" x14ac:dyDescent="0.25">
      <c r="A124" s="84">
        <v>46071</v>
      </c>
      <c r="B124" s="5" t="s">
        <v>547</v>
      </c>
      <c r="C124" s="5" t="s">
        <v>12</v>
      </c>
      <c r="D124" s="5" t="s">
        <v>59</v>
      </c>
      <c r="E124" s="5" t="s">
        <v>17</v>
      </c>
      <c r="F124" s="5"/>
      <c r="G124" s="26">
        <v>536.66999999999996</v>
      </c>
      <c r="H124" s="26"/>
      <c r="I124" s="5"/>
      <c r="J124" s="5" t="s">
        <v>466</v>
      </c>
      <c r="K124" s="26">
        <v>18210.37</v>
      </c>
    </row>
    <row r="125" spans="1:11" x14ac:dyDescent="0.25">
      <c r="A125" s="84">
        <v>46071</v>
      </c>
      <c r="B125" s="5" t="s">
        <v>508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466</v>
      </c>
      <c r="K125" s="26">
        <v>17932.37</v>
      </c>
    </row>
    <row r="126" spans="1:11" x14ac:dyDescent="0.25">
      <c r="A126" s="84">
        <v>46072</v>
      </c>
      <c r="B126" s="5" t="s">
        <v>403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466</v>
      </c>
      <c r="K126" s="26">
        <v>17791.37</v>
      </c>
    </row>
    <row r="127" spans="1:11" x14ac:dyDescent="0.25">
      <c r="A127" s="84">
        <v>46073</v>
      </c>
      <c r="B127" s="5" t="s">
        <v>417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466</v>
      </c>
      <c r="K127" s="26">
        <v>17515.37</v>
      </c>
    </row>
    <row r="128" spans="1:11" x14ac:dyDescent="0.25">
      <c r="A128" s="84">
        <v>46073</v>
      </c>
      <c r="B128" s="5" t="s">
        <v>548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466</v>
      </c>
      <c r="K128" s="26">
        <v>16363.92</v>
      </c>
    </row>
    <row r="129" spans="1:11" x14ac:dyDescent="0.25">
      <c r="A129" s="84">
        <v>46073</v>
      </c>
      <c r="B129" s="5" t="s">
        <v>403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466</v>
      </c>
      <c r="K129" s="26">
        <v>15987.92</v>
      </c>
    </row>
    <row r="130" spans="1:11" x14ac:dyDescent="0.25">
      <c r="A130" s="84">
        <v>46073</v>
      </c>
      <c r="B130" s="5" t="s">
        <v>31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466</v>
      </c>
      <c r="K130" s="26">
        <v>19244.919999999998</v>
      </c>
    </row>
    <row r="131" spans="1:11" x14ac:dyDescent="0.25">
      <c r="A131" s="84">
        <v>46073</v>
      </c>
      <c r="B131" s="5" t="s">
        <v>45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466</v>
      </c>
      <c r="K131" s="26">
        <v>19244.919999999998</v>
      </c>
    </row>
    <row r="132" spans="1:11" x14ac:dyDescent="0.25">
      <c r="A132" s="84">
        <v>46073</v>
      </c>
      <c r="B132" s="5" t="s">
        <v>46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466</v>
      </c>
      <c r="K132" s="26">
        <v>19218.919999999998</v>
      </c>
    </row>
    <row r="133" spans="1:11" x14ac:dyDescent="0.25">
      <c r="A133" s="84">
        <v>46073</v>
      </c>
      <c r="B133" s="5" t="s">
        <v>307</v>
      </c>
      <c r="C133" s="5" t="s">
        <v>12</v>
      </c>
      <c r="D133" s="5" t="s">
        <v>59</v>
      </c>
      <c r="E133" s="5" t="s">
        <v>17</v>
      </c>
      <c r="F133" s="5"/>
      <c r="G133" s="26">
        <v>742.53</v>
      </c>
      <c r="H133" s="26"/>
      <c r="I133" s="5"/>
      <c r="J133" s="5" t="s">
        <v>466</v>
      </c>
      <c r="K133" s="26">
        <v>18476.39</v>
      </c>
    </row>
    <row r="134" spans="1:11" x14ac:dyDescent="0.25">
      <c r="A134" s="84">
        <v>46073</v>
      </c>
      <c r="B134" s="5" t="s">
        <v>445</v>
      </c>
      <c r="C134" s="5" t="s">
        <v>12</v>
      </c>
      <c r="D134" s="5" t="s">
        <v>59</v>
      </c>
      <c r="E134" s="5" t="s">
        <v>17</v>
      </c>
      <c r="F134" s="5"/>
      <c r="G134" s="26">
        <v>2957.56</v>
      </c>
      <c r="H134" s="26"/>
      <c r="I134" s="5"/>
      <c r="J134" s="5" t="s">
        <v>466</v>
      </c>
      <c r="K134" s="26">
        <v>15518.83</v>
      </c>
    </row>
    <row r="135" spans="1:11" x14ac:dyDescent="0.25">
      <c r="A135" s="84">
        <v>46073</v>
      </c>
      <c r="B135" s="5" t="s">
        <v>549</v>
      </c>
      <c r="C135" s="5" t="s">
        <v>12</v>
      </c>
      <c r="D135" s="5" t="s">
        <v>59</v>
      </c>
      <c r="E135" s="5" t="s">
        <v>17</v>
      </c>
      <c r="F135" s="5"/>
      <c r="G135" s="26">
        <v>705.55</v>
      </c>
      <c r="H135" s="26"/>
      <c r="I135" s="5"/>
      <c r="J135" s="5" t="s">
        <v>466</v>
      </c>
      <c r="K135" s="26">
        <v>14813.28</v>
      </c>
    </row>
    <row r="136" spans="1:11" x14ac:dyDescent="0.25">
      <c r="A136" s="84">
        <v>46073</v>
      </c>
      <c r="B136" s="5" t="s">
        <v>550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466</v>
      </c>
      <c r="K136" s="26">
        <v>14753.28</v>
      </c>
    </row>
    <row r="137" spans="1:11" x14ac:dyDescent="0.25">
      <c r="A137" s="84">
        <v>46073</v>
      </c>
      <c r="B137" s="5" t="s">
        <v>551</v>
      </c>
      <c r="C137" s="5" t="s">
        <v>12</v>
      </c>
      <c r="D137" s="5" t="s">
        <v>63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466</v>
      </c>
      <c r="K137" s="26">
        <v>14693.28</v>
      </c>
    </row>
    <row r="138" spans="1:11" x14ac:dyDescent="0.25">
      <c r="A138" s="84">
        <v>46074</v>
      </c>
      <c r="B138" s="5" t="s">
        <v>31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466</v>
      </c>
      <c r="K138" s="26">
        <v>20719.28</v>
      </c>
    </row>
    <row r="139" spans="1:11" x14ac:dyDescent="0.25">
      <c r="A139" s="84">
        <v>46074</v>
      </c>
      <c r="B139" s="5" t="s">
        <v>45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466</v>
      </c>
      <c r="K139" s="26">
        <v>20925.07</v>
      </c>
    </row>
    <row r="140" spans="1:11" x14ac:dyDescent="0.25">
      <c r="A140" s="84">
        <v>46074</v>
      </c>
      <c r="B140" s="5" t="s">
        <v>46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466</v>
      </c>
      <c r="K140" s="26">
        <v>20880.07</v>
      </c>
    </row>
    <row r="141" spans="1:11" x14ac:dyDescent="0.25">
      <c r="A141" s="84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466</v>
      </c>
      <c r="K141" s="26">
        <v>26073.07</v>
      </c>
    </row>
    <row r="142" spans="1:11" x14ac:dyDescent="0.25">
      <c r="A142" s="84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466</v>
      </c>
      <c r="K142" s="26">
        <v>26525.09</v>
      </c>
    </row>
    <row r="143" spans="1:11" x14ac:dyDescent="0.25">
      <c r="A143" s="84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466</v>
      </c>
      <c r="K143" s="26">
        <v>26430.09</v>
      </c>
    </row>
    <row r="144" spans="1:11" x14ac:dyDescent="0.25">
      <c r="A144" s="84">
        <v>46076</v>
      </c>
      <c r="B144" s="5" t="s">
        <v>368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466</v>
      </c>
      <c r="K144" s="26">
        <v>26226.59</v>
      </c>
    </row>
    <row r="145" spans="1:11" x14ac:dyDescent="0.25">
      <c r="A145" s="84">
        <v>46076</v>
      </c>
      <c r="B145" s="5" t="s">
        <v>552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466</v>
      </c>
      <c r="K145" s="26">
        <v>25776.59</v>
      </c>
    </row>
    <row r="146" spans="1:11" x14ac:dyDescent="0.25">
      <c r="A146" s="84">
        <v>46076</v>
      </c>
      <c r="B146" s="5" t="s">
        <v>553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466</v>
      </c>
      <c r="K146" s="26">
        <v>25456.59</v>
      </c>
    </row>
    <row r="147" spans="1:11" x14ac:dyDescent="0.25">
      <c r="A147" s="84">
        <v>46076</v>
      </c>
      <c r="B147" s="5" t="s">
        <v>350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466</v>
      </c>
      <c r="K147" s="26">
        <v>22781.14</v>
      </c>
    </row>
    <row r="148" spans="1:11" x14ac:dyDescent="0.25">
      <c r="A148" s="84">
        <v>46076</v>
      </c>
      <c r="B148" s="5" t="s">
        <v>554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466</v>
      </c>
      <c r="K148" s="26">
        <v>21044.31</v>
      </c>
    </row>
    <row r="149" spans="1:11" x14ac:dyDescent="0.25">
      <c r="A149" s="84">
        <v>46076</v>
      </c>
      <c r="B149" s="5" t="s">
        <v>31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466</v>
      </c>
      <c r="K149" s="26">
        <v>22574.31</v>
      </c>
    </row>
    <row r="150" spans="1:11" x14ac:dyDescent="0.25">
      <c r="A150" s="84">
        <v>46076</v>
      </c>
      <c r="B150" s="5" t="s">
        <v>45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466</v>
      </c>
      <c r="K150" s="26">
        <v>22738.61</v>
      </c>
    </row>
    <row r="151" spans="1:11" x14ac:dyDescent="0.25">
      <c r="A151" s="84">
        <v>46076</v>
      </c>
      <c r="B151" s="5" t="s">
        <v>46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466</v>
      </c>
      <c r="K151" s="26">
        <v>22721.61</v>
      </c>
    </row>
    <row r="152" spans="1:11" x14ac:dyDescent="0.25">
      <c r="A152" s="84">
        <v>46077</v>
      </c>
      <c r="B152" s="5" t="s">
        <v>555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466</v>
      </c>
      <c r="K152" s="26">
        <v>20926.27</v>
      </c>
    </row>
    <row r="153" spans="1:11" x14ac:dyDescent="0.25">
      <c r="A153" s="84">
        <v>46077</v>
      </c>
      <c r="B153" s="5" t="s">
        <v>354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466</v>
      </c>
      <c r="K153" s="26">
        <v>20107.150000000001</v>
      </c>
    </row>
    <row r="154" spans="1:11" x14ac:dyDescent="0.25">
      <c r="A154" s="84">
        <v>46077</v>
      </c>
      <c r="B154" s="5" t="s">
        <v>556</v>
      </c>
      <c r="C154" s="5" t="s">
        <v>12</v>
      </c>
      <c r="D154" s="5" t="s">
        <v>63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466</v>
      </c>
      <c r="K154" s="26">
        <v>20012.150000000001</v>
      </c>
    </row>
    <row r="155" spans="1:11" x14ac:dyDescent="0.25">
      <c r="A155" s="64">
        <v>46077</v>
      </c>
      <c r="B155" s="5" t="s">
        <v>31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466</v>
      </c>
      <c r="K155" s="26">
        <v>20998.15</v>
      </c>
    </row>
    <row r="156" spans="1:11" x14ac:dyDescent="0.25">
      <c r="A156" s="84">
        <v>46077</v>
      </c>
      <c r="B156" s="5" t="s">
        <v>479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5">
      <c r="A157" s="84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466</v>
      </c>
      <c r="K157" s="26">
        <v>20998.15</v>
      </c>
    </row>
    <row r="158" spans="1:11" x14ac:dyDescent="0.25">
      <c r="A158" s="84">
        <v>46077</v>
      </c>
      <c r="B158" s="5" t="s">
        <v>492</v>
      </c>
      <c r="C158" s="5" t="s">
        <v>12</v>
      </c>
      <c r="D158" s="5" t="s">
        <v>40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466</v>
      </c>
      <c r="K158" s="26">
        <v>20848.150000000001</v>
      </c>
    </row>
    <row r="159" spans="1:11" x14ac:dyDescent="0.25">
      <c r="A159" s="84">
        <v>46077</v>
      </c>
      <c r="B159" s="5" t="s">
        <v>557</v>
      </c>
      <c r="C159" s="5" t="s">
        <v>12</v>
      </c>
      <c r="D159" s="5" t="s">
        <v>69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466</v>
      </c>
      <c r="K159" s="26">
        <v>20788.150000000001</v>
      </c>
    </row>
    <row r="160" spans="1:11" x14ac:dyDescent="0.25">
      <c r="A160" s="84">
        <v>46077</v>
      </c>
      <c r="B160" s="5" t="s">
        <v>558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466</v>
      </c>
      <c r="K160" s="26">
        <v>20201</v>
      </c>
    </row>
    <row r="161" spans="1:11" x14ac:dyDescent="0.25">
      <c r="A161" s="84">
        <v>46077</v>
      </c>
      <c r="B161" s="5" t="s">
        <v>559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466</v>
      </c>
      <c r="K161" s="26">
        <v>20021</v>
      </c>
    </row>
    <row r="162" spans="1:11" x14ac:dyDescent="0.25">
      <c r="A162" s="84">
        <v>46078</v>
      </c>
      <c r="B162" s="5" t="s">
        <v>352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466</v>
      </c>
      <c r="K162" s="26">
        <v>19787.060000000001</v>
      </c>
    </row>
    <row r="163" spans="1:11" x14ac:dyDescent="0.25">
      <c r="A163" s="84">
        <v>46078</v>
      </c>
      <c r="B163" s="5" t="s">
        <v>355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466</v>
      </c>
      <c r="K163" s="26">
        <v>18904.400000000001</v>
      </c>
    </row>
    <row r="164" spans="1:11" x14ac:dyDescent="0.25">
      <c r="A164" s="84">
        <v>46078</v>
      </c>
      <c r="B164" s="5" t="s">
        <v>560</v>
      </c>
      <c r="C164" s="5" t="s">
        <v>12</v>
      </c>
      <c r="D164" s="5" t="s">
        <v>329</v>
      </c>
      <c r="E164" s="5" t="s">
        <v>17</v>
      </c>
      <c r="F164" s="5"/>
      <c r="G164" s="26">
        <v>1968.98</v>
      </c>
      <c r="H164" s="26"/>
      <c r="I164" s="5"/>
      <c r="J164" s="5" t="s">
        <v>466</v>
      </c>
      <c r="K164" s="26">
        <v>16935.419999999998</v>
      </c>
    </row>
    <row r="165" spans="1:11" x14ac:dyDescent="0.25">
      <c r="A165" s="84">
        <v>46078</v>
      </c>
      <c r="B165" s="5" t="s">
        <v>306</v>
      </c>
      <c r="C165" s="5" t="s">
        <v>12</v>
      </c>
      <c r="D165" s="5" t="s">
        <v>69</v>
      </c>
      <c r="E165" s="5" t="s">
        <v>17</v>
      </c>
      <c r="F165" s="5"/>
      <c r="G165" s="26"/>
      <c r="H165" s="26"/>
      <c r="I165" s="5"/>
      <c r="J165" s="5" t="s">
        <v>466</v>
      </c>
      <c r="K165" s="26">
        <v>16935.419999999998</v>
      </c>
    </row>
    <row r="166" spans="1:11" x14ac:dyDescent="0.25">
      <c r="A166" s="84">
        <v>46078</v>
      </c>
      <c r="B166" s="5" t="s">
        <v>31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466</v>
      </c>
      <c r="K166" s="26">
        <v>18931.419999999998</v>
      </c>
    </row>
    <row r="167" spans="1:11" x14ac:dyDescent="0.25">
      <c r="A167" s="84">
        <v>46078</v>
      </c>
      <c r="B167" s="5" t="s">
        <v>45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466</v>
      </c>
      <c r="K167" s="26">
        <v>19017.419999999998</v>
      </c>
    </row>
    <row r="168" spans="1:11" x14ac:dyDescent="0.25">
      <c r="A168" s="84">
        <v>46078</v>
      </c>
      <c r="B168" s="5" t="s">
        <v>46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466</v>
      </c>
      <c r="K168" s="26">
        <v>18999.419999999998</v>
      </c>
    </row>
    <row r="169" spans="1:11" x14ac:dyDescent="0.25">
      <c r="A169" s="84">
        <v>46078</v>
      </c>
      <c r="B169" s="5" t="s">
        <v>403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466</v>
      </c>
      <c r="K169" s="26">
        <v>18249.419999999998</v>
      </c>
    </row>
    <row r="170" spans="1:11" x14ac:dyDescent="0.25">
      <c r="A170" s="84">
        <v>46078</v>
      </c>
      <c r="B170" s="5" t="s">
        <v>530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466</v>
      </c>
      <c r="K170" s="26">
        <v>18195.419999999998</v>
      </c>
    </row>
    <row r="171" spans="1:11" x14ac:dyDescent="0.25">
      <c r="A171" s="84">
        <v>46078</v>
      </c>
      <c r="B171" s="5" t="s">
        <v>561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466</v>
      </c>
      <c r="K171" s="26">
        <v>17977.419999999998</v>
      </c>
    </row>
    <row r="172" spans="1:11" x14ac:dyDescent="0.25">
      <c r="A172" s="84">
        <v>46079</v>
      </c>
      <c r="B172" s="5" t="s">
        <v>371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466</v>
      </c>
      <c r="K172" s="26">
        <v>16105.04</v>
      </c>
    </row>
    <row r="173" spans="1:11" x14ac:dyDescent="0.25">
      <c r="A173" s="84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466</v>
      </c>
      <c r="K173" s="26">
        <v>15964.04</v>
      </c>
    </row>
    <row r="174" spans="1:11" x14ac:dyDescent="0.25">
      <c r="A174" s="84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466</v>
      </c>
      <c r="K174" s="26">
        <v>16911.04</v>
      </c>
    </row>
    <row r="175" spans="1:11" x14ac:dyDescent="0.25">
      <c r="A175" s="84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466</v>
      </c>
      <c r="K175" s="26">
        <v>16911.04</v>
      </c>
    </row>
    <row r="176" spans="1:11" x14ac:dyDescent="0.25">
      <c r="A176" s="84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466</v>
      </c>
      <c r="K176" s="26">
        <v>16902.04</v>
      </c>
    </row>
    <row r="177" spans="1:11" x14ac:dyDescent="0.25">
      <c r="A177" s="84">
        <v>46079</v>
      </c>
      <c r="B177" s="5" t="s">
        <v>562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466</v>
      </c>
      <c r="K177" s="26">
        <v>16202.04</v>
      </c>
    </row>
    <row r="178" spans="1:11" x14ac:dyDescent="0.25">
      <c r="A178" s="84">
        <v>46079</v>
      </c>
      <c r="B178" s="5" t="s">
        <v>563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466</v>
      </c>
      <c r="K178" s="26">
        <v>16022.04</v>
      </c>
    </row>
    <row r="179" spans="1:11" x14ac:dyDescent="0.25">
      <c r="A179" s="84">
        <v>46079</v>
      </c>
      <c r="B179" s="5" t="s">
        <v>564</v>
      </c>
      <c r="C179" s="5" t="s">
        <v>12</v>
      </c>
      <c r="D179" s="5" t="s">
        <v>69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466</v>
      </c>
      <c r="K179" s="26">
        <v>15469.54</v>
      </c>
    </row>
    <row r="180" spans="1:11" x14ac:dyDescent="0.25">
      <c r="A180" s="84">
        <v>46079</v>
      </c>
      <c r="B180" s="5" t="s">
        <v>565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466</v>
      </c>
      <c r="K180" s="26">
        <v>15449.54</v>
      </c>
    </row>
    <row r="181" spans="1:11" x14ac:dyDescent="0.25">
      <c r="A181" s="84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466</v>
      </c>
      <c r="K181" s="26">
        <v>18092.54</v>
      </c>
    </row>
    <row r="182" spans="1:11" x14ac:dyDescent="0.25">
      <c r="A182" s="84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466</v>
      </c>
      <c r="K182" s="26">
        <v>18170.54</v>
      </c>
    </row>
    <row r="183" spans="1:11" x14ac:dyDescent="0.25">
      <c r="A183" s="84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466</v>
      </c>
      <c r="K183" s="26">
        <v>18144.54</v>
      </c>
    </row>
    <row r="184" spans="1:11" x14ac:dyDescent="0.25">
      <c r="A184" s="84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466</v>
      </c>
      <c r="K184" s="26">
        <v>17862.54</v>
      </c>
    </row>
    <row r="185" spans="1:11" x14ac:dyDescent="0.25">
      <c r="A185" s="84">
        <v>46080</v>
      </c>
      <c r="B185" s="5" t="s">
        <v>445</v>
      </c>
      <c r="C185" s="5" t="s">
        <v>12</v>
      </c>
      <c r="D185" s="5" t="s">
        <v>59</v>
      </c>
      <c r="E185" s="5" t="s">
        <v>17</v>
      </c>
      <c r="F185" s="5"/>
      <c r="G185" s="26">
        <v>652.84</v>
      </c>
      <c r="H185" s="26"/>
      <c r="I185" s="5"/>
      <c r="J185" s="5" t="s">
        <v>466</v>
      </c>
      <c r="K185" s="26">
        <v>17209.7</v>
      </c>
    </row>
    <row r="186" spans="1:11" x14ac:dyDescent="0.25">
      <c r="A186" s="84">
        <v>46080</v>
      </c>
      <c r="B186" s="5" t="s">
        <v>420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466</v>
      </c>
      <c r="K186" s="26">
        <v>16595.55</v>
      </c>
    </row>
    <row r="187" spans="1:11" x14ac:dyDescent="0.25">
      <c r="A187" s="84">
        <v>46080</v>
      </c>
      <c r="B187" s="5" t="s">
        <v>566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466</v>
      </c>
      <c r="K187" s="26">
        <v>14595.55</v>
      </c>
    </row>
    <row r="188" spans="1:11" x14ac:dyDescent="0.25">
      <c r="A188" s="84">
        <v>46080</v>
      </c>
      <c r="B188" s="5" t="s">
        <v>521</v>
      </c>
      <c r="C188" s="5" t="s">
        <v>12</v>
      </c>
      <c r="D188" s="5" t="s">
        <v>40</v>
      </c>
      <c r="E188" s="5" t="s">
        <v>17</v>
      </c>
      <c r="F188" s="5"/>
      <c r="G188" s="26">
        <v>370</v>
      </c>
      <c r="H188" s="26"/>
      <c r="I188" s="5"/>
      <c r="J188" s="5" t="s">
        <v>466</v>
      </c>
      <c r="K188" s="26">
        <v>14225.55</v>
      </c>
    </row>
    <row r="189" spans="1:11" x14ac:dyDescent="0.25">
      <c r="A189" s="84">
        <v>46080</v>
      </c>
      <c r="B189" s="5" t="s">
        <v>306</v>
      </c>
      <c r="C189" s="5" t="s">
        <v>12</v>
      </c>
      <c r="D189" s="5" t="s">
        <v>69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466</v>
      </c>
      <c r="K189" s="26">
        <v>13625.55</v>
      </c>
    </row>
    <row r="190" spans="1:11" x14ac:dyDescent="0.25">
      <c r="A190" s="84">
        <v>44984</v>
      </c>
      <c r="B190" s="5" t="s">
        <v>406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567</v>
      </c>
      <c r="K190" s="26">
        <v>440.54999999999558</v>
      </c>
    </row>
    <row r="191" spans="1:11" x14ac:dyDescent="0.25">
      <c r="A191" s="84">
        <v>46081</v>
      </c>
      <c r="B191" s="5" t="s">
        <v>31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466</v>
      </c>
      <c r="K191" s="26">
        <v>6904.5499999999956</v>
      </c>
    </row>
    <row r="192" spans="1:11" x14ac:dyDescent="0.25">
      <c r="A192" s="84">
        <v>46081</v>
      </c>
      <c r="B192" s="5" t="s">
        <v>45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466</v>
      </c>
      <c r="K192" s="26">
        <v>7094.4499999999953</v>
      </c>
    </row>
    <row r="193" spans="1:11" x14ac:dyDescent="0.25">
      <c r="A193" s="84">
        <v>46081</v>
      </c>
      <c r="B193" s="5" t="s">
        <v>46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466</v>
      </c>
      <c r="K193" s="26">
        <v>7067.4499999999953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7</v>
      </c>
      <c r="H1" s="85"/>
      <c r="I1" s="85" t="s">
        <v>8</v>
      </c>
      <c r="J1" s="85" t="s">
        <v>9</v>
      </c>
      <c r="K1" s="85" t="s">
        <v>10</v>
      </c>
    </row>
    <row r="2" spans="1:11" x14ac:dyDescent="0.25">
      <c r="A2" s="86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7">
        <v>6466</v>
      </c>
      <c r="H2" s="87"/>
      <c r="I2" s="15"/>
      <c r="J2" s="15" t="s">
        <v>568</v>
      </c>
      <c r="K2" s="87">
        <v>6466</v>
      </c>
    </row>
    <row r="3" spans="1:11" hidden="1" x14ac:dyDescent="0.25">
      <c r="A3" s="86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7">
        <v>349.8</v>
      </c>
      <c r="H3" s="87"/>
      <c r="I3" s="15"/>
      <c r="J3" s="15" t="s">
        <v>568</v>
      </c>
      <c r="K3" s="87">
        <v>6815.8</v>
      </c>
    </row>
    <row r="4" spans="1:11" hidden="1" x14ac:dyDescent="0.25">
      <c r="A4" s="86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7">
        <v>70</v>
      </c>
      <c r="H4" s="87"/>
      <c r="I4" s="15"/>
      <c r="J4" s="15" t="s">
        <v>568</v>
      </c>
      <c r="K4" s="87">
        <v>6745.8</v>
      </c>
    </row>
    <row r="5" spans="1:11" hidden="1" x14ac:dyDescent="0.25">
      <c r="A5" s="86">
        <v>46083</v>
      </c>
      <c r="B5" s="15" t="s">
        <v>569</v>
      </c>
      <c r="C5" s="15" t="s">
        <v>12</v>
      </c>
      <c r="D5" s="15" t="s">
        <v>27</v>
      </c>
      <c r="E5" s="15" t="s">
        <v>17</v>
      </c>
      <c r="F5" s="15" t="s">
        <v>25</v>
      </c>
      <c r="G5" s="87">
        <v>1100</v>
      </c>
      <c r="H5" s="87"/>
      <c r="I5" s="15"/>
      <c r="J5" s="15" t="s">
        <v>568</v>
      </c>
      <c r="K5" s="87">
        <v>5645.8</v>
      </c>
    </row>
    <row r="6" spans="1:11" hidden="1" x14ac:dyDescent="0.25">
      <c r="A6" s="86">
        <v>46083</v>
      </c>
      <c r="B6" s="15" t="s">
        <v>570</v>
      </c>
      <c r="C6" s="15" t="s">
        <v>12</v>
      </c>
      <c r="D6" s="15" t="s">
        <v>19</v>
      </c>
      <c r="E6" s="15" t="s">
        <v>17</v>
      </c>
      <c r="F6" s="15"/>
      <c r="G6" s="87">
        <v>822.66</v>
      </c>
      <c r="H6" s="87"/>
      <c r="I6" s="15"/>
      <c r="J6" s="15" t="s">
        <v>568</v>
      </c>
      <c r="K6" s="87">
        <v>4823.1400000000003</v>
      </c>
    </row>
    <row r="7" spans="1:11" x14ac:dyDescent="0.25">
      <c r="A7" s="86">
        <v>46083</v>
      </c>
      <c r="B7" s="15" t="s">
        <v>31</v>
      </c>
      <c r="C7" s="15" t="s">
        <v>20</v>
      </c>
      <c r="D7" s="15" t="s">
        <v>13</v>
      </c>
      <c r="E7" s="15"/>
      <c r="F7" s="15"/>
      <c r="G7" s="87">
        <v>961</v>
      </c>
      <c r="H7" s="87"/>
      <c r="I7" s="15"/>
      <c r="J7" s="15" t="s">
        <v>568</v>
      </c>
      <c r="K7" s="87">
        <v>5784.14</v>
      </c>
    </row>
    <row r="8" spans="1:11" hidden="1" x14ac:dyDescent="0.25">
      <c r="A8" s="86">
        <v>46083</v>
      </c>
      <c r="B8" s="15" t="s">
        <v>45</v>
      </c>
      <c r="C8" s="15" t="s">
        <v>20</v>
      </c>
      <c r="D8" s="15" t="s">
        <v>22</v>
      </c>
      <c r="E8" s="15" t="s">
        <v>17</v>
      </c>
      <c r="F8" s="15"/>
      <c r="G8" s="87">
        <v>84.7</v>
      </c>
      <c r="H8" s="87"/>
      <c r="I8" s="15"/>
      <c r="J8" s="15" t="s">
        <v>568</v>
      </c>
      <c r="K8" s="87">
        <v>5868.84</v>
      </c>
    </row>
    <row r="9" spans="1:11" hidden="1" x14ac:dyDescent="0.25">
      <c r="A9" s="86">
        <v>46083</v>
      </c>
      <c r="B9" s="15" t="s">
        <v>46</v>
      </c>
      <c r="C9" s="15" t="s">
        <v>12</v>
      </c>
      <c r="D9" s="15" t="s">
        <v>24</v>
      </c>
      <c r="E9" s="15" t="s">
        <v>17</v>
      </c>
      <c r="F9" s="15" t="s">
        <v>25</v>
      </c>
      <c r="G9" s="87">
        <v>18</v>
      </c>
      <c r="H9" s="87"/>
      <c r="I9" s="15"/>
      <c r="J9" s="15" t="s">
        <v>568</v>
      </c>
      <c r="K9" s="87">
        <v>5850.84</v>
      </c>
    </row>
    <row r="10" spans="1:11" x14ac:dyDescent="0.25">
      <c r="A10" s="86">
        <v>46084</v>
      </c>
      <c r="B10" s="15" t="s">
        <v>31</v>
      </c>
      <c r="C10" s="15" t="s">
        <v>20</v>
      </c>
      <c r="D10" s="15" t="s">
        <v>13</v>
      </c>
      <c r="E10" s="15"/>
      <c r="F10" s="15"/>
      <c r="G10" s="87">
        <v>1606</v>
      </c>
      <c r="H10" s="87"/>
      <c r="I10" s="15"/>
      <c r="J10" s="15" t="s">
        <v>568</v>
      </c>
      <c r="K10" s="87">
        <v>7456.84</v>
      </c>
    </row>
    <row r="11" spans="1:11" hidden="1" x14ac:dyDescent="0.25">
      <c r="A11" s="86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7">
        <v>187.8</v>
      </c>
      <c r="H11" s="87"/>
      <c r="I11" s="15"/>
      <c r="J11" s="15" t="s">
        <v>568</v>
      </c>
      <c r="K11" s="87">
        <v>7644.64</v>
      </c>
    </row>
    <row r="12" spans="1:11" hidden="1" x14ac:dyDescent="0.25">
      <c r="A12" s="86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7">
        <v>19</v>
      </c>
      <c r="H12" s="87"/>
      <c r="I12" s="15"/>
      <c r="J12" s="15" t="s">
        <v>568</v>
      </c>
      <c r="K12" s="87">
        <v>7625.64</v>
      </c>
    </row>
    <row r="13" spans="1:11" hidden="1" x14ac:dyDescent="0.25">
      <c r="A13" s="86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7">
        <v>0</v>
      </c>
      <c r="H13" s="87"/>
      <c r="I13" s="15"/>
      <c r="J13" s="15" t="s">
        <v>568</v>
      </c>
      <c r="K13" s="87">
        <v>7625.64</v>
      </c>
    </row>
    <row r="14" spans="1:11" hidden="1" x14ac:dyDescent="0.25">
      <c r="A14" s="86">
        <v>46084</v>
      </c>
      <c r="B14" s="15" t="s">
        <v>571</v>
      </c>
      <c r="C14" s="15" t="s">
        <v>12</v>
      </c>
      <c r="D14" s="15" t="s">
        <v>40</v>
      </c>
      <c r="E14" s="15" t="s">
        <v>14</v>
      </c>
      <c r="F14" s="15" t="s">
        <v>15</v>
      </c>
      <c r="G14" s="87">
        <v>3435.1</v>
      </c>
      <c r="H14" s="87"/>
      <c r="I14" s="15"/>
      <c r="J14" s="15" t="s">
        <v>568</v>
      </c>
      <c r="K14" s="87">
        <v>4190.5400000000009</v>
      </c>
    </row>
    <row r="15" spans="1:11" hidden="1" x14ac:dyDescent="0.25">
      <c r="A15" s="86">
        <v>46084</v>
      </c>
      <c r="B15" s="15" t="s">
        <v>396</v>
      </c>
      <c r="C15" s="15" t="s">
        <v>12</v>
      </c>
      <c r="D15" s="15" t="s">
        <v>19</v>
      </c>
      <c r="E15" s="15" t="s">
        <v>17</v>
      </c>
      <c r="F15" s="15"/>
      <c r="G15" s="87">
        <v>4143.2</v>
      </c>
      <c r="H15" s="87"/>
      <c r="I15" s="15"/>
      <c r="J15" s="15" t="s">
        <v>568</v>
      </c>
      <c r="K15" s="87">
        <v>47.340000000001062</v>
      </c>
    </row>
    <row r="16" spans="1:11" hidden="1" x14ac:dyDescent="0.25">
      <c r="A16" s="86">
        <v>46084</v>
      </c>
      <c r="B16" s="15" t="s">
        <v>572</v>
      </c>
      <c r="C16" s="15" t="s">
        <v>12</v>
      </c>
      <c r="D16" s="15" t="s">
        <v>69</v>
      </c>
      <c r="E16" s="15" t="s">
        <v>14</v>
      </c>
      <c r="F16" s="15" t="s">
        <v>15</v>
      </c>
      <c r="G16" s="87">
        <v>15</v>
      </c>
      <c r="H16" s="87"/>
      <c r="I16" s="15"/>
      <c r="J16" s="15" t="s">
        <v>568</v>
      </c>
      <c r="K16" s="87">
        <v>32.340000000001062</v>
      </c>
    </row>
    <row r="17" spans="1:11" x14ac:dyDescent="0.25">
      <c r="A17" s="86">
        <v>46085</v>
      </c>
      <c r="B17" s="15" t="s">
        <v>31</v>
      </c>
      <c r="C17" s="15" t="s">
        <v>20</v>
      </c>
      <c r="D17" s="15" t="s">
        <v>13</v>
      </c>
      <c r="E17" s="15"/>
      <c r="F17" s="15"/>
      <c r="G17" s="87">
        <v>2354</v>
      </c>
      <c r="H17" s="87"/>
      <c r="I17" s="15"/>
      <c r="J17" s="15" t="s">
        <v>568</v>
      </c>
      <c r="K17" s="87">
        <v>2386.3400000000011</v>
      </c>
    </row>
    <row r="18" spans="1:11" hidden="1" x14ac:dyDescent="0.25">
      <c r="A18" s="86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7">
        <v>68.099999999999994</v>
      </c>
      <c r="H18" s="87"/>
      <c r="I18" s="15"/>
      <c r="J18" s="15" t="s">
        <v>568</v>
      </c>
      <c r="K18" s="87">
        <v>2454.440000000001</v>
      </c>
    </row>
    <row r="19" spans="1:11" hidden="1" x14ac:dyDescent="0.25">
      <c r="A19" s="86">
        <v>46085</v>
      </c>
      <c r="B19" s="15" t="s">
        <v>46</v>
      </c>
      <c r="C19" s="15" t="s">
        <v>12</v>
      </c>
      <c r="D19" s="15" t="s">
        <v>24</v>
      </c>
      <c r="E19" s="15" t="s">
        <v>17</v>
      </c>
      <c r="F19" s="15" t="s">
        <v>25</v>
      </c>
      <c r="G19" s="87">
        <v>18</v>
      </c>
      <c r="H19" s="87"/>
      <c r="I19" s="15"/>
      <c r="J19" s="15" t="s">
        <v>568</v>
      </c>
      <c r="K19" s="87">
        <v>2436.440000000001</v>
      </c>
    </row>
    <row r="20" spans="1:11" hidden="1" x14ac:dyDescent="0.25">
      <c r="A20" s="86">
        <v>46085</v>
      </c>
      <c r="B20" s="15" t="s">
        <v>403</v>
      </c>
      <c r="C20" s="15" t="s">
        <v>12</v>
      </c>
      <c r="D20" s="15" t="s">
        <v>19</v>
      </c>
      <c r="E20" s="15" t="s">
        <v>14</v>
      </c>
      <c r="F20" s="15" t="s">
        <v>15</v>
      </c>
      <c r="G20" s="87">
        <v>235</v>
      </c>
      <c r="H20" s="87"/>
      <c r="I20" s="15"/>
      <c r="J20" s="15" t="s">
        <v>568</v>
      </c>
      <c r="K20" s="87">
        <v>2201.440000000001</v>
      </c>
    </row>
    <row r="21" spans="1:11" hidden="1" x14ac:dyDescent="0.25">
      <c r="A21" s="86">
        <v>46085</v>
      </c>
      <c r="B21" s="15" t="s">
        <v>573</v>
      </c>
      <c r="C21" s="15" t="s">
        <v>12</v>
      </c>
      <c r="D21" s="15" t="s">
        <v>40</v>
      </c>
      <c r="E21" s="15" t="s">
        <v>17</v>
      </c>
      <c r="F21" s="15" t="s">
        <v>25</v>
      </c>
      <c r="G21" s="87">
        <v>200</v>
      </c>
      <c r="H21" s="87"/>
      <c r="I21" s="15"/>
      <c r="J21" s="15" t="s">
        <v>568</v>
      </c>
      <c r="K21" s="87">
        <v>2001.440000000001</v>
      </c>
    </row>
    <row r="22" spans="1:11" hidden="1" x14ac:dyDescent="0.25">
      <c r="A22" s="86">
        <v>46086</v>
      </c>
      <c r="B22" s="15" t="s">
        <v>39</v>
      </c>
      <c r="C22" s="15" t="s">
        <v>12</v>
      </c>
      <c r="D22" s="15" t="s">
        <v>40</v>
      </c>
      <c r="E22" s="15" t="s">
        <v>17</v>
      </c>
      <c r="F22" s="15"/>
      <c r="G22" s="87">
        <v>8918.64</v>
      </c>
      <c r="H22" s="87"/>
      <c r="I22" s="15"/>
      <c r="J22" s="15" t="s">
        <v>568</v>
      </c>
      <c r="K22" s="87">
        <v>-6917.1999999999989</v>
      </c>
    </row>
    <row r="23" spans="1:11" hidden="1" x14ac:dyDescent="0.25">
      <c r="A23" s="86">
        <v>46086</v>
      </c>
      <c r="B23" s="15" t="s">
        <v>41</v>
      </c>
      <c r="C23" s="15" t="s">
        <v>12</v>
      </c>
      <c r="D23" s="15" t="s">
        <v>40</v>
      </c>
      <c r="E23" s="15" t="s">
        <v>17</v>
      </c>
      <c r="F23" s="15" t="s">
        <v>25</v>
      </c>
      <c r="G23" s="87">
        <v>94.9</v>
      </c>
      <c r="H23" s="87"/>
      <c r="I23" s="15"/>
      <c r="J23" s="15" t="s">
        <v>568</v>
      </c>
      <c r="K23" s="87">
        <v>-7012.0999999999995</v>
      </c>
    </row>
    <row r="24" spans="1:11" hidden="1" x14ac:dyDescent="0.25">
      <c r="A24" s="86">
        <v>46086</v>
      </c>
      <c r="B24" s="15" t="s">
        <v>42</v>
      </c>
      <c r="C24" s="15" t="s">
        <v>12</v>
      </c>
      <c r="D24" s="15" t="s">
        <v>40</v>
      </c>
      <c r="E24" s="15" t="s">
        <v>17</v>
      </c>
      <c r="F24" s="15"/>
      <c r="G24" s="87">
        <v>100</v>
      </c>
      <c r="H24" s="87"/>
      <c r="I24" s="15"/>
      <c r="J24" s="15" t="s">
        <v>568</v>
      </c>
      <c r="K24" s="87">
        <v>-7112.0999999999995</v>
      </c>
    </row>
    <row r="25" spans="1:11" hidden="1" x14ac:dyDescent="0.25">
      <c r="A25" s="86">
        <v>46086</v>
      </c>
      <c r="B25" s="15" t="s">
        <v>574</v>
      </c>
      <c r="C25" s="15" t="s">
        <v>12</v>
      </c>
      <c r="D25" s="15" t="s">
        <v>329</v>
      </c>
      <c r="E25" s="15" t="s">
        <v>17</v>
      </c>
      <c r="F25" s="15"/>
      <c r="G25" s="87">
        <v>566.91</v>
      </c>
      <c r="H25" s="87"/>
      <c r="I25" s="15"/>
      <c r="J25" s="15" t="s">
        <v>568</v>
      </c>
      <c r="K25" s="87">
        <v>-7679.0099999999984</v>
      </c>
    </row>
    <row r="26" spans="1:11" hidden="1" x14ac:dyDescent="0.25">
      <c r="A26" s="86">
        <v>46086</v>
      </c>
      <c r="B26" s="15" t="s">
        <v>339</v>
      </c>
      <c r="C26" s="15" t="s">
        <v>12</v>
      </c>
      <c r="D26" s="15" t="s">
        <v>27</v>
      </c>
      <c r="E26" s="15" t="s">
        <v>17</v>
      </c>
      <c r="F26" s="15" t="s">
        <v>25</v>
      </c>
      <c r="G26" s="87">
        <v>7720.45</v>
      </c>
      <c r="H26" s="87"/>
      <c r="I26" s="15"/>
      <c r="J26" s="15" t="s">
        <v>568</v>
      </c>
      <c r="K26" s="87">
        <v>-15399.46</v>
      </c>
    </row>
    <row r="27" spans="1:11" x14ac:dyDescent="0.25">
      <c r="A27" s="86">
        <v>46086</v>
      </c>
      <c r="B27" s="15" t="s">
        <v>31</v>
      </c>
      <c r="C27" s="15" t="s">
        <v>20</v>
      </c>
      <c r="D27" s="15" t="s">
        <v>13</v>
      </c>
      <c r="E27" s="15"/>
      <c r="F27" s="15"/>
      <c r="G27" s="87">
        <v>2009</v>
      </c>
      <c r="H27" s="87"/>
      <c r="I27" s="15"/>
      <c r="J27" s="15" t="s">
        <v>568</v>
      </c>
      <c r="K27" s="87">
        <v>-13390.46</v>
      </c>
    </row>
    <row r="28" spans="1:11" hidden="1" x14ac:dyDescent="0.25">
      <c r="A28" s="86">
        <v>46086</v>
      </c>
      <c r="B28" s="15" t="s">
        <v>45</v>
      </c>
      <c r="C28" s="15" t="s">
        <v>20</v>
      </c>
      <c r="D28" s="15" t="s">
        <v>22</v>
      </c>
      <c r="E28" s="15" t="s">
        <v>17</v>
      </c>
      <c r="F28" s="15"/>
      <c r="G28" s="87">
        <v>203.2</v>
      </c>
      <c r="H28" s="87"/>
      <c r="I28" s="15"/>
      <c r="J28" s="15" t="s">
        <v>568</v>
      </c>
      <c r="K28" s="87">
        <v>-13187.26</v>
      </c>
    </row>
    <row r="29" spans="1:11" hidden="1" x14ac:dyDescent="0.25">
      <c r="A29" s="86">
        <v>46086</v>
      </c>
      <c r="B29" s="15" t="s">
        <v>46</v>
      </c>
      <c r="C29" s="15" t="s">
        <v>12</v>
      </c>
      <c r="D29" s="15" t="s">
        <v>24</v>
      </c>
      <c r="E29" s="15" t="s">
        <v>17</v>
      </c>
      <c r="F29" s="15" t="s">
        <v>25</v>
      </c>
      <c r="G29" s="87">
        <v>27</v>
      </c>
      <c r="H29" s="87"/>
      <c r="I29" s="15"/>
      <c r="J29" s="15" t="s">
        <v>568</v>
      </c>
      <c r="K29" s="87">
        <v>-13214.26</v>
      </c>
    </row>
    <row r="30" spans="1:11" hidden="1" x14ac:dyDescent="0.25">
      <c r="A30" s="86">
        <v>46086</v>
      </c>
      <c r="B30" s="15" t="s">
        <v>403</v>
      </c>
      <c r="C30" s="15" t="s">
        <v>12</v>
      </c>
      <c r="D30" s="15" t="s">
        <v>19</v>
      </c>
      <c r="E30" s="15" t="s">
        <v>14</v>
      </c>
      <c r="F30" s="15" t="s">
        <v>15</v>
      </c>
      <c r="G30" s="87">
        <v>141</v>
      </c>
      <c r="H30" s="87"/>
      <c r="I30" s="15"/>
      <c r="J30" s="15" t="s">
        <v>568</v>
      </c>
      <c r="K30" s="87">
        <v>-13355.26</v>
      </c>
    </row>
    <row r="31" spans="1:11" hidden="1" x14ac:dyDescent="0.25">
      <c r="A31" s="86">
        <v>46086</v>
      </c>
      <c r="B31" s="15" t="s">
        <v>422</v>
      </c>
      <c r="C31" s="15" t="s">
        <v>12</v>
      </c>
      <c r="D31" s="15" t="s">
        <v>27</v>
      </c>
      <c r="E31" s="15" t="s">
        <v>17</v>
      </c>
      <c r="F31" s="15" t="s">
        <v>25</v>
      </c>
      <c r="G31" s="87">
        <v>5000</v>
      </c>
      <c r="H31" s="87"/>
      <c r="I31" s="15"/>
      <c r="J31" s="15" t="s">
        <v>568</v>
      </c>
      <c r="K31" s="87">
        <v>-18355.259999999998</v>
      </c>
    </row>
    <row r="32" spans="1:11" hidden="1" x14ac:dyDescent="0.25">
      <c r="A32" s="86">
        <v>46086</v>
      </c>
      <c r="B32" s="15" t="s">
        <v>575</v>
      </c>
      <c r="C32" s="15" t="s">
        <v>12</v>
      </c>
      <c r="D32" s="15" t="s">
        <v>27</v>
      </c>
      <c r="E32" s="15" t="s">
        <v>17</v>
      </c>
      <c r="F32" s="15" t="s">
        <v>25</v>
      </c>
      <c r="G32" s="87">
        <v>162</v>
      </c>
      <c r="H32" s="87"/>
      <c r="I32" s="15"/>
      <c r="J32" s="15" t="s">
        <v>568</v>
      </c>
      <c r="K32" s="87">
        <v>-18517.259999999998</v>
      </c>
    </row>
    <row r="33" spans="1:11" x14ac:dyDescent="0.25">
      <c r="A33" s="86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7">
        <v>4333</v>
      </c>
      <c r="H33" s="87"/>
      <c r="I33" s="15"/>
      <c r="J33" s="15" t="s">
        <v>568</v>
      </c>
      <c r="K33" s="87">
        <v>-14184.26</v>
      </c>
    </row>
    <row r="34" spans="1:11" hidden="1" x14ac:dyDescent="0.25">
      <c r="A34" s="86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7">
        <v>457.8</v>
      </c>
      <c r="H34" s="87"/>
      <c r="I34" s="15"/>
      <c r="J34" s="15" t="s">
        <v>568</v>
      </c>
      <c r="K34" s="87">
        <v>-13726.46</v>
      </c>
    </row>
    <row r="35" spans="1:11" hidden="1" x14ac:dyDescent="0.25">
      <c r="A35" s="86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7">
        <v>65</v>
      </c>
      <c r="H35" s="87"/>
      <c r="I35" s="15"/>
      <c r="J35" s="15" t="s">
        <v>568</v>
      </c>
      <c r="K35" s="87">
        <v>-13791.46</v>
      </c>
    </row>
    <row r="36" spans="1:11" hidden="1" x14ac:dyDescent="0.25">
      <c r="A36" s="86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7">
        <v>423</v>
      </c>
      <c r="H36" s="87"/>
      <c r="I36" s="15"/>
      <c r="J36" s="15" t="s">
        <v>568</v>
      </c>
      <c r="K36" s="87">
        <v>-14214.46</v>
      </c>
    </row>
    <row r="37" spans="1:11" x14ac:dyDescent="0.25">
      <c r="A37" s="86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7">
        <v>6927</v>
      </c>
      <c r="H37" s="87"/>
      <c r="I37" s="15"/>
      <c r="J37" s="15" t="s">
        <v>568</v>
      </c>
      <c r="K37" s="87">
        <v>-7287.4599999999991</v>
      </c>
    </row>
    <row r="38" spans="1:11" hidden="1" x14ac:dyDescent="0.25">
      <c r="A38" s="86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7">
        <v>393.5</v>
      </c>
      <c r="H38" s="87"/>
      <c r="I38" s="15"/>
      <c r="J38" s="15" t="s">
        <v>568</v>
      </c>
      <c r="K38" s="87">
        <v>-6893.9599999999991</v>
      </c>
    </row>
    <row r="39" spans="1:11" hidden="1" x14ac:dyDescent="0.25">
      <c r="A39" s="86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7">
        <v>72</v>
      </c>
      <c r="H39" s="87"/>
      <c r="I39" s="15"/>
      <c r="J39" s="15" t="s">
        <v>568</v>
      </c>
      <c r="K39" s="87">
        <v>-6965.9599999999991</v>
      </c>
    </row>
    <row r="40" spans="1:11" x14ac:dyDescent="0.25">
      <c r="A40" s="86">
        <v>46089</v>
      </c>
      <c r="B40" s="15" t="s">
        <v>31</v>
      </c>
      <c r="C40" s="15" t="s">
        <v>20</v>
      </c>
      <c r="D40" s="15" t="s">
        <v>13</v>
      </c>
      <c r="E40" s="15"/>
      <c r="F40" s="15"/>
      <c r="G40" s="87">
        <v>8788</v>
      </c>
      <c r="H40" s="87"/>
      <c r="I40" s="15"/>
      <c r="J40" s="15" t="s">
        <v>568</v>
      </c>
      <c r="K40" s="87">
        <v>1822.0400000000011</v>
      </c>
    </row>
    <row r="41" spans="1:11" hidden="1" x14ac:dyDescent="0.25">
      <c r="A41" s="86">
        <v>46089</v>
      </c>
      <c r="B41" s="15" t="s">
        <v>45</v>
      </c>
      <c r="C41" s="15" t="s">
        <v>20</v>
      </c>
      <c r="D41" s="15" t="s">
        <v>22</v>
      </c>
      <c r="E41" s="15" t="s">
        <v>17</v>
      </c>
      <c r="F41" s="15"/>
      <c r="G41" s="87">
        <v>412.6</v>
      </c>
      <c r="H41" s="87"/>
      <c r="I41" s="15"/>
      <c r="J41" s="15" t="s">
        <v>568</v>
      </c>
      <c r="K41" s="87">
        <v>2234.6400000000008</v>
      </c>
    </row>
    <row r="42" spans="1:11" hidden="1" x14ac:dyDescent="0.25">
      <c r="A42" s="86">
        <v>46089</v>
      </c>
      <c r="B42" s="15" t="s">
        <v>46</v>
      </c>
      <c r="C42" s="15" t="s">
        <v>12</v>
      </c>
      <c r="D42" s="15" t="s">
        <v>24</v>
      </c>
      <c r="E42" s="15" t="s">
        <v>17</v>
      </c>
      <c r="F42" s="15" t="s">
        <v>25</v>
      </c>
      <c r="G42" s="87">
        <v>81</v>
      </c>
      <c r="H42" s="87"/>
      <c r="I42" s="15"/>
      <c r="J42" s="15" t="s">
        <v>568</v>
      </c>
      <c r="K42" s="87">
        <v>2153.6400000000008</v>
      </c>
    </row>
    <row r="43" spans="1:11" hidden="1" x14ac:dyDescent="0.25">
      <c r="A43" s="86">
        <v>46090</v>
      </c>
      <c r="B43" s="15" t="s">
        <v>554</v>
      </c>
      <c r="C43" s="15" t="s">
        <v>12</v>
      </c>
      <c r="D43" s="15" t="s">
        <v>19</v>
      </c>
      <c r="E43" s="15" t="s">
        <v>17</v>
      </c>
      <c r="F43" s="15"/>
      <c r="G43" s="87">
        <v>1736.83</v>
      </c>
      <c r="H43" s="87"/>
      <c r="I43" s="15"/>
      <c r="J43" s="15" t="s">
        <v>568</v>
      </c>
      <c r="K43" s="87">
        <v>416.81000000000091</v>
      </c>
    </row>
    <row r="44" spans="1:11" x14ac:dyDescent="0.25">
      <c r="A44" s="86">
        <v>46090</v>
      </c>
      <c r="B44" s="15" t="s">
        <v>31</v>
      </c>
      <c r="C44" s="15" t="s">
        <v>20</v>
      </c>
      <c r="D44" s="15" t="s">
        <v>13</v>
      </c>
      <c r="E44" s="15"/>
      <c r="F44" s="15"/>
      <c r="G44" s="87">
        <v>1332</v>
      </c>
      <c r="H44" s="87"/>
      <c r="I44" s="15"/>
      <c r="J44" s="15" t="s">
        <v>568</v>
      </c>
      <c r="K44" s="87">
        <v>1748.8100000000011</v>
      </c>
    </row>
    <row r="45" spans="1:11" hidden="1" x14ac:dyDescent="0.25">
      <c r="A45" s="86">
        <v>46090</v>
      </c>
      <c r="B45" s="15" t="s">
        <v>45</v>
      </c>
      <c r="C45" s="15" t="s">
        <v>20</v>
      </c>
      <c r="D45" s="15" t="s">
        <v>22</v>
      </c>
      <c r="E45" s="15" t="s">
        <v>17</v>
      </c>
      <c r="F45" s="15"/>
      <c r="G45" s="87">
        <v>39</v>
      </c>
      <c r="H45" s="87"/>
      <c r="I45" s="15"/>
      <c r="J45" s="15" t="s">
        <v>568</v>
      </c>
      <c r="K45" s="87">
        <v>1787.8100000000011</v>
      </c>
    </row>
    <row r="46" spans="1:11" hidden="1" x14ac:dyDescent="0.25">
      <c r="A46" s="86">
        <v>46090</v>
      </c>
      <c r="B46" s="15" t="s">
        <v>46</v>
      </c>
      <c r="C46" s="15" t="s">
        <v>12</v>
      </c>
      <c r="D46" s="15" t="s">
        <v>24</v>
      </c>
      <c r="E46" s="15" t="s">
        <v>17</v>
      </c>
      <c r="F46" s="15" t="s">
        <v>25</v>
      </c>
      <c r="G46" s="87">
        <v>0</v>
      </c>
      <c r="H46" s="87"/>
      <c r="I46" s="15"/>
      <c r="J46" s="15" t="s">
        <v>568</v>
      </c>
      <c r="K46" s="87">
        <v>1787.8100000000011</v>
      </c>
    </row>
    <row r="47" spans="1:11" hidden="1" x14ac:dyDescent="0.25">
      <c r="A47" s="86">
        <v>46090</v>
      </c>
      <c r="B47" s="15" t="s">
        <v>403</v>
      </c>
      <c r="C47" s="15" t="s">
        <v>12</v>
      </c>
      <c r="D47" s="15" t="s">
        <v>19</v>
      </c>
      <c r="E47" s="15" t="s">
        <v>14</v>
      </c>
      <c r="F47" s="15" t="s">
        <v>15</v>
      </c>
      <c r="G47" s="87">
        <v>0</v>
      </c>
      <c r="H47" s="87"/>
      <c r="I47" s="15"/>
      <c r="J47" s="15" t="s">
        <v>568</v>
      </c>
      <c r="K47" s="87">
        <v>1787.8100000000011</v>
      </c>
    </row>
    <row r="48" spans="1:11" hidden="1" x14ac:dyDescent="0.25">
      <c r="A48" s="86">
        <v>46091</v>
      </c>
      <c r="B48" s="15" t="s">
        <v>433</v>
      </c>
      <c r="C48" s="15" t="s">
        <v>12</v>
      </c>
      <c r="D48" s="15" t="s">
        <v>65</v>
      </c>
      <c r="E48" s="15" t="s">
        <v>17</v>
      </c>
      <c r="F48" s="15"/>
      <c r="G48" s="87">
        <v>732</v>
      </c>
      <c r="H48" s="87"/>
      <c r="I48" s="15"/>
      <c r="J48" s="15" t="s">
        <v>568</v>
      </c>
      <c r="K48" s="87">
        <v>1055.8100000000011</v>
      </c>
    </row>
    <row r="49" spans="1:11" hidden="1" x14ac:dyDescent="0.25">
      <c r="A49" s="86">
        <v>46091</v>
      </c>
      <c r="B49" s="15" t="s">
        <v>67</v>
      </c>
      <c r="C49" s="15" t="s">
        <v>12</v>
      </c>
      <c r="D49" s="15" t="s">
        <v>67</v>
      </c>
      <c r="E49" s="15" t="s">
        <v>17</v>
      </c>
      <c r="F49" s="15" t="s">
        <v>25</v>
      </c>
      <c r="G49" s="87">
        <v>7563.28</v>
      </c>
      <c r="H49" s="87"/>
      <c r="I49" s="15"/>
      <c r="J49" s="15" t="s">
        <v>568</v>
      </c>
      <c r="K49" s="87">
        <v>-6507.4699999999993</v>
      </c>
    </row>
    <row r="50" spans="1:11" hidden="1" x14ac:dyDescent="0.25">
      <c r="A50" s="86">
        <v>46091</v>
      </c>
      <c r="B50" s="15" t="s">
        <v>425</v>
      </c>
      <c r="C50" s="15" t="s">
        <v>12</v>
      </c>
      <c r="D50" s="15" t="s">
        <v>69</v>
      </c>
      <c r="E50" s="15" t="s">
        <v>17</v>
      </c>
      <c r="F50" s="15" t="s">
        <v>25</v>
      </c>
      <c r="G50" s="87">
        <v>450</v>
      </c>
      <c r="H50" s="87"/>
      <c r="I50" s="15"/>
      <c r="J50" s="15" t="s">
        <v>568</v>
      </c>
      <c r="K50" s="87">
        <v>-6957.4699999999993</v>
      </c>
    </row>
    <row r="51" spans="1:11" hidden="1" x14ac:dyDescent="0.25">
      <c r="A51" s="86">
        <v>46091</v>
      </c>
      <c r="B51" s="15" t="s">
        <v>356</v>
      </c>
      <c r="C51" s="15" t="s">
        <v>12</v>
      </c>
      <c r="D51" s="15" t="s">
        <v>19</v>
      </c>
      <c r="E51" s="15" t="s">
        <v>17</v>
      </c>
      <c r="F51" s="15"/>
      <c r="G51" s="87">
        <v>400.39</v>
      </c>
      <c r="H51" s="87"/>
      <c r="I51" s="15"/>
      <c r="J51" s="15" t="s">
        <v>568</v>
      </c>
      <c r="K51" s="87">
        <v>-7357.86</v>
      </c>
    </row>
    <row r="52" spans="1:11" hidden="1" x14ac:dyDescent="0.25">
      <c r="A52" s="86">
        <v>46091</v>
      </c>
      <c r="B52" s="15" t="s">
        <v>576</v>
      </c>
      <c r="C52" s="15" t="s">
        <v>12</v>
      </c>
      <c r="D52" s="15" t="s">
        <v>61</v>
      </c>
      <c r="E52" s="15" t="s">
        <v>17</v>
      </c>
      <c r="F52" s="15"/>
      <c r="G52" s="87">
        <v>432.89</v>
      </c>
      <c r="H52" s="87"/>
      <c r="I52" s="15"/>
      <c r="J52" s="15" t="s">
        <v>568</v>
      </c>
      <c r="K52" s="87">
        <v>-7790.75</v>
      </c>
    </row>
    <row r="53" spans="1:11" x14ac:dyDescent="0.25">
      <c r="A53" s="86">
        <v>46091</v>
      </c>
      <c r="B53" s="15" t="s">
        <v>31</v>
      </c>
      <c r="C53" s="15" t="s">
        <v>20</v>
      </c>
      <c r="D53" s="15" t="s">
        <v>13</v>
      </c>
      <c r="E53" s="15"/>
      <c r="F53" s="15"/>
      <c r="G53" s="87">
        <v>1319</v>
      </c>
      <c r="H53" s="87"/>
      <c r="I53" s="15"/>
      <c r="J53" s="15" t="s">
        <v>568</v>
      </c>
      <c r="K53" s="87">
        <v>-6471.75</v>
      </c>
    </row>
    <row r="54" spans="1:11" hidden="1" x14ac:dyDescent="0.25">
      <c r="A54" s="86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7">
        <v>92.6</v>
      </c>
      <c r="H54" s="87"/>
      <c r="I54" s="15"/>
      <c r="J54" s="15" t="s">
        <v>568</v>
      </c>
      <c r="K54" s="87">
        <v>-6379.15</v>
      </c>
    </row>
    <row r="55" spans="1:11" hidden="1" x14ac:dyDescent="0.25">
      <c r="A55" s="86">
        <v>46091</v>
      </c>
      <c r="B55" s="15" t="s">
        <v>46</v>
      </c>
      <c r="C55" s="15" t="s">
        <v>12</v>
      </c>
      <c r="D55" s="15" t="s">
        <v>24</v>
      </c>
      <c r="E55" s="15" t="s">
        <v>17</v>
      </c>
      <c r="F55" s="15" t="s">
        <v>25</v>
      </c>
      <c r="G55" s="87">
        <v>26</v>
      </c>
      <c r="H55" s="87"/>
      <c r="I55" s="15"/>
      <c r="J55" s="15" t="s">
        <v>568</v>
      </c>
      <c r="K55" s="87">
        <v>-6405.15</v>
      </c>
    </row>
    <row r="56" spans="1:11" hidden="1" x14ac:dyDescent="0.25">
      <c r="A56" s="86">
        <v>46091</v>
      </c>
      <c r="B56" s="15" t="s">
        <v>372</v>
      </c>
      <c r="C56" s="15" t="s">
        <v>12</v>
      </c>
      <c r="D56" s="15" t="s">
        <v>19</v>
      </c>
      <c r="E56" s="15" t="s">
        <v>17</v>
      </c>
      <c r="F56" s="15" t="s">
        <v>25</v>
      </c>
      <c r="G56" s="87">
        <v>672.88</v>
      </c>
      <c r="H56" s="87"/>
      <c r="I56" s="15"/>
      <c r="J56" s="15" t="s">
        <v>568</v>
      </c>
      <c r="K56" s="87">
        <v>-7078.03</v>
      </c>
    </row>
    <row r="57" spans="1:11" hidden="1" x14ac:dyDescent="0.25">
      <c r="A57" s="86">
        <v>46091</v>
      </c>
      <c r="B57" s="15" t="s">
        <v>577</v>
      </c>
      <c r="C57" s="15" t="s">
        <v>12</v>
      </c>
      <c r="D57" s="15" t="s">
        <v>59</v>
      </c>
      <c r="E57" s="15" t="s">
        <v>17</v>
      </c>
      <c r="F57" s="15"/>
      <c r="G57" s="87">
        <v>10491.39</v>
      </c>
      <c r="H57" s="87"/>
      <c r="I57" s="15"/>
      <c r="J57" s="15" t="s">
        <v>568</v>
      </c>
      <c r="K57" s="87">
        <v>-17569.419999999998</v>
      </c>
    </row>
    <row r="58" spans="1:11" hidden="1" x14ac:dyDescent="0.25">
      <c r="A58" s="86">
        <v>46091</v>
      </c>
      <c r="B58" s="15" t="s">
        <v>403</v>
      </c>
      <c r="C58" s="15" t="s">
        <v>12</v>
      </c>
      <c r="D58" s="15" t="s">
        <v>19</v>
      </c>
      <c r="E58" s="15" t="s">
        <v>14</v>
      </c>
      <c r="F58" s="15" t="s">
        <v>15</v>
      </c>
      <c r="G58" s="87">
        <v>0</v>
      </c>
      <c r="H58" s="87"/>
      <c r="I58" s="15"/>
      <c r="J58" s="15" t="s">
        <v>568</v>
      </c>
      <c r="K58" s="87">
        <v>-17569.419999999998</v>
      </c>
    </row>
    <row r="59" spans="1:11" hidden="1" x14ac:dyDescent="0.25">
      <c r="A59" s="86">
        <v>46091</v>
      </c>
      <c r="B59" s="15" t="s">
        <v>578</v>
      </c>
      <c r="C59" s="15" t="s">
        <v>12</v>
      </c>
      <c r="D59" s="15" t="s">
        <v>19</v>
      </c>
      <c r="E59" s="15" t="s">
        <v>17</v>
      </c>
      <c r="F59" s="15" t="s">
        <v>25</v>
      </c>
      <c r="G59" s="87">
        <v>382.5</v>
      </c>
      <c r="H59" s="87"/>
      <c r="I59" s="15"/>
      <c r="J59" s="15" t="s">
        <v>568</v>
      </c>
      <c r="K59" s="87">
        <v>-17951.919999999998</v>
      </c>
    </row>
    <row r="60" spans="1:11" x14ac:dyDescent="0.25">
      <c r="A60" s="86">
        <v>46092</v>
      </c>
      <c r="B60" s="15" t="s">
        <v>31</v>
      </c>
      <c r="C60" s="15" t="s">
        <v>20</v>
      </c>
      <c r="D60" s="15" t="s">
        <v>13</v>
      </c>
      <c r="E60" s="15"/>
      <c r="F60" s="15"/>
      <c r="G60" s="87">
        <v>430</v>
      </c>
      <c r="H60" s="87"/>
      <c r="I60" s="15"/>
      <c r="J60" s="15" t="s">
        <v>568</v>
      </c>
      <c r="K60" s="87">
        <v>-17521.919999999998</v>
      </c>
    </row>
    <row r="61" spans="1:11" hidden="1" x14ac:dyDescent="0.25">
      <c r="A61" s="86">
        <v>46092</v>
      </c>
      <c r="B61" s="15" t="s">
        <v>45</v>
      </c>
      <c r="C61" s="15" t="s">
        <v>20</v>
      </c>
      <c r="D61" s="15" t="s">
        <v>22</v>
      </c>
      <c r="E61" s="15" t="s">
        <v>17</v>
      </c>
      <c r="F61" s="15"/>
      <c r="G61" s="87">
        <v>0</v>
      </c>
      <c r="H61" s="87"/>
      <c r="I61" s="15"/>
      <c r="J61" s="15" t="s">
        <v>568</v>
      </c>
      <c r="K61" s="87">
        <v>-17521.919999999998</v>
      </c>
    </row>
    <row r="62" spans="1:11" hidden="1" x14ac:dyDescent="0.25">
      <c r="A62" s="86">
        <v>46092</v>
      </c>
      <c r="B62" s="15" t="s">
        <v>46</v>
      </c>
      <c r="C62" s="15" t="s">
        <v>12</v>
      </c>
      <c r="D62" s="15" t="s">
        <v>24</v>
      </c>
      <c r="E62" s="15" t="s">
        <v>17</v>
      </c>
      <c r="F62" s="15" t="s">
        <v>25</v>
      </c>
      <c r="G62" s="87">
        <v>0</v>
      </c>
      <c r="H62" s="87"/>
      <c r="I62" s="15"/>
      <c r="J62" s="15" t="s">
        <v>568</v>
      </c>
      <c r="K62" s="87">
        <v>-17521.919999999998</v>
      </c>
    </row>
    <row r="63" spans="1:11" hidden="1" x14ac:dyDescent="0.25">
      <c r="A63" s="86">
        <v>46092</v>
      </c>
      <c r="B63" s="15" t="s">
        <v>403</v>
      </c>
      <c r="C63" s="15" t="s">
        <v>12</v>
      </c>
      <c r="D63" s="15" t="s">
        <v>19</v>
      </c>
      <c r="E63" s="15" t="s">
        <v>14</v>
      </c>
      <c r="F63" s="15" t="s">
        <v>15</v>
      </c>
      <c r="G63" s="87">
        <v>188</v>
      </c>
      <c r="H63" s="87"/>
      <c r="I63" s="15"/>
      <c r="J63" s="15" t="s">
        <v>568</v>
      </c>
      <c r="K63" s="87">
        <v>-17709.919999999998</v>
      </c>
    </row>
    <row r="64" spans="1:11" hidden="1" x14ac:dyDescent="0.25">
      <c r="A64" s="86">
        <v>46093</v>
      </c>
      <c r="B64" s="15" t="s">
        <v>579</v>
      </c>
      <c r="C64" s="15" t="s">
        <v>12</v>
      </c>
      <c r="D64" s="15" t="s">
        <v>63</v>
      </c>
      <c r="E64" s="15" t="s">
        <v>17</v>
      </c>
      <c r="F64" s="15" t="s">
        <v>25</v>
      </c>
      <c r="G64" s="87">
        <v>45</v>
      </c>
      <c r="H64" s="87"/>
      <c r="I64" s="15"/>
      <c r="J64" s="15" t="s">
        <v>568</v>
      </c>
      <c r="K64" s="87">
        <v>-17754.919999999998</v>
      </c>
    </row>
    <row r="65" spans="1:11" x14ac:dyDescent="0.25">
      <c r="A65" s="86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7">
        <v>1029</v>
      </c>
      <c r="H65" s="87"/>
      <c r="I65" s="15"/>
      <c r="J65" s="15" t="s">
        <v>568</v>
      </c>
      <c r="K65" s="87">
        <v>-16680.919999999998</v>
      </c>
    </row>
    <row r="66" spans="1:11" hidden="1" x14ac:dyDescent="0.25">
      <c r="A66" s="86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7">
        <v>101.5</v>
      </c>
      <c r="H66" s="87"/>
      <c r="I66" s="15"/>
      <c r="J66" s="15" t="s">
        <v>568</v>
      </c>
      <c r="K66" s="87">
        <v>-16579.419999999998</v>
      </c>
    </row>
    <row r="67" spans="1:11" hidden="1" x14ac:dyDescent="0.25">
      <c r="A67" s="86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7">
        <v>25</v>
      </c>
      <c r="H67" s="87"/>
      <c r="I67" s="15"/>
      <c r="J67" s="15" t="s">
        <v>568</v>
      </c>
      <c r="K67" s="87">
        <v>-16604.419999999998</v>
      </c>
    </row>
    <row r="68" spans="1:11" hidden="1" x14ac:dyDescent="0.25">
      <c r="A68" s="86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7">
        <v>0</v>
      </c>
      <c r="H68" s="87"/>
      <c r="I68" s="15"/>
      <c r="J68" s="15" t="s">
        <v>568</v>
      </c>
      <c r="K68" s="87">
        <v>-16604.419999999998</v>
      </c>
    </row>
    <row r="69" spans="1:11" hidden="1" x14ac:dyDescent="0.25">
      <c r="A69" s="86">
        <v>46093</v>
      </c>
      <c r="B69" s="15" t="s">
        <v>311</v>
      </c>
      <c r="C69" s="15" t="s">
        <v>12</v>
      </c>
      <c r="D69" s="15" t="s">
        <v>19</v>
      </c>
      <c r="E69" s="15" t="s">
        <v>17</v>
      </c>
      <c r="F69" s="15"/>
      <c r="G69" s="87">
        <v>1022.5</v>
      </c>
      <c r="H69" s="87"/>
      <c r="I69" s="15"/>
      <c r="J69" s="15" t="s">
        <v>568</v>
      </c>
      <c r="K69" s="87">
        <v>-17626.919999999998</v>
      </c>
    </row>
    <row r="70" spans="1:11" hidden="1" x14ac:dyDescent="0.25">
      <c r="A70" s="86">
        <v>46093</v>
      </c>
      <c r="B70" s="15" t="s">
        <v>537</v>
      </c>
      <c r="C70" s="15" t="s">
        <v>12</v>
      </c>
      <c r="D70" s="15" t="s">
        <v>27</v>
      </c>
      <c r="E70" s="15" t="s">
        <v>17</v>
      </c>
      <c r="F70" s="15"/>
      <c r="G70" s="87">
        <v>72</v>
      </c>
      <c r="H70" s="87"/>
      <c r="I70" s="15"/>
      <c r="J70" s="15" t="s">
        <v>568</v>
      </c>
      <c r="K70" s="87">
        <v>-17698.919999999998</v>
      </c>
    </row>
    <row r="71" spans="1:11" x14ac:dyDescent="0.25">
      <c r="A71" s="86">
        <v>46066</v>
      </c>
      <c r="B71" s="15" t="s">
        <v>13</v>
      </c>
      <c r="C71" s="15" t="s">
        <v>20</v>
      </c>
      <c r="D71" s="15" t="s">
        <v>13</v>
      </c>
      <c r="E71" s="15"/>
      <c r="F71" s="15"/>
      <c r="G71" s="87">
        <v>1413</v>
      </c>
      <c r="H71" s="87"/>
      <c r="I71" s="15"/>
      <c r="J71" s="15" t="s">
        <v>466</v>
      </c>
      <c r="K71" s="87">
        <v>-16285.92</v>
      </c>
    </row>
    <row r="72" spans="1:11" hidden="1" x14ac:dyDescent="0.25">
      <c r="A72" s="86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7">
        <v>39</v>
      </c>
      <c r="H72" s="87"/>
      <c r="I72" s="15"/>
      <c r="J72" s="15" t="s">
        <v>466</v>
      </c>
      <c r="K72" s="87">
        <v>-16246.92</v>
      </c>
    </row>
    <row r="73" spans="1:11" hidden="1" x14ac:dyDescent="0.25">
      <c r="A73" s="86">
        <v>46066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7">
        <v>18</v>
      </c>
      <c r="H73" s="87"/>
      <c r="I73" s="15"/>
      <c r="J73" s="15" t="s">
        <v>466</v>
      </c>
      <c r="K73" s="87">
        <v>-16264.92</v>
      </c>
    </row>
    <row r="74" spans="1:11" hidden="1" x14ac:dyDescent="0.25">
      <c r="A74" s="86">
        <v>46066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7">
        <v>329</v>
      </c>
      <c r="H74" s="87"/>
      <c r="I74" s="15"/>
      <c r="J74" s="15" t="s">
        <v>466</v>
      </c>
      <c r="K74" s="87">
        <v>-16593.919999999998</v>
      </c>
    </row>
    <row r="75" spans="1:11" x14ac:dyDescent="0.25">
      <c r="A75" s="88">
        <v>46095</v>
      </c>
      <c r="B75" s="15" t="s">
        <v>31</v>
      </c>
      <c r="C75" s="15" t="s">
        <v>20</v>
      </c>
      <c r="D75" s="15" t="s">
        <v>13</v>
      </c>
      <c r="E75" s="15"/>
      <c r="F75" s="15"/>
      <c r="G75" s="87">
        <v>7378</v>
      </c>
      <c r="H75" s="87"/>
      <c r="I75" s="15"/>
      <c r="J75" s="15" t="s">
        <v>568</v>
      </c>
      <c r="K75" s="87">
        <v>-9215.9199999999983</v>
      </c>
    </row>
    <row r="76" spans="1:11" hidden="1" x14ac:dyDescent="0.25">
      <c r="A76" s="86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7">
        <v>308.39999999999998</v>
      </c>
      <c r="H76" s="87"/>
      <c r="I76" s="15"/>
      <c r="J76" s="15" t="s">
        <v>568</v>
      </c>
      <c r="K76" s="87">
        <v>-8907.5199999999986</v>
      </c>
    </row>
    <row r="77" spans="1:11" hidden="1" x14ac:dyDescent="0.25">
      <c r="A77" s="86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7">
        <v>35</v>
      </c>
      <c r="H77" s="87"/>
      <c r="I77" s="15"/>
      <c r="J77" s="15" t="s">
        <v>568</v>
      </c>
      <c r="K77" s="87">
        <v>-8942.5199999999986</v>
      </c>
    </row>
    <row r="78" spans="1:11" x14ac:dyDescent="0.25">
      <c r="A78" s="86">
        <v>46096</v>
      </c>
      <c r="B78" s="15" t="s">
        <v>31</v>
      </c>
      <c r="C78" s="15" t="s">
        <v>20</v>
      </c>
      <c r="D78" s="15" t="s">
        <v>13</v>
      </c>
      <c r="E78" s="15"/>
      <c r="F78" s="15"/>
      <c r="G78" s="87">
        <v>7131</v>
      </c>
      <c r="H78" s="87"/>
      <c r="I78" s="15"/>
      <c r="J78" s="15" t="s">
        <v>568</v>
      </c>
      <c r="K78" s="87">
        <v>-1811.5199999999991</v>
      </c>
    </row>
    <row r="79" spans="1:11" hidden="1" x14ac:dyDescent="0.25">
      <c r="A79" s="86">
        <v>46096</v>
      </c>
      <c r="B79" s="15" t="s">
        <v>479</v>
      </c>
      <c r="C79" s="15" t="s">
        <v>20</v>
      </c>
      <c r="D79" s="15" t="s">
        <v>22</v>
      </c>
      <c r="E79" s="15" t="s">
        <v>17</v>
      </c>
      <c r="F79" s="15"/>
      <c r="G79" s="87">
        <v>507.5</v>
      </c>
      <c r="H79" s="87"/>
      <c r="I79" s="15"/>
      <c r="J79" s="15" t="s">
        <v>568</v>
      </c>
      <c r="K79" s="87">
        <v>-1304.0199999999991</v>
      </c>
    </row>
    <row r="80" spans="1:11" hidden="1" x14ac:dyDescent="0.25">
      <c r="A80" s="86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7">
        <v>89</v>
      </c>
      <c r="H80" s="87"/>
      <c r="I80" s="15"/>
      <c r="J80" s="15" t="s">
        <v>568</v>
      </c>
      <c r="K80" s="87">
        <v>-1393.0199999999991</v>
      </c>
    </row>
    <row r="81" spans="1:11" hidden="1" x14ac:dyDescent="0.25">
      <c r="A81" s="88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7">
        <v>94</v>
      </c>
      <c r="H81" s="87"/>
      <c r="I81" s="15"/>
      <c r="J81" s="15" t="s">
        <v>568</v>
      </c>
      <c r="K81" s="87">
        <v>-1487.0199999999991</v>
      </c>
    </row>
    <row r="82" spans="1:11" hidden="1" x14ac:dyDescent="0.25">
      <c r="A82" s="88">
        <v>46097</v>
      </c>
      <c r="B82" s="15" t="s">
        <v>311</v>
      </c>
      <c r="C82" s="15" t="s">
        <v>12</v>
      </c>
      <c r="D82" s="15" t="s">
        <v>19</v>
      </c>
      <c r="E82" s="15" t="s">
        <v>17</v>
      </c>
      <c r="F82" s="15"/>
      <c r="G82" s="87">
        <v>5051.91</v>
      </c>
      <c r="H82" s="87"/>
      <c r="I82" s="15"/>
      <c r="J82" s="15" t="s">
        <v>568</v>
      </c>
      <c r="K82" s="87">
        <v>-6538.9299999999976</v>
      </c>
    </row>
    <row r="83" spans="1:11" hidden="1" x14ac:dyDescent="0.25">
      <c r="A83" s="86">
        <v>46097</v>
      </c>
      <c r="B83" s="15" t="s">
        <v>580</v>
      </c>
      <c r="C83" s="15" t="s">
        <v>12</v>
      </c>
      <c r="D83" s="15" t="s">
        <v>27</v>
      </c>
      <c r="E83" s="15" t="s">
        <v>17</v>
      </c>
      <c r="F83" s="15"/>
      <c r="G83" s="87">
        <v>202.8</v>
      </c>
      <c r="H83" s="87"/>
      <c r="I83" s="15"/>
      <c r="J83" s="15" t="s">
        <v>568</v>
      </c>
      <c r="K83" s="87">
        <v>-6741.7299999999987</v>
      </c>
    </row>
    <row r="84" spans="1:11" hidden="1" x14ac:dyDescent="0.25">
      <c r="A84" s="86">
        <v>46097</v>
      </c>
      <c r="B84" s="15" t="s">
        <v>369</v>
      </c>
      <c r="C84" s="15" t="s">
        <v>12</v>
      </c>
      <c r="D84" s="15" t="s">
        <v>40</v>
      </c>
      <c r="E84" s="15" t="s">
        <v>17</v>
      </c>
      <c r="F84" s="15" t="s">
        <v>25</v>
      </c>
      <c r="G84" s="87">
        <v>99.9</v>
      </c>
      <c r="H84" s="87"/>
      <c r="I84" s="15"/>
      <c r="J84" s="15" t="s">
        <v>568</v>
      </c>
      <c r="K84" s="87">
        <v>-6841.6299999999983</v>
      </c>
    </row>
    <row r="85" spans="1:11" hidden="1" x14ac:dyDescent="0.25">
      <c r="A85" s="88">
        <v>46097</v>
      </c>
      <c r="B85" s="15" t="s">
        <v>403</v>
      </c>
      <c r="C85" s="15" t="s">
        <v>12</v>
      </c>
      <c r="D85" s="15" t="s">
        <v>19</v>
      </c>
      <c r="E85" s="15" t="s">
        <v>14</v>
      </c>
      <c r="F85" s="15" t="s">
        <v>15</v>
      </c>
      <c r="G85" s="87">
        <v>194</v>
      </c>
      <c r="H85" s="87"/>
      <c r="I85" s="15"/>
      <c r="J85" s="15" t="s">
        <v>568</v>
      </c>
      <c r="K85" s="87">
        <v>-7035.6299999999983</v>
      </c>
    </row>
    <row r="86" spans="1:11" x14ac:dyDescent="0.25">
      <c r="A86" s="86">
        <v>46097</v>
      </c>
      <c r="B86" s="15" t="s">
        <v>31</v>
      </c>
      <c r="C86" s="15" t="s">
        <v>20</v>
      </c>
      <c r="D86" s="15" t="s">
        <v>13</v>
      </c>
      <c r="E86" s="15"/>
      <c r="F86" s="15"/>
      <c r="G86" s="87">
        <v>1352</v>
      </c>
      <c r="H86" s="87"/>
      <c r="I86" s="15"/>
      <c r="J86" s="15" t="s">
        <v>568</v>
      </c>
      <c r="K86" s="87">
        <v>-5683.6299999999983</v>
      </c>
    </row>
    <row r="87" spans="1:11" hidden="1" x14ac:dyDescent="0.25">
      <c r="A87" s="86">
        <v>46097</v>
      </c>
      <c r="B87" s="15" t="s">
        <v>45</v>
      </c>
      <c r="C87" s="15" t="s">
        <v>20</v>
      </c>
      <c r="D87" s="15" t="s">
        <v>22</v>
      </c>
      <c r="E87" s="15" t="s">
        <v>17</v>
      </c>
      <c r="F87" s="15"/>
      <c r="G87" s="87">
        <v>114.3</v>
      </c>
      <c r="H87" s="87"/>
      <c r="I87" s="15"/>
      <c r="J87" s="15" t="s">
        <v>568</v>
      </c>
      <c r="K87" s="87">
        <v>-5569.3299999999981</v>
      </c>
    </row>
    <row r="88" spans="1:11" hidden="1" x14ac:dyDescent="0.25">
      <c r="A88" s="86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7">
        <v>27</v>
      </c>
      <c r="H88" s="87"/>
      <c r="I88" s="15"/>
      <c r="J88" s="15" t="s">
        <v>568</v>
      </c>
      <c r="K88" s="87">
        <v>-5596.3299999999981</v>
      </c>
    </row>
    <row r="89" spans="1:11" hidden="1" x14ac:dyDescent="0.25">
      <c r="A89" s="86">
        <v>46097</v>
      </c>
      <c r="B89" s="15" t="s">
        <v>581</v>
      </c>
      <c r="C89" s="15" t="s">
        <v>12</v>
      </c>
      <c r="D89" s="15" t="s">
        <v>63</v>
      </c>
      <c r="E89" s="15" t="s">
        <v>17</v>
      </c>
      <c r="F89" s="15" t="s">
        <v>25</v>
      </c>
      <c r="G89" s="87">
        <v>189.91</v>
      </c>
      <c r="H89" s="87"/>
      <c r="I89" s="15"/>
      <c r="J89" s="15" t="s">
        <v>568</v>
      </c>
      <c r="K89" s="87">
        <v>-5786.239999999998</v>
      </c>
    </row>
    <row r="90" spans="1:11" x14ac:dyDescent="0.25">
      <c r="A90" s="86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7">
        <v>2049</v>
      </c>
      <c r="H90" s="87"/>
      <c r="I90" s="15"/>
      <c r="J90" s="15" t="s">
        <v>568</v>
      </c>
      <c r="K90" s="87">
        <v>-3737.239999999998</v>
      </c>
    </row>
    <row r="91" spans="1:11" hidden="1" x14ac:dyDescent="0.25">
      <c r="A91" s="86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7">
        <v>73.099999999999994</v>
      </c>
      <c r="H91" s="87"/>
      <c r="I91" s="15"/>
      <c r="J91" s="15" t="s">
        <v>568</v>
      </c>
      <c r="K91" s="87">
        <v>-3664.1399999999981</v>
      </c>
    </row>
    <row r="92" spans="1:11" hidden="1" x14ac:dyDescent="0.25">
      <c r="A92" s="86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7">
        <v>25</v>
      </c>
      <c r="H92" s="87"/>
      <c r="I92" s="15"/>
      <c r="J92" s="15" t="s">
        <v>568</v>
      </c>
      <c r="K92" s="87">
        <v>-3689.1399999999981</v>
      </c>
    </row>
    <row r="93" spans="1:11" hidden="1" x14ac:dyDescent="0.25">
      <c r="A93" s="86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7">
        <v>94</v>
      </c>
      <c r="H93" s="87"/>
      <c r="I93" s="15"/>
      <c r="J93" s="15" t="s">
        <v>568</v>
      </c>
      <c r="K93" s="87">
        <v>-3783.1399999999981</v>
      </c>
    </row>
    <row r="94" spans="1:11" hidden="1" x14ac:dyDescent="0.25">
      <c r="A94" s="86">
        <v>46098</v>
      </c>
      <c r="B94" s="15" t="s">
        <v>311</v>
      </c>
      <c r="C94" s="15" t="s">
        <v>12</v>
      </c>
      <c r="D94" s="15" t="s">
        <v>19</v>
      </c>
      <c r="E94" s="15" t="s">
        <v>17</v>
      </c>
      <c r="F94" s="15"/>
      <c r="G94" s="87">
        <v>883.32</v>
      </c>
      <c r="H94" s="87"/>
      <c r="I94" s="15"/>
      <c r="J94" s="15" t="s">
        <v>568</v>
      </c>
      <c r="K94" s="87">
        <v>-4666.4599999999982</v>
      </c>
    </row>
    <row r="95" spans="1:11" hidden="1" x14ac:dyDescent="0.25">
      <c r="A95" s="86">
        <v>46098</v>
      </c>
      <c r="B95" s="15" t="s">
        <v>371</v>
      </c>
      <c r="C95" s="15" t="s">
        <v>12</v>
      </c>
      <c r="D95" s="15" t="s">
        <v>19</v>
      </c>
      <c r="E95" s="15" t="s">
        <v>17</v>
      </c>
      <c r="F95" s="15"/>
      <c r="G95" s="87">
        <v>2521.7399999999998</v>
      </c>
      <c r="H95" s="87"/>
      <c r="I95" s="15"/>
      <c r="J95" s="15" t="s">
        <v>568</v>
      </c>
      <c r="K95" s="87">
        <v>-7188.199999999998</v>
      </c>
    </row>
    <row r="96" spans="1:11" hidden="1" x14ac:dyDescent="0.25">
      <c r="A96" s="86">
        <v>46098</v>
      </c>
      <c r="B96" s="15" t="s">
        <v>582</v>
      </c>
      <c r="C96" s="15" t="s">
        <v>12</v>
      </c>
      <c r="D96" s="15" t="s">
        <v>29</v>
      </c>
      <c r="E96" s="15" t="s">
        <v>17</v>
      </c>
      <c r="F96" s="15" t="s">
        <v>25</v>
      </c>
      <c r="G96" s="87">
        <v>50</v>
      </c>
      <c r="H96" s="87"/>
      <c r="I96" s="15"/>
      <c r="J96" s="15" t="s">
        <v>568</v>
      </c>
      <c r="K96" s="87">
        <v>-7238.199999999998</v>
      </c>
    </row>
    <row r="97" spans="1:11" hidden="1" x14ac:dyDescent="0.25">
      <c r="A97" s="86">
        <v>46099</v>
      </c>
      <c r="B97" s="15" t="s">
        <v>407</v>
      </c>
      <c r="C97" s="15" t="s">
        <v>12</v>
      </c>
      <c r="D97" s="15" t="s">
        <v>19</v>
      </c>
      <c r="E97" s="15" t="s">
        <v>17</v>
      </c>
      <c r="F97" s="15"/>
      <c r="G97" s="87">
        <v>650</v>
      </c>
      <c r="H97" s="87"/>
      <c r="I97" s="15"/>
      <c r="J97" s="15" t="s">
        <v>568</v>
      </c>
      <c r="K97" s="87">
        <v>-7888.199999999998</v>
      </c>
    </row>
    <row r="98" spans="1:11" hidden="1" x14ac:dyDescent="0.25">
      <c r="A98" s="86">
        <v>46099</v>
      </c>
      <c r="B98" s="15" t="s">
        <v>583</v>
      </c>
      <c r="C98" s="15" t="s">
        <v>12</v>
      </c>
      <c r="D98" s="15" t="s">
        <v>19</v>
      </c>
      <c r="E98" s="15" t="s">
        <v>17</v>
      </c>
      <c r="F98" s="15"/>
      <c r="G98" s="87">
        <v>278</v>
      </c>
      <c r="H98" s="87"/>
      <c r="I98" s="15"/>
      <c r="J98" s="15" t="s">
        <v>568</v>
      </c>
      <c r="K98" s="87">
        <v>-8166.199999999998</v>
      </c>
    </row>
    <row r="99" spans="1:11" hidden="1" x14ac:dyDescent="0.25">
      <c r="A99" s="86">
        <v>46099</v>
      </c>
      <c r="B99" s="15" t="s">
        <v>403</v>
      </c>
      <c r="C99" s="15" t="s">
        <v>12</v>
      </c>
      <c r="D99" s="15" t="s">
        <v>19</v>
      </c>
      <c r="E99" s="15" t="s">
        <v>14</v>
      </c>
      <c r="F99" s="15" t="s">
        <v>15</v>
      </c>
      <c r="G99" s="87">
        <v>141</v>
      </c>
      <c r="H99" s="87"/>
      <c r="I99" s="15"/>
      <c r="J99" s="15" t="s">
        <v>568</v>
      </c>
      <c r="K99" s="87">
        <v>-8307.1999999999971</v>
      </c>
    </row>
    <row r="100" spans="1:11" x14ac:dyDescent="0.25">
      <c r="A100" s="86">
        <v>46099</v>
      </c>
      <c r="B100" s="15" t="s">
        <v>31</v>
      </c>
      <c r="C100" s="15" t="s">
        <v>20</v>
      </c>
      <c r="D100" s="15" t="s">
        <v>13</v>
      </c>
      <c r="E100" s="15"/>
      <c r="F100" s="15"/>
      <c r="G100" s="87">
        <v>1267</v>
      </c>
      <c r="H100" s="87"/>
      <c r="I100" s="15"/>
      <c r="J100" s="15" t="s">
        <v>568</v>
      </c>
      <c r="K100" s="87">
        <v>-7040.1999999999971</v>
      </c>
    </row>
    <row r="101" spans="1:11" hidden="1" x14ac:dyDescent="0.25">
      <c r="A101" s="86">
        <v>46099</v>
      </c>
      <c r="B101" s="15" t="s">
        <v>584</v>
      </c>
      <c r="C101" s="15" t="s">
        <v>20</v>
      </c>
      <c r="D101" s="15" t="s">
        <v>22</v>
      </c>
      <c r="E101" s="15" t="s">
        <v>17</v>
      </c>
      <c r="F101" s="15"/>
      <c r="G101" s="87">
        <v>380.4</v>
      </c>
      <c r="H101" s="87"/>
      <c r="I101" s="15"/>
      <c r="J101" s="15" t="s">
        <v>568</v>
      </c>
      <c r="K101" s="87">
        <v>-6659.7999999999975</v>
      </c>
    </row>
    <row r="102" spans="1:11" hidden="1" x14ac:dyDescent="0.25">
      <c r="A102" s="86">
        <v>46099</v>
      </c>
      <c r="B102" s="15" t="s">
        <v>46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7">
        <v>27</v>
      </c>
      <c r="H102" s="87"/>
      <c r="I102" s="15"/>
      <c r="J102" s="15" t="s">
        <v>568</v>
      </c>
      <c r="K102" s="87">
        <v>-6686.7999999999975</v>
      </c>
    </row>
    <row r="103" spans="1:11" hidden="1" x14ac:dyDescent="0.25">
      <c r="A103" s="86">
        <v>46100</v>
      </c>
      <c r="B103" s="15" t="s">
        <v>585</v>
      </c>
      <c r="C103" s="15" t="s">
        <v>12</v>
      </c>
      <c r="D103" s="15" t="s">
        <v>61</v>
      </c>
      <c r="E103" s="15" t="s">
        <v>14</v>
      </c>
      <c r="F103" s="15" t="s">
        <v>15</v>
      </c>
      <c r="G103" s="87">
        <v>270</v>
      </c>
      <c r="H103" s="87"/>
      <c r="I103" s="15"/>
      <c r="J103" s="15" t="s">
        <v>568</v>
      </c>
      <c r="K103" s="87">
        <v>-6956.7999999999975</v>
      </c>
    </row>
    <row r="104" spans="1:11" x14ac:dyDescent="0.25">
      <c r="A104" s="86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7">
        <v>1885.3</v>
      </c>
      <c r="H104" s="87"/>
      <c r="I104" s="15"/>
      <c r="J104" s="15" t="s">
        <v>568</v>
      </c>
      <c r="K104" s="87">
        <v>-5071.4999999999973</v>
      </c>
    </row>
    <row r="105" spans="1:11" hidden="1" x14ac:dyDescent="0.25">
      <c r="A105" s="86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7">
        <v>53.6</v>
      </c>
      <c r="H105" s="87"/>
      <c r="I105" s="15"/>
      <c r="J105" s="15" t="s">
        <v>568</v>
      </c>
      <c r="K105" s="87">
        <v>-5017.8999999999969</v>
      </c>
    </row>
    <row r="106" spans="1:11" hidden="1" x14ac:dyDescent="0.25">
      <c r="A106" s="86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7">
        <v>18</v>
      </c>
      <c r="H106" s="87"/>
      <c r="I106" s="15"/>
      <c r="J106" s="15" t="s">
        <v>568</v>
      </c>
      <c r="K106" s="87">
        <v>-5035.8999999999969</v>
      </c>
    </row>
    <row r="107" spans="1:11" hidden="1" x14ac:dyDescent="0.25">
      <c r="A107" s="86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7">
        <v>250</v>
      </c>
      <c r="H107" s="87"/>
      <c r="I107" s="15"/>
      <c r="J107" s="15" t="s">
        <v>568</v>
      </c>
      <c r="K107" s="87">
        <v>-5285.8999999999969</v>
      </c>
    </row>
    <row r="108" spans="1:11" hidden="1" x14ac:dyDescent="0.25">
      <c r="A108" s="86">
        <v>46100</v>
      </c>
      <c r="B108" s="15" t="s">
        <v>586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7">
        <v>3402.9</v>
      </c>
      <c r="H108" s="87"/>
      <c r="I108" s="15"/>
      <c r="J108" s="15" t="s">
        <v>568</v>
      </c>
      <c r="K108" s="87">
        <v>-8688.7999999999975</v>
      </c>
    </row>
    <row r="109" spans="1:11" hidden="1" x14ac:dyDescent="0.25">
      <c r="A109" s="86">
        <v>46101</v>
      </c>
      <c r="B109" s="15" t="s">
        <v>445</v>
      </c>
      <c r="C109" s="15" t="s">
        <v>12</v>
      </c>
      <c r="D109" s="15" t="s">
        <v>59</v>
      </c>
      <c r="E109" s="15" t="s">
        <v>17</v>
      </c>
      <c r="F109" s="15"/>
      <c r="G109" s="87">
        <v>1769.9</v>
      </c>
      <c r="H109" s="87"/>
      <c r="I109" s="15"/>
      <c r="J109" s="15" t="s">
        <v>568</v>
      </c>
      <c r="K109" s="87">
        <v>-10458.700000000001</v>
      </c>
    </row>
    <row r="110" spans="1:11" hidden="1" x14ac:dyDescent="0.25">
      <c r="A110" s="86">
        <v>46101</v>
      </c>
      <c r="B110" s="15" t="s">
        <v>302</v>
      </c>
      <c r="C110" s="15" t="s">
        <v>12</v>
      </c>
      <c r="D110" s="15" t="s">
        <v>59</v>
      </c>
      <c r="E110" s="15" t="s">
        <v>17</v>
      </c>
      <c r="F110" s="15"/>
      <c r="G110" s="87">
        <v>724.51</v>
      </c>
      <c r="H110" s="87"/>
      <c r="I110" s="15"/>
      <c r="J110" s="15" t="s">
        <v>568</v>
      </c>
      <c r="K110" s="87">
        <v>-11183.21</v>
      </c>
    </row>
    <row r="111" spans="1:11" hidden="1" x14ac:dyDescent="0.25">
      <c r="A111" s="86">
        <v>46101</v>
      </c>
      <c r="B111" s="15" t="s">
        <v>307</v>
      </c>
      <c r="C111" s="15" t="s">
        <v>12</v>
      </c>
      <c r="D111" s="15" t="s">
        <v>59</v>
      </c>
      <c r="E111" s="15" t="s">
        <v>17</v>
      </c>
      <c r="F111" s="15"/>
      <c r="G111" s="87">
        <v>767.67</v>
      </c>
      <c r="H111" s="87"/>
      <c r="I111" s="15"/>
      <c r="J111" s="15" t="s">
        <v>568</v>
      </c>
      <c r="K111" s="87">
        <v>-11950.88</v>
      </c>
    </row>
    <row r="112" spans="1:11" hidden="1" x14ac:dyDescent="0.25">
      <c r="A112" s="86">
        <v>46101</v>
      </c>
      <c r="B112" s="15" t="s">
        <v>308</v>
      </c>
      <c r="C112" s="15" t="s">
        <v>12</v>
      </c>
      <c r="D112" s="15" t="s">
        <v>59</v>
      </c>
      <c r="E112" s="15" t="s">
        <v>17</v>
      </c>
      <c r="F112" s="15"/>
      <c r="G112" s="87">
        <v>7323.66</v>
      </c>
      <c r="H112" s="87"/>
      <c r="I112" s="15"/>
      <c r="J112" s="15" t="s">
        <v>568</v>
      </c>
      <c r="K112" s="87">
        <v>-19274.54</v>
      </c>
    </row>
    <row r="113" spans="1:11" x14ac:dyDescent="0.25">
      <c r="A113" s="86">
        <v>46101</v>
      </c>
      <c r="B113" s="15" t="s">
        <v>31</v>
      </c>
      <c r="C113" s="15" t="s">
        <v>20</v>
      </c>
      <c r="D113" s="15" t="s">
        <v>13</v>
      </c>
      <c r="E113" s="15"/>
      <c r="F113" s="15"/>
      <c r="G113" s="87">
        <v>3970</v>
      </c>
      <c r="H113" s="87"/>
      <c r="I113" s="15"/>
      <c r="J113" s="15" t="s">
        <v>568</v>
      </c>
      <c r="K113" s="87">
        <v>-15304.54</v>
      </c>
    </row>
    <row r="114" spans="1:11" hidden="1" x14ac:dyDescent="0.25">
      <c r="A114" s="86">
        <v>46101</v>
      </c>
      <c r="B114" s="15" t="s">
        <v>45</v>
      </c>
      <c r="C114" s="15" t="s">
        <v>20</v>
      </c>
      <c r="D114" s="15" t="s">
        <v>22</v>
      </c>
      <c r="E114" s="15" t="s">
        <v>17</v>
      </c>
      <c r="F114" s="15"/>
      <c r="G114" s="87">
        <v>319.89999999999998</v>
      </c>
      <c r="H114" s="87"/>
      <c r="I114" s="15"/>
      <c r="J114" s="15" t="s">
        <v>568</v>
      </c>
      <c r="K114" s="87">
        <v>-14984.64</v>
      </c>
    </row>
    <row r="115" spans="1:11" hidden="1" x14ac:dyDescent="0.25">
      <c r="A115" s="86">
        <v>46101</v>
      </c>
      <c r="B115" s="15" t="s">
        <v>46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7">
        <v>63</v>
      </c>
      <c r="H115" s="87"/>
      <c r="I115" s="15"/>
      <c r="J115" s="15" t="s">
        <v>568</v>
      </c>
      <c r="K115" s="87">
        <v>-15047.64</v>
      </c>
    </row>
    <row r="116" spans="1:11" hidden="1" x14ac:dyDescent="0.25">
      <c r="A116" s="86">
        <v>46101</v>
      </c>
      <c r="B116" s="15" t="s">
        <v>403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7">
        <v>470</v>
      </c>
      <c r="H116" s="87"/>
      <c r="I116" s="15"/>
      <c r="J116" s="15" t="s">
        <v>568</v>
      </c>
      <c r="K116" s="87">
        <v>-15517.64</v>
      </c>
    </row>
    <row r="117" spans="1:11" x14ac:dyDescent="0.25">
      <c r="A117" s="86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7">
        <v>9783</v>
      </c>
      <c r="H117" s="87"/>
      <c r="I117" s="15"/>
      <c r="J117" s="15" t="s">
        <v>568</v>
      </c>
      <c r="K117" s="87">
        <v>-5734.6399999999976</v>
      </c>
    </row>
    <row r="118" spans="1:11" hidden="1" x14ac:dyDescent="0.25">
      <c r="A118" s="86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7">
        <v>294.89999999999998</v>
      </c>
      <c r="H118" s="87"/>
      <c r="I118" s="15"/>
      <c r="J118" s="15" t="s">
        <v>568</v>
      </c>
      <c r="K118" s="87">
        <v>-5439.739999999998</v>
      </c>
    </row>
    <row r="119" spans="1:11" hidden="1" x14ac:dyDescent="0.25">
      <c r="A119" s="86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7">
        <v>36</v>
      </c>
      <c r="H119" s="87"/>
      <c r="I119" s="15"/>
      <c r="J119" s="15" t="s">
        <v>568</v>
      </c>
      <c r="K119" s="87">
        <v>-5475.739999999998</v>
      </c>
    </row>
    <row r="120" spans="1:11" x14ac:dyDescent="0.25">
      <c r="A120" s="86">
        <v>46103</v>
      </c>
      <c r="B120" s="15" t="s">
        <v>31</v>
      </c>
      <c r="C120" s="15" t="s">
        <v>20</v>
      </c>
      <c r="D120" s="15" t="s">
        <v>13</v>
      </c>
      <c r="E120" s="15"/>
      <c r="F120" s="15"/>
      <c r="G120" s="87">
        <v>7913</v>
      </c>
      <c r="H120" s="87"/>
      <c r="I120" s="15"/>
      <c r="J120" s="15" t="s">
        <v>568</v>
      </c>
      <c r="K120" s="87">
        <v>2437.260000000002</v>
      </c>
    </row>
    <row r="121" spans="1:11" hidden="1" x14ac:dyDescent="0.25">
      <c r="A121" s="86">
        <v>46103</v>
      </c>
      <c r="B121" s="15" t="s">
        <v>45</v>
      </c>
      <c r="C121" s="15" t="s">
        <v>20</v>
      </c>
      <c r="D121" s="15" t="s">
        <v>22</v>
      </c>
      <c r="E121" s="15" t="s">
        <v>17</v>
      </c>
      <c r="F121" s="15"/>
      <c r="G121" s="87">
        <v>243.8</v>
      </c>
      <c r="H121" s="87"/>
      <c r="I121" s="15"/>
      <c r="J121" s="15" t="s">
        <v>568</v>
      </c>
      <c r="K121" s="87">
        <v>2681.0600000000022</v>
      </c>
    </row>
    <row r="122" spans="1:11" hidden="1" x14ac:dyDescent="0.25">
      <c r="A122" s="86">
        <v>46103</v>
      </c>
      <c r="B122" s="15" t="s">
        <v>46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7">
        <v>54</v>
      </c>
      <c r="H122" s="87"/>
      <c r="I122" s="15"/>
      <c r="J122" s="15" t="s">
        <v>568</v>
      </c>
      <c r="K122" s="87">
        <v>2627.0600000000022</v>
      </c>
    </row>
    <row r="123" spans="1:11" hidden="1" x14ac:dyDescent="0.25">
      <c r="A123" s="86">
        <v>46103</v>
      </c>
      <c r="B123" s="15" t="s">
        <v>403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7">
        <v>235</v>
      </c>
      <c r="H123" s="87"/>
      <c r="I123" s="15"/>
      <c r="J123" s="15" t="s">
        <v>568</v>
      </c>
      <c r="K123" s="87">
        <v>2392.0600000000022</v>
      </c>
    </row>
    <row r="124" spans="1:11" hidden="1" x14ac:dyDescent="0.25">
      <c r="A124" s="86">
        <v>46104</v>
      </c>
      <c r="B124" s="15" t="s">
        <v>529</v>
      </c>
      <c r="C124" s="15" t="s">
        <v>12</v>
      </c>
      <c r="D124" s="15" t="s">
        <v>19</v>
      </c>
      <c r="E124" s="15" t="s">
        <v>17</v>
      </c>
      <c r="F124" s="15"/>
      <c r="G124" s="87">
        <v>1737.35</v>
      </c>
      <c r="H124" s="87"/>
      <c r="I124" s="15"/>
      <c r="J124" s="15" t="s">
        <v>568</v>
      </c>
      <c r="K124" s="87">
        <v>654.71000000000231</v>
      </c>
    </row>
    <row r="125" spans="1:11" hidden="1" x14ac:dyDescent="0.25">
      <c r="A125" s="86">
        <v>46104</v>
      </c>
      <c r="B125" s="15" t="s">
        <v>420</v>
      </c>
      <c r="C125" s="15" t="s">
        <v>12</v>
      </c>
      <c r="D125" s="15" t="s">
        <v>19</v>
      </c>
      <c r="E125" s="15" t="s">
        <v>17</v>
      </c>
      <c r="F125" s="15"/>
      <c r="G125" s="87">
        <v>323.39</v>
      </c>
      <c r="H125" s="87"/>
      <c r="I125" s="15"/>
      <c r="J125" s="15" t="s">
        <v>568</v>
      </c>
      <c r="K125" s="87">
        <v>331.32000000000232</v>
      </c>
    </row>
    <row r="126" spans="1:11" x14ac:dyDescent="0.25">
      <c r="A126" s="86">
        <v>46104</v>
      </c>
      <c r="B126" s="15" t="s">
        <v>31</v>
      </c>
      <c r="C126" s="15" t="s">
        <v>20</v>
      </c>
      <c r="D126" s="15" t="s">
        <v>13</v>
      </c>
      <c r="E126" s="15"/>
      <c r="F126" s="15"/>
      <c r="G126" s="87">
        <v>1436</v>
      </c>
      <c r="H126" s="87"/>
      <c r="I126" s="15"/>
      <c r="J126" s="15" t="s">
        <v>568</v>
      </c>
      <c r="K126" s="87">
        <v>1767.320000000002</v>
      </c>
    </row>
    <row r="127" spans="1:11" hidden="1" x14ac:dyDescent="0.25">
      <c r="A127" s="86">
        <v>46104</v>
      </c>
      <c r="B127" s="15" t="s">
        <v>45</v>
      </c>
      <c r="C127" s="15" t="s">
        <v>20</v>
      </c>
      <c r="D127" s="15" t="s">
        <v>22</v>
      </c>
      <c r="E127" s="15" t="s">
        <v>17</v>
      </c>
      <c r="F127" s="15"/>
      <c r="G127" s="87">
        <v>39</v>
      </c>
      <c r="H127" s="87"/>
      <c r="I127" s="15"/>
      <c r="J127" s="15" t="s">
        <v>568</v>
      </c>
      <c r="K127" s="87">
        <v>1806.320000000002</v>
      </c>
    </row>
    <row r="128" spans="1:11" hidden="1" x14ac:dyDescent="0.25">
      <c r="A128" s="86">
        <v>46104</v>
      </c>
      <c r="B128" s="15" t="s">
        <v>46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7">
        <v>9</v>
      </c>
      <c r="H128" s="87"/>
      <c r="I128" s="15"/>
      <c r="J128" s="15" t="s">
        <v>568</v>
      </c>
      <c r="K128" s="87">
        <v>1797.320000000002</v>
      </c>
    </row>
    <row r="129" spans="1:11" hidden="1" x14ac:dyDescent="0.25">
      <c r="A129" s="86">
        <v>46104</v>
      </c>
      <c r="B129" s="15" t="s">
        <v>587</v>
      </c>
      <c r="C129" s="15" t="s">
        <v>12</v>
      </c>
      <c r="D129" s="15" t="s">
        <v>63</v>
      </c>
      <c r="E129" s="15" t="s">
        <v>17</v>
      </c>
      <c r="F129" s="15" t="s">
        <v>25</v>
      </c>
      <c r="G129" s="87">
        <v>577.70000000000005</v>
      </c>
      <c r="H129" s="87"/>
      <c r="I129" s="15"/>
      <c r="J129" s="15" t="s">
        <v>568</v>
      </c>
      <c r="K129" s="87">
        <v>1219.6200000000019</v>
      </c>
    </row>
    <row r="130" spans="1:11" hidden="1" x14ac:dyDescent="0.25">
      <c r="A130" s="86">
        <v>46104</v>
      </c>
      <c r="B130" s="15" t="s">
        <v>474</v>
      </c>
      <c r="C130" s="15" t="s">
        <v>12</v>
      </c>
      <c r="D130" s="15" t="s">
        <v>61</v>
      </c>
      <c r="E130" s="15" t="s">
        <v>17</v>
      </c>
      <c r="F130" s="15" t="s">
        <v>25</v>
      </c>
      <c r="G130" s="87">
        <v>348</v>
      </c>
      <c r="H130" s="87"/>
      <c r="I130" s="15"/>
      <c r="J130" s="15" t="s">
        <v>568</v>
      </c>
      <c r="K130" s="87">
        <v>871.62000000000239</v>
      </c>
    </row>
    <row r="131" spans="1:11" x14ac:dyDescent="0.25">
      <c r="A131" s="86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7">
        <v>1219</v>
      </c>
      <c r="H131" s="87"/>
      <c r="I131" s="15"/>
      <c r="J131" s="15" t="s">
        <v>568</v>
      </c>
      <c r="K131" s="87">
        <v>2090.6200000000031</v>
      </c>
    </row>
    <row r="132" spans="1:11" hidden="1" x14ac:dyDescent="0.25">
      <c r="A132" s="86">
        <v>46105</v>
      </c>
      <c r="B132" s="15" t="s">
        <v>479</v>
      </c>
      <c r="C132" s="15" t="s">
        <v>20</v>
      </c>
      <c r="D132" s="15" t="s">
        <v>22</v>
      </c>
      <c r="E132" s="15" t="s">
        <v>17</v>
      </c>
      <c r="F132" s="15"/>
      <c r="G132" s="87">
        <v>235.6</v>
      </c>
      <c r="H132" s="87"/>
      <c r="I132" s="15"/>
      <c r="J132" s="15" t="s">
        <v>568</v>
      </c>
      <c r="K132" s="87">
        <v>2326.220000000003</v>
      </c>
    </row>
    <row r="133" spans="1:11" hidden="1" x14ac:dyDescent="0.25">
      <c r="A133" s="86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7">
        <v>18</v>
      </c>
      <c r="H133" s="87"/>
      <c r="I133" s="15"/>
      <c r="J133" s="15" t="s">
        <v>568</v>
      </c>
      <c r="K133" s="87">
        <v>2308.220000000003</v>
      </c>
    </row>
    <row r="134" spans="1:11" hidden="1" x14ac:dyDescent="0.25">
      <c r="A134" s="86">
        <v>46105</v>
      </c>
      <c r="B134" s="15" t="s">
        <v>573</v>
      </c>
      <c r="C134" s="15" t="s">
        <v>12</v>
      </c>
      <c r="D134" s="15" t="s">
        <v>63</v>
      </c>
      <c r="E134" s="15" t="s">
        <v>14</v>
      </c>
      <c r="F134" s="15" t="s">
        <v>15</v>
      </c>
      <c r="G134" s="87">
        <v>15</v>
      </c>
      <c r="H134" s="87"/>
      <c r="I134" s="15"/>
      <c r="J134" s="15" t="s">
        <v>568</v>
      </c>
      <c r="K134" s="87">
        <v>2293.220000000003</v>
      </c>
    </row>
    <row r="135" spans="1:11" hidden="1" x14ac:dyDescent="0.25">
      <c r="A135" s="86">
        <v>46105</v>
      </c>
      <c r="B135" s="15" t="s">
        <v>588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7">
        <v>70</v>
      </c>
      <c r="H135" s="87"/>
      <c r="I135" s="15"/>
      <c r="J135" s="15" t="s">
        <v>568</v>
      </c>
      <c r="K135" s="87">
        <v>2223.220000000003</v>
      </c>
    </row>
    <row r="136" spans="1:11" hidden="1" x14ac:dyDescent="0.25">
      <c r="A136" s="86">
        <v>46105</v>
      </c>
      <c r="B136" s="15" t="s">
        <v>589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7">
        <v>250</v>
      </c>
      <c r="H136" s="87"/>
      <c r="I136" s="15"/>
      <c r="J136" s="15" t="s">
        <v>568</v>
      </c>
      <c r="K136" s="87">
        <v>1973.220000000003</v>
      </c>
    </row>
    <row r="137" spans="1:11" hidden="1" x14ac:dyDescent="0.25">
      <c r="A137" s="86">
        <v>46105</v>
      </c>
      <c r="B137" s="15" t="s">
        <v>114</v>
      </c>
      <c r="C137" s="15" t="s">
        <v>12</v>
      </c>
      <c r="D137" s="15" t="s">
        <v>63</v>
      </c>
      <c r="E137" s="15" t="s">
        <v>17</v>
      </c>
      <c r="F137" s="15"/>
      <c r="G137" s="87">
        <v>571.9</v>
      </c>
      <c r="H137" s="87"/>
      <c r="I137" s="15"/>
      <c r="J137" s="15" t="s">
        <v>568</v>
      </c>
      <c r="K137" s="87">
        <v>1401.320000000002</v>
      </c>
    </row>
    <row r="138" spans="1:11" hidden="1" x14ac:dyDescent="0.25">
      <c r="A138" s="86">
        <v>46105</v>
      </c>
      <c r="B138" s="15" t="s">
        <v>578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7">
        <v>203.5</v>
      </c>
      <c r="H138" s="87"/>
      <c r="I138" s="15"/>
      <c r="J138" s="15" t="s">
        <v>568</v>
      </c>
      <c r="K138" s="87">
        <v>1197.820000000002</v>
      </c>
    </row>
    <row r="139" spans="1:11" hidden="1" x14ac:dyDescent="0.25">
      <c r="A139" s="86">
        <v>46106</v>
      </c>
      <c r="B139" s="15" t="s">
        <v>353</v>
      </c>
      <c r="C139" s="15" t="s">
        <v>12</v>
      </c>
      <c r="D139" s="15" t="s">
        <v>19</v>
      </c>
      <c r="E139" s="15" t="s">
        <v>17</v>
      </c>
      <c r="F139" s="15"/>
      <c r="G139" s="87">
        <v>1139.44</v>
      </c>
      <c r="H139" s="87"/>
      <c r="I139" s="15"/>
      <c r="J139" s="15" t="s">
        <v>568</v>
      </c>
      <c r="K139" s="87">
        <v>58.380000000002383</v>
      </c>
    </row>
    <row r="140" spans="1:11" hidden="1" x14ac:dyDescent="0.25">
      <c r="A140" s="86">
        <v>46106</v>
      </c>
      <c r="B140" s="15" t="s">
        <v>533</v>
      </c>
      <c r="C140" s="15" t="s">
        <v>12</v>
      </c>
      <c r="D140" s="15" t="s">
        <v>329</v>
      </c>
      <c r="E140" s="15" t="s">
        <v>17</v>
      </c>
      <c r="F140" s="15"/>
      <c r="G140" s="87">
        <v>2295.73</v>
      </c>
      <c r="H140" s="87"/>
      <c r="I140" s="15"/>
      <c r="J140" s="15" t="s">
        <v>568</v>
      </c>
      <c r="K140" s="87">
        <v>-2237.3499999999981</v>
      </c>
    </row>
    <row r="141" spans="1:11" hidden="1" x14ac:dyDescent="0.25">
      <c r="A141" s="86">
        <v>46106</v>
      </c>
      <c r="B141" s="15" t="s">
        <v>306</v>
      </c>
      <c r="C141" s="15" t="s">
        <v>12</v>
      </c>
      <c r="D141" s="15" t="s">
        <v>69</v>
      </c>
      <c r="E141" s="15" t="s">
        <v>17</v>
      </c>
      <c r="F141" s="15"/>
      <c r="G141" s="87">
        <v>1000</v>
      </c>
      <c r="H141" s="87"/>
      <c r="I141" s="15"/>
      <c r="J141" s="15" t="s">
        <v>568</v>
      </c>
      <c r="K141" s="87">
        <v>-3237.3499999999981</v>
      </c>
    </row>
    <row r="142" spans="1:11" x14ac:dyDescent="0.25">
      <c r="A142" s="86">
        <v>46106</v>
      </c>
      <c r="B142" s="15" t="s">
        <v>31</v>
      </c>
      <c r="C142" s="15" t="s">
        <v>20</v>
      </c>
      <c r="D142" s="15" t="s">
        <v>13</v>
      </c>
      <c r="E142" s="15"/>
      <c r="F142" s="15"/>
      <c r="G142" s="87">
        <v>1612</v>
      </c>
      <c r="H142" s="87"/>
      <c r="I142" s="15"/>
      <c r="J142" s="15" t="s">
        <v>568</v>
      </c>
      <c r="K142" s="87">
        <v>-1625.3499999999981</v>
      </c>
    </row>
    <row r="143" spans="1:11" hidden="1" x14ac:dyDescent="0.25">
      <c r="A143" s="86">
        <v>46106</v>
      </c>
      <c r="B143" s="15" t="s">
        <v>45</v>
      </c>
      <c r="C143" s="15" t="s">
        <v>20</v>
      </c>
      <c r="D143" s="15" t="s">
        <v>22</v>
      </c>
      <c r="E143" s="15" t="s">
        <v>17</v>
      </c>
      <c r="F143" s="15"/>
      <c r="G143" s="87">
        <v>0</v>
      </c>
      <c r="H143" s="87"/>
      <c r="I143" s="15"/>
      <c r="J143" s="15" t="s">
        <v>568</v>
      </c>
      <c r="K143" s="87">
        <v>-1625.3499999999981</v>
      </c>
    </row>
    <row r="144" spans="1:11" hidden="1" x14ac:dyDescent="0.25">
      <c r="A144" s="86">
        <v>46106</v>
      </c>
      <c r="B144" s="15" t="s">
        <v>46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7">
        <v>9</v>
      </c>
      <c r="H144" s="87"/>
      <c r="I144" s="15"/>
      <c r="J144" s="15" t="s">
        <v>568</v>
      </c>
      <c r="K144" s="87">
        <v>-1634.3499999999981</v>
      </c>
    </row>
    <row r="145" spans="1:11" hidden="1" x14ac:dyDescent="0.25">
      <c r="A145" s="86">
        <v>46106</v>
      </c>
      <c r="B145" s="15" t="s">
        <v>403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7">
        <v>150</v>
      </c>
      <c r="H145" s="87"/>
      <c r="I145" s="15"/>
      <c r="J145" s="15" t="s">
        <v>568</v>
      </c>
      <c r="K145" s="87">
        <v>-1784.3499999999981</v>
      </c>
    </row>
    <row r="146" spans="1:11" x14ac:dyDescent="0.25">
      <c r="A146" s="86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7">
        <v>1525</v>
      </c>
      <c r="H146" s="87"/>
      <c r="I146" s="15"/>
      <c r="J146" s="15" t="s">
        <v>568</v>
      </c>
      <c r="K146" s="87">
        <v>-259.34999999999758</v>
      </c>
    </row>
    <row r="147" spans="1:11" hidden="1" x14ac:dyDescent="0.25">
      <c r="A147" s="86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7">
        <v>0</v>
      </c>
      <c r="H147" s="87"/>
      <c r="I147" s="15"/>
      <c r="J147" s="15" t="s">
        <v>568</v>
      </c>
      <c r="K147" s="87">
        <v>-259.34999999999758</v>
      </c>
    </row>
    <row r="148" spans="1:11" hidden="1" x14ac:dyDescent="0.25">
      <c r="A148" s="86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7">
        <v>9</v>
      </c>
      <c r="H148" s="87"/>
      <c r="I148" s="15"/>
      <c r="J148" s="15" t="s">
        <v>568</v>
      </c>
      <c r="K148" s="87">
        <v>-268.34999999999758</v>
      </c>
    </row>
    <row r="149" spans="1:11" hidden="1" x14ac:dyDescent="0.25">
      <c r="A149" s="86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7">
        <v>150</v>
      </c>
      <c r="H149" s="87"/>
      <c r="I149" s="15"/>
      <c r="J149" s="15" t="s">
        <v>568</v>
      </c>
      <c r="K149" s="87">
        <v>-418.34999999999758</v>
      </c>
    </row>
    <row r="150" spans="1:11" x14ac:dyDescent="0.25">
      <c r="A150" s="86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7">
        <v>3431</v>
      </c>
      <c r="H150" s="87"/>
      <c r="I150" s="15"/>
      <c r="J150" s="15" t="s">
        <v>568</v>
      </c>
      <c r="K150" s="87">
        <v>3012.6500000000019</v>
      </c>
    </row>
    <row r="151" spans="1:11" hidden="1" x14ac:dyDescent="0.25">
      <c r="A151" s="86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7">
        <v>246.1</v>
      </c>
      <c r="H151" s="87"/>
      <c r="I151" s="15"/>
      <c r="J151" s="15" t="s">
        <v>568</v>
      </c>
      <c r="K151" s="87">
        <v>3258.7500000000018</v>
      </c>
    </row>
    <row r="152" spans="1:11" hidden="1" x14ac:dyDescent="0.25">
      <c r="A152" s="86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7">
        <v>35</v>
      </c>
      <c r="H152" s="87"/>
      <c r="I152" s="15"/>
      <c r="J152" s="15" t="s">
        <v>568</v>
      </c>
      <c r="K152" s="87">
        <v>3223.7500000000018</v>
      </c>
    </row>
    <row r="153" spans="1:11" hidden="1" x14ac:dyDescent="0.25">
      <c r="A153" s="86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7">
        <v>329</v>
      </c>
      <c r="H153" s="87"/>
      <c r="I153" s="15"/>
      <c r="J153" s="15" t="s">
        <v>568</v>
      </c>
      <c r="K153" s="87">
        <v>2894.7500000000018</v>
      </c>
    </row>
    <row r="154" spans="1:11" hidden="1" x14ac:dyDescent="0.25">
      <c r="A154" s="86">
        <v>46108</v>
      </c>
      <c r="B154" s="15" t="s">
        <v>561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7">
        <v>218</v>
      </c>
      <c r="H154" s="87"/>
      <c r="I154" s="15"/>
      <c r="J154" s="15" t="s">
        <v>568</v>
      </c>
      <c r="K154" s="87">
        <v>2676.7500000000018</v>
      </c>
    </row>
    <row r="155" spans="1:11" hidden="1" x14ac:dyDescent="0.25">
      <c r="A155" s="86">
        <v>46108</v>
      </c>
      <c r="B155" s="15" t="s">
        <v>590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7">
        <v>1582.8</v>
      </c>
      <c r="H155" s="87"/>
      <c r="I155" s="15"/>
      <c r="J155" s="15" t="s">
        <v>568</v>
      </c>
      <c r="K155" s="87">
        <v>1093.9500000000021</v>
      </c>
    </row>
    <row r="156" spans="1:11" x14ac:dyDescent="0.25">
      <c r="A156" s="88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7">
        <v>7730</v>
      </c>
      <c r="H156" s="87"/>
      <c r="I156" s="15"/>
      <c r="J156" s="15" t="s">
        <v>568</v>
      </c>
      <c r="K156" s="87">
        <v>8823.9500000000025</v>
      </c>
    </row>
    <row r="157" spans="1:11" hidden="1" x14ac:dyDescent="0.25">
      <c r="A157" s="86">
        <v>46109</v>
      </c>
      <c r="B157" s="15" t="s">
        <v>45</v>
      </c>
      <c r="C157" s="15" t="s">
        <v>20</v>
      </c>
      <c r="D157" s="15" t="s">
        <v>22</v>
      </c>
      <c r="E157" s="15" t="s">
        <v>17</v>
      </c>
      <c r="F157" s="15"/>
      <c r="G157" s="87">
        <v>508.9</v>
      </c>
      <c r="H157" s="87"/>
      <c r="I157" s="15"/>
      <c r="J157" s="15" t="e">
        <v>#REF!</v>
      </c>
      <c r="K157" s="87">
        <v>9332.8500000000022</v>
      </c>
    </row>
    <row r="158" spans="1:11" hidden="1" x14ac:dyDescent="0.25">
      <c r="A158" s="86">
        <v>46109</v>
      </c>
      <c r="B158" s="15" t="s">
        <v>46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7">
        <v>54</v>
      </c>
      <c r="H158" s="87"/>
      <c r="I158" s="15"/>
      <c r="J158" s="15" t="s">
        <v>568</v>
      </c>
      <c r="K158" s="87">
        <v>9278.8500000000022</v>
      </c>
    </row>
    <row r="159" spans="1:11" hidden="1" x14ac:dyDescent="0.25">
      <c r="A159" s="86">
        <v>46109</v>
      </c>
      <c r="B159" s="15" t="s">
        <v>591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7">
        <v>120</v>
      </c>
      <c r="H159" s="87"/>
      <c r="I159" s="15"/>
      <c r="J159" s="15" t="s">
        <v>568</v>
      </c>
      <c r="K159" s="87">
        <v>9158.8500000000022</v>
      </c>
    </row>
    <row r="160" spans="1:11" x14ac:dyDescent="0.25">
      <c r="A160" s="86">
        <v>46110</v>
      </c>
      <c r="B160" s="15" t="s">
        <v>31</v>
      </c>
      <c r="C160" s="15" t="s">
        <v>20</v>
      </c>
      <c r="D160" s="15" t="s">
        <v>13</v>
      </c>
      <c r="E160" s="15"/>
      <c r="F160" s="15"/>
      <c r="G160" s="87">
        <v>7825</v>
      </c>
      <c r="H160" s="87"/>
      <c r="I160" s="15"/>
      <c r="J160" s="15" t="s">
        <v>568</v>
      </c>
      <c r="K160" s="87">
        <v>16983.849999999999</v>
      </c>
    </row>
    <row r="161" spans="1:11" hidden="1" x14ac:dyDescent="0.25">
      <c r="A161" s="86">
        <v>46110</v>
      </c>
      <c r="B161" s="15" t="s">
        <v>45</v>
      </c>
      <c r="C161" s="15" t="s">
        <v>20</v>
      </c>
      <c r="D161" s="15" t="s">
        <v>22</v>
      </c>
      <c r="E161" s="15" t="s">
        <v>17</v>
      </c>
      <c r="F161" s="15"/>
      <c r="G161" s="87">
        <v>619</v>
      </c>
      <c r="H161" s="87"/>
      <c r="I161" s="15"/>
      <c r="J161" s="15" t="s">
        <v>568</v>
      </c>
      <c r="K161" s="87">
        <v>17602.849999999999</v>
      </c>
    </row>
    <row r="162" spans="1:11" hidden="1" x14ac:dyDescent="0.25">
      <c r="A162" s="86">
        <v>46110</v>
      </c>
      <c r="B162" s="15" t="s">
        <v>46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7">
        <v>71</v>
      </c>
      <c r="H162" s="87"/>
      <c r="I162" s="15"/>
      <c r="J162" s="15" t="s">
        <v>568</v>
      </c>
      <c r="K162" s="87">
        <v>17531.849999999999</v>
      </c>
    </row>
    <row r="163" spans="1:11" hidden="1" x14ac:dyDescent="0.25">
      <c r="A163" s="86">
        <v>46110</v>
      </c>
      <c r="B163" s="15" t="s">
        <v>403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7">
        <v>94</v>
      </c>
      <c r="H163" s="87"/>
      <c r="I163" s="15"/>
      <c r="J163" s="15" t="s">
        <v>568</v>
      </c>
      <c r="K163" s="87">
        <v>17437.849999999999</v>
      </c>
    </row>
    <row r="164" spans="1:11" x14ac:dyDescent="0.25">
      <c r="A164" s="86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7">
        <v>980</v>
      </c>
      <c r="H164" s="87"/>
      <c r="I164" s="15"/>
      <c r="J164" s="15" t="s">
        <v>568</v>
      </c>
      <c r="K164" s="87">
        <v>18417.849999999999</v>
      </c>
    </row>
    <row r="165" spans="1:11" hidden="1" x14ac:dyDescent="0.25">
      <c r="A165" s="86">
        <v>46111</v>
      </c>
      <c r="B165" s="15" t="s">
        <v>479</v>
      </c>
      <c r="C165" s="15" t="s">
        <v>20</v>
      </c>
      <c r="D165" s="15" t="s">
        <v>22</v>
      </c>
      <c r="E165" s="15" t="s">
        <v>17</v>
      </c>
      <c r="F165" s="15"/>
      <c r="G165" s="87">
        <v>0</v>
      </c>
      <c r="H165" s="87"/>
      <c r="I165" s="15"/>
      <c r="J165" s="15" t="s">
        <v>568</v>
      </c>
      <c r="K165" s="87">
        <v>18417.849999999999</v>
      </c>
    </row>
    <row r="166" spans="1:11" hidden="1" x14ac:dyDescent="0.25">
      <c r="A166" s="86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7">
        <v>0</v>
      </c>
      <c r="H166" s="87"/>
      <c r="I166" s="15"/>
      <c r="J166" s="15" t="s">
        <v>568</v>
      </c>
      <c r="K166" s="87">
        <v>18417.849999999999</v>
      </c>
    </row>
    <row r="167" spans="1:11" hidden="1" x14ac:dyDescent="0.25">
      <c r="A167" s="86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7">
        <v>329</v>
      </c>
      <c r="H167" s="87"/>
      <c r="I167" s="15"/>
      <c r="J167" s="15" t="s">
        <v>568</v>
      </c>
      <c r="K167" s="87">
        <v>18088.849999999999</v>
      </c>
    </row>
    <row r="168" spans="1:11" hidden="1" x14ac:dyDescent="0.25">
      <c r="A168" s="86">
        <v>46111</v>
      </c>
      <c r="B168" s="15" t="s">
        <v>372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7">
        <v>639</v>
      </c>
      <c r="H168" s="87"/>
      <c r="I168" s="15"/>
      <c r="J168" s="15" t="s">
        <v>568</v>
      </c>
      <c r="K168" s="87">
        <v>17449.849999999999</v>
      </c>
    </row>
    <row r="169" spans="1:11" hidden="1" x14ac:dyDescent="0.25">
      <c r="A169" s="86">
        <v>46111</v>
      </c>
      <c r="B169" s="15" t="s">
        <v>578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7">
        <v>382.5</v>
      </c>
      <c r="H169" s="87"/>
      <c r="I169" s="15"/>
      <c r="J169" s="15" t="s">
        <v>568</v>
      </c>
      <c r="K169" s="87">
        <v>17067.349999999999</v>
      </c>
    </row>
    <row r="170" spans="1:11" hidden="1" x14ac:dyDescent="0.25">
      <c r="A170" s="86">
        <v>46111</v>
      </c>
      <c r="B170" s="15" t="s">
        <v>592</v>
      </c>
      <c r="C170" s="15" t="s">
        <v>12</v>
      </c>
      <c r="D170" s="15" t="s">
        <v>65</v>
      </c>
      <c r="E170" s="15" t="s">
        <v>17</v>
      </c>
      <c r="F170" s="15" t="s">
        <v>25</v>
      </c>
      <c r="G170" s="87">
        <v>240</v>
      </c>
      <c r="H170" s="87"/>
      <c r="I170" s="15"/>
      <c r="J170" s="15" t="s">
        <v>568</v>
      </c>
      <c r="K170" s="87">
        <v>16827.349999999999</v>
      </c>
    </row>
    <row r="171" spans="1:11" hidden="1" x14ac:dyDescent="0.25">
      <c r="A171" s="86">
        <v>46111</v>
      </c>
      <c r="B171" s="15" t="s">
        <v>285</v>
      </c>
      <c r="C171" s="15" t="s">
        <v>12</v>
      </c>
      <c r="D171" s="15" t="s">
        <v>19</v>
      </c>
      <c r="E171" s="15" t="s">
        <v>17</v>
      </c>
      <c r="F171" s="15"/>
      <c r="G171" s="87">
        <v>211.23</v>
      </c>
      <c r="H171" s="87"/>
      <c r="I171" s="15"/>
      <c r="J171" s="15" t="s">
        <v>568</v>
      </c>
      <c r="K171" s="87">
        <v>16616.12</v>
      </c>
    </row>
    <row r="172" spans="1:11" hidden="1" x14ac:dyDescent="0.25">
      <c r="A172" s="86">
        <v>46111</v>
      </c>
      <c r="B172" s="15" t="s">
        <v>285</v>
      </c>
      <c r="C172" s="15" t="s">
        <v>12</v>
      </c>
      <c r="D172" s="15" t="s">
        <v>19</v>
      </c>
      <c r="E172" s="15" t="s">
        <v>17</v>
      </c>
      <c r="F172" s="15"/>
      <c r="G172" s="87">
        <v>416.99</v>
      </c>
      <c r="H172" s="87"/>
      <c r="I172" s="15"/>
      <c r="J172" s="15" t="s">
        <v>568</v>
      </c>
      <c r="K172" s="87">
        <v>16199.13</v>
      </c>
    </row>
    <row r="173" spans="1:11" hidden="1" x14ac:dyDescent="0.25">
      <c r="A173" s="86">
        <v>46112</v>
      </c>
      <c r="B173" s="15" t="s">
        <v>445</v>
      </c>
      <c r="C173" s="15" t="s">
        <v>12</v>
      </c>
      <c r="D173" s="15" t="s">
        <v>59</v>
      </c>
      <c r="E173" s="15" t="s">
        <v>17</v>
      </c>
      <c r="F173" s="15"/>
      <c r="G173" s="87">
        <v>67.62</v>
      </c>
      <c r="H173" s="87"/>
      <c r="I173" s="15"/>
      <c r="J173" s="15" t="s">
        <v>568</v>
      </c>
      <c r="K173" s="87">
        <v>16131.51</v>
      </c>
    </row>
    <row r="174" spans="1:11" hidden="1" x14ac:dyDescent="0.25">
      <c r="A174" s="86">
        <v>46112</v>
      </c>
      <c r="B174" s="15" t="s">
        <v>305</v>
      </c>
      <c r="C174" s="15" t="s">
        <v>12</v>
      </c>
      <c r="D174" s="15" t="s">
        <v>40</v>
      </c>
      <c r="E174" s="15" t="s">
        <v>17</v>
      </c>
      <c r="F174" s="15"/>
      <c r="G174" s="87">
        <v>374.92</v>
      </c>
      <c r="H174" s="87"/>
      <c r="I174" s="15"/>
      <c r="J174" s="15" t="s">
        <v>568</v>
      </c>
      <c r="K174" s="87">
        <v>15756.59</v>
      </c>
    </row>
    <row r="175" spans="1:11" hidden="1" x14ac:dyDescent="0.25">
      <c r="A175" s="86">
        <v>46112</v>
      </c>
      <c r="B175" s="15" t="s">
        <v>306</v>
      </c>
      <c r="C175" s="15" t="s">
        <v>12</v>
      </c>
      <c r="D175" s="15" t="s">
        <v>69</v>
      </c>
      <c r="E175" s="15" t="s">
        <v>17</v>
      </c>
      <c r="F175" s="15" t="s">
        <v>25</v>
      </c>
      <c r="G175" s="87">
        <v>600</v>
      </c>
      <c r="H175" s="87"/>
      <c r="I175" s="15"/>
      <c r="J175" s="15" t="s">
        <v>568</v>
      </c>
      <c r="K175" s="87">
        <v>15156.59</v>
      </c>
    </row>
    <row r="176" spans="1:11" hidden="1" x14ac:dyDescent="0.25">
      <c r="A176" s="86">
        <v>46112</v>
      </c>
      <c r="B176" s="15" t="s">
        <v>371</v>
      </c>
      <c r="C176" s="15" t="s">
        <v>12</v>
      </c>
      <c r="D176" s="15" t="s">
        <v>19</v>
      </c>
      <c r="E176" s="15" t="s">
        <v>17</v>
      </c>
      <c r="F176" s="15"/>
      <c r="G176" s="87">
        <v>2664</v>
      </c>
      <c r="H176" s="87"/>
      <c r="I176" s="15"/>
      <c r="J176" s="15" t="s">
        <v>568</v>
      </c>
      <c r="K176" s="87">
        <v>12492.59</v>
      </c>
    </row>
    <row r="177" spans="1:11" hidden="1" x14ac:dyDescent="0.25">
      <c r="A177" s="86">
        <v>46112</v>
      </c>
      <c r="B177" s="15" t="s">
        <v>371</v>
      </c>
      <c r="C177" s="15" t="s">
        <v>12</v>
      </c>
      <c r="D177" s="15" t="s">
        <v>19</v>
      </c>
      <c r="E177" s="15" t="s">
        <v>17</v>
      </c>
      <c r="F177" s="15"/>
      <c r="G177" s="87">
        <v>308.14999999999998</v>
      </c>
      <c r="H177" s="87"/>
      <c r="I177" s="15"/>
      <c r="J177" s="15" t="s">
        <v>568</v>
      </c>
      <c r="K177" s="87">
        <v>12184.44</v>
      </c>
    </row>
    <row r="178" spans="1:11" hidden="1" x14ac:dyDescent="0.25">
      <c r="A178" s="88">
        <v>46112</v>
      </c>
      <c r="B178" s="15" t="s">
        <v>571</v>
      </c>
      <c r="C178" s="15" t="s">
        <v>12</v>
      </c>
      <c r="D178" s="15" t="s">
        <v>40</v>
      </c>
      <c r="E178" s="15" t="s">
        <v>14</v>
      </c>
      <c r="F178" s="15" t="s">
        <v>15</v>
      </c>
      <c r="G178" s="87">
        <v>2976.15</v>
      </c>
      <c r="H178" s="87"/>
      <c r="I178" s="15"/>
      <c r="J178" s="15" t="s">
        <v>568</v>
      </c>
      <c r="K178" s="87">
        <v>9208.2900000000027</v>
      </c>
    </row>
    <row r="179" spans="1:11" hidden="1" x14ac:dyDescent="0.25">
      <c r="A179" s="86">
        <v>46112</v>
      </c>
      <c r="B179" s="15" t="s">
        <v>566</v>
      </c>
      <c r="C179" s="15" t="s">
        <v>12</v>
      </c>
      <c r="D179" s="15" t="s">
        <v>27</v>
      </c>
      <c r="E179" s="15" t="s">
        <v>17</v>
      </c>
      <c r="F179" s="15"/>
      <c r="G179" s="87">
        <v>2386.67</v>
      </c>
      <c r="H179" s="87"/>
      <c r="I179" s="15"/>
      <c r="J179" s="15" t="s">
        <v>568</v>
      </c>
      <c r="K179" s="87">
        <v>6821.6200000000026</v>
      </c>
    </row>
    <row r="180" spans="1:11" x14ac:dyDescent="0.25">
      <c r="A180" s="86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7">
        <v>601</v>
      </c>
      <c r="H180" s="87"/>
      <c r="I180" s="15"/>
      <c r="J180" s="15" t="s">
        <v>568</v>
      </c>
      <c r="K180" s="87">
        <v>7422.6200000000026</v>
      </c>
    </row>
    <row r="181" spans="1:11" hidden="1" x14ac:dyDescent="0.25">
      <c r="A181" s="86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7">
        <v>0</v>
      </c>
      <c r="H181" s="87"/>
      <c r="I181" s="15"/>
      <c r="J181" s="15" t="s">
        <v>568</v>
      </c>
      <c r="K181" s="87">
        <v>7422.6200000000026</v>
      </c>
    </row>
    <row r="182" spans="1:11" hidden="1" x14ac:dyDescent="0.25">
      <c r="A182" s="86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7">
        <v>8</v>
      </c>
      <c r="H182" s="87"/>
      <c r="I182" s="15"/>
      <c r="J182" s="15" t="s">
        <v>568</v>
      </c>
      <c r="K182" s="87">
        <v>7414.6200000000026</v>
      </c>
    </row>
    <row r="183" spans="1:11" hidden="1" x14ac:dyDescent="0.25">
      <c r="A183" s="86">
        <v>46112</v>
      </c>
      <c r="B183" s="15" t="s">
        <v>120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7">
        <v>50</v>
      </c>
      <c r="H183" s="87"/>
      <c r="I183" s="15"/>
      <c r="J183" s="15" t="s">
        <v>568</v>
      </c>
      <c r="K183" s="87">
        <v>7364.6200000000026</v>
      </c>
    </row>
    <row r="184" spans="1:11" hidden="1" x14ac:dyDescent="0.25">
      <c r="A184" s="86">
        <v>46112</v>
      </c>
      <c r="B184" s="15" t="s">
        <v>492</v>
      </c>
      <c r="C184" s="15" t="s">
        <v>12</v>
      </c>
      <c r="D184" s="15" t="s">
        <v>40</v>
      </c>
      <c r="E184" s="15" t="s">
        <v>17</v>
      </c>
      <c r="F184" s="15" t="s">
        <v>25</v>
      </c>
      <c r="G184" s="87">
        <v>150</v>
      </c>
      <c r="H184" s="87"/>
      <c r="I184" s="15"/>
      <c r="J184" s="15" t="s">
        <v>568</v>
      </c>
      <c r="K184" s="87">
        <v>7214.6200000000026</v>
      </c>
    </row>
    <row r="185" spans="1:11" hidden="1" x14ac:dyDescent="0.25">
      <c r="A185" s="86">
        <v>46112</v>
      </c>
      <c r="B185" s="15" t="s">
        <v>593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7">
        <v>19</v>
      </c>
      <c r="H185" s="87"/>
      <c r="I185" s="15"/>
      <c r="J185" s="15" t="s">
        <v>568</v>
      </c>
      <c r="K185" s="87">
        <v>7195.6200000000026</v>
      </c>
    </row>
    <row r="186" spans="1:11" hidden="1" x14ac:dyDescent="0.25">
      <c r="A186" s="86">
        <v>46112</v>
      </c>
      <c r="B186" s="15" t="s">
        <v>594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7">
        <v>80</v>
      </c>
      <c r="H186" s="87"/>
      <c r="I186" s="15"/>
      <c r="J186" s="15" t="s">
        <v>568</v>
      </c>
      <c r="K186" s="87">
        <v>7115.6200000000026</v>
      </c>
    </row>
    <row r="187" spans="1:11" hidden="1" x14ac:dyDescent="0.25">
      <c r="A187" s="86">
        <v>46112</v>
      </c>
      <c r="B187" s="15" t="s">
        <v>595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7">
        <v>399.5</v>
      </c>
      <c r="H187" s="87"/>
      <c r="I187" s="15"/>
      <c r="J187" s="15" t="s">
        <v>568</v>
      </c>
      <c r="K187" s="87">
        <v>6716.1200000000026</v>
      </c>
    </row>
    <row r="188" spans="1:11" hidden="1" x14ac:dyDescent="0.25">
      <c r="A188" s="86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7">
        <v>13185</v>
      </c>
      <c r="H188" s="87"/>
      <c r="I188" s="15"/>
      <c r="J188" s="15" t="s">
        <v>568</v>
      </c>
      <c r="K188" s="87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8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596</v>
      </c>
      <c r="K2" s="24">
        <v>3280</v>
      </c>
    </row>
    <row r="3" spans="1:11" x14ac:dyDescent="0.25">
      <c r="A3" s="78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596</v>
      </c>
      <c r="K3" s="24">
        <v>3453.6</v>
      </c>
    </row>
    <row r="4" spans="1:11" x14ac:dyDescent="0.25">
      <c r="A4" s="78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596</v>
      </c>
      <c r="K4" s="24">
        <v>3418.6</v>
      </c>
    </row>
    <row r="5" spans="1:11" x14ac:dyDescent="0.25">
      <c r="A5" s="78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596</v>
      </c>
      <c r="K5" s="24">
        <v>3230.6</v>
      </c>
    </row>
    <row r="6" spans="1:11" x14ac:dyDescent="0.25">
      <c r="A6" s="78">
        <v>46113</v>
      </c>
      <c r="B6" s="21" t="s">
        <v>597</v>
      </c>
      <c r="C6" s="21" t="s">
        <v>12</v>
      </c>
      <c r="D6" s="21" t="s">
        <v>34</v>
      </c>
      <c r="E6" s="21" t="s">
        <v>14</v>
      </c>
      <c r="F6" s="21" t="s">
        <v>15</v>
      </c>
      <c r="G6" s="24">
        <v>15</v>
      </c>
      <c r="H6" s="24"/>
      <c r="J6" s="21" t="s">
        <v>596</v>
      </c>
      <c r="K6" s="24">
        <v>3215.6</v>
      </c>
    </row>
    <row r="7" spans="1:11" x14ac:dyDescent="0.25">
      <c r="A7" s="78">
        <v>46114</v>
      </c>
      <c r="B7" s="21" t="s">
        <v>356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596</v>
      </c>
      <c r="K7" s="24">
        <v>2731.55</v>
      </c>
    </row>
    <row r="8" spans="1:11" x14ac:dyDescent="0.25">
      <c r="A8" s="78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596</v>
      </c>
      <c r="K8" s="24">
        <v>7841.5499999999993</v>
      </c>
    </row>
    <row r="9" spans="1:11" x14ac:dyDescent="0.25">
      <c r="A9" s="78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596</v>
      </c>
      <c r="K9" s="24">
        <v>7939.0499999999993</v>
      </c>
    </row>
    <row r="10" spans="1:11" x14ac:dyDescent="0.25">
      <c r="A10" s="78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596</v>
      </c>
      <c r="K10" s="24">
        <v>7912.0499999999993</v>
      </c>
    </row>
    <row r="11" spans="1:11" x14ac:dyDescent="0.25">
      <c r="A11" s="78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596</v>
      </c>
      <c r="K11" s="24">
        <v>7912.0499999999993</v>
      </c>
    </row>
    <row r="12" spans="1:11" x14ac:dyDescent="0.25">
      <c r="A12" s="78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596</v>
      </c>
      <c r="K12" s="24">
        <v>15758.05</v>
      </c>
    </row>
    <row r="13" spans="1:11" x14ac:dyDescent="0.25">
      <c r="A13" s="78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596</v>
      </c>
      <c r="K13" s="24">
        <v>15977.15</v>
      </c>
    </row>
    <row r="14" spans="1:11" x14ac:dyDescent="0.25">
      <c r="A14" s="78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596</v>
      </c>
      <c r="K14" s="24">
        <v>15941.15</v>
      </c>
    </row>
    <row r="15" spans="1:11" x14ac:dyDescent="0.25">
      <c r="A15" s="78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596</v>
      </c>
      <c r="K15" s="24">
        <v>15565.15</v>
      </c>
    </row>
    <row r="16" spans="1:11" x14ac:dyDescent="0.25">
      <c r="A16" s="78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596</v>
      </c>
      <c r="K16" s="24">
        <v>25341.15</v>
      </c>
    </row>
    <row r="17" spans="1:11" x14ac:dyDescent="0.25">
      <c r="A17" s="78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596</v>
      </c>
      <c r="K17" s="24">
        <v>25399.65</v>
      </c>
    </row>
    <row r="18" spans="1:11" x14ac:dyDescent="0.25">
      <c r="A18" s="78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596</v>
      </c>
      <c r="K18" s="24">
        <v>25390.65</v>
      </c>
    </row>
    <row r="19" spans="1:11" x14ac:dyDescent="0.25">
      <c r="A19" s="78">
        <v>46119</v>
      </c>
      <c r="B19" s="21" t="s">
        <v>598</v>
      </c>
      <c r="C19" s="21" t="s">
        <v>12</v>
      </c>
      <c r="D19" s="21" t="s">
        <v>63</v>
      </c>
      <c r="E19" s="21" t="s">
        <v>14</v>
      </c>
      <c r="F19" s="21" t="s">
        <v>15</v>
      </c>
      <c r="G19" s="24">
        <v>132</v>
      </c>
      <c r="H19" s="24"/>
      <c r="J19" s="21" t="s">
        <v>596</v>
      </c>
      <c r="K19" s="24">
        <v>25258.65</v>
      </c>
    </row>
    <row r="20" spans="1:11" x14ac:dyDescent="0.25">
      <c r="A20" s="78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596</v>
      </c>
      <c r="K20" s="24">
        <v>30459.65</v>
      </c>
    </row>
    <row r="21" spans="1:11" x14ac:dyDescent="0.25">
      <c r="A21" s="78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596</v>
      </c>
      <c r="K21" s="24">
        <v>30582.95</v>
      </c>
    </row>
    <row r="22" spans="1:11" x14ac:dyDescent="0.25">
      <c r="A22" s="78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596</v>
      </c>
      <c r="K22" s="24">
        <v>30555.95</v>
      </c>
    </row>
    <row r="23" spans="1:11" x14ac:dyDescent="0.25">
      <c r="A23" s="78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596</v>
      </c>
      <c r="K23" s="24">
        <v>30461.95</v>
      </c>
    </row>
    <row r="24" spans="1:11" x14ac:dyDescent="0.25">
      <c r="A24" s="78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596</v>
      </c>
      <c r="K24" s="24">
        <v>31933.95</v>
      </c>
    </row>
    <row r="25" spans="1:11" x14ac:dyDescent="0.25">
      <c r="A25" s="78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596</v>
      </c>
      <c r="K25" s="24">
        <v>31933.95</v>
      </c>
    </row>
    <row r="26" spans="1:11" x14ac:dyDescent="0.25">
      <c r="A26" s="78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596</v>
      </c>
      <c r="K26" s="24">
        <v>31933.95</v>
      </c>
    </row>
    <row r="27" spans="1:11" x14ac:dyDescent="0.25">
      <c r="A27" s="78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596</v>
      </c>
      <c r="K27" s="24">
        <v>31933.95</v>
      </c>
    </row>
    <row r="28" spans="1:11" x14ac:dyDescent="0.25">
      <c r="A28" s="78">
        <v>46118</v>
      </c>
      <c r="B28" s="21" t="s">
        <v>323</v>
      </c>
      <c r="C28" s="21" t="s">
        <v>12</v>
      </c>
      <c r="D28" s="21" t="s">
        <v>40</v>
      </c>
      <c r="E28" s="21" t="s">
        <v>17</v>
      </c>
      <c r="F28" s="21"/>
      <c r="G28" s="24">
        <v>8918.64</v>
      </c>
      <c r="H28" s="24"/>
      <c r="J28" s="21" t="s">
        <v>596</v>
      </c>
      <c r="K28" s="24">
        <v>23015.31</v>
      </c>
    </row>
    <row r="29" spans="1:11" x14ac:dyDescent="0.25">
      <c r="A29" s="78">
        <v>46118</v>
      </c>
      <c r="B29" s="21" t="s">
        <v>324</v>
      </c>
      <c r="C29" s="21" t="s">
        <v>12</v>
      </c>
      <c r="D29" s="21" t="s">
        <v>40</v>
      </c>
      <c r="E29" s="21" t="s">
        <v>17</v>
      </c>
      <c r="F29" s="21" t="s">
        <v>25</v>
      </c>
      <c r="G29" s="24">
        <v>94.6</v>
      </c>
      <c r="H29" s="24"/>
      <c r="J29" s="21" t="s">
        <v>596</v>
      </c>
      <c r="K29" s="24">
        <v>22920.71</v>
      </c>
    </row>
    <row r="30" spans="1:11" x14ac:dyDescent="0.25">
      <c r="A30" s="78">
        <v>46118</v>
      </c>
      <c r="B30" s="21" t="s">
        <v>42</v>
      </c>
      <c r="C30" s="21" t="s">
        <v>12</v>
      </c>
      <c r="D30" s="21" t="s">
        <v>40</v>
      </c>
      <c r="E30" s="21" t="s">
        <v>17</v>
      </c>
      <c r="F30" s="21"/>
      <c r="G30" s="24">
        <v>100</v>
      </c>
      <c r="H30" s="24"/>
      <c r="J30" s="21" t="s">
        <v>596</v>
      </c>
      <c r="K30" s="24">
        <v>22820.71</v>
      </c>
    </row>
    <row r="31" spans="1:11" x14ac:dyDescent="0.25">
      <c r="A31" s="78">
        <v>46118</v>
      </c>
      <c r="B31" s="21" t="s">
        <v>599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596</v>
      </c>
      <c r="K31" s="24">
        <v>18820.71</v>
      </c>
    </row>
    <row r="32" spans="1:11" x14ac:dyDescent="0.25">
      <c r="A32" s="78">
        <v>46118</v>
      </c>
      <c r="B32" s="21" t="s">
        <v>371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596</v>
      </c>
      <c r="K32" s="24">
        <v>17746.71</v>
      </c>
    </row>
    <row r="33" spans="1:11" x14ac:dyDescent="0.25">
      <c r="A33" s="78">
        <v>46118</v>
      </c>
      <c r="B33" s="21" t="s">
        <v>371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596</v>
      </c>
      <c r="K33" s="24">
        <v>16037.93</v>
      </c>
    </row>
    <row r="34" spans="1:11" x14ac:dyDescent="0.25">
      <c r="A34" s="78">
        <v>46118</v>
      </c>
      <c r="B34" s="21" t="s">
        <v>356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596</v>
      </c>
      <c r="K34" s="24">
        <v>15638.21</v>
      </c>
    </row>
    <row r="35" spans="1:11" x14ac:dyDescent="0.25">
      <c r="A35" s="78">
        <v>46118</v>
      </c>
      <c r="B35" s="21" t="s">
        <v>600</v>
      </c>
      <c r="C35" s="21" t="s">
        <v>12</v>
      </c>
      <c r="D35" s="21" t="s">
        <v>63</v>
      </c>
      <c r="E35" s="21" t="s">
        <v>17</v>
      </c>
      <c r="F35" s="21"/>
      <c r="G35" s="24">
        <v>537</v>
      </c>
      <c r="H35" s="24"/>
      <c r="J35" s="21" t="s">
        <v>596</v>
      </c>
      <c r="K35" s="24">
        <v>15101.21</v>
      </c>
    </row>
    <row r="36" spans="1:11" x14ac:dyDescent="0.25">
      <c r="A36" s="78">
        <v>46118</v>
      </c>
      <c r="B36" s="21" t="s">
        <v>601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596</v>
      </c>
      <c r="K36" s="24">
        <v>7524.0500000000029</v>
      </c>
    </row>
    <row r="37" spans="1:11" x14ac:dyDescent="0.25">
      <c r="A37" s="78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596</v>
      </c>
      <c r="K37" s="24">
        <v>9158.0500000000029</v>
      </c>
    </row>
    <row r="38" spans="1:11" x14ac:dyDescent="0.25">
      <c r="A38" s="78">
        <v>46119</v>
      </c>
      <c r="B38" s="21" t="s">
        <v>479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596</v>
      </c>
      <c r="K38" s="24">
        <v>9158.0500000000029</v>
      </c>
    </row>
    <row r="39" spans="1:11" x14ac:dyDescent="0.25">
      <c r="A39" s="78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596</v>
      </c>
      <c r="K39" s="24">
        <v>9158.0500000000029</v>
      </c>
    </row>
    <row r="40" spans="1:11" x14ac:dyDescent="0.25">
      <c r="A40" s="78">
        <v>46120</v>
      </c>
      <c r="B40" s="21" t="s">
        <v>602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596</v>
      </c>
      <c r="K40" s="24">
        <v>8468.8000000000029</v>
      </c>
    </row>
    <row r="41" spans="1:11" x14ac:dyDescent="0.25">
      <c r="A41" s="78">
        <v>46120</v>
      </c>
      <c r="B41" s="21" t="s">
        <v>407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596</v>
      </c>
      <c r="K41" s="24">
        <v>7713.8000000000029</v>
      </c>
    </row>
    <row r="42" spans="1:11" x14ac:dyDescent="0.25">
      <c r="A42" s="78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596</v>
      </c>
      <c r="K42" s="24">
        <v>8614.8000000000029</v>
      </c>
    </row>
    <row r="43" spans="1:11" x14ac:dyDescent="0.25">
      <c r="A43" s="78">
        <v>46120</v>
      </c>
      <c r="B43" s="21" t="s">
        <v>479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596</v>
      </c>
      <c r="K43" s="24">
        <v>8681.4000000000033</v>
      </c>
    </row>
    <row r="44" spans="1:11" x14ac:dyDescent="0.25">
      <c r="A44" s="78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596</v>
      </c>
      <c r="K44" s="24">
        <v>8672.4000000000033</v>
      </c>
    </row>
    <row r="45" spans="1:11" x14ac:dyDescent="0.25">
      <c r="A45" s="78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596</v>
      </c>
      <c r="K45" s="24">
        <v>8672.4000000000033</v>
      </c>
    </row>
    <row r="46" spans="1:11" x14ac:dyDescent="0.25">
      <c r="A46" s="78">
        <v>46121</v>
      </c>
      <c r="B46" s="21" t="s">
        <v>603</v>
      </c>
      <c r="C46" s="21" t="s">
        <v>12</v>
      </c>
      <c r="D46" s="21" t="s">
        <v>66</v>
      </c>
      <c r="E46" s="21" t="s">
        <v>17</v>
      </c>
      <c r="F46" s="21" t="s">
        <v>25</v>
      </c>
      <c r="G46" s="24">
        <v>45</v>
      </c>
      <c r="H46" s="24"/>
      <c r="J46" s="21" t="s">
        <v>596</v>
      </c>
      <c r="K46" s="24">
        <v>8627.4000000000033</v>
      </c>
    </row>
    <row r="47" spans="1:11" x14ac:dyDescent="0.25">
      <c r="A47" s="78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596</v>
      </c>
      <c r="K47" s="24">
        <v>10236.4</v>
      </c>
    </row>
    <row r="48" spans="1:11" x14ac:dyDescent="0.25">
      <c r="A48" s="78">
        <v>46121</v>
      </c>
      <c r="B48" s="21" t="s">
        <v>479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596</v>
      </c>
      <c r="K48" s="24">
        <v>10293</v>
      </c>
    </row>
    <row r="49" spans="1:11" x14ac:dyDescent="0.25">
      <c r="A49" s="78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596</v>
      </c>
      <c r="K49" s="24">
        <v>10276</v>
      </c>
    </row>
    <row r="50" spans="1:11" x14ac:dyDescent="0.25">
      <c r="A50" s="78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596</v>
      </c>
      <c r="K50" s="24">
        <v>10088</v>
      </c>
    </row>
    <row r="51" spans="1:11" x14ac:dyDescent="0.25">
      <c r="A51" s="78">
        <v>46121</v>
      </c>
      <c r="B51" s="21" t="s">
        <v>604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596</v>
      </c>
      <c r="K51" s="24">
        <v>10011.5</v>
      </c>
    </row>
    <row r="52" spans="1:11" x14ac:dyDescent="0.25">
      <c r="A52" s="78">
        <v>46122</v>
      </c>
      <c r="B52" s="21" t="s">
        <v>67</v>
      </c>
      <c r="C52" s="21" t="s">
        <v>12</v>
      </c>
      <c r="D52" s="21" t="s">
        <v>67</v>
      </c>
      <c r="E52" s="21" t="s">
        <v>17</v>
      </c>
      <c r="F52" s="21" t="s">
        <v>25</v>
      </c>
      <c r="G52" s="24">
        <v>6853.92</v>
      </c>
      <c r="H52" s="24"/>
      <c r="J52" s="21" t="s">
        <v>596</v>
      </c>
      <c r="K52" s="24">
        <v>3157.580000000004</v>
      </c>
    </row>
    <row r="53" spans="1:11" x14ac:dyDescent="0.25">
      <c r="A53" s="78">
        <v>46122</v>
      </c>
      <c r="B53" s="21" t="s">
        <v>69</v>
      </c>
      <c r="C53" s="21" t="s">
        <v>12</v>
      </c>
      <c r="D53" s="21" t="s">
        <v>69</v>
      </c>
      <c r="E53" s="21" t="s">
        <v>17</v>
      </c>
      <c r="F53" s="21" t="s">
        <v>25</v>
      </c>
      <c r="G53" s="24">
        <v>450</v>
      </c>
      <c r="H53" s="24"/>
      <c r="J53" s="21" t="s">
        <v>596</v>
      </c>
      <c r="K53" s="24">
        <v>2707.580000000004</v>
      </c>
    </row>
    <row r="54" spans="1:11" x14ac:dyDescent="0.25">
      <c r="A54" s="78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596</v>
      </c>
      <c r="K54" s="24">
        <v>4754.5800000000036</v>
      </c>
    </row>
    <row r="55" spans="1:11" x14ac:dyDescent="0.25">
      <c r="A55" s="78">
        <v>46122</v>
      </c>
      <c r="B55" s="21" t="s">
        <v>479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596</v>
      </c>
      <c r="K55" s="24">
        <v>4754.5800000000036</v>
      </c>
    </row>
    <row r="56" spans="1:11" x14ac:dyDescent="0.25">
      <c r="A56" s="78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596</v>
      </c>
      <c r="K56" s="24">
        <v>4754.5800000000036</v>
      </c>
    </row>
    <row r="57" spans="1:11" x14ac:dyDescent="0.25">
      <c r="A57" s="78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596</v>
      </c>
      <c r="K57" s="24">
        <v>4378.5800000000036</v>
      </c>
    </row>
    <row r="58" spans="1:11" x14ac:dyDescent="0.25">
      <c r="A58" s="78">
        <v>46121</v>
      </c>
      <c r="B58" s="21" t="s">
        <v>605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596</v>
      </c>
      <c r="K58" s="24">
        <v>3678.580000000004</v>
      </c>
    </row>
    <row r="59" spans="1:11" x14ac:dyDescent="0.25">
      <c r="A59" s="78">
        <v>46122</v>
      </c>
      <c r="B59" s="21" t="s">
        <v>606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596</v>
      </c>
      <c r="K59" s="24">
        <v>3606.580000000004</v>
      </c>
    </row>
    <row r="60" spans="1:11" x14ac:dyDescent="0.25">
      <c r="A60" s="78">
        <v>46123</v>
      </c>
      <c r="B60" s="21" t="s">
        <v>31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596</v>
      </c>
      <c r="K60" s="24">
        <v>11012.58</v>
      </c>
    </row>
    <row r="61" spans="1:11" x14ac:dyDescent="0.25">
      <c r="A61" s="78">
        <v>46123</v>
      </c>
      <c r="B61" s="21" t="s">
        <v>45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596</v>
      </c>
      <c r="K61" s="24">
        <v>11243.18</v>
      </c>
    </row>
    <row r="62" spans="1:11" x14ac:dyDescent="0.25">
      <c r="A62" s="78">
        <v>46123</v>
      </c>
      <c r="B62" s="21" t="s">
        <v>46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596</v>
      </c>
      <c r="K62" s="24">
        <v>11243.18</v>
      </c>
    </row>
    <row r="63" spans="1:11" x14ac:dyDescent="0.25">
      <c r="A63" s="78">
        <v>46124</v>
      </c>
      <c r="B63" s="21" t="s">
        <v>31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596</v>
      </c>
      <c r="K63" s="24">
        <v>17901.18</v>
      </c>
    </row>
    <row r="64" spans="1:11" x14ac:dyDescent="0.25">
      <c r="A64" s="78">
        <v>46124</v>
      </c>
      <c r="B64" s="21" t="s">
        <v>45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596</v>
      </c>
      <c r="K64" s="24">
        <v>18044.580000000009</v>
      </c>
    </row>
    <row r="65" spans="1:11" x14ac:dyDescent="0.25">
      <c r="A65" s="78">
        <v>46124</v>
      </c>
      <c r="B65" s="21" t="s">
        <v>46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596</v>
      </c>
      <c r="K65" s="24">
        <v>18026.580000000009</v>
      </c>
    </row>
    <row r="66" spans="1:11" x14ac:dyDescent="0.25">
      <c r="A66" s="78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596</v>
      </c>
      <c r="K66" s="24">
        <v>19341.580000000009</v>
      </c>
    </row>
    <row r="67" spans="1:11" x14ac:dyDescent="0.25">
      <c r="A67" s="78">
        <v>46125</v>
      </c>
      <c r="B67" s="21" t="s">
        <v>45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596</v>
      </c>
      <c r="K67" s="24">
        <v>19361.080000000009</v>
      </c>
    </row>
    <row r="68" spans="1:11" x14ac:dyDescent="0.25">
      <c r="A68" s="78">
        <v>46125</v>
      </c>
      <c r="B68" s="21" t="s">
        <v>46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596</v>
      </c>
      <c r="K68" s="24">
        <v>19361.080000000009</v>
      </c>
    </row>
    <row r="69" spans="1:11" x14ac:dyDescent="0.25">
      <c r="A69" s="78">
        <v>46125</v>
      </c>
      <c r="B69" s="21" t="s">
        <v>350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596</v>
      </c>
      <c r="K69" s="24">
        <v>18338.580000000009</v>
      </c>
    </row>
    <row r="70" spans="1:11" x14ac:dyDescent="0.25">
      <c r="A70" s="78">
        <v>46125</v>
      </c>
      <c r="B70" s="21" t="s">
        <v>311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596</v>
      </c>
      <c r="K70" s="24">
        <v>13286.510000000009</v>
      </c>
    </row>
    <row r="71" spans="1:11" x14ac:dyDescent="0.25">
      <c r="A71" s="78">
        <v>46125</v>
      </c>
      <c r="B71" s="21" t="s">
        <v>607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596</v>
      </c>
      <c r="K71" s="24">
        <v>13072.670000000009</v>
      </c>
    </row>
    <row r="72" spans="1:11" x14ac:dyDescent="0.25">
      <c r="A72" s="78">
        <v>46125</v>
      </c>
      <c r="B72" s="21" t="s">
        <v>608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596</v>
      </c>
      <c r="K72" s="24">
        <v>12222.170000000009</v>
      </c>
    </row>
    <row r="73" spans="1:11" x14ac:dyDescent="0.25">
      <c r="A73" s="78">
        <v>46125</v>
      </c>
      <c r="B73" s="21" t="s">
        <v>255</v>
      </c>
      <c r="C73" s="21" t="s">
        <v>12</v>
      </c>
      <c r="D73" s="21" t="s">
        <v>63</v>
      </c>
      <c r="E73" s="21" t="s">
        <v>17</v>
      </c>
      <c r="F73" s="21" t="s">
        <v>25</v>
      </c>
      <c r="G73" s="24">
        <v>183.87</v>
      </c>
      <c r="H73" s="24"/>
      <c r="J73" s="21" t="s">
        <v>596</v>
      </c>
      <c r="K73" s="24">
        <v>12038.3</v>
      </c>
    </row>
    <row r="74" spans="1:11" x14ac:dyDescent="0.25">
      <c r="A74" s="78">
        <v>46126</v>
      </c>
      <c r="B74" s="21" t="s">
        <v>367</v>
      </c>
      <c r="C74" s="21" t="s">
        <v>12</v>
      </c>
      <c r="D74" s="21" t="s">
        <v>63</v>
      </c>
      <c r="E74" s="21" t="s">
        <v>17</v>
      </c>
      <c r="F74" s="21" t="s">
        <v>25</v>
      </c>
      <c r="G74" s="24">
        <v>1800</v>
      </c>
      <c r="H74" s="24"/>
      <c r="J74" s="21" t="s">
        <v>596</v>
      </c>
      <c r="K74" s="24">
        <v>10238.299999999999</v>
      </c>
    </row>
    <row r="75" spans="1:11" x14ac:dyDescent="0.25">
      <c r="A75" s="82">
        <v>46126</v>
      </c>
      <c r="B75" s="21" t="s">
        <v>371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596</v>
      </c>
      <c r="K75" s="24">
        <v>8530.1100000000042</v>
      </c>
    </row>
    <row r="76" spans="1:11" x14ac:dyDescent="0.25">
      <c r="A76" s="78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596</v>
      </c>
      <c r="K76" s="24">
        <v>10456.11</v>
      </c>
    </row>
    <row r="77" spans="1:11" x14ac:dyDescent="0.25">
      <c r="A77" s="78">
        <v>46126</v>
      </c>
      <c r="B77" s="21" t="s">
        <v>45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596</v>
      </c>
      <c r="K77" s="24">
        <v>10495.11</v>
      </c>
    </row>
    <row r="78" spans="1:11" x14ac:dyDescent="0.25">
      <c r="A78" s="78">
        <v>46126</v>
      </c>
      <c r="B78" s="21" t="s">
        <v>46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596</v>
      </c>
      <c r="K78" s="24">
        <v>10487.11</v>
      </c>
    </row>
    <row r="79" spans="1:11" x14ac:dyDescent="0.25">
      <c r="A79" s="78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596</v>
      </c>
      <c r="K79" s="24">
        <v>10487.11</v>
      </c>
    </row>
    <row r="80" spans="1:11" x14ac:dyDescent="0.25">
      <c r="A80" s="78">
        <v>46127</v>
      </c>
      <c r="B80" s="21" t="s">
        <v>609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596</v>
      </c>
      <c r="K80" s="24">
        <v>10271.11</v>
      </c>
    </row>
    <row r="81" spans="1:11" x14ac:dyDescent="0.25">
      <c r="A81" s="82">
        <v>46127</v>
      </c>
      <c r="B81" s="21" t="s">
        <v>433</v>
      </c>
      <c r="C81" s="21" t="s">
        <v>12</v>
      </c>
      <c r="D81" s="21" t="s">
        <v>65</v>
      </c>
      <c r="E81" s="21" t="s">
        <v>17</v>
      </c>
      <c r="F81" s="21"/>
      <c r="G81" s="24">
        <v>800</v>
      </c>
      <c r="H81" s="24"/>
      <c r="J81" s="21" t="s">
        <v>596</v>
      </c>
      <c r="K81" s="24">
        <v>9471.1100000000042</v>
      </c>
    </row>
    <row r="82" spans="1:11" x14ac:dyDescent="0.25">
      <c r="A82" s="82">
        <v>46127</v>
      </c>
      <c r="B82" s="21" t="s">
        <v>356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596</v>
      </c>
      <c r="K82" s="24">
        <v>9215.4400000000041</v>
      </c>
    </row>
    <row r="83" spans="1:11" x14ac:dyDescent="0.25">
      <c r="A83" s="78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596</v>
      </c>
      <c r="K83" s="24">
        <v>11078.44</v>
      </c>
    </row>
    <row r="84" spans="1:11" x14ac:dyDescent="0.25">
      <c r="A84" s="78">
        <v>46127</v>
      </c>
      <c r="B84" s="21" t="s">
        <v>45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596</v>
      </c>
      <c r="K84" s="24">
        <v>11078.44</v>
      </c>
    </row>
    <row r="85" spans="1:11" x14ac:dyDescent="0.25">
      <c r="A85" s="82">
        <v>46127</v>
      </c>
      <c r="B85" s="21" t="s">
        <v>46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596</v>
      </c>
      <c r="K85" s="24">
        <v>11078.44</v>
      </c>
    </row>
    <row r="86" spans="1:11" x14ac:dyDescent="0.25">
      <c r="A86" s="78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596</v>
      </c>
      <c r="K86" s="24">
        <v>10890.44</v>
      </c>
    </row>
    <row r="87" spans="1:11" x14ac:dyDescent="0.25">
      <c r="A87" s="78">
        <v>46127</v>
      </c>
      <c r="B87" s="21" t="s">
        <v>610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596</v>
      </c>
      <c r="K87" s="24">
        <v>10825.64</v>
      </c>
    </row>
    <row r="88" spans="1:11" x14ac:dyDescent="0.25">
      <c r="A88" s="78">
        <v>45763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611</v>
      </c>
      <c r="K88" s="24">
        <v>12688.64</v>
      </c>
    </row>
    <row r="89" spans="1:11" x14ac:dyDescent="0.25">
      <c r="A89" s="78">
        <v>45763</v>
      </c>
      <c r="B89" s="21" t="s">
        <v>45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611</v>
      </c>
      <c r="K89" s="24">
        <v>12688.64</v>
      </c>
    </row>
    <row r="90" spans="1:11" x14ac:dyDescent="0.25">
      <c r="A90" s="78">
        <v>45763</v>
      </c>
      <c r="B90" s="21" t="s">
        <v>46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611</v>
      </c>
      <c r="K90" s="24">
        <v>12688.64</v>
      </c>
    </row>
    <row r="91" spans="1:11" x14ac:dyDescent="0.25">
      <c r="A91" s="78">
        <v>45763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611</v>
      </c>
      <c r="K91" s="24">
        <v>12453.64</v>
      </c>
    </row>
    <row r="92" spans="1:11" x14ac:dyDescent="0.25">
      <c r="A92" s="78">
        <v>45763</v>
      </c>
      <c r="B92" s="21" t="s">
        <v>434</v>
      </c>
      <c r="C92" s="21" t="s">
        <v>12</v>
      </c>
      <c r="D92" s="21" t="s">
        <v>40</v>
      </c>
      <c r="E92" s="21" t="s">
        <v>17</v>
      </c>
      <c r="F92" s="21" t="s">
        <v>25</v>
      </c>
      <c r="G92" s="24">
        <v>99.9</v>
      </c>
      <c r="H92" s="24"/>
      <c r="J92" s="21" t="s">
        <v>611</v>
      </c>
      <c r="K92" s="24">
        <v>12353.740000000011</v>
      </c>
    </row>
    <row r="93" spans="1:11" x14ac:dyDescent="0.25">
      <c r="A93" s="78">
        <v>45763</v>
      </c>
      <c r="B93" s="21" t="s">
        <v>612</v>
      </c>
      <c r="C93" s="21" t="s">
        <v>12</v>
      </c>
      <c r="D93" s="21" t="s">
        <v>66</v>
      </c>
      <c r="E93" s="21" t="s">
        <v>17</v>
      </c>
      <c r="F93" s="21" t="s">
        <v>25</v>
      </c>
      <c r="G93" s="24">
        <v>1140.28</v>
      </c>
      <c r="H93" s="24"/>
      <c r="J93" s="21" t="s">
        <v>611</v>
      </c>
      <c r="K93" s="24">
        <v>11213.46</v>
      </c>
    </row>
    <row r="94" spans="1:11" x14ac:dyDescent="0.25">
      <c r="A94" s="78">
        <v>45763</v>
      </c>
      <c r="B94" s="21" t="s">
        <v>368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611</v>
      </c>
      <c r="K94" s="24">
        <v>10830.96</v>
      </c>
    </row>
    <row r="95" spans="1:11" x14ac:dyDescent="0.25">
      <c r="A95" s="78">
        <v>46128</v>
      </c>
      <c r="B95" s="21" t="s">
        <v>390</v>
      </c>
      <c r="C95" s="21" t="s">
        <v>12</v>
      </c>
      <c r="D95" s="21" t="s">
        <v>61</v>
      </c>
      <c r="E95" s="21" t="s">
        <v>17</v>
      </c>
      <c r="F95" s="21" t="s">
        <v>25</v>
      </c>
      <c r="G95" s="24">
        <v>218.41</v>
      </c>
      <c r="H95" s="24"/>
      <c r="J95" s="21" t="s">
        <v>596</v>
      </c>
      <c r="K95" s="24">
        <v>10612.55</v>
      </c>
    </row>
    <row r="96" spans="1:11" x14ac:dyDescent="0.25">
      <c r="A96" s="78">
        <v>46128</v>
      </c>
      <c r="B96" s="21" t="s">
        <v>613</v>
      </c>
      <c r="C96" s="21" t="s">
        <v>12</v>
      </c>
      <c r="D96" s="21" t="s">
        <v>34</v>
      </c>
      <c r="E96" s="21" t="s">
        <v>17</v>
      </c>
      <c r="F96" s="21" t="s">
        <v>25</v>
      </c>
      <c r="G96" s="24">
        <v>150</v>
      </c>
      <c r="H96" s="24"/>
      <c r="J96" s="21" t="s">
        <v>596</v>
      </c>
      <c r="K96" s="24">
        <v>10462.549999999999</v>
      </c>
    </row>
    <row r="97" spans="1:11" x14ac:dyDescent="0.25">
      <c r="A97" s="78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596</v>
      </c>
      <c r="K97" s="24">
        <v>13939.55</v>
      </c>
    </row>
    <row r="98" spans="1:11" x14ac:dyDescent="0.25">
      <c r="A98" s="78">
        <v>46129</v>
      </c>
      <c r="B98" s="21" t="s">
        <v>45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596</v>
      </c>
      <c r="K98" s="24">
        <v>13988.150000000011</v>
      </c>
    </row>
    <row r="99" spans="1:11" x14ac:dyDescent="0.25">
      <c r="A99" s="78">
        <v>46129</v>
      </c>
      <c r="B99" s="21" t="s">
        <v>46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596</v>
      </c>
      <c r="K99" s="24">
        <v>13988.150000000011</v>
      </c>
    </row>
    <row r="100" spans="1:11" x14ac:dyDescent="0.25">
      <c r="A100" s="78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596</v>
      </c>
      <c r="K100" s="24">
        <v>13612.150000000011</v>
      </c>
    </row>
    <row r="101" spans="1:11" x14ac:dyDescent="0.25">
      <c r="A101" s="78">
        <v>46129</v>
      </c>
      <c r="B101" s="21" t="s">
        <v>586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596</v>
      </c>
      <c r="K101" s="24">
        <v>8507.8000000000047</v>
      </c>
    </row>
    <row r="102" spans="1:11" x14ac:dyDescent="0.25">
      <c r="A102" s="78">
        <v>46129</v>
      </c>
      <c r="B102" s="21" t="s">
        <v>32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596</v>
      </c>
      <c r="K102" s="24">
        <v>8367.8000000000047</v>
      </c>
    </row>
    <row r="103" spans="1:11" x14ac:dyDescent="0.25">
      <c r="A103" s="78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596</v>
      </c>
      <c r="K103" s="24">
        <v>17571.8</v>
      </c>
    </row>
    <row r="104" spans="1:11" x14ac:dyDescent="0.25">
      <c r="A104" s="78">
        <v>46130</v>
      </c>
      <c r="B104" s="21" t="s">
        <v>45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596</v>
      </c>
      <c r="K104" s="24">
        <v>17721.400000000001</v>
      </c>
    </row>
    <row r="105" spans="1:11" x14ac:dyDescent="0.25">
      <c r="A105" s="78">
        <v>46130</v>
      </c>
      <c r="B105" s="21" t="s">
        <v>46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596</v>
      </c>
      <c r="K105" s="24">
        <v>17704.400000000001</v>
      </c>
    </row>
    <row r="106" spans="1:11" x14ac:dyDescent="0.25">
      <c r="A106" s="78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596</v>
      </c>
      <c r="K106" s="24">
        <v>30188.400000000001</v>
      </c>
    </row>
    <row r="107" spans="1:11" x14ac:dyDescent="0.25">
      <c r="A107" s="78">
        <v>46131</v>
      </c>
      <c r="B107" s="21" t="s">
        <v>45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596</v>
      </c>
      <c r="K107" s="24">
        <v>30450.9</v>
      </c>
    </row>
    <row r="108" spans="1:11" x14ac:dyDescent="0.25">
      <c r="A108" s="78">
        <v>46131</v>
      </c>
      <c r="B108" s="21" t="s">
        <v>46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596</v>
      </c>
      <c r="K108" s="24">
        <v>30405.9</v>
      </c>
    </row>
    <row r="109" spans="1:11" x14ac:dyDescent="0.25">
      <c r="A109" s="78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596</v>
      </c>
      <c r="K109" s="24">
        <v>30123.9</v>
      </c>
    </row>
    <row r="110" spans="1:11" x14ac:dyDescent="0.25">
      <c r="A110" s="78">
        <v>46131</v>
      </c>
      <c r="B110" s="21" t="s">
        <v>34</v>
      </c>
      <c r="C110" s="21" t="s">
        <v>12</v>
      </c>
      <c r="D110" s="21" t="s">
        <v>34</v>
      </c>
      <c r="E110" s="21" t="s">
        <v>14</v>
      </c>
      <c r="F110" s="21" t="s">
        <v>15</v>
      </c>
      <c r="G110" s="24">
        <v>150</v>
      </c>
      <c r="H110" s="24"/>
      <c r="J110" s="21" t="s">
        <v>596</v>
      </c>
      <c r="K110" s="24">
        <v>29973.9</v>
      </c>
    </row>
    <row r="111" spans="1:11" x14ac:dyDescent="0.25">
      <c r="A111" s="78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596</v>
      </c>
      <c r="K111" s="24">
        <v>37489.9</v>
      </c>
    </row>
    <row r="112" spans="1:11" x14ac:dyDescent="0.25">
      <c r="A112" s="78">
        <v>46132</v>
      </c>
      <c r="B112" s="21" t="s">
        <v>45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596</v>
      </c>
      <c r="K112" s="24">
        <v>37629.699999999997</v>
      </c>
    </row>
    <row r="113" spans="1:11" x14ac:dyDescent="0.25">
      <c r="A113" s="78">
        <v>46132</v>
      </c>
      <c r="B113" s="21" t="s">
        <v>46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596</v>
      </c>
      <c r="K113" s="24">
        <v>37620.699999999997</v>
      </c>
    </row>
    <row r="114" spans="1:11" x14ac:dyDescent="0.25">
      <c r="A114" s="78">
        <v>46132</v>
      </c>
      <c r="B114" s="21" t="s">
        <v>391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596</v>
      </c>
      <c r="K114" s="24">
        <v>37291.31</v>
      </c>
    </row>
    <row r="115" spans="1:11" x14ac:dyDescent="0.25">
      <c r="A115" s="78">
        <v>46132</v>
      </c>
      <c r="B115" s="21" t="s">
        <v>614</v>
      </c>
      <c r="C115" s="21" t="s">
        <v>12</v>
      </c>
      <c r="D115" s="21" t="s">
        <v>59</v>
      </c>
      <c r="E115" s="21" t="s">
        <v>17</v>
      </c>
      <c r="F115" s="21"/>
      <c r="G115" s="24">
        <v>6532.57</v>
      </c>
      <c r="H115" s="24"/>
      <c r="J115" s="21" t="s">
        <v>596</v>
      </c>
      <c r="K115" s="24">
        <v>30758.740000000009</v>
      </c>
    </row>
    <row r="116" spans="1:11" x14ac:dyDescent="0.25">
      <c r="A116" s="78">
        <v>46132</v>
      </c>
      <c r="B116" s="21" t="s">
        <v>371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596</v>
      </c>
      <c r="K116" s="24">
        <v>30479.81</v>
      </c>
    </row>
    <row r="117" spans="1:11" x14ac:dyDescent="0.25">
      <c r="A117" s="78">
        <v>46132</v>
      </c>
      <c r="B117" s="21" t="s">
        <v>549</v>
      </c>
      <c r="C117" s="21" t="s">
        <v>12</v>
      </c>
      <c r="D117" s="21" t="s">
        <v>59</v>
      </c>
      <c r="E117" s="21" t="s">
        <v>17</v>
      </c>
      <c r="F117" s="21"/>
      <c r="G117" s="24">
        <v>772.51</v>
      </c>
      <c r="H117" s="24"/>
      <c r="J117" s="21" t="s">
        <v>596</v>
      </c>
      <c r="K117" s="24">
        <v>29707.30000000001</v>
      </c>
    </row>
    <row r="118" spans="1:11" x14ac:dyDescent="0.25">
      <c r="A118" s="78">
        <v>46132</v>
      </c>
      <c r="B118" s="21" t="s">
        <v>358</v>
      </c>
      <c r="C118" s="21" t="s">
        <v>12</v>
      </c>
      <c r="D118" s="21" t="s">
        <v>59</v>
      </c>
      <c r="E118" s="21" t="s">
        <v>17</v>
      </c>
      <c r="F118" s="21"/>
      <c r="G118" s="24">
        <v>815.94</v>
      </c>
      <c r="H118" s="24"/>
      <c r="J118" s="21" t="s">
        <v>596</v>
      </c>
      <c r="K118" s="24">
        <v>28891.360000000011</v>
      </c>
    </row>
    <row r="119" spans="1:11" x14ac:dyDescent="0.25">
      <c r="A119" s="78">
        <v>46132</v>
      </c>
      <c r="B119" s="21" t="s">
        <v>371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596</v>
      </c>
      <c r="K119" s="24">
        <v>27183.170000000009</v>
      </c>
    </row>
    <row r="120" spans="1:11" x14ac:dyDescent="0.25">
      <c r="A120" s="78">
        <v>46132</v>
      </c>
      <c r="B120" s="21" t="s">
        <v>372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596</v>
      </c>
      <c r="K120" s="24">
        <v>26485.420000000009</v>
      </c>
    </row>
    <row r="121" spans="1:11" x14ac:dyDescent="0.25">
      <c r="A121" s="78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596</v>
      </c>
      <c r="K121" s="24">
        <v>34816.420000000013</v>
      </c>
    </row>
    <row r="122" spans="1:11" x14ac:dyDescent="0.25">
      <c r="A122" s="78">
        <v>46133</v>
      </c>
      <c r="B122" s="21" t="s">
        <v>45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596</v>
      </c>
      <c r="K122" s="24">
        <v>34951.720000000023</v>
      </c>
    </row>
    <row r="123" spans="1:11" x14ac:dyDescent="0.25">
      <c r="A123" s="78">
        <v>46133</v>
      </c>
      <c r="B123" s="21" t="s">
        <v>46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596</v>
      </c>
      <c r="K123" s="24">
        <v>34933.720000000023</v>
      </c>
    </row>
    <row r="124" spans="1:11" x14ac:dyDescent="0.25">
      <c r="A124" s="78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596</v>
      </c>
      <c r="K124" s="24">
        <v>34745.720000000023</v>
      </c>
    </row>
    <row r="125" spans="1:11" x14ac:dyDescent="0.25">
      <c r="A125" s="78">
        <v>46132</v>
      </c>
      <c r="B125" s="21" t="s">
        <v>34</v>
      </c>
      <c r="C125" s="21" t="s">
        <v>12</v>
      </c>
      <c r="D125" s="21" t="s">
        <v>34</v>
      </c>
      <c r="E125" s="21" t="s">
        <v>14</v>
      </c>
      <c r="F125" s="21" t="s">
        <v>15</v>
      </c>
      <c r="G125" s="24">
        <v>100</v>
      </c>
      <c r="H125" s="24"/>
      <c r="J125" s="21" t="s">
        <v>596</v>
      </c>
      <c r="K125" s="24">
        <v>34645.720000000023</v>
      </c>
    </row>
    <row r="126" spans="1:11" x14ac:dyDescent="0.25">
      <c r="A126" s="78">
        <v>46133</v>
      </c>
      <c r="B126" s="21" t="s">
        <v>34</v>
      </c>
      <c r="C126" s="21" t="s">
        <v>12</v>
      </c>
      <c r="D126" s="21" t="s">
        <v>34</v>
      </c>
      <c r="E126" s="21" t="s">
        <v>14</v>
      </c>
      <c r="F126" s="21" t="s">
        <v>15</v>
      </c>
      <c r="G126" s="24">
        <v>100</v>
      </c>
      <c r="H126" s="24"/>
      <c r="J126" s="21" t="s">
        <v>596</v>
      </c>
      <c r="K126" s="24">
        <v>34545.720000000023</v>
      </c>
    </row>
    <row r="127" spans="1:11" x14ac:dyDescent="0.25">
      <c r="A127" s="78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596</v>
      </c>
      <c r="K127" s="24">
        <v>35986.720000000023</v>
      </c>
    </row>
    <row r="128" spans="1:11" x14ac:dyDescent="0.25">
      <c r="A128" s="78">
        <v>46134</v>
      </c>
      <c r="B128" s="21" t="s">
        <v>45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596</v>
      </c>
      <c r="K128" s="24">
        <v>35986.720000000023</v>
      </c>
    </row>
    <row r="129" spans="1:11" x14ac:dyDescent="0.25">
      <c r="A129" s="78">
        <v>46134</v>
      </c>
      <c r="B129" s="21" t="s">
        <v>46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596</v>
      </c>
      <c r="K129" s="24">
        <v>35986.720000000023</v>
      </c>
    </row>
    <row r="130" spans="1:11" x14ac:dyDescent="0.25">
      <c r="A130" s="78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596</v>
      </c>
      <c r="K130" s="24">
        <v>35986.720000000023</v>
      </c>
    </row>
    <row r="131" spans="1:11" x14ac:dyDescent="0.25">
      <c r="A131" s="78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596</v>
      </c>
      <c r="K131" s="24">
        <v>38428.720000000023</v>
      </c>
    </row>
    <row r="132" spans="1:11" x14ac:dyDescent="0.25">
      <c r="A132" s="78">
        <v>46135</v>
      </c>
      <c r="B132" s="21" t="s">
        <v>45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596</v>
      </c>
      <c r="K132" s="24">
        <v>38568.020000000019</v>
      </c>
    </row>
    <row r="133" spans="1:11" x14ac:dyDescent="0.25">
      <c r="A133" s="78">
        <v>46135</v>
      </c>
      <c r="B133" s="21" t="s">
        <v>46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596</v>
      </c>
      <c r="K133" s="24">
        <v>38508.020000000019</v>
      </c>
    </row>
    <row r="134" spans="1:11" x14ac:dyDescent="0.25">
      <c r="A134" s="78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596</v>
      </c>
      <c r="K134" s="24">
        <v>38508.020000000019</v>
      </c>
    </row>
    <row r="135" spans="1:11" x14ac:dyDescent="0.25">
      <c r="A135" s="78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596</v>
      </c>
      <c r="K135" s="24">
        <v>42318.020000000019</v>
      </c>
    </row>
    <row r="136" spans="1:11" x14ac:dyDescent="0.25">
      <c r="A136" s="78">
        <v>46136</v>
      </c>
      <c r="B136" s="21" t="s">
        <v>45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596</v>
      </c>
      <c r="K136" s="24">
        <v>42357.020000000019</v>
      </c>
    </row>
    <row r="137" spans="1:11" x14ac:dyDescent="0.25">
      <c r="A137" s="78">
        <v>46136</v>
      </c>
      <c r="B137" s="21" t="s">
        <v>46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596</v>
      </c>
      <c r="K137" s="24">
        <v>42339.020000000019</v>
      </c>
    </row>
    <row r="138" spans="1:11" x14ac:dyDescent="0.25">
      <c r="A138" s="78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596</v>
      </c>
      <c r="K138" s="24">
        <v>41869.020000000019</v>
      </c>
    </row>
    <row r="139" spans="1:11" x14ac:dyDescent="0.25">
      <c r="A139" s="78">
        <v>46136</v>
      </c>
      <c r="B139" s="21" t="s">
        <v>615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596</v>
      </c>
      <c r="K139" s="24">
        <v>41729.020000000019</v>
      </c>
    </row>
    <row r="140" spans="1:11" x14ac:dyDescent="0.25">
      <c r="A140" s="78">
        <v>46137</v>
      </c>
      <c r="B140" s="21" t="s">
        <v>616</v>
      </c>
      <c r="C140" s="21" t="s">
        <v>12</v>
      </c>
      <c r="D140" s="21" t="s">
        <v>34</v>
      </c>
      <c r="E140" s="21" t="s">
        <v>17</v>
      </c>
      <c r="F140" s="21" t="s">
        <v>25</v>
      </c>
      <c r="G140" s="24">
        <v>150</v>
      </c>
      <c r="H140" s="24"/>
      <c r="J140" s="21" t="s">
        <v>596</v>
      </c>
      <c r="K140" s="24">
        <v>41579.020000000019</v>
      </c>
    </row>
    <row r="141" spans="1:11" x14ac:dyDescent="0.25">
      <c r="A141" s="78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596</v>
      </c>
      <c r="K141" s="24">
        <v>47559.020000000019</v>
      </c>
    </row>
    <row r="142" spans="1:11" x14ac:dyDescent="0.25">
      <c r="A142" s="78">
        <v>46137</v>
      </c>
      <c r="B142" s="21" t="s">
        <v>45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596</v>
      </c>
      <c r="K142" s="24">
        <v>47671.120000000017</v>
      </c>
    </row>
    <row r="143" spans="1:11" x14ac:dyDescent="0.25">
      <c r="A143" s="78">
        <v>46137</v>
      </c>
      <c r="B143" s="21" t="s">
        <v>34</v>
      </c>
      <c r="C143" s="21" t="s">
        <v>12</v>
      </c>
      <c r="D143" s="21" t="s">
        <v>34</v>
      </c>
      <c r="E143" s="21" t="s">
        <v>14</v>
      </c>
      <c r="F143" s="21" t="s">
        <v>15</v>
      </c>
      <c r="G143" s="24">
        <v>150</v>
      </c>
      <c r="H143" s="24"/>
      <c r="J143" s="21" t="s">
        <v>596</v>
      </c>
      <c r="K143" s="24">
        <v>47521.120000000017</v>
      </c>
    </row>
    <row r="144" spans="1:11" x14ac:dyDescent="0.25">
      <c r="A144" s="78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596</v>
      </c>
      <c r="K144" s="24">
        <v>47494.120000000017</v>
      </c>
    </row>
    <row r="145" spans="1:11" x14ac:dyDescent="0.25">
      <c r="A145" s="78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596</v>
      </c>
      <c r="K145" s="24">
        <v>54737.120000000017</v>
      </c>
    </row>
    <row r="146" spans="1:11" x14ac:dyDescent="0.25">
      <c r="A146" s="78">
        <v>46138</v>
      </c>
      <c r="B146" s="21" t="s">
        <v>45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596</v>
      </c>
      <c r="K146" s="24">
        <v>55133.020000000019</v>
      </c>
    </row>
    <row r="147" spans="1:11" x14ac:dyDescent="0.25">
      <c r="A147" s="78">
        <v>46138</v>
      </c>
      <c r="B147" s="21" t="s">
        <v>46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596</v>
      </c>
      <c r="K147" s="24">
        <v>55070.020000000019</v>
      </c>
    </row>
    <row r="148" spans="1:11" x14ac:dyDescent="0.25">
      <c r="A148" s="78">
        <v>46138</v>
      </c>
      <c r="B148" s="21" t="s">
        <v>34</v>
      </c>
      <c r="C148" s="21" t="s">
        <v>12</v>
      </c>
      <c r="D148" s="21" t="s">
        <v>34</v>
      </c>
      <c r="E148" s="21" t="s">
        <v>14</v>
      </c>
      <c r="F148" s="21" t="s">
        <v>15</v>
      </c>
      <c r="G148" s="24">
        <v>150</v>
      </c>
      <c r="H148" s="24"/>
      <c r="J148" s="21" t="s">
        <v>596</v>
      </c>
      <c r="K148" s="24">
        <v>54920.020000000019</v>
      </c>
    </row>
    <row r="149" spans="1:11" x14ac:dyDescent="0.25">
      <c r="A149" s="78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596</v>
      </c>
      <c r="K149" s="24">
        <v>56153.020000000019</v>
      </c>
    </row>
    <row r="150" spans="1:11" x14ac:dyDescent="0.25">
      <c r="A150" s="78">
        <v>46139</v>
      </c>
      <c r="B150" s="21" t="s">
        <v>45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596</v>
      </c>
      <c r="K150" s="24">
        <v>56153.020000000019</v>
      </c>
    </row>
    <row r="151" spans="1:11" x14ac:dyDescent="0.25">
      <c r="A151" s="78">
        <v>46139</v>
      </c>
      <c r="B151" s="21" t="s">
        <v>46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596</v>
      </c>
      <c r="K151" s="24">
        <v>56144.020000000019</v>
      </c>
    </row>
    <row r="152" spans="1:11" x14ac:dyDescent="0.25">
      <c r="A152" s="78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596</v>
      </c>
      <c r="K152" s="24">
        <v>56144.020000000019</v>
      </c>
    </row>
    <row r="153" spans="1:11" x14ac:dyDescent="0.25">
      <c r="A153" s="78">
        <v>46139</v>
      </c>
      <c r="B153" s="21" t="s">
        <v>392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596</v>
      </c>
      <c r="K153" s="24">
        <v>55721.560000000019</v>
      </c>
    </row>
    <row r="154" spans="1:11" x14ac:dyDescent="0.25">
      <c r="A154" s="78">
        <v>46139</v>
      </c>
      <c r="B154" s="21" t="s">
        <v>346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596</v>
      </c>
      <c r="K154" s="24">
        <v>54176.060000000019</v>
      </c>
    </row>
    <row r="155" spans="1:11" x14ac:dyDescent="0.25">
      <c r="A155" s="78">
        <v>46139</v>
      </c>
      <c r="B155" s="21" t="s">
        <v>533</v>
      </c>
      <c r="C155" s="21" t="s">
        <v>12</v>
      </c>
      <c r="D155" s="21" t="s">
        <v>329</v>
      </c>
      <c r="E155" s="21" t="s">
        <v>17</v>
      </c>
      <c r="F155" s="21"/>
      <c r="G155" s="24">
        <v>3016.13</v>
      </c>
      <c r="H155" s="24"/>
      <c r="J155" s="21" t="s">
        <v>596</v>
      </c>
      <c r="K155" s="24">
        <v>51159.930000000022</v>
      </c>
    </row>
    <row r="156" spans="1:11" x14ac:dyDescent="0.25">
      <c r="A156" s="78">
        <v>46140</v>
      </c>
      <c r="B156" s="21" t="s">
        <v>306</v>
      </c>
      <c r="C156" s="21" t="s">
        <v>12</v>
      </c>
      <c r="D156" s="21" t="s">
        <v>69</v>
      </c>
      <c r="E156" s="21" t="s">
        <v>17</v>
      </c>
      <c r="F156" s="21"/>
      <c r="G156" s="24">
        <v>1000</v>
      </c>
      <c r="H156" s="24"/>
      <c r="J156" s="21" t="s">
        <v>596</v>
      </c>
      <c r="K156" s="24">
        <v>50159.930000000022</v>
      </c>
    </row>
    <row r="157" spans="1:11" x14ac:dyDescent="0.25">
      <c r="A157" s="78">
        <v>46141</v>
      </c>
      <c r="B157" s="21" t="s">
        <v>371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596</v>
      </c>
      <c r="K157" s="24">
        <v>49881.000000000022</v>
      </c>
    </row>
    <row r="158" spans="1:11" x14ac:dyDescent="0.25">
      <c r="A158" s="78">
        <v>46139</v>
      </c>
      <c r="B158" s="21" t="s">
        <v>353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596</v>
      </c>
      <c r="K158" s="24">
        <v>48146.720000000023</v>
      </c>
    </row>
    <row r="159" spans="1:11" x14ac:dyDescent="0.25">
      <c r="A159" s="78">
        <v>46139</v>
      </c>
      <c r="B159" s="21" t="s">
        <v>617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596</v>
      </c>
      <c r="K159" s="24">
        <v>47928.720000000023</v>
      </c>
    </row>
    <row r="160" spans="1:11" x14ac:dyDescent="0.25">
      <c r="A160" s="78">
        <v>46140</v>
      </c>
      <c r="B160" s="21" t="s">
        <v>354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596</v>
      </c>
      <c r="K160" s="24">
        <v>46899.320000000022</v>
      </c>
    </row>
    <row r="161" spans="1:11" x14ac:dyDescent="0.25">
      <c r="A161" s="78">
        <v>46140</v>
      </c>
      <c r="B161" s="21" t="s">
        <v>356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596</v>
      </c>
      <c r="K161" s="24">
        <v>46537.220000000023</v>
      </c>
    </row>
    <row r="162" spans="1:11" x14ac:dyDescent="0.25">
      <c r="A162" s="78">
        <v>46140</v>
      </c>
      <c r="B162" s="21" t="s">
        <v>31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596</v>
      </c>
      <c r="K162" s="24">
        <v>47876.220000000023</v>
      </c>
    </row>
    <row r="163" spans="1:11" x14ac:dyDescent="0.25">
      <c r="A163" s="78">
        <v>46140</v>
      </c>
      <c r="B163" s="21" t="s">
        <v>45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596</v>
      </c>
      <c r="K163" s="24">
        <v>47968.520000000033</v>
      </c>
    </row>
    <row r="164" spans="1:11" x14ac:dyDescent="0.25">
      <c r="A164" s="78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596</v>
      </c>
      <c r="K164" s="24">
        <v>47959.520000000033</v>
      </c>
    </row>
    <row r="165" spans="1:11" x14ac:dyDescent="0.25">
      <c r="A165" s="78">
        <v>46140</v>
      </c>
      <c r="B165" s="21" t="s">
        <v>403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596</v>
      </c>
      <c r="K165" s="24">
        <v>47959.520000000033</v>
      </c>
    </row>
    <row r="166" spans="1:11" x14ac:dyDescent="0.25">
      <c r="A166" s="78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596</v>
      </c>
      <c r="K166" s="24">
        <v>46589.520000000033</v>
      </c>
    </row>
    <row r="167" spans="1:11" x14ac:dyDescent="0.25">
      <c r="A167" s="78">
        <v>46140</v>
      </c>
      <c r="B167" s="21" t="s">
        <v>317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596</v>
      </c>
      <c r="K167" s="24">
        <v>44589.520000000033</v>
      </c>
    </row>
    <row r="168" spans="1:11" x14ac:dyDescent="0.25">
      <c r="A168" s="78">
        <v>46140</v>
      </c>
      <c r="B168" s="21" t="s">
        <v>618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596</v>
      </c>
      <c r="K168" s="24">
        <v>44573.520000000033</v>
      </c>
    </row>
    <row r="169" spans="1:11" x14ac:dyDescent="0.25">
      <c r="A169" s="78">
        <v>46141</v>
      </c>
      <c r="B169" s="21" t="s">
        <v>368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596</v>
      </c>
      <c r="K169" s="24">
        <v>44191.020000000033</v>
      </c>
    </row>
    <row r="170" spans="1:11" x14ac:dyDescent="0.25">
      <c r="A170" s="78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596</v>
      </c>
      <c r="K170" s="24">
        <v>45756.020000000033</v>
      </c>
    </row>
    <row r="171" spans="1:11" x14ac:dyDescent="0.25">
      <c r="A171" s="78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596</v>
      </c>
      <c r="K171" s="24">
        <v>45937.520000000033</v>
      </c>
    </row>
    <row r="172" spans="1:11" x14ac:dyDescent="0.25">
      <c r="A172" s="78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596</v>
      </c>
      <c r="K172" s="24">
        <v>45912.520000000033</v>
      </c>
    </row>
    <row r="173" spans="1:11" x14ac:dyDescent="0.25">
      <c r="A173" s="78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596</v>
      </c>
      <c r="K173" s="24">
        <v>46682.520000000033</v>
      </c>
    </row>
    <row r="174" spans="1:11" x14ac:dyDescent="0.25">
      <c r="A174" s="78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596</v>
      </c>
      <c r="K174" s="24">
        <v>48540.520000000033</v>
      </c>
    </row>
    <row r="175" spans="1:11" x14ac:dyDescent="0.25">
      <c r="A175" s="78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596</v>
      </c>
      <c r="K175" s="24">
        <v>48622.520000000033</v>
      </c>
    </row>
    <row r="176" spans="1:11" x14ac:dyDescent="0.25">
      <c r="A176" s="78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596</v>
      </c>
      <c r="K176" s="24">
        <v>48604.520000000033</v>
      </c>
    </row>
    <row r="177" spans="1:11" x14ac:dyDescent="0.25">
      <c r="A177" s="78">
        <v>46142</v>
      </c>
      <c r="B177" s="21" t="s">
        <v>298</v>
      </c>
      <c r="C177" s="21" t="s">
        <v>12</v>
      </c>
      <c r="D177" s="21" t="s">
        <v>59</v>
      </c>
      <c r="E177" s="21" t="s">
        <v>17</v>
      </c>
      <c r="F177" s="21"/>
      <c r="G177" s="24">
        <v>389.48</v>
      </c>
      <c r="H177" s="24"/>
      <c r="J177" s="21" t="s">
        <v>596</v>
      </c>
      <c r="K177" s="24">
        <v>48215.040000000023</v>
      </c>
    </row>
    <row r="178" spans="1:11" x14ac:dyDescent="0.25">
      <c r="A178" s="78">
        <v>46142</v>
      </c>
      <c r="B178" s="21" t="s">
        <v>305</v>
      </c>
      <c r="C178" s="21" t="s">
        <v>12</v>
      </c>
      <c r="D178" s="21" t="s">
        <v>40</v>
      </c>
      <c r="E178" s="21" t="s">
        <v>17</v>
      </c>
      <c r="F178" s="21"/>
      <c r="G178" s="24">
        <v>370</v>
      </c>
      <c r="H178" s="24"/>
      <c r="J178" s="21" t="s">
        <v>596</v>
      </c>
      <c r="K178" s="24">
        <v>47845.040000000023</v>
      </c>
    </row>
    <row r="179" spans="1:11" x14ac:dyDescent="0.25">
      <c r="A179" s="78">
        <v>46142</v>
      </c>
      <c r="B179" s="21" t="s">
        <v>619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596</v>
      </c>
      <c r="K179" s="24">
        <v>34660.040000000023</v>
      </c>
    </row>
    <row r="180" spans="1:11" x14ac:dyDescent="0.25">
      <c r="A180" s="78">
        <v>46142</v>
      </c>
      <c r="B180" s="21" t="s">
        <v>295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596</v>
      </c>
      <c r="K180" s="24">
        <v>29843.000000000018</v>
      </c>
    </row>
    <row r="181" spans="1:11" x14ac:dyDescent="0.25">
      <c r="A181" s="78">
        <v>46142</v>
      </c>
      <c r="B181" s="21" t="s">
        <v>306</v>
      </c>
      <c r="C181" s="21" t="s">
        <v>12</v>
      </c>
      <c r="D181" s="21" t="s">
        <v>69</v>
      </c>
      <c r="E181" s="21" t="s">
        <v>17</v>
      </c>
      <c r="F181" s="21" t="s">
        <v>25</v>
      </c>
      <c r="G181" s="24">
        <v>600</v>
      </c>
      <c r="H181" s="24"/>
      <c r="J181" s="21" t="s">
        <v>596</v>
      </c>
      <c r="K181" s="24">
        <v>29243.000000000018</v>
      </c>
    </row>
    <row r="182" spans="1:11" x14ac:dyDescent="0.25">
      <c r="A182" s="78">
        <v>46142</v>
      </c>
      <c r="B182" s="21" t="s">
        <v>620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596</v>
      </c>
      <c r="K182" s="24">
        <v>29098.000000000018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5">
      <c r="A4" s="3">
        <v>46174</v>
      </c>
      <c r="B4" s="4" t="s">
        <v>292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5">
      <c r="A5" s="3">
        <v>46174</v>
      </c>
      <c r="B5" s="4" t="s">
        <v>521</v>
      </c>
      <c r="C5" s="5" t="s">
        <v>12</v>
      </c>
      <c r="D5" s="6" t="s">
        <v>40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5">
      <c r="A6" s="3">
        <v>46174</v>
      </c>
      <c r="B6" s="4" t="s">
        <v>306</v>
      </c>
      <c r="C6" s="5" t="s">
        <v>12</v>
      </c>
      <c r="D6" s="6" t="s">
        <v>69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5">
      <c r="A7" s="3">
        <v>46174</v>
      </c>
      <c r="B7" s="4" t="s">
        <v>31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5">
      <c r="A8" s="3">
        <v>46174</v>
      </c>
      <c r="B8" s="4" t="s">
        <v>45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5">
      <c r="A9" s="3">
        <v>46174</v>
      </c>
      <c r="B9" s="4" t="s">
        <v>46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5">
      <c r="A13" s="3">
        <v>46175</v>
      </c>
      <c r="B13" s="4" t="s">
        <v>621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5">
      <c r="A14" s="3">
        <v>46175</v>
      </c>
      <c r="B14" s="4" t="s">
        <v>354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5">
      <c r="A15" s="3">
        <v>46175</v>
      </c>
      <c r="B15" s="4" t="s">
        <v>622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5">
      <c r="A16" s="3">
        <v>46175</v>
      </c>
      <c r="B16" s="4" t="s">
        <v>623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5">
      <c r="A17" s="3">
        <v>46175</v>
      </c>
      <c r="B17" s="4" t="s">
        <v>624</v>
      </c>
      <c r="C17" s="5" t="s">
        <v>12</v>
      </c>
      <c r="D17" s="6" t="s">
        <v>34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5">
      <c r="A18" s="3">
        <v>46176</v>
      </c>
      <c r="B18" s="4" t="s">
        <v>422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5">
      <c r="A19" s="3">
        <v>46176</v>
      </c>
      <c r="B19" s="4" t="s">
        <v>352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5">
      <c r="A20" s="3">
        <v>46176</v>
      </c>
      <c r="B20" s="4" t="s">
        <v>31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5">
      <c r="A21" s="3">
        <v>46176</v>
      </c>
      <c r="B21" s="4" t="s">
        <v>45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5">
      <c r="A22" s="3">
        <v>46176</v>
      </c>
      <c r="B22" s="4" t="s">
        <v>46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5">
      <c r="A30" s="3">
        <v>46178</v>
      </c>
      <c r="B30" s="4" t="s">
        <v>531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5">
      <c r="A31" s="3">
        <v>46178</v>
      </c>
      <c r="B31" s="4" t="s">
        <v>323</v>
      </c>
      <c r="C31" s="5" t="s">
        <v>12</v>
      </c>
      <c r="D31" s="6" t="s">
        <v>40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5">
      <c r="A32" s="3">
        <v>46178</v>
      </c>
      <c r="B32" s="4" t="s">
        <v>324</v>
      </c>
      <c r="C32" s="5" t="s">
        <v>12</v>
      </c>
      <c r="D32" s="6" t="s">
        <v>40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5">
      <c r="A33" s="3">
        <v>46178</v>
      </c>
      <c r="B33" s="4" t="s">
        <v>625</v>
      </c>
      <c r="C33" s="5" t="s">
        <v>12</v>
      </c>
      <c r="D33" s="6" t="s">
        <v>40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5">
      <c r="A35" s="3">
        <v>46178</v>
      </c>
      <c r="B35" s="4" t="s">
        <v>528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5">
      <c r="A39" s="3">
        <v>46179</v>
      </c>
      <c r="B39" s="4" t="s">
        <v>34</v>
      </c>
      <c r="C39" s="5" t="s">
        <v>12</v>
      </c>
      <c r="D39" s="6" t="s">
        <v>34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5">
      <c r="A43" s="3">
        <v>46180</v>
      </c>
      <c r="B43" s="4" t="s">
        <v>34</v>
      </c>
      <c r="C43" s="5" t="s">
        <v>12</v>
      </c>
      <c r="D43" s="6" t="s">
        <v>34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5">
      <c r="A47" s="3">
        <v>46181</v>
      </c>
      <c r="B47" s="9" t="s">
        <v>415</v>
      </c>
      <c r="C47" s="7" t="s">
        <v>12</v>
      </c>
      <c r="D47" s="6" t="s">
        <v>329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5">
      <c r="A48" s="3">
        <v>46181</v>
      </c>
      <c r="B48" s="4" t="s">
        <v>626</v>
      </c>
      <c r="C48" s="5" t="s">
        <v>12</v>
      </c>
      <c r="D48" s="6" t="s">
        <v>69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5">
      <c r="A49" s="3">
        <v>46181</v>
      </c>
      <c r="B49" s="4" t="s">
        <v>353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5">
      <c r="A50" s="3">
        <v>46181</v>
      </c>
      <c r="B50" s="4" t="s">
        <v>346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5">
      <c r="A51" s="3">
        <v>46181</v>
      </c>
      <c r="B51" s="4" t="s">
        <v>346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5">
      <c r="A52" s="3">
        <v>46181</v>
      </c>
      <c r="B52" s="4" t="s">
        <v>600</v>
      </c>
      <c r="C52" s="5" t="s">
        <v>12</v>
      </c>
      <c r="D52" s="6" t="s">
        <v>63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5">
      <c r="A53" s="3">
        <v>46182</v>
      </c>
      <c r="B53" s="4" t="s">
        <v>419</v>
      </c>
      <c r="C53" s="5" t="s">
        <v>12</v>
      </c>
      <c r="D53" s="6" t="s">
        <v>40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5">
      <c r="A54" s="3">
        <v>46182</v>
      </c>
      <c r="B54" s="4" t="s">
        <v>356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5">
      <c r="A55" s="3">
        <v>46182</v>
      </c>
      <c r="B55" s="4" t="s">
        <v>396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5">
      <c r="A56" s="3">
        <v>46182</v>
      </c>
      <c r="B56" s="4" t="s">
        <v>396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5">
      <c r="A57" s="3">
        <v>46182</v>
      </c>
      <c r="B57" s="4" t="s">
        <v>627</v>
      </c>
      <c r="C57" s="5" t="s">
        <v>12</v>
      </c>
      <c r="D57" s="6" t="s">
        <v>40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5">
      <c r="A58" s="3">
        <v>46182</v>
      </c>
      <c r="B58" s="4" t="s">
        <v>31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5">
      <c r="A59" s="3">
        <v>46182</v>
      </c>
      <c r="B59" s="4" t="s">
        <v>45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5">
      <c r="A60" s="3">
        <v>46182</v>
      </c>
      <c r="B60" s="4" t="s">
        <v>46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5">
      <c r="A61" s="3">
        <v>46182</v>
      </c>
      <c r="B61" s="4" t="s">
        <v>628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5">
      <c r="A65" s="3">
        <v>46183</v>
      </c>
      <c r="B65" s="4" t="s">
        <v>629</v>
      </c>
      <c r="C65" s="5" t="s">
        <v>12</v>
      </c>
      <c r="D65" s="6" t="s">
        <v>67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5">
      <c r="A66" s="3">
        <v>46183</v>
      </c>
      <c r="B66" s="4" t="s">
        <v>69</v>
      </c>
      <c r="C66" s="5" t="s">
        <v>12</v>
      </c>
      <c r="D66" s="6" t="s">
        <v>69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5">
      <c r="A67" s="3">
        <v>46183</v>
      </c>
      <c r="B67" s="4" t="s">
        <v>292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5">
      <c r="A68" s="3">
        <v>46183</v>
      </c>
      <c r="B68" s="4" t="s">
        <v>483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5">
      <c r="A69" s="3">
        <v>46183</v>
      </c>
      <c r="B69" s="4" t="s">
        <v>630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5">
      <c r="A70" s="3">
        <v>46184</v>
      </c>
      <c r="B70" s="4" t="s">
        <v>631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5">
      <c r="A74" s="12">
        <v>46185</v>
      </c>
      <c r="B74" s="4" t="s">
        <v>31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5">
      <c r="A80" s="3">
        <v>46186</v>
      </c>
      <c r="B80" s="4" t="s">
        <v>632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5">
      <c r="A81" s="12">
        <v>46187</v>
      </c>
      <c r="B81" s="4" t="s">
        <v>31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5">
      <c r="A82" s="12">
        <v>46187</v>
      </c>
      <c r="B82" s="4" t="s">
        <v>633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5">
      <c r="A83" s="3">
        <v>46187</v>
      </c>
      <c r="B83" s="4" t="s">
        <v>430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5">
      <c r="A86" s="12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5">
      <c r="A88" s="3">
        <v>46188</v>
      </c>
      <c r="B88" s="4" t="s">
        <v>634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5">
      <c r="A89" s="3">
        <v>46188</v>
      </c>
      <c r="B89" s="4" t="s">
        <v>65</v>
      </c>
      <c r="C89" s="5" t="s">
        <v>12</v>
      </c>
      <c r="D89" s="6" t="s">
        <v>65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5">
      <c r="A90" s="3">
        <v>46188</v>
      </c>
      <c r="B90" s="4" t="s">
        <v>283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5">
      <c r="A91" s="3">
        <v>46188</v>
      </c>
      <c r="B91" s="4" t="s">
        <v>635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5">
      <c r="A92" s="3">
        <v>46188</v>
      </c>
      <c r="B92" s="4" t="s">
        <v>636</v>
      </c>
      <c r="C92" s="5" t="s">
        <v>12</v>
      </c>
      <c r="D92" s="6" t="s">
        <v>59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5">
      <c r="A96" s="3">
        <v>46189</v>
      </c>
      <c r="B96" s="4" t="s">
        <v>354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5">
      <c r="A97" s="3">
        <v>46189</v>
      </c>
      <c r="B97" s="4" t="s">
        <v>354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5">
      <c r="A98" s="3">
        <v>46189</v>
      </c>
      <c r="B98" s="4" t="s">
        <v>621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5">
      <c r="A99" s="3">
        <v>46189</v>
      </c>
      <c r="B99" s="4" t="s">
        <v>637</v>
      </c>
      <c r="C99" s="5" t="s">
        <v>12</v>
      </c>
      <c r="D99" s="6" t="s">
        <v>69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5">
      <c r="A100" s="3">
        <v>46189</v>
      </c>
      <c r="B100" s="4" t="s">
        <v>68</v>
      </c>
      <c r="C100" s="5" t="s">
        <v>12</v>
      </c>
      <c r="D100" s="6" t="s">
        <v>68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5">
      <c r="A101" s="3">
        <v>46189</v>
      </c>
      <c r="B101" s="4" t="s">
        <v>369</v>
      </c>
      <c r="C101" s="5" t="s">
        <v>12</v>
      </c>
      <c r="D101" s="6" t="s">
        <v>40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5">
      <c r="A105" s="3">
        <v>46191</v>
      </c>
      <c r="B105" s="4" t="s">
        <v>31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5">
      <c r="A109" s="3">
        <v>46192</v>
      </c>
      <c r="B109" s="4" t="s">
        <v>45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5">
      <c r="A110" s="3">
        <v>46192</v>
      </c>
      <c r="B110" s="4" t="s">
        <v>46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5">
      <c r="A111" s="3">
        <v>46192</v>
      </c>
      <c r="B111" s="4" t="s">
        <v>403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5">
      <c r="A112" s="3">
        <v>46192</v>
      </c>
      <c r="B112" s="4" t="s">
        <v>638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5">
      <c r="A113" s="3">
        <v>46192</v>
      </c>
      <c r="B113" s="4" t="s">
        <v>639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5">
      <c r="A114" s="3">
        <v>46192</v>
      </c>
      <c r="B114" s="4" t="s">
        <v>503</v>
      </c>
      <c r="C114" s="5" t="s">
        <v>12</v>
      </c>
      <c r="D114" s="6" t="s">
        <v>59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5">
      <c r="A115" s="3">
        <v>46192</v>
      </c>
      <c r="B115" s="4" t="s">
        <v>358</v>
      </c>
      <c r="C115" s="5" t="s">
        <v>12</v>
      </c>
      <c r="D115" s="6" t="s">
        <v>59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5">
      <c r="A116" s="3">
        <v>46192</v>
      </c>
      <c r="B116" s="4" t="s">
        <v>528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5">
      <c r="A117" s="3">
        <v>46192</v>
      </c>
      <c r="B117" s="4" t="s">
        <v>548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5">
      <c r="A118" s="3">
        <v>46192</v>
      </c>
      <c r="B118" s="4" t="s">
        <v>640</v>
      </c>
      <c r="C118" s="5" t="s">
        <v>12</v>
      </c>
      <c r="D118" s="6" t="s">
        <v>68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5">
      <c r="A119" s="3">
        <v>46192</v>
      </c>
      <c r="B119" s="4" t="s">
        <v>326</v>
      </c>
      <c r="C119" s="5" t="s">
        <v>12</v>
      </c>
      <c r="D119" s="6" t="s">
        <v>66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5">
      <c r="A120" s="3">
        <v>46193</v>
      </c>
      <c r="B120" s="4" t="s">
        <v>641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5">
      <c r="A129" s="3">
        <v>46195</v>
      </c>
      <c r="B129" s="4" t="s">
        <v>642</v>
      </c>
      <c r="C129" s="5" t="s">
        <v>12</v>
      </c>
      <c r="D129" s="6" t="s">
        <v>59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5">
      <c r="A130" s="3">
        <v>46195</v>
      </c>
      <c r="B130" s="4" t="s">
        <v>554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5">
      <c r="A131" s="3">
        <v>46195</v>
      </c>
      <c r="B131" s="4" t="s">
        <v>396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5">
      <c r="A132" s="3">
        <v>46195</v>
      </c>
      <c r="B132" s="4" t="s">
        <v>600</v>
      </c>
      <c r="C132" s="5" t="s">
        <v>12</v>
      </c>
      <c r="D132" s="6" t="s">
        <v>63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5">
      <c r="A133" s="3">
        <v>46196</v>
      </c>
      <c r="B133" s="4" t="s">
        <v>31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5">
      <c r="A134" s="3">
        <v>46196</v>
      </c>
      <c r="B134" s="4" t="s">
        <v>45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5">
      <c r="A135" s="3">
        <v>46196</v>
      </c>
      <c r="B135" s="4" t="s">
        <v>46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5">
      <c r="A136" s="3">
        <v>46196</v>
      </c>
      <c r="B136" s="4" t="s">
        <v>356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5">
      <c r="A137" s="3">
        <v>46196</v>
      </c>
      <c r="B137" s="4" t="s">
        <v>643</v>
      </c>
      <c r="C137" s="5" t="s">
        <v>12</v>
      </c>
      <c r="D137" s="6" t="s">
        <v>66</v>
      </c>
      <c r="E137" s="6" t="s">
        <v>17</v>
      </c>
      <c r="F137" s="6" t="s">
        <v>25</v>
      </c>
      <c r="G137" s="7">
        <v>3428.21</v>
      </c>
      <c r="H137" s="7"/>
      <c r="I137" s="5" t="s">
        <v>644</v>
      </c>
      <c r="J137" s="5" t="str">
        <f t="shared" si="9"/>
        <v>yyyy-06</v>
      </c>
      <c r="K137" s="7">
        <f t="shared" si="8"/>
        <v>-28157.31</v>
      </c>
    </row>
    <row r="138" spans="1:11" x14ac:dyDescent="0.25">
      <c r="A138" s="3">
        <v>46195</v>
      </c>
      <c r="B138" s="4" t="s">
        <v>645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5">
      <c r="A142" s="3">
        <v>46197</v>
      </c>
      <c r="B142" s="4" t="s">
        <v>646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5">
      <c r="A143" s="3">
        <v>46198</v>
      </c>
      <c r="B143" s="4" t="s">
        <v>647</v>
      </c>
      <c r="C143" s="5" t="s">
        <v>12</v>
      </c>
      <c r="D143" s="6" t="s">
        <v>40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5">
      <c r="A144" s="3">
        <v>46198</v>
      </c>
      <c r="B144" s="4" t="s">
        <v>31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5">
      <c r="A145" s="3">
        <v>46198</v>
      </c>
      <c r="B145" s="4" t="s">
        <v>45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5">
      <c r="A146" s="3">
        <v>46198</v>
      </c>
      <c r="B146" s="4" t="s">
        <v>46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5">
      <c r="A147" s="13">
        <v>46198</v>
      </c>
      <c r="B147" s="4" t="s">
        <v>403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5">
      <c r="A148" s="3">
        <v>46199</v>
      </c>
      <c r="B148" s="4" t="s">
        <v>31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5">
      <c r="A158" s="3">
        <v>46201</v>
      </c>
      <c r="B158" s="4" t="s">
        <v>34</v>
      </c>
      <c r="C158" s="5" t="s">
        <v>12</v>
      </c>
      <c r="D158" s="6" t="s">
        <v>34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5">
      <c r="A162" s="3">
        <v>46202</v>
      </c>
      <c r="B162" s="4" t="s">
        <v>317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5">
      <c r="A163" s="3">
        <v>46202</v>
      </c>
      <c r="B163" s="4" t="s">
        <v>292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5">
      <c r="A164" s="3">
        <v>46202</v>
      </c>
      <c r="B164" s="4" t="s">
        <v>470</v>
      </c>
      <c r="C164" s="5" t="s">
        <v>12</v>
      </c>
      <c r="D164" s="6" t="s">
        <v>69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5">
      <c r="A166" s="3">
        <v>46202</v>
      </c>
      <c r="B166" s="4" t="s">
        <v>521</v>
      </c>
      <c r="C166" s="5" t="s">
        <v>12</v>
      </c>
      <c r="D166" s="6" t="s">
        <v>40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5">
      <c r="A167" s="3">
        <v>46202</v>
      </c>
      <c r="B167" s="4" t="s">
        <v>648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5">
      <c r="A168" s="3">
        <v>46202</v>
      </c>
      <c r="B168" s="4" t="s">
        <v>371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5">
      <c r="A169" s="3">
        <v>46202</v>
      </c>
      <c r="B169" s="4" t="s">
        <v>649</v>
      </c>
      <c r="C169" s="5" t="s">
        <v>12</v>
      </c>
      <c r="D169" s="6" t="s">
        <v>34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5">
      <c r="A170" s="3">
        <v>46202</v>
      </c>
      <c r="B170" s="4" t="s">
        <v>355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5">
      <c r="A171" s="3">
        <v>46203</v>
      </c>
      <c r="B171" s="4" t="s">
        <v>627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5">
      <c r="A172" s="3">
        <v>46203</v>
      </c>
      <c r="B172" s="4" t="s">
        <v>650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5">
      <c r="A173" s="3">
        <v>46203</v>
      </c>
      <c r="B173" s="4" t="s">
        <v>621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5">
      <c r="A174" s="3">
        <v>46203</v>
      </c>
      <c r="B174" s="4" t="s">
        <v>31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5">
      <c r="A175" s="3">
        <v>46203</v>
      </c>
      <c r="B175" s="4" t="s">
        <v>45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5">
      <c r="A176" s="3">
        <v>46203</v>
      </c>
      <c r="B176" s="4" t="s">
        <v>46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defaultColWidth="14.42578125" defaultRowHeight="15" customHeight="1" x14ac:dyDescent="0.25"/>
  <sheetData>
    <row r="1" spans="1:11" x14ac:dyDescent="0.25">
      <c r="A1" s="78">
        <v>46143</v>
      </c>
      <c r="B1" s="21" t="s">
        <v>11</v>
      </c>
      <c r="C1" s="21" t="s">
        <v>12</v>
      </c>
      <c r="D1" s="21" t="s">
        <v>19</v>
      </c>
      <c r="E1" s="21" t="s">
        <v>14</v>
      </c>
      <c r="F1" s="21" t="s">
        <v>15</v>
      </c>
      <c r="G1" s="24">
        <v>476</v>
      </c>
      <c r="H1" s="24"/>
      <c r="J1" s="21" t="s">
        <v>651</v>
      </c>
      <c r="K1" s="24">
        <v>476</v>
      </c>
    </row>
    <row r="2" spans="1:11" x14ac:dyDescent="0.25">
      <c r="A2" s="78">
        <v>46143</v>
      </c>
      <c r="B2" s="21" t="s">
        <v>13</v>
      </c>
      <c r="C2" s="21" t="s">
        <v>20</v>
      </c>
      <c r="D2" s="21" t="s">
        <v>13</v>
      </c>
      <c r="E2" s="21"/>
      <c r="F2" s="21"/>
      <c r="G2" s="24">
        <v>9578</v>
      </c>
      <c r="H2" s="24"/>
      <c r="J2" s="21" t="s">
        <v>651</v>
      </c>
      <c r="K2" s="24">
        <v>10054</v>
      </c>
    </row>
    <row r="3" spans="1:11" x14ac:dyDescent="0.25">
      <c r="A3" s="78">
        <v>46143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574</v>
      </c>
      <c r="H3" s="24"/>
      <c r="J3" s="21" t="s">
        <v>651</v>
      </c>
      <c r="K3" s="24">
        <v>10628</v>
      </c>
    </row>
    <row r="4" spans="1:11" x14ac:dyDescent="0.25">
      <c r="A4" s="78">
        <v>46143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53</v>
      </c>
      <c r="H4" s="24"/>
      <c r="J4" s="21" t="s">
        <v>651</v>
      </c>
      <c r="K4" s="24">
        <v>10575</v>
      </c>
    </row>
    <row r="5" spans="1:11" x14ac:dyDescent="0.25">
      <c r="A5" s="78">
        <v>46144</v>
      </c>
      <c r="B5" s="21" t="s">
        <v>34</v>
      </c>
      <c r="C5" s="21" t="s">
        <v>12</v>
      </c>
      <c r="D5" s="21" t="s">
        <v>34</v>
      </c>
      <c r="E5" s="21" t="s">
        <v>14</v>
      </c>
      <c r="F5" s="21" t="s">
        <v>15</v>
      </c>
      <c r="G5" s="24">
        <v>150</v>
      </c>
      <c r="H5" s="24"/>
      <c r="J5" s="21" t="s">
        <v>651</v>
      </c>
      <c r="K5" s="24">
        <v>10425</v>
      </c>
    </row>
    <row r="6" spans="1:11" x14ac:dyDescent="0.25">
      <c r="A6" s="78">
        <v>46144</v>
      </c>
      <c r="B6" s="21" t="s">
        <v>641</v>
      </c>
      <c r="C6" s="21" t="s">
        <v>20</v>
      </c>
      <c r="D6" s="21" t="s">
        <v>13</v>
      </c>
      <c r="E6" s="21"/>
      <c r="F6" s="21"/>
      <c r="G6" s="24">
        <v>10116</v>
      </c>
      <c r="H6" s="24"/>
      <c r="J6" s="21" t="s">
        <v>651</v>
      </c>
      <c r="K6" s="24">
        <v>20541</v>
      </c>
    </row>
    <row r="7" spans="1:11" x14ac:dyDescent="0.25">
      <c r="A7" s="78">
        <v>46144</v>
      </c>
      <c r="B7" s="21" t="s">
        <v>21</v>
      </c>
      <c r="C7" s="21" t="s">
        <v>20</v>
      </c>
      <c r="D7" s="21" t="s">
        <v>22</v>
      </c>
      <c r="E7" s="21" t="s">
        <v>17</v>
      </c>
      <c r="F7" s="21"/>
      <c r="G7" s="24">
        <v>55</v>
      </c>
      <c r="H7" s="24"/>
      <c r="J7" s="21" t="s">
        <v>651</v>
      </c>
      <c r="K7" s="24">
        <v>20596</v>
      </c>
    </row>
    <row r="8" spans="1:11" x14ac:dyDescent="0.25">
      <c r="A8" s="78">
        <v>46144</v>
      </c>
      <c r="B8" s="21" t="s">
        <v>23</v>
      </c>
      <c r="C8" s="21" t="s">
        <v>12</v>
      </c>
      <c r="D8" s="21" t="s">
        <v>24</v>
      </c>
      <c r="E8" s="21" t="s">
        <v>17</v>
      </c>
      <c r="F8" s="21" t="s">
        <v>25</v>
      </c>
      <c r="G8" s="24">
        <v>9</v>
      </c>
      <c r="H8" s="24"/>
      <c r="J8" s="21" t="s">
        <v>651</v>
      </c>
      <c r="K8" s="24">
        <v>20587</v>
      </c>
    </row>
    <row r="9" spans="1:11" x14ac:dyDescent="0.25">
      <c r="A9" s="78">
        <v>46145</v>
      </c>
      <c r="B9" s="21" t="s">
        <v>34</v>
      </c>
      <c r="C9" s="21" t="s">
        <v>12</v>
      </c>
      <c r="D9" s="21" t="s">
        <v>34</v>
      </c>
      <c r="E9" s="21" t="s">
        <v>14</v>
      </c>
      <c r="F9" s="21" t="s">
        <v>15</v>
      </c>
      <c r="G9" s="24">
        <v>150</v>
      </c>
      <c r="H9" s="24"/>
      <c r="J9" s="21" t="s">
        <v>651</v>
      </c>
      <c r="K9" s="24">
        <v>20437</v>
      </c>
    </row>
    <row r="10" spans="1:11" x14ac:dyDescent="0.25">
      <c r="A10" s="78">
        <v>46145</v>
      </c>
      <c r="B10" s="21" t="s">
        <v>13</v>
      </c>
      <c r="C10" s="21" t="s">
        <v>20</v>
      </c>
      <c r="D10" s="21" t="s">
        <v>13</v>
      </c>
      <c r="E10" s="21"/>
      <c r="F10" s="21"/>
      <c r="G10" s="24">
        <v>6795</v>
      </c>
      <c r="H10" s="24"/>
      <c r="J10" s="21" t="s">
        <v>651</v>
      </c>
      <c r="K10" s="24">
        <v>27232</v>
      </c>
    </row>
    <row r="11" spans="1:11" x14ac:dyDescent="0.25">
      <c r="A11" s="78">
        <v>46145</v>
      </c>
      <c r="B11" s="21" t="s">
        <v>21</v>
      </c>
      <c r="C11" s="21" t="s">
        <v>20</v>
      </c>
      <c r="D11" s="21" t="s">
        <v>22</v>
      </c>
      <c r="E11" s="21" t="s">
        <v>17</v>
      </c>
      <c r="F11" s="21"/>
      <c r="G11" s="24">
        <v>354</v>
      </c>
      <c r="H11" s="24"/>
      <c r="J11" s="21" t="s">
        <v>651</v>
      </c>
      <c r="K11" s="24">
        <v>27586</v>
      </c>
    </row>
    <row r="12" spans="1:11" x14ac:dyDescent="0.25">
      <c r="A12" s="78">
        <v>46145</v>
      </c>
      <c r="B12" s="21" t="s">
        <v>23</v>
      </c>
      <c r="C12" s="21" t="s">
        <v>12</v>
      </c>
      <c r="D12" s="21" t="s">
        <v>24</v>
      </c>
      <c r="E12" s="21" t="s">
        <v>17</v>
      </c>
      <c r="F12" s="21" t="s">
        <v>25</v>
      </c>
      <c r="G12" s="24">
        <v>41</v>
      </c>
      <c r="H12" s="24"/>
      <c r="J12" s="21" t="s">
        <v>651</v>
      </c>
      <c r="K12" s="24">
        <v>27545</v>
      </c>
    </row>
    <row r="13" spans="1:11" x14ac:dyDescent="0.25">
      <c r="A13" s="78">
        <v>46144</v>
      </c>
      <c r="B13" s="21" t="s">
        <v>652</v>
      </c>
      <c r="C13" s="21" t="s">
        <v>12</v>
      </c>
      <c r="D13" s="21" t="s">
        <v>29</v>
      </c>
      <c r="E13" s="21" t="s">
        <v>14</v>
      </c>
      <c r="F13" s="21" t="s">
        <v>15</v>
      </c>
      <c r="G13" s="24">
        <v>102</v>
      </c>
      <c r="H13" s="24"/>
      <c r="J13" s="21" t="s">
        <v>651</v>
      </c>
      <c r="K13" s="24">
        <v>27443</v>
      </c>
    </row>
    <row r="14" spans="1:11" x14ac:dyDescent="0.25">
      <c r="A14" s="78">
        <v>46146</v>
      </c>
      <c r="B14" s="21" t="s">
        <v>372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709.75</v>
      </c>
      <c r="H14" s="24"/>
      <c r="J14" s="21" t="s">
        <v>651</v>
      </c>
      <c r="K14" s="24">
        <v>26733.25</v>
      </c>
    </row>
    <row r="15" spans="1:11" x14ac:dyDescent="0.25">
      <c r="A15" s="78">
        <v>46146</v>
      </c>
      <c r="B15" s="21" t="s">
        <v>44</v>
      </c>
      <c r="C15" s="21" t="s">
        <v>12</v>
      </c>
      <c r="D15" s="21" t="s">
        <v>19</v>
      </c>
      <c r="E15" s="21" t="s">
        <v>17</v>
      </c>
      <c r="F15" s="21"/>
      <c r="G15" s="24">
        <v>1029.4000000000001</v>
      </c>
      <c r="H15" s="24"/>
      <c r="J15" s="21" t="s">
        <v>651</v>
      </c>
      <c r="K15" s="24">
        <v>25703.85</v>
      </c>
    </row>
    <row r="16" spans="1:11" x14ac:dyDescent="0.25">
      <c r="A16" s="78">
        <v>46146</v>
      </c>
      <c r="B16" s="21" t="s">
        <v>44</v>
      </c>
      <c r="C16" s="21" t="s">
        <v>12</v>
      </c>
      <c r="D16" s="21" t="s">
        <v>19</v>
      </c>
      <c r="E16" s="21" t="s">
        <v>17</v>
      </c>
      <c r="F16" s="21"/>
      <c r="G16" s="24">
        <v>156.69999999999999</v>
      </c>
      <c r="H16" s="24"/>
      <c r="J16" s="21" t="s">
        <v>651</v>
      </c>
      <c r="K16" s="24">
        <v>25547.15</v>
      </c>
    </row>
    <row r="17" spans="1:11" x14ac:dyDescent="0.25">
      <c r="A17" s="78">
        <v>46146</v>
      </c>
      <c r="B17" s="21" t="s">
        <v>44</v>
      </c>
      <c r="C17" s="21" t="s">
        <v>12</v>
      </c>
      <c r="D17" s="21" t="s">
        <v>19</v>
      </c>
      <c r="E17" s="21" t="s">
        <v>17</v>
      </c>
      <c r="F17" s="21"/>
      <c r="G17" s="24">
        <v>564.36</v>
      </c>
      <c r="H17" s="24"/>
      <c r="J17" s="21" t="s">
        <v>651</v>
      </c>
      <c r="K17" s="24">
        <v>24982.79</v>
      </c>
    </row>
    <row r="18" spans="1:11" x14ac:dyDescent="0.25">
      <c r="A18" s="78">
        <v>46146</v>
      </c>
      <c r="B18" s="21" t="s">
        <v>39</v>
      </c>
      <c r="C18" s="21" t="s">
        <v>12</v>
      </c>
      <c r="D18" s="21" t="s">
        <v>40</v>
      </c>
      <c r="E18" s="21" t="s">
        <v>17</v>
      </c>
      <c r="F18" s="21"/>
      <c r="G18" s="24">
        <v>8918.64</v>
      </c>
      <c r="H18" s="24"/>
      <c r="J18" s="21" t="s">
        <v>651</v>
      </c>
      <c r="K18" s="24">
        <v>16064.15</v>
      </c>
    </row>
    <row r="19" spans="1:11" x14ac:dyDescent="0.25">
      <c r="A19" s="78">
        <v>46146</v>
      </c>
      <c r="B19" s="21" t="s">
        <v>324</v>
      </c>
      <c r="C19" s="21" t="s">
        <v>12</v>
      </c>
      <c r="D19" s="21" t="s">
        <v>40</v>
      </c>
      <c r="E19" s="21" t="s">
        <v>17</v>
      </c>
      <c r="F19" s="21" t="s">
        <v>25</v>
      </c>
      <c r="G19" s="24">
        <v>94.9</v>
      </c>
      <c r="H19" s="24"/>
      <c r="J19" s="21" t="s">
        <v>651</v>
      </c>
      <c r="K19" s="24">
        <v>15969.25</v>
      </c>
    </row>
    <row r="20" spans="1:11" x14ac:dyDescent="0.25">
      <c r="A20" s="78">
        <v>46146</v>
      </c>
      <c r="B20" s="21" t="s">
        <v>42</v>
      </c>
      <c r="C20" s="21" t="s">
        <v>12</v>
      </c>
      <c r="D20" s="21" t="s">
        <v>40</v>
      </c>
      <c r="E20" s="21" t="s">
        <v>17</v>
      </c>
      <c r="F20" s="21"/>
      <c r="G20" s="24">
        <v>100</v>
      </c>
      <c r="H20" s="24"/>
      <c r="J20" s="21" t="s">
        <v>651</v>
      </c>
      <c r="K20" s="24">
        <v>15869.25</v>
      </c>
    </row>
    <row r="21" spans="1:11" x14ac:dyDescent="0.25">
      <c r="A21" s="78">
        <v>46146</v>
      </c>
      <c r="B21" s="21" t="s">
        <v>653</v>
      </c>
      <c r="C21" s="21" t="s">
        <v>12</v>
      </c>
      <c r="D21" s="21" t="s">
        <v>40</v>
      </c>
      <c r="E21" s="21" t="s">
        <v>14</v>
      </c>
      <c r="F21" s="21" t="s">
        <v>15</v>
      </c>
      <c r="G21" s="24">
        <v>2836.54</v>
      </c>
      <c r="H21" s="24"/>
      <c r="J21" s="21" t="s">
        <v>651</v>
      </c>
      <c r="K21" s="24">
        <v>13032.71</v>
      </c>
    </row>
    <row r="22" spans="1:11" x14ac:dyDescent="0.25">
      <c r="A22" s="78">
        <v>46146</v>
      </c>
      <c r="B22" s="21" t="s">
        <v>654</v>
      </c>
      <c r="C22" s="21" t="s">
        <v>12</v>
      </c>
      <c r="D22" s="21" t="s">
        <v>19</v>
      </c>
      <c r="E22" s="21" t="s">
        <v>17</v>
      </c>
      <c r="F22" s="21"/>
      <c r="G22" s="24">
        <v>278</v>
      </c>
      <c r="H22" s="24"/>
      <c r="J22" s="21" t="s">
        <v>651</v>
      </c>
      <c r="K22" s="24">
        <v>12754.71</v>
      </c>
    </row>
    <row r="23" spans="1:11" x14ac:dyDescent="0.25">
      <c r="A23" s="78">
        <v>46146</v>
      </c>
      <c r="B23" s="21" t="s">
        <v>31</v>
      </c>
      <c r="C23" s="21" t="s">
        <v>20</v>
      </c>
      <c r="D23" s="21" t="s">
        <v>13</v>
      </c>
      <c r="E23" s="21"/>
      <c r="F23" s="21"/>
      <c r="G23" s="24">
        <v>1145</v>
      </c>
      <c r="H23" s="24"/>
      <c r="J23" s="21" t="s">
        <v>651</v>
      </c>
      <c r="K23" s="24">
        <v>13899.71</v>
      </c>
    </row>
    <row r="24" spans="1:11" x14ac:dyDescent="0.25">
      <c r="A24" s="78">
        <v>46146</v>
      </c>
      <c r="B24" s="21" t="s">
        <v>45</v>
      </c>
      <c r="C24" s="21" t="s">
        <v>20</v>
      </c>
      <c r="D24" s="21" t="s">
        <v>22</v>
      </c>
      <c r="E24" s="21" t="s">
        <v>17</v>
      </c>
      <c r="F24" s="21"/>
      <c r="G24" s="24">
        <v>0</v>
      </c>
      <c r="H24" s="24"/>
      <c r="J24" s="21" t="s">
        <v>651</v>
      </c>
      <c r="K24" s="24">
        <v>13899.71</v>
      </c>
    </row>
    <row r="25" spans="1:11" x14ac:dyDescent="0.25">
      <c r="A25" s="78">
        <v>46146</v>
      </c>
      <c r="B25" s="21" t="s">
        <v>46</v>
      </c>
      <c r="C25" s="21" t="s">
        <v>12</v>
      </c>
      <c r="D25" s="21" t="s">
        <v>24</v>
      </c>
      <c r="E25" s="21" t="s">
        <v>17</v>
      </c>
      <c r="F25" s="21" t="s">
        <v>25</v>
      </c>
      <c r="G25" s="24">
        <v>0</v>
      </c>
      <c r="H25" s="24"/>
      <c r="J25" s="21" t="s">
        <v>651</v>
      </c>
      <c r="K25" s="24">
        <v>13899.71</v>
      </c>
    </row>
    <row r="26" spans="1:11" x14ac:dyDescent="0.25">
      <c r="A26" s="78">
        <v>46146</v>
      </c>
      <c r="B26" s="21" t="s">
        <v>403</v>
      </c>
      <c r="C26" s="21" t="s">
        <v>12</v>
      </c>
      <c r="D26" s="21" t="s">
        <v>19</v>
      </c>
      <c r="E26" s="21" t="s">
        <v>14</v>
      </c>
      <c r="F26" s="21" t="s">
        <v>15</v>
      </c>
      <c r="G26" s="24">
        <v>0</v>
      </c>
      <c r="H26" s="24"/>
      <c r="J26" s="21" t="s">
        <v>651</v>
      </c>
      <c r="K26" s="24">
        <v>13899.71</v>
      </c>
    </row>
    <row r="27" spans="1:11" x14ac:dyDescent="0.25">
      <c r="A27" s="78">
        <v>46147</v>
      </c>
      <c r="B27" s="21" t="s">
        <v>492</v>
      </c>
      <c r="C27" s="21" t="s">
        <v>12</v>
      </c>
      <c r="D27" s="21" t="s">
        <v>40</v>
      </c>
      <c r="E27" s="21" t="s">
        <v>17</v>
      </c>
      <c r="F27" s="21" t="s">
        <v>25</v>
      </c>
      <c r="G27" s="24">
        <v>150</v>
      </c>
      <c r="H27" s="24"/>
      <c r="J27" s="21" t="s">
        <v>651</v>
      </c>
      <c r="K27" s="24">
        <v>13749.71</v>
      </c>
    </row>
    <row r="28" spans="1:11" x14ac:dyDescent="0.25">
      <c r="A28" s="78">
        <v>46147</v>
      </c>
      <c r="B28" s="21" t="s">
        <v>655</v>
      </c>
      <c r="C28" s="21" t="s">
        <v>12</v>
      </c>
      <c r="D28" s="21" t="s">
        <v>63</v>
      </c>
      <c r="E28" s="21" t="s">
        <v>17</v>
      </c>
      <c r="F28" s="21" t="s">
        <v>25</v>
      </c>
      <c r="G28" s="24">
        <v>210</v>
      </c>
      <c r="H28" s="24"/>
      <c r="J28" s="21" t="s">
        <v>651</v>
      </c>
      <c r="K28" s="24">
        <v>13539.71</v>
      </c>
    </row>
    <row r="29" spans="1:11" x14ac:dyDescent="0.25">
      <c r="A29" s="78">
        <v>46147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1471</v>
      </c>
      <c r="H29" s="24"/>
      <c r="J29" s="21" t="s">
        <v>651</v>
      </c>
      <c r="K29" s="24">
        <v>15010.71</v>
      </c>
    </row>
    <row r="30" spans="1:11" x14ac:dyDescent="0.25">
      <c r="A30" s="78">
        <v>46147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84</v>
      </c>
      <c r="H30" s="24"/>
      <c r="J30" s="21" t="s">
        <v>651</v>
      </c>
      <c r="K30" s="24">
        <v>15094.71</v>
      </c>
    </row>
    <row r="31" spans="1:11" x14ac:dyDescent="0.25">
      <c r="A31" s="78">
        <v>46147</v>
      </c>
      <c r="B31" s="21" t="s">
        <v>23</v>
      </c>
      <c r="C31" s="21" t="s">
        <v>20</v>
      </c>
      <c r="D31" s="21" t="s">
        <v>24</v>
      </c>
      <c r="E31" s="21" t="s">
        <v>17</v>
      </c>
      <c r="F31" s="21" t="s">
        <v>25</v>
      </c>
      <c r="G31" s="24">
        <v>27</v>
      </c>
      <c r="H31" s="24"/>
      <c r="J31" s="21" t="s">
        <v>651</v>
      </c>
      <c r="K31" s="24">
        <v>15121.71</v>
      </c>
    </row>
    <row r="32" spans="1:11" x14ac:dyDescent="0.25">
      <c r="A32" s="78">
        <v>46147</v>
      </c>
      <c r="B32" s="21" t="s">
        <v>590</v>
      </c>
      <c r="C32" s="21" t="s">
        <v>12</v>
      </c>
      <c r="D32" s="21" t="s">
        <v>19</v>
      </c>
      <c r="E32" s="21" t="s">
        <v>17</v>
      </c>
      <c r="F32" s="21" t="s">
        <v>25</v>
      </c>
      <c r="G32" s="24">
        <v>3357.6</v>
      </c>
      <c r="H32" s="24"/>
      <c r="J32" s="21" t="s">
        <v>651</v>
      </c>
      <c r="K32" s="24">
        <v>11764.11</v>
      </c>
    </row>
    <row r="33" spans="1:11" x14ac:dyDescent="0.25">
      <c r="A33" s="78">
        <v>46148</v>
      </c>
      <c r="B33" s="21" t="s">
        <v>339</v>
      </c>
      <c r="C33" s="21" t="s">
        <v>12</v>
      </c>
      <c r="D33" s="21" t="s">
        <v>27</v>
      </c>
      <c r="E33" s="21" t="s">
        <v>17</v>
      </c>
      <c r="F33" s="21" t="s">
        <v>25</v>
      </c>
      <c r="G33" s="24">
        <v>9846.01</v>
      </c>
      <c r="H33" s="24"/>
      <c r="J33" s="21" t="s">
        <v>651</v>
      </c>
      <c r="K33" s="24">
        <v>1918.099999999999</v>
      </c>
    </row>
    <row r="34" spans="1:11" x14ac:dyDescent="0.25">
      <c r="A34" s="78">
        <v>46148</v>
      </c>
      <c r="B34" s="21" t="s">
        <v>656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1666.67</v>
      </c>
      <c r="H34" s="24"/>
      <c r="J34" s="21" t="s">
        <v>651</v>
      </c>
      <c r="K34" s="24">
        <v>251.4299999999985</v>
      </c>
    </row>
    <row r="35" spans="1:11" x14ac:dyDescent="0.25">
      <c r="A35" s="78">
        <v>46148</v>
      </c>
      <c r="B35" s="21" t="s">
        <v>31</v>
      </c>
      <c r="C35" s="21" t="s">
        <v>20</v>
      </c>
      <c r="D35" s="21" t="s">
        <v>13</v>
      </c>
      <c r="E35" s="21"/>
      <c r="F35" s="21"/>
      <c r="G35" s="24">
        <v>1514</v>
      </c>
      <c r="H35" s="24"/>
      <c r="J35" s="21" t="s">
        <v>651</v>
      </c>
      <c r="K35" s="24">
        <v>1765.429999999998</v>
      </c>
    </row>
    <row r="36" spans="1:11" x14ac:dyDescent="0.25">
      <c r="A36" s="78">
        <v>46148</v>
      </c>
      <c r="B36" s="21" t="s">
        <v>45</v>
      </c>
      <c r="C36" s="21" t="s">
        <v>20</v>
      </c>
      <c r="D36" s="21" t="s">
        <v>22</v>
      </c>
      <c r="E36" s="21" t="s">
        <v>17</v>
      </c>
      <c r="F36" s="21"/>
      <c r="G36" s="24">
        <v>0</v>
      </c>
      <c r="H36" s="24"/>
      <c r="J36" s="21" t="s">
        <v>651</v>
      </c>
      <c r="K36" s="24">
        <v>1765.429999999998</v>
      </c>
    </row>
    <row r="37" spans="1:11" x14ac:dyDescent="0.25">
      <c r="A37" s="78">
        <v>46148</v>
      </c>
      <c r="B37" s="21" t="s">
        <v>46</v>
      </c>
      <c r="C37" s="21" t="s">
        <v>12</v>
      </c>
      <c r="D37" s="21" t="s">
        <v>24</v>
      </c>
      <c r="E37" s="21" t="s">
        <v>17</v>
      </c>
      <c r="F37" s="21" t="s">
        <v>25</v>
      </c>
      <c r="G37" s="24">
        <v>0</v>
      </c>
      <c r="H37" s="24"/>
      <c r="J37" s="21" t="s">
        <v>651</v>
      </c>
      <c r="K37" s="24">
        <v>1765.429999999998</v>
      </c>
    </row>
    <row r="38" spans="1:11" x14ac:dyDescent="0.25">
      <c r="A38" s="78">
        <v>46148</v>
      </c>
      <c r="B38" s="21" t="s">
        <v>403</v>
      </c>
      <c r="C38" s="21" t="s">
        <v>12</v>
      </c>
      <c r="D38" s="21" t="s">
        <v>19</v>
      </c>
      <c r="E38" s="21" t="s">
        <v>14</v>
      </c>
      <c r="F38" s="21" t="s">
        <v>15</v>
      </c>
      <c r="G38" s="24">
        <v>235</v>
      </c>
      <c r="H38" s="24"/>
      <c r="J38" s="21" t="s">
        <v>651</v>
      </c>
      <c r="K38" s="24">
        <v>1530.429999999998</v>
      </c>
    </row>
    <row r="39" spans="1:11" x14ac:dyDescent="0.25">
      <c r="A39" s="82">
        <v>46148</v>
      </c>
      <c r="B39" s="21" t="s">
        <v>422</v>
      </c>
      <c r="C39" s="21" t="s">
        <v>12</v>
      </c>
      <c r="D39" s="21" t="s">
        <v>27</v>
      </c>
      <c r="E39" s="21" t="s">
        <v>17</v>
      </c>
      <c r="F39" s="21" t="s">
        <v>25</v>
      </c>
      <c r="G39" s="24">
        <v>2000</v>
      </c>
      <c r="H39" s="24"/>
      <c r="J39" s="21" t="s">
        <v>651</v>
      </c>
      <c r="K39" s="24">
        <v>-469.57000000000153</v>
      </c>
    </row>
    <row r="40" spans="1:11" x14ac:dyDescent="0.25">
      <c r="A40" s="78">
        <v>46148</v>
      </c>
      <c r="B40" s="21" t="s">
        <v>657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279</v>
      </c>
      <c r="H40" s="24"/>
      <c r="J40" s="21" t="s">
        <v>651</v>
      </c>
      <c r="K40" s="24">
        <v>-748.57000000000153</v>
      </c>
    </row>
    <row r="41" spans="1:11" x14ac:dyDescent="0.25">
      <c r="A41" s="78">
        <v>46149</v>
      </c>
      <c r="B41" s="21" t="s">
        <v>13</v>
      </c>
      <c r="C41" s="21" t="s">
        <v>20</v>
      </c>
      <c r="D41" s="21" t="s">
        <v>13</v>
      </c>
      <c r="E41" s="21"/>
      <c r="F41" s="21"/>
      <c r="G41" s="24">
        <v>1466</v>
      </c>
      <c r="H41" s="24"/>
      <c r="J41" s="21" t="s">
        <v>651</v>
      </c>
      <c r="K41" s="24">
        <v>717.42999999999847</v>
      </c>
    </row>
    <row r="42" spans="1:11" x14ac:dyDescent="0.25">
      <c r="A42" s="78">
        <v>46149</v>
      </c>
      <c r="B42" s="21" t="s">
        <v>658</v>
      </c>
      <c r="C42" s="21" t="s">
        <v>20</v>
      </c>
      <c r="D42" s="21" t="s">
        <v>22</v>
      </c>
      <c r="E42" s="21" t="s">
        <v>17</v>
      </c>
      <c r="F42" s="21"/>
      <c r="G42" s="24">
        <v>0</v>
      </c>
      <c r="H42" s="24"/>
      <c r="J42" s="21" t="s">
        <v>651</v>
      </c>
      <c r="K42" s="24">
        <v>717.42999999999847</v>
      </c>
    </row>
    <row r="43" spans="1:11" x14ac:dyDescent="0.25">
      <c r="A43" s="78">
        <v>46149</v>
      </c>
      <c r="B43" s="21" t="s">
        <v>23</v>
      </c>
      <c r="C43" s="21" t="s">
        <v>12</v>
      </c>
      <c r="D43" s="21" t="s">
        <v>24</v>
      </c>
      <c r="E43" s="21" t="s">
        <v>17</v>
      </c>
      <c r="F43" s="21" t="s">
        <v>25</v>
      </c>
      <c r="G43" s="24">
        <v>0</v>
      </c>
      <c r="H43" s="24"/>
      <c r="J43" s="21" t="s">
        <v>651</v>
      </c>
      <c r="K43" s="24">
        <v>717.42999999999847</v>
      </c>
    </row>
    <row r="44" spans="1:11" x14ac:dyDescent="0.25">
      <c r="A44" s="78">
        <v>46149</v>
      </c>
      <c r="B44" s="21" t="s">
        <v>11</v>
      </c>
      <c r="C44" s="21" t="s">
        <v>12</v>
      </c>
      <c r="D44" s="21" t="s">
        <v>19</v>
      </c>
      <c r="E44" s="21" t="s">
        <v>14</v>
      </c>
      <c r="F44" s="21" t="s">
        <v>15</v>
      </c>
      <c r="G44" s="24">
        <v>235</v>
      </c>
      <c r="H44" s="24"/>
      <c r="J44" s="21" t="s">
        <v>651</v>
      </c>
      <c r="K44" s="24">
        <v>482.42999999999847</v>
      </c>
    </row>
    <row r="45" spans="1:11" x14ac:dyDescent="0.25">
      <c r="A45" s="78">
        <v>46149</v>
      </c>
      <c r="B45" s="21" t="s">
        <v>356</v>
      </c>
      <c r="C45" s="21" t="s">
        <v>12</v>
      </c>
      <c r="D45" s="21" t="s">
        <v>19</v>
      </c>
      <c r="E45" s="21" t="s">
        <v>17</v>
      </c>
      <c r="F45" s="21"/>
      <c r="G45" s="24">
        <v>600.69000000000005</v>
      </c>
      <c r="H45" s="24"/>
      <c r="J45" s="21" t="s">
        <v>651</v>
      </c>
      <c r="K45" s="24">
        <v>-118.2600000000016</v>
      </c>
    </row>
    <row r="46" spans="1:11" x14ac:dyDescent="0.25">
      <c r="A46" s="78">
        <v>46149</v>
      </c>
      <c r="B46" s="21" t="s">
        <v>659</v>
      </c>
      <c r="C46" s="24" t="s">
        <v>12</v>
      </c>
      <c r="D46" s="21" t="s">
        <v>27</v>
      </c>
      <c r="E46" s="21" t="s">
        <v>17</v>
      </c>
      <c r="F46" s="21" t="s">
        <v>25</v>
      </c>
      <c r="G46" s="24">
        <v>176.94</v>
      </c>
      <c r="H46" s="24"/>
      <c r="J46" s="21" t="s">
        <v>651</v>
      </c>
      <c r="K46" s="24">
        <v>-295.20000000000158</v>
      </c>
    </row>
    <row r="47" spans="1:11" x14ac:dyDescent="0.25">
      <c r="A47" s="78">
        <v>46150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3340</v>
      </c>
      <c r="H47" s="24"/>
      <c r="J47" s="21" t="s">
        <v>651</v>
      </c>
      <c r="K47" s="24">
        <v>3044.7999999999979</v>
      </c>
    </row>
    <row r="48" spans="1:11" x14ac:dyDescent="0.25">
      <c r="A48" s="78">
        <v>46150</v>
      </c>
      <c r="B48" s="21" t="s">
        <v>658</v>
      </c>
      <c r="C48" s="21" t="s">
        <v>20</v>
      </c>
      <c r="D48" s="21" t="s">
        <v>22</v>
      </c>
      <c r="E48" s="21" t="s">
        <v>17</v>
      </c>
      <c r="F48" s="21"/>
      <c r="G48" s="24">
        <v>345</v>
      </c>
      <c r="H48" s="24"/>
      <c r="J48" s="21" t="s">
        <v>651</v>
      </c>
      <c r="K48" s="24">
        <v>3389.7999999999979</v>
      </c>
    </row>
    <row r="49" spans="1:11" x14ac:dyDescent="0.25">
      <c r="A49" s="78">
        <v>46150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45</v>
      </c>
      <c r="H49" s="24"/>
      <c r="J49" s="21" t="s">
        <v>651</v>
      </c>
      <c r="K49" s="24">
        <v>3344.7999999999979</v>
      </c>
    </row>
    <row r="50" spans="1:11" x14ac:dyDescent="0.25">
      <c r="A50" s="78">
        <v>46150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376</v>
      </c>
      <c r="H50" s="24"/>
      <c r="J50" s="21" t="s">
        <v>651</v>
      </c>
      <c r="K50" s="24">
        <v>2968.7999999999979</v>
      </c>
    </row>
    <row r="51" spans="1:11" x14ac:dyDescent="0.25">
      <c r="A51" s="78">
        <v>46151</v>
      </c>
      <c r="B51" s="21" t="s">
        <v>31</v>
      </c>
      <c r="C51" s="21" t="s">
        <v>20</v>
      </c>
      <c r="D51" s="21" t="s">
        <v>13</v>
      </c>
      <c r="E51" s="21"/>
      <c r="F51" s="21"/>
      <c r="G51" s="24">
        <v>8628</v>
      </c>
      <c r="H51" s="24"/>
      <c r="J51" s="21" t="s">
        <v>651</v>
      </c>
      <c r="K51" s="24">
        <v>11596.8</v>
      </c>
    </row>
    <row r="52" spans="1:11" x14ac:dyDescent="0.25">
      <c r="A52" s="78">
        <v>46151</v>
      </c>
      <c r="B52" s="21" t="s">
        <v>45</v>
      </c>
      <c r="C52" s="21" t="s">
        <v>20</v>
      </c>
      <c r="D52" s="21" t="s">
        <v>22</v>
      </c>
      <c r="E52" s="21" t="s">
        <v>17</v>
      </c>
      <c r="F52" s="21"/>
      <c r="G52" s="24">
        <v>382</v>
      </c>
      <c r="H52" s="24"/>
      <c r="J52" s="21" t="s">
        <v>651</v>
      </c>
      <c r="K52" s="24">
        <v>11978.8</v>
      </c>
    </row>
    <row r="53" spans="1:11" x14ac:dyDescent="0.25">
      <c r="A53" s="78">
        <v>46151</v>
      </c>
      <c r="B53" s="21" t="s">
        <v>46</v>
      </c>
      <c r="C53" s="21" t="s">
        <v>12</v>
      </c>
      <c r="D53" s="21" t="s">
        <v>24</v>
      </c>
      <c r="E53" s="21" t="s">
        <v>17</v>
      </c>
      <c r="F53" s="21" t="s">
        <v>25</v>
      </c>
      <c r="G53" s="24">
        <v>46</v>
      </c>
      <c r="H53" s="24"/>
      <c r="J53" s="21" t="s">
        <v>651</v>
      </c>
      <c r="K53" s="24">
        <v>11932.8</v>
      </c>
    </row>
    <row r="54" spans="1:11" x14ac:dyDescent="0.25">
      <c r="A54" s="78">
        <v>46152</v>
      </c>
      <c r="B54" s="21" t="s">
        <v>31</v>
      </c>
      <c r="C54" s="21" t="s">
        <v>20</v>
      </c>
      <c r="D54" s="21" t="s">
        <v>13</v>
      </c>
      <c r="E54" s="21"/>
      <c r="F54" s="21"/>
      <c r="G54" s="24">
        <v>11713</v>
      </c>
      <c r="H54" s="24"/>
      <c r="J54" s="21" t="s">
        <v>651</v>
      </c>
      <c r="K54" s="24">
        <v>23645.8</v>
      </c>
    </row>
    <row r="55" spans="1:11" x14ac:dyDescent="0.25">
      <c r="A55" s="78">
        <v>46152</v>
      </c>
      <c r="B55" s="21" t="s">
        <v>45</v>
      </c>
      <c r="C55" s="21" t="s">
        <v>20</v>
      </c>
      <c r="D55" s="21" t="s">
        <v>22</v>
      </c>
      <c r="E55" s="21" t="s">
        <v>17</v>
      </c>
      <c r="F55" s="21"/>
      <c r="G55" s="24">
        <v>301</v>
      </c>
      <c r="H55" s="24"/>
      <c r="J55" s="21" t="s">
        <v>651</v>
      </c>
      <c r="K55" s="24">
        <v>23946.799999999999</v>
      </c>
    </row>
    <row r="56" spans="1:11" x14ac:dyDescent="0.25">
      <c r="A56" s="78">
        <v>46152</v>
      </c>
      <c r="B56" s="21" t="s">
        <v>46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45</v>
      </c>
      <c r="H56" s="24"/>
      <c r="J56" s="21" t="s">
        <v>651</v>
      </c>
      <c r="K56" s="24">
        <v>23901.8</v>
      </c>
    </row>
    <row r="57" spans="1:11" x14ac:dyDescent="0.25">
      <c r="A57" s="78">
        <v>46152</v>
      </c>
      <c r="B57" s="21" t="s">
        <v>403</v>
      </c>
      <c r="C57" s="21" t="s">
        <v>12</v>
      </c>
      <c r="D57" s="21" t="s">
        <v>19</v>
      </c>
      <c r="E57" s="21" t="s">
        <v>14</v>
      </c>
      <c r="F57" s="21" t="s">
        <v>15</v>
      </c>
      <c r="G57" s="24">
        <v>188</v>
      </c>
      <c r="H57" s="24"/>
      <c r="J57" s="21" t="s">
        <v>651</v>
      </c>
      <c r="K57" s="24">
        <v>23713.8</v>
      </c>
    </row>
    <row r="58" spans="1:11" x14ac:dyDescent="0.25">
      <c r="A58" s="78">
        <v>46153</v>
      </c>
      <c r="B58" s="21" t="s">
        <v>31</v>
      </c>
      <c r="C58" s="21" t="s">
        <v>20</v>
      </c>
      <c r="D58" s="21" t="s">
        <v>13</v>
      </c>
      <c r="E58" s="21"/>
      <c r="F58" s="21"/>
      <c r="G58" s="24">
        <v>1024</v>
      </c>
      <c r="H58" s="24"/>
      <c r="J58" s="21" t="s">
        <v>651</v>
      </c>
      <c r="K58" s="24">
        <v>24737.8</v>
      </c>
    </row>
    <row r="59" spans="1:11" x14ac:dyDescent="0.25">
      <c r="A59" s="78">
        <v>46153</v>
      </c>
      <c r="B59" s="21" t="s">
        <v>45</v>
      </c>
      <c r="C59" s="21" t="s">
        <v>20</v>
      </c>
      <c r="D59" s="21" t="s">
        <v>22</v>
      </c>
      <c r="E59" s="21" t="s">
        <v>17</v>
      </c>
      <c r="F59" s="21"/>
      <c r="G59" s="24">
        <v>42</v>
      </c>
      <c r="H59" s="24"/>
      <c r="J59" s="21" t="s">
        <v>651</v>
      </c>
      <c r="K59" s="24">
        <v>24779.8</v>
      </c>
    </row>
    <row r="60" spans="1:11" x14ac:dyDescent="0.25">
      <c r="A60" s="78">
        <v>46153</v>
      </c>
      <c r="B60" s="21" t="s">
        <v>46</v>
      </c>
      <c r="C60" s="21" t="s">
        <v>12</v>
      </c>
      <c r="D60" s="21" t="s">
        <v>24</v>
      </c>
      <c r="E60" s="21" t="s">
        <v>17</v>
      </c>
      <c r="F60" s="21" t="s">
        <v>25</v>
      </c>
      <c r="G60" s="24">
        <v>17</v>
      </c>
      <c r="H60" s="24"/>
      <c r="J60" s="21" t="s">
        <v>651</v>
      </c>
      <c r="K60" s="24">
        <v>24762.799999999999</v>
      </c>
    </row>
    <row r="61" spans="1:11" x14ac:dyDescent="0.25">
      <c r="A61" s="78">
        <v>46153</v>
      </c>
      <c r="B61" s="21" t="s">
        <v>403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0</v>
      </c>
      <c r="H61" s="24"/>
      <c r="J61" s="21" t="s">
        <v>651</v>
      </c>
      <c r="K61" s="24">
        <v>24762.799999999999</v>
      </c>
    </row>
    <row r="62" spans="1:11" x14ac:dyDescent="0.25">
      <c r="A62" s="78">
        <v>46153</v>
      </c>
      <c r="B62" s="21" t="s">
        <v>660</v>
      </c>
      <c r="C62" s="21" t="s">
        <v>12</v>
      </c>
      <c r="D62" s="21" t="s">
        <v>67</v>
      </c>
      <c r="E62" s="21" t="s">
        <v>17</v>
      </c>
      <c r="F62" s="21" t="s">
        <v>25</v>
      </c>
      <c r="G62" s="24">
        <v>7834.23</v>
      </c>
      <c r="H62" s="24"/>
      <c r="J62" s="21" t="s">
        <v>651</v>
      </c>
      <c r="K62" s="24">
        <v>16928.57</v>
      </c>
    </row>
    <row r="63" spans="1:11" x14ac:dyDescent="0.25">
      <c r="A63" s="78">
        <v>46153</v>
      </c>
      <c r="B63" s="21" t="s">
        <v>425</v>
      </c>
      <c r="C63" s="21" t="s">
        <v>12</v>
      </c>
      <c r="D63" s="21" t="s">
        <v>69</v>
      </c>
      <c r="E63" s="21" t="s">
        <v>17</v>
      </c>
      <c r="F63" s="21" t="s">
        <v>25</v>
      </c>
      <c r="G63" s="24">
        <v>450</v>
      </c>
      <c r="H63" s="24"/>
      <c r="J63" s="21" t="s">
        <v>651</v>
      </c>
      <c r="K63" s="24">
        <v>16478.57</v>
      </c>
    </row>
    <row r="64" spans="1:11" x14ac:dyDescent="0.25">
      <c r="A64" s="78">
        <v>46153</v>
      </c>
      <c r="B64" s="21" t="s">
        <v>661</v>
      </c>
      <c r="C64" s="21" t="s">
        <v>12</v>
      </c>
      <c r="D64" s="21" t="s">
        <v>27</v>
      </c>
      <c r="E64" s="21" t="s">
        <v>17</v>
      </c>
      <c r="F64" s="21"/>
      <c r="G64" s="24">
        <v>72</v>
      </c>
      <c r="H64" s="24"/>
      <c r="J64" s="21" t="s">
        <v>651</v>
      </c>
      <c r="K64" s="24">
        <v>16406.57</v>
      </c>
    </row>
    <row r="65" spans="1:11" x14ac:dyDescent="0.25">
      <c r="A65" s="78">
        <v>46153</v>
      </c>
      <c r="B65" s="21" t="s">
        <v>350</v>
      </c>
      <c r="C65" s="21" t="s">
        <v>12</v>
      </c>
      <c r="D65" s="21" t="s">
        <v>19</v>
      </c>
      <c r="E65" s="21" t="s">
        <v>17</v>
      </c>
      <c r="F65" s="21"/>
      <c r="G65" s="24">
        <v>1022.53</v>
      </c>
      <c r="H65" s="24"/>
      <c r="J65" s="21" t="s">
        <v>651</v>
      </c>
      <c r="K65" s="24">
        <v>15384.04</v>
      </c>
    </row>
    <row r="66" spans="1:11" x14ac:dyDescent="0.25">
      <c r="A66" s="78">
        <v>46153</v>
      </c>
      <c r="B66" s="21" t="s">
        <v>554</v>
      </c>
      <c r="C66" s="21" t="s">
        <v>12</v>
      </c>
      <c r="D66" s="21" t="s">
        <v>19</v>
      </c>
      <c r="E66" s="21" t="s">
        <v>17</v>
      </c>
      <c r="F66" s="21"/>
      <c r="G66" s="24">
        <v>1734.28</v>
      </c>
      <c r="H66" s="24"/>
      <c r="J66" s="21" t="s">
        <v>651</v>
      </c>
      <c r="K66" s="24">
        <v>13649.76</v>
      </c>
    </row>
    <row r="67" spans="1:11" x14ac:dyDescent="0.25">
      <c r="A67" s="78">
        <v>46153</v>
      </c>
      <c r="B67" s="21" t="s">
        <v>662</v>
      </c>
      <c r="C67" s="21" t="s">
        <v>12</v>
      </c>
      <c r="D67" s="21" t="s">
        <v>19</v>
      </c>
      <c r="E67" s="21" t="s">
        <v>17</v>
      </c>
      <c r="F67" s="21"/>
      <c r="G67" s="24">
        <v>211.23</v>
      </c>
      <c r="H67" s="24"/>
      <c r="J67" s="21" t="s">
        <v>651</v>
      </c>
      <c r="K67" s="24">
        <v>13438.53</v>
      </c>
    </row>
    <row r="68" spans="1:11" x14ac:dyDescent="0.25">
      <c r="A68" s="78">
        <v>46153</v>
      </c>
      <c r="B68" s="21" t="s">
        <v>662</v>
      </c>
      <c r="C68" s="21" t="s">
        <v>12</v>
      </c>
      <c r="D68" s="21" t="s">
        <v>19</v>
      </c>
      <c r="E68" s="21" t="s">
        <v>17</v>
      </c>
      <c r="F68" s="21"/>
      <c r="G68" s="24">
        <v>66.73</v>
      </c>
      <c r="H68" s="24"/>
      <c r="J68" s="21" t="s">
        <v>651</v>
      </c>
      <c r="K68" s="24">
        <v>13371.8</v>
      </c>
    </row>
    <row r="69" spans="1:11" x14ac:dyDescent="0.25">
      <c r="A69" s="78">
        <v>46153</v>
      </c>
      <c r="B69" s="21" t="s">
        <v>663</v>
      </c>
      <c r="C69" s="21" t="s">
        <v>12</v>
      </c>
      <c r="D69" s="21" t="s">
        <v>66</v>
      </c>
      <c r="E69" s="21" t="s">
        <v>17</v>
      </c>
      <c r="F69" s="21" t="s">
        <v>25</v>
      </c>
      <c r="G69" s="24">
        <v>467.25</v>
      </c>
      <c r="H69" s="24"/>
      <c r="J69" s="21" t="s">
        <v>651</v>
      </c>
      <c r="K69" s="24">
        <v>12904.55</v>
      </c>
    </row>
    <row r="70" spans="1:11" x14ac:dyDescent="0.25">
      <c r="A70" s="78">
        <v>46154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1036</v>
      </c>
      <c r="H70" s="24"/>
      <c r="J70" s="21" t="s">
        <v>651</v>
      </c>
      <c r="K70" s="24">
        <v>13940.55</v>
      </c>
    </row>
    <row r="71" spans="1:11" x14ac:dyDescent="0.25">
      <c r="A71" s="78">
        <v>46154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40</v>
      </c>
      <c r="H71" s="24"/>
      <c r="J71" s="21" t="s">
        <v>651</v>
      </c>
      <c r="K71" s="24">
        <v>13980.55</v>
      </c>
    </row>
    <row r="72" spans="1:11" x14ac:dyDescent="0.25">
      <c r="A72" s="82">
        <v>46154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9</v>
      </c>
      <c r="H72" s="24"/>
      <c r="J72" s="21" t="s">
        <v>651</v>
      </c>
      <c r="K72" s="24">
        <v>13971.55</v>
      </c>
    </row>
    <row r="73" spans="1:11" x14ac:dyDescent="0.25">
      <c r="A73" s="78">
        <v>46154</v>
      </c>
      <c r="B73" s="21" t="s">
        <v>11</v>
      </c>
      <c r="C73" s="21" t="s">
        <v>12</v>
      </c>
      <c r="D73" s="21" t="s">
        <v>19</v>
      </c>
      <c r="E73" s="21" t="s">
        <v>14</v>
      </c>
      <c r="F73" s="21" t="s">
        <v>15</v>
      </c>
      <c r="G73" s="24">
        <v>141</v>
      </c>
      <c r="H73" s="24"/>
      <c r="J73" s="21" t="s">
        <v>651</v>
      </c>
      <c r="K73" s="24">
        <v>13830.55</v>
      </c>
    </row>
    <row r="74" spans="1:11" x14ac:dyDescent="0.25">
      <c r="A74" s="78">
        <v>46154</v>
      </c>
      <c r="B74" s="21" t="s">
        <v>354</v>
      </c>
      <c r="C74" s="21" t="s">
        <v>12</v>
      </c>
      <c r="D74" s="21" t="s">
        <v>19</v>
      </c>
      <c r="E74" s="21" t="s">
        <v>17</v>
      </c>
      <c r="F74" s="21"/>
      <c r="G74" s="24">
        <v>564.37</v>
      </c>
      <c r="H74" s="24"/>
      <c r="J74" s="21" t="s">
        <v>651</v>
      </c>
      <c r="K74" s="24">
        <v>13266.18</v>
      </c>
    </row>
    <row r="75" spans="1:11" x14ac:dyDescent="0.25">
      <c r="A75" s="78">
        <v>46154</v>
      </c>
      <c r="B75" s="21" t="s">
        <v>354</v>
      </c>
      <c r="C75" s="21" t="s">
        <v>12</v>
      </c>
      <c r="D75" s="21" t="s">
        <v>19</v>
      </c>
      <c r="E75" s="21" t="s">
        <v>17</v>
      </c>
      <c r="F75" s="21"/>
      <c r="G75" s="24">
        <v>156.69999999999999</v>
      </c>
      <c r="H75" s="24"/>
      <c r="J75" s="21" t="s">
        <v>651</v>
      </c>
      <c r="K75" s="24">
        <v>13109.48</v>
      </c>
    </row>
    <row r="76" spans="1:11" x14ac:dyDescent="0.25">
      <c r="A76" s="78">
        <v>46154</v>
      </c>
      <c r="B76" s="21" t="s">
        <v>356</v>
      </c>
      <c r="C76" s="21" t="s">
        <v>12</v>
      </c>
      <c r="D76" s="21" t="s">
        <v>19</v>
      </c>
      <c r="E76" s="21" t="s">
        <v>17</v>
      </c>
      <c r="F76" s="21"/>
      <c r="G76" s="24">
        <v>1977.87</v>
      </c>
      <c r="H76" s="24"/>
      <c r="J76" s="21" t="s">
        <v>651</v>
      </c>
      <c r="K76" s="24">
        <v>11131.61</v>
      </c>
    </row>
    <row r="77" spans="1:11" x14ac:dyDescent="0.25">
      <c r="A77" s="78">
        <v>46154</v>
      </c>
      <c r="B77" s="21" t="s">
        <v>664</v>
      </c>
      <c r="C77" s="21" t="s">
        <v>12</v>
      </c>
      <c r="D77" s="21" t="s">
        <v>63</v>
      </c>
      <c r="E77" s="21" t="s">
        <v>17</v>
      </c>
      <c r="F77" s="21" t="s">
        <v>25</v>
      </c>
      <c r="G77" s="24">
        <v>15</v>
      </c>
      <c r="H77" s="24"/>
      <c r="K77" s="24">
        <v>11116.61</v>
      </c>
    </row>
    <row r="78" spans="1:11" x14ac:dyDescent="0.25">
      <c r="A78" s="78">
        <v>46154</v>
      </c>
      <c r="B78" s="21" t="s">
        <v>665</v>
      </c>
      <c r="C78" s="21" t="s">
        <v>12</v>
      </c>
      <c r="D78" s="21" t="s">
        <v>61</v>
      </c>
      <c r="E78" s="21" t="s">
        <v>17</v>
      </c>
      <c r="F78" s="21" t="s">
        <v>25</v>
      </c>
      <c r="G78" s="24">
        <v>438.4</v>
      </c>
      <c r="H78" s="24"/>
      <c r="J78" s="21" t="s">
        <v>651</v>
      </c>
      <c r="K78" s="24">
        <v>10678.21</v>
      </c>
    </row>
    <row r="79" spans="1:11" x14ac:dyDescent="0.25">
      <c r="A79" s="82">
        <v>46155</v>
      </c>
      <c r="B79" s="21" t="s">
        <v>13</v>
      </c>
      <c r="C79" s="21" t="s">
        <v>20</v>
      </c>
      <c r="D79" s="21" t="s">
        <v>13</v>
      </c>
      <c r="E79" s="21"/>
      <c r="F79" s="21"/>
      <c r="G79" s="24">
        <v>1271</v>
      </c>
      <c r="H79" s="24"/>
      <c r="J79" s="21" t="s">
        <v>651</v>
      </c>
      <c r="K79" s="24">
        <v>11949.21</v>
      </c>
    </row>
    <row r="80" spans="1:11" x14ac:dyDescent="0.25">
      <c r="A80" s="82">
        <v>46155</v>
      </c>
      <c r="B80" s="21" t="s">
        <v>21</v>
      </c>
      <c r="C80" s="21" t="s">
        <v>20</v>
      </c>
      <c r="D80" s="21" t="s">
        <v>22</v>
      </c>
      <c r="E80" s="21" t="s">
        <v>17</v>
      </c>
      <c r="F80" s="21"/>
      <c r="G80" s="24">
        <v>0</v>
      </c>
      <c r="H80" s="24"/>
      <c r="J80" s="21" t="s">
        <v>651</v>
      </c>
      <c r="K80" s="24">
        <v>11949.21</v>
      </c>
    </row>
    <row r="81" spans="1:11" x14ac:dyDescent="0.25">
      <c r="A81" s="78">
        <v>46155</v>
      </c>
      <c r="B81" s="21" t="s">
        <v>23</v>
      </c>
      <c r="C81" s="21" t="s">
        <v>12</v>
      </c>
      <c r="D81" s="21" t="s">
        <v>24</v>
      </c>
      <c r="E81" s="21" t="s">
        <v>17</v>
      </c>
      <c r="F81" s="21" t="s">
        <v>25</v>
      </c>
      <c r="G81" s="24">
        <v>0</v>
      </c>
      <c r="H81" s="24"/>
      <c r="J81" s="21" t="s">
        <v>651</v>
      </c>
      <c r="K81" s="24">
        <v>11949.21</v>
      </c>
    </row>
    <row r="82" spans="1:11" x14ac:dyDescent="0.25">
      <c r="A82" s="78">
        <v>46155</v>
      </c>
      <c r="B82" s="21" t="s">
        <v>11</v>
      </c>
      <c r="C82" s="21" t="s">
        <v>12</v>
      </c>
      <c r="D82" s="21" t="s">
        <v>19</v>
      </c>
      <c r="E82" s="21" t="s">
        <v>14</v>
      </c>
      <c r="F82" s="21" t="s">
        <v>15</v>
      </c>
      <c r="G82" s="24">
        <v>188</v>
      </c>
      <c r="H82" s="24"/>
      <c r="J82" s="21" t="s">
        <v>651</v>
      </c>
      <c r="K82" s="24">
        <v>11761.21</v>
      </c>
    </row>
    <row r="83" spans="1:11" x14ac:dyDescent="0.25">
      <c r="A83" s="82">
        <v>46155</v>
      </c>
      <c r="B83" s="21" t="s">
        <v>200</v>
      </c>
      <c r="C83" s="21" t="s">
        <v>12</v>
      </c>
      <c r="D83" s="21" t="s">
        <v>63</v>
      </c>
      <c r="E83" s="21" t="s">
        <v>17</v>
      </c>
      <c r="F83" s="21" t="s">
        <v>25</v>
      </c>
      <c r="G83" s="24">
        <v>71.959999999999994</v>
      </c>
      <c r="H83" s="24"/>
      <c r="J83" s="21" t="s">
        <v>651</v>
      </c>
      <c r="K83" s="24">
        <v>11689.25</v>
      </c>
    </row>
    <row r="84" spans="1:11" x14ac:dyDescent="0.25">
      <c r="A84" s="78">
        <v>46156</v>
      </c>
      <c r="B84" s="21" t="s">
        <v>13</v>
      </c>
      <c r="C84" s="21" t="s">
        <v>20</v>
      </c>
      <c r="D84" s="21" t="s">
        <v>13</v>
      </c>
      <c r="E84" s="21"/>
      <c r="F84" s="21"/>
      <c r="G84" s="24">
        <v>1558</v>
      </c>
      <c r="H84" s="24"/>
      <c r="J84" s="21" t="s">
        <v>651</v>
      </c>
      <c r="K84" s="24">
        <v>13247.25</v>
      </c>
    </row>
    <row r="85" spans="1:11" x14ac:dyDescent="0.25">
      <c r="A85" s="78">
        <v>46156</v>
      </c>
      <c r="B85" s="21" t="s">
        <v>413</v>
      </c>
      <c r="C85" s="21" t="s">
        <v>20</v>
      </c>
      <c r="D85" s="21" t="s">
        <v>22</v>
      </c>
      <c r="E85" s="21" t="s">
        <v>17</v>
      </c>
      <c r="F85" s="21"/>
      <c r="G85" s="24">
        <v>0</v>
      </c>
      <c r="H85" s="24"/>
      <c r="J85" s="21" t="s">
        <v>651</v>
      </c>
      <c r="K85" s="24">
        <v>13247.25</v>
      </c>
    </row>
    <row r="86" spans="1:11" x14ac:dyDescent="0.25">
      <c r="A86" s="78">
        <v>46156</v>
      </c>
      <c r="B86" s="21" t="s">
        <v>23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0</v>
      </c>
      <c r="H86" s="24"/>
      <c r="J86" s="21" t="s">
        <v>651</v>
      </c>
      <c r="K86" s="24">
        <v>13247.25</v>
      </c>
    </row>
    <row r="87" spans="1:11" x14ac:dyDescent="0.25">
      <c r="A87" s="78">
        <v>46156</v>
      </c>
      <c r="B87" s="21" t="s">
        <v>11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235</v>
      </c>
      <c r="H87" s="24"/>
      <c r="J87" s="21" t="s">
        <v>651</v>
      </c>
      <c r="K87" s="24">
        <v>13012.25</v>
      </c>
    </row>
    <row r="88" spans="1:11" x14ac:dyDescent="0.25">
      <c r="A88" s="78">
        <v>46156</v>
      </c>
      <c r="B88" s="21" t="s">
        <v>355</v>
      </c>
      <c r="C88" s="21" t="s">
        <v>12</v>
      </c>
      <c r="D88" s="21" t="s">
        <v>19</v>
      </c>
      <c r="E88" s="21" t="s">
        <v>17</v>
      </c>
      <c r="F88" s="21"/>
      <c r="G88" s="24">
        <v>1132.95</v>
      </c>
      <c r="H88" s="24"/>
      <c r="J88" s="21" t="s">
        <v>651</v>
      </c>
      <c r="K88" s="24">
        <v>11879.3</v>
      </c>
    </row>
    <row r="89" spans="1:11" x14ac:dyDescent="0.25">
      <c r="A89" s="78">
        <v>46156</v>
      </c>
      <c r="B89" s="21" t="s">
        <v>666</v>
      </c>
      <c r="C89" s="21" t="s">
        <v>12</v>
      </c>
      <c r="D89" s="21" t="s">
        <v>19</v>
      </c>
      <c r="E89" s="21" t="s">
        <v>17</v>
      </c>
      <c r="F89" s="21"/>
      <c r="G89" s="24">
        <v>254.8</v>
      </c>
      <c r="H89" s="24"/>
      <c r="J89" s="21" t="s">
        <v>651</v>
      </c>
      <c r="K89" s="24">
        <v>11624.5</v>
      </c>
    </row>
    <row r="90" spans="1:11" x14ac:dyDescent="0.25">
      <c r="A90" s="78">
        <v>46156</v>
      </c>
      <c r="B90" s="21" t="s">
        <v>621</v>
      </c>
      <c r="C90" s="21" t="s">
        <v>12</v>
      </c>
      <c r="D90" s="21" t="s">
        <v>19</v>
      </c>
      <c r="E90" s="21" t="s">
        <v>17</v>
      </c>
      <c r="F90" s="21"/>
      <c r="G90" s="24">
        <v>697.1</v>
      </c>
      <c r="H90" s="24"/>
      <c r="J90" s="21" t="s">
        <v>651</v>
      </c>
      <c r="K90" s="24">
        <v>10927.4</v>
      </c>
    </row>
    <row r="91" spans="1:11" x14ac:dyDescent="0.25">
      <c r="A91" s="78">
        <v>46156</v>
      </c>
      <c r="B91" s="21" t="s">
        <v>369</v>
      </c>
      <c r="C91" s="21" t="s">
        <v>12</v>
      </c>
      <c r="D91" s="21" t="s">
        <v>40</v>
      </c>
      <c r="E91" s="21" t="s">
        <v>17</v>
      </c>
      <c r="F91" s="21" t="s">
        <v>25</v>
      </c>
      <c r="G91" s="24">
        <v>99.9</v>
      </c>
      <c r="H91" s="24"/>
      <c r="J91" s="21" t="s">
        <v>651</v>
      </c>
      <c r="K91" s="24">
        <v>10827.5</v>
      </c>
    </row>
    <row r="92" spans="1:11" x14ac:dyDescent="0.25">
      <c r="A92" s="78">
        <v>46156</v>
      </c>
      <c r="B92" s="21" t="s">
        <v>445</v>
      </c>
      <c r="C92" s="21" t="s">
        <v>12</v>
      </c>
      <c r="D92" s="21" t="s">
        <v>59</v>
      </c>
      <c r="E92" s="21" t="s">
        <v>17</v>
      </c>
      <c r="F92" s="21"/>
      <c r="G92" s="24">
        <v>1046.2</v>
      </c>
      <c r="H92" s="24"/>
      <c r="J92" s="21" t="s">
        <v>651</v>
      </c>
      <c r="K92" s="24">
        <v>9781.2999999999975</v>
      </c>
    </row>
    <row r="93" spans="1:11" x14ac:dyDescent="0.25">
      <c r="A93" s="78">
        <v>46156</v>
      </c>
      <c r="B93" s="21" t="s">
        <v>667</v>
      </c>
      <c r="C93" s="21" t="s">
        <v>12</v>
      </c>
      <c r="D93" s="21" t="s">
        <v>27</v>
      </c>
      <c r="E93" s="21" t="s">
        <v>17</v>
      </c>
      <c r="F93" s="21"/>
      <c r="G93" s="24">
        <v>216</v>
      </c>
      <c r="H93" s="24"/>
      <c r="J93" s="21" t="s">
        <v>651</v>
      </c>
      <c r="K93" s="24">
        <v>9565.2999999999975</v>
      </c>
    </row>
    <row r="94" spans="1:11" x14ac:dyDescent="0.25">
      <c r="A94" s="78">
        <v>46156</v>
      </c>
      <c r="B94" s="21" t="s">
        <v>433</v>
      </c>
      <c r="C94" s="21" t="s">
        <v>12</v>
      </c>
      <c r="D94" s="21" t="s">
        <v>65</v>
      </c>
      <c r="E94" s="21" t="s">
        <v>17</v>
      </c>
      <c r="F94" s="21"/>
      <c r="G94" s="24">
        <v>800</v>
      </c>
      <c r="H94" s="24"/>
      <c r="J94" s="21" t="s">
        <v>651</v>
      </c>
      <c r="K94" s="24">
        <v>8765.2999999999975</v>
      </c>
    </row>
    <row r="95" spans="1:11" x14ac:dyDescent="0.25">
      <c r="A95" s="78">
        <v>46157</v>
      </c>
      <c r="B95" s="21" t="s">
        <v>13</v>
      </c>
      <c r="C95" s="21" t="s">
        <v>20</v>
      </c>
      <c r="D95" s="21" t="s">
        <v>13</v>
      </c>
      <c r="E95" s="21"/>
      <c r="F95" s="21"/>
      <c r="G95" s="24">
        <v>3419</v>
      </c>
      <c r="H95" s="24"/>
      <c r="J95" s="21" t="s">
        <v>651</v>
      </c>
      <c r="K95" s="24">
        <v>12184.3</v>
      </c>
    </row>
    <row r="96" spans="1:11" x14ac:dyDescent="0.25">
      <c r="A96" s="78">
        <v>46157</v>
      </c>
      <c r="B96" s="21" t="s">
        <v>21</v>
      </c>
      <c r="C96" s="21" t="s">
        <v>20</v>
      </c>
      <c r="D96" s="21" t="s">
        <v>22</v>
      </c>
      <c r="E96" s="21" t="s">
        <v>17</v>
      </c>
      <c r="F96" s="21"/>
      <c r="G96" s="24">
        <v>42</v>
      </c>
      <c r="H96" s="24"/>
      <c r="J96" s="21" t="s">
        <v>651</v>
      </c>
      <c r="K96" s="24">
        <v>12226.3</v>
      </c>
    </row>
    <row r="97" spans="1:11" x14ac:dyDescent="0.25">
      <c r="A97" s="78">
        <v>46157</v>
      </c>
      <c r="B97" s="21" t="s">
        <v>46</v>
      </c>
      <c r="C97" s="21" t="s">
        <v>12</v>
      </c>
      <c r="D97" s="21" t="s">
        <v>24</v>
      </c>
      <c r="E97" s="21" t="s">
        <v>17</v>
      </c>
      <c r="F97" s="21" t="s">
        <v>25</v>
      </c>
      <c r="G97" s="24">
        <v>9</v>
      </c>
      <c r="H97" s="24"/>
      <c r="J97" s="21" t="s">
        <v>651</v>
      </c>
      <c r="K97" s="24">
        <v>12217.3</v>
      </c>
    </row>
    <row r="98" spans="1:11" x14ac:dyDescent="0.25">
      <c r="A98" s="78">
        <v>46157</v>
      </c>
      <c r="B98" s="21" t="s">
        <v>668</v>
      </c>
      <c r="C98" s="21" t="s">
        <v>12</v>
      </c>
      <c r="D98" s="21" t="s">
        <v>19</v>
      </c>
      <c r="E98" s="21" t="s">
        <v>17</v>
      </c>
      <c r="F98" s="21" t="s">
        <v>25</v>
      </c>
      <c r="G98" s="24">
        <v>166</v>
      </c>
      <c r="H98" s="24"/>
      <c r="K98" s="24">
        <v>12051.3</v>
      </c>
    </row>
    <row r="99" spans="1:11" x14ac:dyDescent="0.25">
      <c r="A99" s="78">
        <v>46157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329</v>
      </c>
      <c r="H99" s="24"/>
      <c r="J99" s="21" t="s">
        <v>651</v>
      </c>
      <c r="K99" s="24">
        <v>11722.3</v>
      </c>
    </row>
    <row r="100" spans="1:11" x14ac:dyDescent="0.25">
      <c r="A100" s="78">
        <v>46158</v>
      </c>
      <c r="B100" s="21" t="s">
        <v>13</v>
      </c>
      <c r="C100" s="21" t="s">
        <v>20</v>
      </c>
      <c r="D100" s="21" t="s">
        <v>13</v>
      </c>
      <c r="E100" s="21"/>
      <c r="F100" s="21"/>
      <c r="G100" s="24">
        <v>9113</v>
      </c>
      <c r="H100" s="24"/>
      <c r="J100" s="21" t="s">
        <v>651</v>
      </c>
      <c r="K100" s="24">
        <v>20835.3</v>
      </c>
    </row>
    <row r="101" spans="1:11" x14ac:dyDescent="0.25">
      <c r="A101" s="78">
        <v>46158</v>
      </c>
      <c r="B101" s="21" t="s">
        <v>21</v>
      </c>
      <c r="C101" s="21" t="s">
        <v>20</v>
      </c>
      <c r="D101" s="21" t="s">
        <v>22</v>
      </c>
      <c r="E101" s="21" t="s">
        <v>17</v>
      </c>
      <c r="F101" s="21"/>
      <c r="G101" s="24">
        <v>369</v>
      </c>
      <c r="H101" s="24"/>
      <c r="J101" s="21" t="s">
        <v>651</v>
      </c>
      <c r="K101" s="24">
        <v>21204.3</v>
      </c>
    </row>
    <row r="102" spans="1:11" x14ac:dyDescent="0.25">
      <c r="A102" s="78">
        <v>46158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36</v>
      </c>
      <c r="H102" s="24"/>
      <c r="J102" s="21" t="s">
        <v>651</v>
      </c>
      <c r="K102" s="24">
        <v>21168.3</v>
      </c>
    </row>
    <row r="103" spans="1:11" x14ac:dyDescent="0.25">
      <c r="A103" s="78">
        <v>46158</v>
      </c>
      <c r="B103" s="21" t="s">
        <v>34</v>
      </c>
      <c r="C103" s="21" t="s">
        <v>12</v>
      </c>
      <c r="D103" s="21" t="s">
        <v>34</v>
      </c>
      <c r="E103" s="21" t="s">
        <v>14</v>
      </c>
      <c r="F103" s="21" t="s">
        <v>15</v>
      </c>
      <c r="G103" s="24">
        <v>150</v>
      </c>
      <c r="H103" s="24"/>
      <c r="J103" s="21" t="s">
        <v>651</v>
      </c>
      <c r="K103" s="24">
        <v>21018.3</v>
      </c>
    </row>
    <row r="104" spans="1:11" x14ac:dyDescent="0.25">
      <c r="A104" s="78">
        <v>46159</v>
      </c>
      <c r="B104" s="21" t="s">
        <v>13</v>
      </c>
      <c r="C104" s="21" t="s">
        <v>20</v>
      </c>
      <c r="D104" s="21" t="s">
        <v>13</v>
      </c>
      <c r="E104" s="21"/>
      <c r="F104" s="21"/>
      <c r="G104" s="24">
        <v>7326</v>
      </c>
      <c r="H104" s="24"/>
      <c r="J104" s="21" t="s">
        <v>651</v>
      </c>
      <c r="K104" s="24">
        <v>28344.3</v>
      </c>
    </row>
    <row r="105" spans="1:11" x14ac:dyDescent="0.25">
      <c r="A105" s="78">
        <v>46159</v>
      </c>
      <c r="B105" s="21" t="s">
        <v>21</v>
      </c>
      <c r="C105" s="21" t="s">
        <v>20</v>
      </c>
      <c r="D105" s="21" t="s">
        <v>22</v>
      </c>
      <c r="E105" s="21" t="s">
        <v>17</v>
      </c>
      <c r="F105" s="21"/>
      <c r="G105" s="24">
        <v>328</v>
      </c>
      <c r="H105" s="24"/>
      <c r="J105" s="21" t="s">
        <v>651</v>
      </c>
      <c r="K105" s="24">
        <v>28672.3</v>
      </c>
    </row>
    <row r="106" spans="1:11" x14ac:dyDescent="0.25">
      <c r="A106" s="78">
        <v>46159</v>
      </c>
      <c r="B106" s="21" t="s">
        <v>23</v>
      </c>
      <c r="C106" s="21" t="s">
        <v>12</v>
      </c>
      <c r="D106" s="21" t="s">
        <v>24</v>
      </c>
      <c r="E106" s="21" t="s">
        <v>17</v>
      </c>
      <c r="F106" s="21" t="s">
        <v>25</v>
      </c>
      <c r="G106" s="24">
        <v>35</v>
      </c>
      <c r="H106" s="24"/>
      <c r="J106" s="21" t="s">
        <v>651</v>
      </c>
      <c r="K106" s="24">
        <v>28637.3</v>
      </c>
    </row>
    <row r="107" spans="1:11" x14ac:dyDescent="0.25">
      <c r="A107" s="78">
        <v>46159</v>
      </c>
      <c r="B107" s="21" t="s">
        <v>34</v>
      </c>
      <c r="C107" s="21" t="s">
        <v>12</v>
      </c>
      <c r="D107" s="21" t="s">
        <v>34</v>
      </c>
      <c r="E107" s="21" t="s">
        <v>14</v>
      </c>
      <c r="F107" s="21" t="s">
        <v>15</v>
      </c>
      <c r="G107" s="24">
        <v>150</v>
      </c>
      <c r="H107" s="24"/>
      <c r="J107" s="21" t="s">
        <v>651</v>
      </c>
      <c r="K107" s="24">
        <v>28487.3</v>
      </c>
    </row>
    <row r="108" spans="1:11" x14ac:dyDescent="0.25">
      <c r="A108" s="78">
        <v>46160</v>
      </c>
      <c r="B108" s="21" t="s">
        <v>396</v>
      </c>
      <c r="C108" s="21" t="s">
        <v>12</v>
      </c>
      <c r="D108" s="21" t="s">
        <v>19</v>
      </c>
      <c r="E108" s="21" t="s">
        <v>17</v>
      </c>
      <c r="F108" s="21"/>
      <c r="G108" s="24">
        <v>1812.07</v>
      </c>
      <c r="H108" s="24"/>
      <c r="J108" s="21" t="s">
        <v>651</v>
      </c>
      <c r="K108" s="24">
        <v>26675.23</v>
      </c>
    </row>
    <row r="109" spans="1:11" x14ac:dyDescent="0.25">
      <c r="A109" s="78">
        <v>46160</v>
      </c>
      <c r="B109" s="21" t="s">
        <v>31</v>
      </c>
      <c r="C109" s="21" t="s">
        <v>20</v>
      </c>
      <c r="D109" s="21" t="s">
        <v>13</v>
      </c>
      <c r="E109" s="21"/>
      <c r="F109" s="21"/>
      <c r="G109" s="24">
        <v>1158</v>
      </c>
      <c r="H109" s="24"/>
      <c r="J109" s="21" t="s">
        <v>651</v>
      </c>
      <c r="K109" s="24">
        <v>27833.23</v>
      </c>
    </row>
    <row r="110" spans="1:11" x14ac:dyDescent="0.25">
      <c r="A110" s="78">
        <v>46160</v>
      </c>
      <c r="B110" s="21" t="s">
        <v>45</v>
      </c>
      <c r="C110" s="21" t="s">
        <v>20</v>
      </c>
      <c r="D110" s="21" t="s">
        <v>22</v>
      </c>
      <c r="E110" s="21" t="s">
        <v>17</v>
      </c>
      <c r="F110" s="21"/>
      <c r="G110" s="24">
        <v>84</v>
      </c>
      <c r="H110" s="24"/>
      <c r="J110" s="21" t="s">
        <v>651</v>
      </c>
      <c r="K110" s="24">
        <v>27917.23</v>
      </c>
    </row>
    <row r="111" spans="1:11" x14ac:dyDescent="0.25">
      <c r="A111" s="78">
        <v>46160</v>
      </c>
      <c r="B111" s="21" t="s">
        <v>46</v>
      </c>
      <c r="C111" s="21" t="s">
        <v>12</v>
      </c>
      <c r="D111" s="21" t="s">
        <v>24</v>
      </c>
      <c r="E111" s="21" t="s">
        <v>17</v>
      </c>
      <c r="F111" s="21" t="s">
        <v>25</v>
      </c>
      <c r="G111" s="24">
        <v>18</v>
      </c>
      <c r="H111" s="24"/>
      <c r="J111" s="21" t="s">
        <v>651</v>
      </c>
      <c r="K111" s="24">
        <v>27899.23</v>
      </c>
    </row>
    <row r="112" spans="1:11" x14ac:dyDescent="0.25">
      <c r="A112" s="21" t="s">
        <v>669</v>
      </c>
      <c r="B112" s="21" t="s">
        <v>403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0</v>
      </c>
      <c r="H112" s="24"/>
      <c r="J112" s="21" t="s">
        <v>669</v>
      </c>
      <c r="K112" s="24">
        <v>27899.23</v>
      </c>
    </row>
    <row r="113" spans="1:11" x14ac:dyDescent="0.25">
      <c r="A113" s="78">
        <v>46161</v>
      </c>
      <c r="B113" s="21" t="s">
        <v>13</v>
      </c>
      <c r="C113" s="21" t="s">
        <v>20</v>
      </c>
      <c r="D113" s="21" t="s">
        <v>13</v>
      </c>
      <c r="E113" s="21"/>
      <c r="F113" s="21"/>
      <c r="G113" s="24">
        <v>1215</v>
      </c>
      <c r="H113" s="24"/>
      <c r="J113" s="21" t="s">
        <v>651</v>
      </c>
      <c r="K113" s="24">
        <v>29114.23</v>
      </c>
    </row>
    <row r="114" spans="1:11" x14ac:dyDescent="0.25">
      <c r="A114" s="78">
        <v>46161</v>
      </c>
      <c r="B114" s="21" t="s">
        <v>21</v>
      </c>
      <c r="C114" s="21" t="s">
        <v>20</v>
      </c>
      <c r="D114" s="21" t="s">
        <v>22</v>
      </c>
      <c r="E114" s="21" t="s">
        <v>17</v>
      </c>
      <c r="F114" s="21"/>
      <c r="G114" s="24">
        <v>0</v>
      </c>
      <c r="H114" s="24"/>
      <c r="J114" s="21" t="s">
        <v>651</v>
      </c>
      <c r="K114" s="24">
        <v>29114.23</v>
      </c>
    </row>
    <row r="115" spans="1:11" x14ac:dyDescent="0.25">
      <c r="A115" s="78">
        <v>46161</v>
      </c>
      <c r="B115" s="21" t="s">
        <v>23</v>
      </c>
      <c r="C115" s="21" t="s">
        <v>12</v>
      </c>
      <c r="D115" s="21" t="s">
        <v>24</v>
      </c>
      <c r="E115" s="21" t="s">
        <v>17</v>
      </c>
      <c r="F115" s="21" t="s">
        <v>25</v>
      </c>
      <c r="G115" s="24">
        <v>0</v>
      </c>
      <c r="H115" s="24"/>
      <c r="J115" s="21" t="s">
        <v>651</v>
      </c>
      <c r="K115" s="24">
        <v>29114.23</v>
      </c>
    </row>
    <row r="116" spans="1:11" x14ac:dyDescent="0.25">
      <c r="A116" s="78">
        <v>46161</v>
      </c>
      <c r="B116" s="21" t="s">
        <v>11</v>
      </c>
      <c r="C116" s="21" t="s">
        <v>12</v>
      </c>
      <c r="D116" s="21" t="s">
        <v>19</v>
      </c>
      <c r="E116" s="21" t="s">
        <v>14</v>
      </c>
      <c r="F116" s="21" t="s">
        <v>15</v>
      </c>
      <c r="G116" s="24">
        <v>235</v>
      </c>
      <c r="H116" s="24"/>
      <c r="J116" s="21" t="s">
        <v>651</v>
      </c>
      <c r="K116" s="24">
        <v>28879.23</v>
      </c>
    </row>
    <row r="117" spans="1:11" x14ac:dyDescent="0.25">
      <c r="A117" s="78">
        <v>46161</v>
      </c>
      <c r="B117" s="21" t="s">
        <v>586</v>
      </c>
      <c r="C117" s="21" t="s">
        <v>12</v>
      </c>
      <c r="D117" s="21" t="s">
        <v>27</v>
      </c>
      <c r="E117" s="21" t="s">
        <v>17</v>
      </c>
      <c r="F117" s="21" t="s">
        <v>25</v>
      </c>
      <c r="G117" s="24">
        <v>1910.16</v>
      </c>
      <c r="H117" s="24"/>
      <c r="J117" s="21" t="s">
        <v>651</v>
      </c>
      <c r="K117" s="24">
        <v>26969.07</v>
      </c>
    </row>
    <row r="118" spans="1:11" x14ac:dyDescent="0.25">
      <c r="A118" s="78">
        <v>46161</v>
      </c>
      <c r="B118" s="21" t="s">
        <v>528</v>
      </c>
      <c r="C118" s="21" t="s">
        <v>12</v>
      </c>
      <c r="D118" s="21" t="s">
        <v>19</v>
      </c>
      <c r="E118" s="21" t="s">
        <v>17</v>
      </c>
      <c r="F118" s="21" t="s">
        <v>25</v>
      </c>
      <c r="G118" s="24">
        <v>203.5</v>
      </c>
      <c r="H118" s="24"/>
      <c r="J118" s="21" t="s">
        <v>651</v>
      </c>
      <c r="K118" s="24">
        <v>26765.57</v>
      </c>
    </row>
    <row r="119" spans="1:11" x14ac:dyDescent="0.25">
      <c r="A119" s="78">
        <v>46162</v>
      </c>
      <c r="B119" s="21" t="s">
        <v>670</v>
      </c>
      <c r="C119" s="21" t="s">
        <v>12</v>
      </c>
      <c r="D119" s="21" t="s">
        <v>19</v>
      </c>
      <c r="E119" s="21" t="s">
        <v>17</v>
      </c>
      <c r="F119" s="21"/>
      <c r="G119" s="24">
        <v>115.8</v>
      </c>
      <c r="H119" s="24"/>
      <c r="J119" s="21" t="s">
        <v>651</v>
      </c>
      <c r="K119" s="24">
        <v>26649.77</v>
      </c>
    </row>
    <row r="120" spans="1:11" x14ac:dyDescent="0.25">
      <c r="A120" s="78">
        <v>46162</v>
      </c>
      <c r="B120" s="21" t="s">
        <v>358</v>
      </c>
      <c r="C120" s="21" t="s">
        <v>12</v>
      </c>
      <c r="D120" s="21" t="s">
        <v>59</v>
      </c>
      <c r="E120" s="21" t="s">
        <v>17</v>
      </c>
      <c r="F120" s="21"/>
      <c r="G120" s="24">
        <v>1107.18</v>
      </c>
      <c r="H120" s="24"/>
      <c r="J120" s="21" t="s">
        <v>651</v>
      </c>
      <c r="K120" s="24">
        <v>25542.59</v>
      </c>
    </row>
    <row r="121" spans="1:11" x14ac:dyDescent="0.25">
      <c r="A121" s="78">
        <v>46162</v>
      </c>
      <c r="B121" s="21" t="s">
        <v>671</v>
      </c>
      <c r="C121" s="21" t="s">
        <v>12</v>
      </c>
      <c r="D121" s="21" t="s">
        <v>59</v>
      </c>
      <c r="E121" s="21" t="s">
        <v>17</v>
      </c>
      <c r="F121" s="21"/>
      <c r="G121" s="24">
        <v>7736.21</v>
      </c>
      <c r="H121" s="24"/>
      <c r="J121" s="21" t="s">
        <v>651</v>
      </c>
      <c r="K121" s="24">
        <v>17806.38</v>
      </c>
    </row>
    <row r="122" spans="1:11" x14ac:dyDescent="0.25">
      <c r="A122" s="78">
        <v>46162</v>
      </c>
      <c r="B122" s="21" t="s">
        <v>549</v>
      </c>
      <c r="C122" s="21" t="s">
        <v>12</v>
      </c>
      <c r="D122" s="21" t="s">
        <v>59</v>
      </c>
      <c r="E122" s="21" t="s">
        <v>17</v>
      </c>
      <c r="F122" s="21"/>
      <c r="G122" s="24">
        <v>1111.3599999999999</v>
      </c>
      <c r="H122" s="24"/>
      <c r="J122" s="21" t="s">
        <v>651</v>
      </c>
      <c r="K122" s="24">
        <v>16695.02</v>
      </c>
    </row>
    <row r="123" spans="1:11" x14ac:dyDescent="0.25">
      <c r="A123" s="78">
        <v>46162</v>
      </c>
      <c r="B123" s="21" t="s">
        <v>641</v>
      </c>
      <c r="C123" s="21" t="s">
        <v>20</v>
      </c>
      <c r="D123" s="21" t="s">
        <v>13</v>
      </c>
      <c r="E123" s="21"/>
      <c r="F123" s="21"/>
      <c r="G123" s="24">
        <v>892</v>
      </c>
      <c r="H123" s="24"/>
      <c r="J123" s="21" t="s">
        <v>651</v>
      </c>
      <c r="K123" s="24">
        <v>17587.02</v>
      </c>
    </row>
    <row r="124" spans="1:11" x14ac:dyDescent="0.25">
      <c r="A124" s="78">
        <v>46162</v>
      </c>
      <c r="B124" s="21" t="s">
        <v>21</v>
      </c>
      <c r="C124" s="21" t="s">
        <v>20</v>
      </c>
      <c r="D124" s="21" t="s">
        <v>22</v>
      </c>
      <c r="E124" s="21" t="s">
        <v>17</v>
      </c>
      <c r="F124" s="21"/>
      <c r="G124" s="24">
        <v>0</v>
      </c>
      <c r="H124" s="24"/>
      <c r="J124" s="21" t="s">
        <v>651</v>
      </c>
      <c r="K124" s="24">
        <v>17587.02</v>
      </c>
    </row>
    <row r="125" spans="1:11" x14ac:dyDescent="0.25">
      <c r="A125" s="78">
        <v>46162</v>
      </c>
      <c r="B125" s="21" t="s">
        <v>23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0</v>
      </c>
      <c r="H125" s="24"/>
      <c r="J125" s="21" t="s">
        <v>651</v>
      </c>
      <c r="K125" s="24">
        <v>17587.02</v>
      </c>
    </row>
    <row r="126" spans="1:11" x14ac:dyDescent="0.25">
      <c r="A126" s="78">
        <v>46162</v>
      </c>
      <c r="B126" s="21" t="s">
        <v>11</v>
      </c>
      <c r="C126" s="21" t="s">
        <v>12</v>
      </c>
      <c r="D126" s="21" t="s">
        <v>19</v>
      </c>
      <c r="E126" s="21" t="s">
        <v>14</v>
      </c>
      <c r="F126" s="21" t="s">
        <v>15</v>
      </c>
      <c r="G126" s="24"/>
      <c r="H126" s="24"/>
      <c r="J126" s="21" t="s">
        <v>651</v>
      </c>
      <c r="K126" s="24">
        <v>17587.02</v>
      </c>
    </row>
    <row r="127" spans="1:11" x14ac:dyDescent="0.25">
      <c r="A127" s="78">
        <v>46162</v>
      </c>
      <c r="B127" s="21" t="s">
        <v>672</v>
      </c>
      <c r="C127" s="21" t="s">
        <v>12</v>
      </c>
      <c r="D127" s="21" t="s">
        <v>69</v>
      </c>
      <c r="E127" s="21" t="s">
        <v>17</v>
      </c>
      <c r="F127" s="21"/>
      <c r="G127" s="24">
        <v>112.68</v>
      </c>
      <c r="H127" s="24"/>
      <c r="J127" s="21" t="s">
        <v>651</v>
      </c>
      <c r="K127" s="24">
        <v>17474.34</v>
      </c>
    </row>
    <row r="128" spans="1:11" x14ac:dyDescent="0.25">
      <c r="A128" s="78">
        <v>46163</v>
      </c>
      <c r="B128" s="21" t="s">
        <v>673</v>
      </c>
      <c r="C128" s="21" t="s">
        <v>12</v>
      </c>
      <c r="D128" s="21" t="s">
        <v>19</v>
      </c>
      <c r="E128" s="21" t="s">
        <v>17</v>
      </c>
      <c r="F128" s="21"/>
      <c r="G128" s="24">
        <v>697.1</v>
      </c>
      <c r="H128" s="24"/>
      <c r="J128" s="21" t="s">
        <v>651</v>
      </c>
      <c r="K128" s="24">
        <v>16777.240000000002</v>
      </c>
    </row>
    <row r="129" spans="1:11" x14ac:dyDescent="0.25">
      <c r="A129" s="78">
        <v>46163</v>
      </c>
      <c r="B129" s="21" t="s">
        <v>573</v>
      </c>
      <c r="C129" s="21" t="s">
        <v>12</v>
      </c>
      <c r="D129" s="21" t="s">
        <v>63</v>
      </c>
      <c r="E129" s="21" t="s">
        <v>17</v>
      </c>
      <c r="F129" s="21" t="s">
        <v>25</v>
      </c>
      <c r="G129" s="24">
        <v>85</v>
      </c>
      <c r="H129" s="24"/>
      <c r="J129" s="21" t="s">
        <v>651</v>
      </c>
      <c r="K129" s="24">
        <v>16692.240000000002</v>
      </c>
    </row>
    <row r="130" spans="1:11" x14ac:dyDescent="0.25">
      <c r="A130" s="78">
        <v>46163</v>
      </c>
      <c r="B130" s="21" t="s">
        <v>31</v>
      </c>
      <c r="C130" s="21" t="s">
        <v>20</v>
      </c>
      <c r="D130" s="21" t="s">
        <v>13</v>
      </c>
      <c r="E130" s="21"/>
      <c r="F130" s="21"/>
      <c r="G130" s="24">
        <v>1539</v>
      </c>
      <c r="H130" s="24"/>
      <c r="J130" s="21" t="s">
        <v>651</v>
      </c>
      <c r="K130" s="24">
        <v>18231.240000000002</v>
      </c>
    </row>
    <row r="131" spans="1:11" x14ac:dyDescent="0.25">
      <c r="A131" s="78">
        <v>46163</v>
      </c>
      <c r="B131" s="21" t="s">
        <v>45</v>
      </c>
      <c r="C131" s="21" t="s">
        <v>20</v>
      </c>
      <c r="D131" s="21" t="s">
        <v>22</v>
      </c>
      <c r="E131" s="21" t="s">
        <v>17</v>
      </c>
      <c r="F131" s="21"/>
      <c r="G131" s="24">
        <v>27</v>
      </c>
      <c r="H131" s="24"/>
      <c r="J131" s="21" t="s">
        <v>651</v>
      </c>
      <c r="K131" s="24">
        <v>18258.240000000002</v>
      </c>
    </row>
    <row r="132" spans="1:11" x14ac:dyDescent="0.25">
      <c r="A132" s="78">
        <v>46163</v>
      </c>
      <c r="B132" s="21" t="s">
        <v>46</v>
      </c>
      <c r="C132" s="21" t="s">
        <v>12</v>
      </c>
      <c r="D132" s="21" t="s">
        <v>24</v>
      </c>
      <c r="E132" s="21" t="s">
        <v>17</v>
      </c>
      <c r="F132" s="21" t="s">
        <v>25</v>
      </c>
      <c r="G132" s="24"/>
      <c r="H132" s="24"/>
      <c r="J132" s="21" t="s">
        <v>651</v>
      </c>
      <c r="K132" s="24">
        <v>18258.240000000002</v>
      </c>
    </row>
    <row r="133" spans="1:11" x14ac:dyDescent="0.25">
      <c r="A133" s="78">
        <v>46163</v>
      </c>
      <c r="B133" s="21" t="s">
        <v>403</v>
      </c>
      <c r="C133" s="21" t="s">
        <v>12</v>
      </c>
      <c r="D133" s="21" t="s">
        <v>19</v>
      </c>
      <c r="E133" s="21" t="s">
        <v>14</v>
      </c>
      <c r="F133" s="21" t="s">
        <v>15</v>
      </c>
      <c r="G133" s="24">
        <v>235</v>
      </c>
      <c r="H133" s="24"/>
      <c r="J133" s="21" t="s">
        <v>651</v>
      </c>
      <c r="K133" s="24">
        <v>18023.240000000002</v>
      </c>
    </row>
    <row r="134" spans="1:11" x14ac:dyDescent="0.25">
      <c r="A134" s="78">
        <v>46164</v>
      </c>
      <c r="B134" s="21" t="s">
        <v>13</v>
      </c>
      <c r="C134" s="21" t="s">
        <v>20</v>
      </c>
      <c r="D134" s="21" t="s">
        <v>13</v>
      </c>
      <c r="E134" s="21"/>
      <c r="F134" s="21"/>
      <c r="G134" s="24">
        <v>3079</v>
      </c>
      <c r="H134" s="24"/>
      <c r="J134" s="21" t="s">
        <v>651</v>
      </c>
      <c r="K134" s="24">
        <v>21102.240000000002</v>
      </c>
    </row>
    <row r="135" spans="1:11" x14ac:dyDescent="0.25">
      <c r="A135" s="78">
        <v>46164</v>
      </c>
      <c r="B135" s="21" t="s">
        <v>45</v>
      </c>
      <c r="C135" s="21" t="s">
        <v>20</v>
      </c>
      <c r="D135" s="21" t="s">
        <v>22</v>
      </c>
      <c r="E135" s="21" t="s">
        <v>17</v>
      </c>
      <c r="F135" s="21"/>
      <c r="G135" s="24">
        <v>441</v>
      </c>
      <c r="H135" s="24"/>
      <c r="J135" s="21" t="s">
        <v>651</v>
      </c>
      <c r="K135" s="24">
        <v>21543.24</v>
      </c>
    </row>
    <row r="136" spans="1:11" x14ac:dyDescent="0.25">
      <c r="A136" s="78">
        <v>46164</v>
      </c>
      <c r="B136" s="21" t="s">
        <v>46</v>
      </c>
      <c r="C136" s="21" t="s">
        <v>12</v>
      </c>
      <c r="D136" s="21" t="s">
        <v>24</v>
      </c>
      <c r="E136" s="21" t="s">
        <v>17</v>
      </c>
      <c r="F136" s="21" t="s">
        <v>25</v>
      </c>
      <c r="G136" s="24">
        <v>27</v>
      </c>
      <c r="H136" s="24"/>
      <c r="J136" s="21" t="s">
        <v>651</v>
      </c>
      <c r="K136" s="24">
        <v>21516.240000000002</v>
      </c>
    </row>
    <row r="137" spans="1:11" x14ac:dyDescent="0.25">
      <c r="A137" s="78">
        <v>46164</v>
      </c>
      <c r="B137" s="21" t="s">
        <v>403</v>
      </c>
      <c r="C137" s="21" t="s">
        <v>12</v>
      </c>
      <c r="D137" s="21" t="s">
        <v>19</v>
      </c>
      <c r="E137" s="21" t="s">
        <v>14</v>
      </c>
      <c r="F137" s="21" t="s">
        <v>15</v>
      </c>
      <c r="G137" s="24">
        <v>423</v>
      </c>
      <c r="H137" s="24"/>
      <c r="J137" s="21" t="s">
        <v>651</v>
      </c>
      <c r="K137" s="24">
        <v>21093.24</v>
      </c>
    </row>
    <row r="138" spans="1:11" x14ac:dyDescent="0.25">
      <c r="A138" s="78">
        <v>46163</v>
      </c>
      <c r="B138" s="21" t="s">
        <v>226</v>
      </c>
      <c r="C138" s="21" t="s">
        <v>12</v>
      </c>
      <c r="D138" s="21" t="s">
        <v>63</v>
      </c>
      <c r="E138" s="21" t="s">
        <v>17</v>
      </c>
      <c r="F138" s="21" t="s">
        <v>25</v>
      </c>
      <c r="G138" s="24">
        <v>45.4</v>
      </c>
      <c r="H138" s="24"/>
      <c r="J138" s="21" t="s">
        <v>651</v>
      </c>
      <c r="K138" s="24">
        <v>21047.84</v>
      </c>
    </row>
    <row r="139" spans="1:11" x14ac:dyDescent="0.25">
      <c r="A139" s="78">
        <v>46165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4430</v>
      </c>
      <c r="H139" s="24"/>
      <c r="J139" s="21" t="s">
        <v>651</v>
      </c>
      <c r="K139" s="24">
        <v>25477.84</v>
      </c>
    </row>
    <row r="140" spans="1:11" x14ac:dyDescent="0.25">
      <c r="A140" s="78">
        <v>46165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0</v>
      </c>
      <c r="H140" s="24"/>
      <c r="J140" s="21" t="s">
        <v>651</v>
      </c>
      <c r="K140" s="24">
        <v>25477.84</v>
      </c>
    </row>
    <row r="141" spans="1:11" x14ac:dyDescent="0.25">
      <c r="A141" s="78">
        <v>46165</v>
      </c>
      <c r="B141" s="21" t="s">
        <v>23</v>
      </c>
      <c r="C141" s="21" t="s">
        <v>20</v>
      </c>
      <c r="D141" s="21" t="s">
        <v>24</v>
      </c>
      <c r="E141" s="21" t="s">
        <v>17</v>
      </c>
      <c r="F141" s="21" t="s">
        <v>25</v>
      </c>
      <c r="G141" s="24">
        <v>0</v>
      </c>
      <c r="H141" s="24"/>
      <c r="J141" s="21" t="s">
        <v>651</v>
      </c>
      <c r="K141" s="24">
        <v>25477.84</v>
      </c>
    </row>
    <row r="142" spans="1:11" x14ac:dyDescent="0.25">
      <c r="A142" s="78">
        <v>46166</v>
      </c>
      <c r="B142" s="21" t="s">
        <v>13</v>
      </c>
      <c r="C142" s="21" t="s">
        <v>20</v>
      </c>
      <c r="D142" s="21"/>
      <c r="E142" s="21"/>
      <c r="F142" s="21"/>
      <c r="G142" s="24">
        <v>6435</v>
      </c>
      <c r="H142" s="24"/>
      <c r="J142" s="21" t="s">
        <v>651</v>
      </c>
      <c r="K142" s="24">
        <v>31912.84</v>
      </c>
    </row>
    <row r="143" spans="1:11" x14ac:dyDescent="0.25">
      <c r="A143" s="78">
        <v>46166</v>
      </c>
      <c r="B143" s="21" t="s">
        <v>21</v>
      </c>
      <c r="C143" s="21" t="s">
        <v>20</v>
      </c>
      <c r="D143" s="21" t="s">
        <v>22</v>
      </c>
      <c r="E143" s="21"/>
      <c r="F143" s="21"/>
      <c r="G143" s="24">
        <v>230</v>
      </c>
      <c r="H143" s="24"/>
      <c r="J143" s="21" t="s">
        <v>651</v>
      </c>
      <c r="K143" s="24">
        <v>32142.84</v>
      </c>
    </row>
    <row r="144" spans="1:11" x14ac:dyDescent="0.25">
      <c r="A144" s="78">
        <v>46166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651</v>
      </c>
      <c r="K144" s="24">
        <v>32115.84</v>
      </c>
    </row>
    <row r="145" spans="1:11" x14ac:dyDescent="0.25">
      <c r="A145" s="78">
        <v>46166</v>
      </c>
      <c r="B145" s="21" t="s">
        <v>34</v>
      </c>
      <c r="C145" s="21" t="s">
        <v>12</v>
      </c>
      <c r="D145" s="21" t="s">
        <v>34</v>
      </c>
      <c r="E145" s="21" t="s">
        <v>14</v>
      </c>
      <c r="F145" s="21" t="s">
        <v>15</v>
      </c>
      <c r="G145" s="24">
        <v>150</v>
      </c>
      <c r="H145" s="24"/>
      <c r="J145" s="21" t="s">
        <v>651</v>
      </c>
      <c r="K145" s="24">
        <v>31965.84</v>
      </c>
    </row>
    <row r="146" spans="1:11" x14ac:dyDescent="0.25">
      <c r="A146" s="78">
        <v>46167</v>
      </c>
      <c r="B146" s="21" t="s">
        <v>13</v>
      </c>
      <c r="C146" s="21" t="s">
        <v>20</v>
      </c>
      <c r="D146" s="21" t="s">
        <v>13</v>
      </c>
      <c r="E146" s="21"/>
      <c r="F146" s="21"/>
      <c r="G146" s="24">
        <v>1004</v>
      </c>
      <c r="H146" s="24"/>
      <c r="J146" s="21" t="s">
        <v>651</v>
      </c>
      <c r="K146" s="24">
        <v>32969.839999999997</v>
      </c>
    </row>
    <row r="147" spans="1:11" x14ac:dyDescent="0.25">
      <c r="A147" s="78">
        <v>46167</v>
      </c>
      <c r="B147" s="21" t="s">
        <v>21</v>
      </c>
      <c r="C147" s="21" t="s">
        <v>20</v>
      </c>
      <c r="D147" s="21" t="s">
        <v>22</v>
      </c>
      <c r="E147" s="21" t="s">
        <v>17</v>
      </c>
      <c r="F147" s="21"/>
      <c r="G147" s="24">
        <v>40</v>
      </c>
      <c r="H147" s="24"/>
      <c r="J147" s="21" t="s">
        <v>651</v>
      </c>
      <c r="K147" s="24">
        <v>33009.839999999997</v>
      </c>
    </row>
    <row r="148" spans="1:11" x14ac:dyDescent="0.25">
      <c r="A148" s="78">
        <v>46167</v>
      </c>
      <c r="B148" s="21" t="s">
        <v>23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9</v>
      </c>
      <c r="H148" s="24"/>
      <c r="J148" s="21" t="s">
        <v>651</v>
      </c>
      <c r="K148" s="24">
        <v>33000.839999999997</v>
      </c>
    </row>
    <row r="149" spans="1:11" x14ac:dyDescent="0.25">
      <c r="A149" s="78">
        <v>46167</v>
      </c>
      <c r="B149" s="21" t="s">
        <v>354</v>
      </c>
      <c r="C149" s="21" t="s">
        <v>12</v>
      </c>
      <c r="D149" s="21" t="s">
        <v>19</v>
      </c>
      <c r="E149" s="21" t="s">
        <v>17</v>
      </c>
      <c r="F149" s="21"/>
      <c r="G149" s="24">
        <v>1812.08</v>
      </c>
      <c r="H149" s="24"/>
      <c r="J149" s="21" t="s">
        <v>651</v>
      </c>
      <c r="K149" s="24">
        <v>31188.759999999991</v>
      </c>
    </row>
    <row r="150" spans="1:11" x14ac:dyDescent="0.25">
      <c r="A150" s="78">
        <v>46167</v>
      </c>
      <c r="B150" s="21" t="s">
        <v>554</v>
      </c>
      <c r="C150" s="21" t="s">
        <v>12</v>
      </c>
      <c r="D150" s="21" t="s">
        <v>19</v>
      </c>
      <c r="E150" s="21" t="s">
        <v>17</v>
      </c>
      <c r="F150" s="21"/>
      <c r="G150" s="24">
        <v>1734.8</v>
      </c>
      <c r="H150" s="24"/>
      <c r="J150" s="21" t="s">
        <v>651</v>
      </c>
      <c r="K150" s="24">
        <v>29453.96</v>
      </c>
    </row>
    <row r="151" spans="1:11" x14ac:dyDescent="0.25">
      <c r="A151" s="78">
        <v>46167</v>
      </c>
      <c r="B151" s="21" t="s">
        <v>554</v>
      </c>
      <c r="C151" s="21" t="s">
        <v>12</v>
      </c>
      <c r="D151" s="21" t="s">
        <v>19</v>
      </c>
      <c r="E151" s="21" t="s">
        <v>17</v>
      </c>
      <c r="F151" s="21"/>
      <c r="G151" s="24">
        <v>1486.49</v>
      </c>
      <c r="H151" s="24"/>
      <c r="J151" s="21" t="s">
        <v>651</v>
      </c>
      <c r="K151" s="24">
        <v>27967.46999999999</v>
      </c>
    </row>
    <row r="152" spans="1:11" x14ac:dyDescent="0.25">
      <c r="A152" s="78">
        <v>46167</v>
      </c>
      <c r="B152" s="21" t="s">
        <v>392</v>
      </c>
      <c r="C152" s="21" t="s">
        <v>12</v>
      </c>
      <c r="D152" s="21" t="s">
        <v>19</v>
      </c>
      <c r="E152" s="21" t="s">
        <v>17</v>
      </c>
      <c r="F152" s="21"/>
      <c r="G152" s="24">
        <v>134.99</v>
      </c>
      <c r="H152" s="24"/>
      <c r="J152" s="21" t="s">
        <v>651</v>
      </c>
      <c r="K152" s="24">
        <v>27832.479999999989</v>
      </c>
    </row>
    <row r="153" spans="1:11" x14ac:dyDescent="0.25">
      <c r="A153" s="78">
        <v>46167</v>
      </c>
      <c r="B153" s="21" t="s">
        <v>392</v>
      </c>
      <c r="C153" s="21" t="s">
        <v>12</v>
      </c>
      <c r="D153" s="21" t="s">
        <v>19</v>
      </c>
      <c r="E153" s="21" t="s">
        <v>17</v>
      </c>
      <c r="F153" s="21"/>
      <c r="G153" s="24">
        <v>222.34</v>
      </c>
      <c r="H153" s="24"/>
      <c r="J153" s="21" t="s">
        <v>651</v>
      </c>
      <c r="K153" s="24">
        <v>27610.139999999989</v>
      </c>
    </row>
    <row r="154" spans="1:11" x14ac:dyDescent="0.25">
      <c r="A154" s="78">
        <v>46167</v>
      </c>
      <c r="B154" s="21" t="s">
        <v>533</v>
      </c>
      <c r="C154" s="21" t="s">
        <v>12</v>
      </c>
      <c r="D154" s="21" t="s">
        <v>329</v>
      </c>
      <c r="E154" s="21" t="s">
        <v>17</v>
      </c>
      <c r="F154" s="21"/>
      <c r="G154" s="24"/>
      <c r="H154" s="24"/>
      <c r="J154" s="21" t="s">
        <v>651</v>
      </c>
      <c r="K154" s="24">
        <v>27610.139999999989</v>
      </c>
    </row>
    <row r="155" spans="1:11" x14ac:dyDescent="0.25">
      <c r="A155" s="78">
        <v>46167</v>
      </c>
      <c r="B155" s="21" t="s">
        <v>306</v>
      </c>
      <c r="C155" s="21" t="s">
        <v>12</v>
      </c>
      <c r="D155" s="21" t="s">
        <v>69</v>
      </c>
      <c r="E155" s="21" t="s">
        <v>17</v>
      </c>
      <c r="F155" s="21"/>
      <c r="G155" s="24"/>
      <c r="H155" s="24"/>
      <c r="J155" s="21" t="s">
        <v>651</v>
      </c>
      <c r="K155" s="24">
        <v>27610.139999999989</v>
      </c>
    </row>
    <row r="156" spans="1:11" x14ac:dyDescent="0.25">
      <c r="A156" s="78">
        <v>46167</v>
      </c>
      <c r="B156" s="21" t="s">
        <v>372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680.63</v>
      </c>
      <c r="H156" s="24"/>
      <c r="J156" s="21" t="s">
        <v>651</v>
      </c>
      <c r="K156" s="24">
        <v>26929.509999999991</v>
      </c>
    </row>
    <row r="157" spans="1:11" x14ac:dyDescent="0.25">
      <c r="A157" s="78">
        <v>46168</v>
      </c>
      <c r="B157" s="21" t="s">
        <v>396</v>
      </c>
      <c r="C157" s="21" t="s">
        <v>12</v>
      </c>
      <c r="D157" s="21" t="s">
        <v>19</v>
      </c>
      <c r="E157" s="21" t="s">
        <v>17</v>
      </c>
      <c r="F157" s="21"/>
      <c r="G157" s="24">
        <v>477.68</v>
      </c>
      <c r="H157" s="24"/>
      <c r="J157" s="21" t="s">
        <v>651</v>
      </c>
      <c r="K157" s="24">
        <v>26451.829999999991</v>
      </c>
    </row>
    <row r="158" spans="1:11" x14ac:dyDescent="0.25">
      <c r="A158" s="78">
        <v>46168</v>
      </c>
      <c r="B158" s="21" t="s">
        <v>356</v>
      </c>
      <c r="C158" s="21" t="s">
        <v>12</v>
      </c>
      <c r="D158" s="21" t="s">
        <v>19</v>
      </c>
      <c r="E158" s="21" t="s">
        <v>17</v>
      </c>
      <c r="F158" s="21"/>
      <c r="G158" s="24">
        <v>182.54</v>
      </c>
      <c r="H158" s="24"/>
      <c r="J158" s="21" t="s">
        <v>651</v>
      </c>
      <c r="K158" s="24">
        <v>26269.28999999999</v>
      </c>
    </row>
    <row r="159" spans="1:11" x14ac:dyDescent="0.25">
      <c r="A159" s="78">
        <v>46168</v>
      </c>
      <c r="B159" s="21" t="s">
        <v>31</v>
      </c>
      <c r="C159" s="21" t="s">
        <v>20</v>
      </c>
      <c r="D159" s="21" t="s">
        <v>13</v>
      </c>
      <c r="E159" s="21"/>
      <c r="F159" s="21"/>
      <c r="G159" s="24">
        <v>1434</v>
      </c>
      <c r="H159" s="24"/>
      <c r="J159" s="21" t="s">
        <v>651</v>
      </c>
      <c r="K159" s="24">
        <v>27703.28999999999</v>
      </c>
    </row>
    <row r="160" spans="1:11" x14ac:dyDescent="0.25">
      <c r="A160" s="78">
        <v>46168</v>
      </c>
      <c r="B160" s="21" t="s">
        <v>45</v>
      </c>
      <c r="C160" s="21" t="s">
        <v>20</v>
      </c>
      <c r="D160" s="21" t="s">
        <v>22</v>
      </c>
      <c r="E160" s="21" t="s">
        <v>17</v>
      </c>
      <c r="F160" s="21"/>
      <c r="G160" s="24">
        <v>0</v>
      </c>
      <c r="H160" s="24"/>
      <c r="J160" s="21" t="s">
        <v>651</v>
      </c>
      <c r="K160" s="24">
        <v>27703.28999999999</v>
      </c>
    </row>
    <row r="161" spans="1:11" x14ac:dyDescent="0.25">
      <c r="A161" s="78">
        <v>46168</v>
      </c>
      <c r="B161" s="21" t="s">
        <v>46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0</v>
      </c>
      <c r="H161" s="24"/>
      <c r="J161" s="21" t="s">
        <v>651</v>
      </c>
      <c r="K161" s="24">
        <v>27703.28999999999</v>
      </c>
    </row>
    <row r="162" spans="1:11" x14ac:dyDescent="0.25">
      <c r="A162" s="78">
        <v>46168</v>
      </c>
      <c r="B162" s="21" t="s">
        <v>194</v>
      </c>
      <c r="C162" s="21" t="s">
        <v>12</v>
      </c>
      <c r="D162" s="21" t="s">
        <v>19</v>
      </c>
      <c r="E162" s="21" t="s">
        <v>17</v>
      </c>
      <c r="F162" s="21" t="s">
        <v>25</v>
      </c>
      <c r="G162" s="24">
        <v>184.41</v>
      </c>
      <c r="H162" s="24"/>
      <c r="J162" s="21" t="s">
        <v>651</v>
      </c>
      <c r="K162" s="24">
        <v>27518.87999999999</v>
      </c>
    </row>
    <row r="163" spans="1:11" x14ac:dyDescent="0.25">
      <c r="A163" s="78">
        <v>46169</v>
      </c>
      <c r="B163" s="21" t="s">
        <v>352</v>
      </c>
      <c r="C163" s="21" t="s">
        <v>12</v>
      </c>
      <c r="D163" s="21" t="s">
        <v>19</v>
      </c>
      <c r="E163" s="21" t="s">
        <v>17</v>
      </c>
      <c r="F163" s="21"/>
      <c r="G163" s="24">
        <v>1400</v>
      </c>
      <c r="H163" s="24"/>
      <c r="J163" s="21" t="s">
        <v>651</v>
      </c>
      <c r="K163" s="24">
        <v>26118.87999999999</v>
      </c>
    </row>
    <row r="164" spans="1:11" x14ac:dyDescent="0.25">
      <c r="A164" s="78">
        <v>46169</v>
      </c>
      <c r="B164" s="21" t="s">
        <v>31</v>
      </c>
      <c r="C164" s="21" t="s">
        <v>20</v>
      </c>
      <c r="D164" s="21" t="s">
        <v>13</v>
      </c>
      <c r="E164" s="21"/>
      <c r="F164" s="21"/>
      <c r="G164" s="24">
        <v>1170</v>
      </c>
      <c r="H164" s="24"/>
      <c r="J164" s="21" t="s">
        <v>651</v>
      </c>
      <c r="K164" s="24">
        <v>27288.87999999999</v>
      </c>
    </row>
    <row r="165" spans="1:11" x14ac:dyDescent="0.25">
      <c r="A165" s="78">
        <v>46169</v>
      </c>
      <c r="B165" s="21" t="s">
        <v>45</v>
      </c>
      <c r="C165" s="21" t="s">
        <v>20</v>
      </c>
      <c r="D165" s="21" t="s">
        <v>22</v>
      </c>
      <c r="E165" s="21" t="s">
        <v>17</v>
      </c>
      <c r="F165" s="21"/>
      <c r="G165" s="24">
        <v>84</v>
      </c>
      <c r="H165" s="24"/>
      <c r="J165" s="21" t="s">
        <v>651</v>
      </c>
      <c r="K165" s="24">
        <v>27372.87999999999</v>
      </c>
    </row>
    <row r="166" spans="1:11" x14ac:dyDescent="0.25">
      <c r="A166" s="78">
        <v>46169</v>
      </c>
      <c r="B166" s="21" t="s">
        <v>46</v>
      </c>
      <c r="C166" s="21" t="s">
        <v>12</v>
      </c>
      <c r="D166" s="21" t="s">
        <v>24</v>
      </c>
      <c r="E166" s="21" t="s">
        <v>17</v>
      </c>
      <c r="F166" s="21" t="s">
        <v>25</v>
      </c>
      <c r="G166" s="24">
        <v>18</v>
      </c>
      <c r="H166" s="24"/>
      <c r="J166" s="21" t="s">
        <v>651</v>
      </c>
      <c r="K166" s="24">
        <v>27354.87999999999</v>
      </c>
    </row>
    <row r="167" spans="1:11" x14ac:dyDescent="0.25">
      <c r="A167" s="78">
        <v>46169</v>
      </c>
      <c r="B167" s="21" t="s">
        <v>674</v>
      </c>
      <c r="C167" s="21" t="s">
        <v>12</v>
      </c>
      <c r="D167" s="21" t="s">
        <v>63</v>
      </c>
      <c r="E167" s="21" t="s">
        <v>17</v>
      </c>
      <c r="F167" s="21" t="s">
        <v>25</v>
      </c>
      <c r="G167" s="24">
        <v>20</v>
      </c>
      <c r="H167" s="24"/>
      <c r="J167" s="21" t="s">
        <v>651</v>
      </c>
      <c r="K167" s="24">
        <v>27334.87999999999</v>
      </c>
    </row>
    <row r="168" spans="1:11" x14ac:dyDescent="0.25">
      <c r="A168" s="78">
        <v>46170</v>
      </c>
      <c r="B168" s="21" t="s">
        <v>675</v>
      </c>
      <c r="C168" s="21" t="s">
        <v>12</v>
      </c>
      <c r="D168" s="21" t="s">
        <v>19</v>
      </c>
      <c r="E168" s="21" t="s">
        <v>17</v>
      </c>
      <c r="F168" s="21"/>
      <c r="G168" s="24">
        <v>697.1</v>
      </c>
      <c r="H168" s="24"/>
      <c r="I168" s="21">
        <v>195.59</v>
      </c>
      <c r="J168" s="21" t="s">
        <v>651</v>
      </c>
      <c r="K168" s="24">
        <v>26637.779999999992</v>
      </c>
    </row>
    <row r="169" spans="1:11" x14ac:dyDescent="0.25">
      <c r="A169" s="78">
        <v>46170</v>
      </c>
      <c r="B169" s="21" t="s">
        <v>31</v>
      </c>
      <c r="C169" s="21" t="s">
        <v>20</v>
      </c>
      <c r="D169" s="21" t="s">
        <v>13</v>
      </c>
      <c r="E169" s="21"/>
      <c r="F169" s="21"/>
      <c r="G169" s="24">
        <v>1519</v>
      </c>
      <c r="H169" s="24"/>
      <c r="J169" s="21" t="s">
        <v>651</v>
      </c>
      <c r="K169" s="24">
        <v>28156.779999999992</v>
      </c>
    </row>
    <row r="170" spans="1:11" x14ac:dyDescent="0.25">
      <c r="A170" s="78">
        <v>46170</v>
      </c>
      <c r="B170" s="21" t="s">
        <v>45</v>
      </c>
      <c r="C170" s="21" t="s">
        <v>20</v>
      </c>
      <c r="D170" s="21" t="s">
        <v>22</v>
      </c>
      <c r="E170" s="21" t="s">
        <v>17</v>
      </c>
      <c r="F170" s="21"/>
      <c r="G170" s="24">
        <v>0</v>
      </c>
      <c r="H170" s="24"/>
      <c r="J170" s="21" t="s">
        <v>651</v>
      </c>
      <c r="K170" s="24">
        <v>28156.779999999992</v>
      </c>
    </row>
    <row r="171" spans="1:11" x14ac:dyDescent="0.25">
      <c r="A171" s="78">
        <v>46170</v>
      </c>
      <c r="B171" s="21" t="s">
        <v>46</v>
      </c>
      <c r="C171" s="21" t="s">
        <v>12</v>
      </c>
      <c r="D171" s="21" t="s">
        <v>24</v>
      </c>
      <c r="E171" s="21" t="s">
        <v>17</v>
      </c>
      <c r="F171" s="21" t="s">
        <v>25</v>
      </c>
      <c r="G171" s="24">
        <v>0</v>
      </c>
      <c r="H171" s="24"/>
      <c r="J171" s="21" t="s">
        <v>651</v>
      </c>
      <c r="K171" s="24">
        <v>28156.779999999992</v>
      </c>
    </row>
    <row r="172" spans="1:11" x14ac:dyDescent="0.25">
      <c r="A172" s="78">
        <v>46170</v>
      </c>
      <c r="B172" s="21" t="s">
        <v>676</v>
      </c>
      <c r="C172" s="21" t="s">
        <v>12</v>
      </c>
      <c r="D172" s="21" t="s">
        <v>68</v>
      </c>
      <c r="E172" s="21" t="s">
        <v>17</v>
      </c>
      <c r="F172" s="21" t="s">
        <v>25</v>
      </c>
      <c r="G172" s="24">
        <v>28</v>
      </c>
      <c r="H172" s="24"/>
      <c r="J172" s="21" t="s">
        <v>651</v>
      </c>
      <c r="K172" s="24">
        <v>28128.779999999992</v>
      </c>
    </row>
    <row r="173" spans="1:11" x14ac:dyDescent="0.25">
      <c r="A173" s="78">
        <v>46170</v>
      </c>
      <c r="B173" s="21" t="s">
        <v>348</v>
      </c>
      <c r="C173" s="21" t="s">
        <v>12</v>
      </c>
      <c r="D173" s="21" t="s">
        <v>19</v>
      </c>
      <c r="E173" s="21" t="s">
        <v>14</v>
      </c>
      <c r="F173" s="21"/>
      <c r="G173" s="24">
        <v>141</v>
      </c>
      <c r="H173" s="24"/>
      <c r="J173" s="21" t="s">
        <v>651</v>
      </c>
      <c r="K173" s="24">
        <v>27987.779999999992</v>
      </c>
    </row>
    <row r="174" spans="1:11" x14ac:dyDescent="0.25">
      <c r="A174" s="78">
        <v>46171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2133</v>
      </c>
      <c r="H174" s="24"/>
      <c r="J174" s="21" t="s">
        <v>651</v>
      </c>
      <c r="K174" s="24">
        <v>30120.779999999992</v>
      </c>
    </row>
    <row r="175" spans="1:11" x14ac:dyDescent="0.25">
      <c r="A175" s="78">
        <v>46171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171</v>
      </c>
      <c r="H175" s="24"/>
      <c r="J175" s="21" t="s">
        <v>651</v>
      </c>
      <c r="K175" s="24">
        <v>30291.779999999992</v>
      </c>
    </row>
    <row r="176" spans="1:11" x14ac:dyDescent="0.25">
      <c r="A176" s="78">
        <v>46171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26</v>
      </c>
      <c r="H176" s="24"/>
      <c r="J176" s="21" t="s">
        <v>651</v>
      </c>
      <c r="K176" s="24">
        <v>30265.779999999992</v>
      </c>
    </row>
    <row r="177" spans="1:11" x14ac:dyDescent="0.25">
      <c r="A177" s="78">
        <v>46171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282</v>
      </c>
      <c r="H177" s="24"/>
      <c r="J177" s="21" t="s">
        <v>651</v>
      </c>
      <c r="K177" s="24">
        <v>29983.779999999992</v>
      </c>
    </row>
    <row r="178" spans="1:11" x14ac:dyDescent="0.25">
      <c r="A178" s="78">
        <v>46170</v>
      </c>
      <c r="B178" s="21" t="s">
        <v>561</v>
      </c>
      <c r="C178" s="21" t="s">
        <v>12</v>
      </c>
      <c r="D178" s="21" t="s">
        <v>27</v>
      </c>
      <c r="E178" s="21" t="s">
        <v>17</v>
      </c>
      <c r="F178" s="21" t="s">
        <v>25</v>
      </c>
      <c r="G178" s="24">
        <v>125.35</v>
      </c>
      <c r="H178" s="24"/>
      <c r="J178" s="21" t="s">
        <v>651</v>
      </c>
      <c r="K178" s="24">
        <v>29858.429999999989</v>
      </c>
    </row>
    <row r="179" spans="1:11" x14ac:dyDescent="0.25">
      <c r="A179" s="78">
        <v>46171</v>
      </c>
      <c r="B179" s="21" t="s">
        <v>317</v>
      </c>
      <c r="C179" s="21" t="s">
        <v>12</v>
      </c>
      <c r="D179" s="21" t="s">
        <v>27</v>
      </c>
      <c r="E179" s="21" t="s">
        <v>17</v>
      </c>
      <c r="F179" s="21"/>
      <c r="G179" s="24">
        <v>1400</v>
      </c>
      <c r="H179" s="24"/>
      <c r="J179" s="21" t="s">
        <v>651</v>
      </c>
      <c r="K179" s="24">
        <v>28458.429999999989</v>
      </c>
    </row>
    <row r="180" spans="1:11" x14ac:dyDescent="0.25">
      <c r="A180" s="78">
        <v>46172</v>
      </c>
      <c r="B180" s="21" t="s">
        <v>31</v>
      </c>
      <c r="C180" s="21" t="s">
        <v>20</v>
      </c>
      <c r="D180" s="21" t="s">
        <v>13</v>
      </c>
      <c r="E180" s="21"/>
      <c r="F180" s="21"/>
      <c r="G180" s="24">
        <v>5414</v>
      </c>
      <c r="H180" s="24"/>
      <c r="J180" s="21" t="s">
        <v>651</v>
      </c>
      <c r="K180" s="24">
        <v>33872.429999999993</v>
      </c>
    </row>
    <row r="181" spans="1:11" x14ac:dyDescent="0.25">
      <c r="A181" s="78">
        <v>46172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0</v>
      </c>
      <c r="H181" s="24"/>
      <c r="J181" s="21" t="s">
        <v>651</v>
      </c>
      <c r="K181" s="24">
        <v>33872.429999999993</v>
      </c>
    </row>
    <row r="182" spans="1:11" x14ac:dyDescent="0.25">
      <c r="A182" s="78">
        <v>46172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9</v>
      </c>
      <c r="H182" s="24"/>
      <c r="J182" s="21" t="s">
        <v>651</v>
      </c>
      <c r="K182" s="24">
        <v>33863.429999999993</v>
      </c>
    </row>
    <row r="183" spans="1:11" x14ac:dyDescent="0.25">
      <c r="A183" s="78">
        <v>46173</v>
      </c>
      <c r="B183" s="21" t="s">
        <v>13</v>
      </c>
      <c r="C183" s="21" t="s">
        <v>20</v>
      </c>
      <c r="D183" s="21" t="s">
        <v>13</v>
      </c>
      <c r="E183" s="21"/>
      <c r="F183" s="21"/>
      <c r="G183" s="24">
        <v>4552</v>
      </c>
      <c r="H183" s="24"/>
      <c r="J183" s="21" t="s">
        <v>651</v>
      </c>
      <c r="K183" s="24">
        <v>38415.429999999993</v>
      </c>
    </row>
    <row r="184" spans="1:11" x14ac:dyDescent="0.25">
      <c r="A184" s="78">
        <v>46173</v>
      </c>
      <c r="B184" s="21" t="s">
        <v>21</v>
      </c>
      <c r="C184" s="21" t="s">
        <v>20</v>
      </c>
      <c r="D184" s="21" t="s">
        <v>22</v>
      </c>
      <c r="E184" s="21" t="s">
        <v>17</v>
      </c>
      <c r="F184" s="21"/>
      <c r="G184" s="24">
        <v>230</v>
      </c>
      <c r="H184" s="24"/>
      <c r="J184" s="21" t="s">
        <v>651</v>
      </c>
      <c r="K184" s="24">
        <v>38645.429999999993</v>
      </c>
    </row>
    <row r="185" spans="1:11" x14ac:dyDescent="0.25">
      <c r="A185" s="78">
        <v>46173</v>
      </c>
      <c r="B185" s="21" t="s">
        <v>46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36</v>
      </c>
      <c r="H185" s="24"/>
      <c r="J185" s="21" t="s">
        <v>651</v>
      </c>
      <c r="K185" s="24">
        <v>38609.429999999993</v>
      </c>
    </row>
    <row r="186" spans="1:11" x14ac:dyDescent="0.25">
      <c r="A186" s="78">
        <v>46173</v>
      </c>
      <c r="B186" s="21" t="s">
        <v>34</v>
      </c>
      <c r="C186" s="21" t="s">
        <v>12</v>
      </c>
      <c r="D186" s="21" t="s">
        <v>34</v>
      </c>
      <c r="E186" s="21" t="s">
        <v>14</v>
      </c>
      <c r="F186" s="21" t="s">
        <v>15</v>
      </c>
      <c r="G186" s="24">
        <v>150</v>
      </c>
      <c r="H186" s="24"/>
      <c r="J186" s="21" t="s">
        <v>651</v>
      </c>
      <c r="K186" s="24">
        <v>38459.429999999993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C7EA-A1CE-4D11-B55B-E3F32B9D515B}">
  <dimension ref="A1:E1275"/>
  <sheetViews>
    <sheetView tabSelected="1" workbookViewId="0">
      <selection activeCell="H1214" sqref="H1214"/>
    </sheetView>
  </sheetViews>
  <sheetFormatPr defaultColWidth="12.5703125" defaultRowHeight="15.75" x14ac:dyDescent="0.25"/>
  <cols>
    <col min="1" max="1" width="49.5703125" style="106" bestFit="1" customWidth="1"/>
    <col min="2" max="2" width="12.5703125" style="106"/>
    <col min="3" max="3" width="29.7109375" style="106" bestFit="1" customWidth="1"/>
    <col min="4" max="4" width="12.5703125" style="106"/>
    <col min="5" max="5" width="16.7109375" style="106" customWidth="1"/>
    <col min="6" max="16384" width="12.5703125" style="106"/>
  </cols>
  <sheetData>
    <row r="1" spans="1:5" ht="18.75" x14ac:dyDescent="0.3">
      <c r="A1" s="105" t="s">
        <v>677</v>
      </c>
      <c r="B1" s="105" t="s">
        <v>3</v>
      </c>
      <c r="C1" s="105" t="s">
        <v>998</v>
      </c>
      <c r="D1" s="105" t="s">
        <v>999</v>
      </c>
      <c r="E1" s="105" t="s">
        <v>743</v>
      </c>
    </row>
    <row r="2" spans="1:5" x14ac:dyDescent="0.25">
      <c r="A2" s="107" t="s">
        <v>1000</v>
      </c>
      <c r="B2" s="107" t="s">
        <v>1001</v>
      </c>
      <c r="C2" s="107" t="s">
        <v>737</v>
      </c>
      <c r="D2" s="107" t="s">
        <v>686</v>
      </c>
      <c r="E2" s="108">
        <v>1100</v>
      </c>
    </row>
    <row r="3" spans="1:5" x14ac:dyDescent="0.25">
      <c r="A3" s="107" t="s">
        <v>1000</v>
      </c>
      <c r="B3" s="107" t="s">
        <v>1001</v>
      </c>
      <c r="C3" s="107" t="s">
        <v>692</v>
      </c>
      <c r="D3" s="107" t="s">
        <v>686</v>
      </c>
      <c r="E3" s="108">
        <v>320</v>
      </c>
    </row>
    <row r="4" spans="1:5" x14ac:dyDescent="0.25">
      <c r="A4" s="107" t="s">
        <v>1000</v>
      </c>
      <c r="B4" s="107" t="s">
        <v>1001</v>
      </c>
      <c r="C4" s="107" t="s">
        <v>1002</v>
      </c>
      <c r="D4" s="107" t="s">
        <v>686</v>
      </c>
      <c r="E4" s="108">
        <v>140</v>
      </c>
    </row>
    <row r="5" spans="1:5" x14ac:dyDescent="0.25">
      <c r="A5" s="107" t="s">
        <v>1000</v>
      </c>
      <c r="B5" s="107" t="s">
        <v>1001</v>
      </c>
      <c r="C5" s="107" t="s">
        <v>85</v>
      </c>
      <c r="D5" s="107" t="s">
        <v>686</v>
      </c>
      <c r="E5" s="108">
        <v>80</v>
      </c>
    </row>
    <row r="6" spans="1:5" x14ac:dyDescent="0.25">
      <c r="A6" s="107" t="s">
        <v>1000</v>
      </c>
      <c r="B6" s="107" t="s">
        <v>1001</v>
      </c>
      <c r="C6" s="107" t="s">
        <v>1000</v>
      </c>
      <c r="D6" s="107" t="s">
        <v>686</v>
      </c>
      <c r="E6" s="108">
        <v>2000</v>
      </c>
    </row>
    <row r="7" spans="1:5" x14ac:dyDescent="0.25">
      <c r="A7" s="107" t="s">
        <v>1000</v>
      </c>
      <c r="B7" s="107" t="s">
        <v>1001</v>
      </c>
      <c r="C7" s="107" t="s">
        <v>699</v>
      </c>
      <c r="D7" s="107" t="s">
        <v>686</v>
      </c>
      <c r="E7" s="108">
        <v>320</v>
      </c>
    </row>
    <row r="8" spans="1:5" x14ac:dyDescent="0.25">
      <c r="A8" s="107" t="s">
        <v>1000</v>
      </c>
      <c r="B8" s="107" t="s">
        <v>1001</v>
      </c>
      <c r="C8" s="107" t="s">
        <v>1003</v>
      </c>
      <c r="D8" s="107" t="s">
        <v>686</v>
      </c>
      <c r="E8" s="108">
        <v>40</v>
      </c>
    </row>
    <row r="9" spans="1:5" x14ac:dyDescent="0.25">
      <c r="A9" s="109" t="s">
        <v>1004</v>
      </c>
      <c r="B9" s="109" t="s">
        <v>1001</v>
      </c>
      <c r="C9" s="109" t="s">
        <v>737</v>
      </c>
      <c r="D9" s="109" t="s">
        <v>686</v>
      </c>
      <c r="E9" s="110">
        <v>1085.883514313919</v>
      </c>
    </row>
    <row r="10" spans="1:5" x14ac:dyDescent="0.25">
      <c r="A10" s="109" t="s">
        <v>1004</v>
      </c>
      <c r="B10" s="109" t="s">
        <v>1001</v>
      </c>
      <c r="C10" s="109" t="s">
        <v>692</v>
      </c>
      <c r="D10" s="109" t="s">
        <v>686</v>
      </c>
      <c r="E10" s="110">
        <v>315.893385982231</v>
      </c>
    </row>
    <row r="11" spans="1:5" x14ac:dyDescent="0.25">
      <c r="A11" s="109" t="s">
        <v>1004</v>
      </c>
      <c r="B11" s="109" t="s">
        <v>1001</v>
      </c>
      <c r="C11" s="109" t="s">
        <v>1002</v>
      </c>
      <c r="D11" s="109" t="s">
        <v>686</v>
      </c>
      <c r="E11" s="110">
        <v>138.20335636722606</v>
      </c>
    </row>
    <row r="12" spans="1:5" x14ac:dyDescent="0.25">
      <c r="A12" s="109" t="s">
        <v>1004</v>
      </c>
      <c r="B12" s="109" t="s">
        <v>1001</v>
      </c>
      <c r="C12" s="109" t="s">
        <v>85</v>
      </c>
      <c r="D12" s="109" t="s">
        <v>686</v>
      </c>
      <c r="E12" s="110">
        <v>78.973346495557749</v>
      </c>
    </row>
    <row r="13" spans="1:5" x14ac:dyDescent="0.25">
      <c r="A13" s="109" t="s">
        <v>1004</v>
      </c>
      <c r="B13" s="109" t="s">
        <v>1001</v>
      </c>
      <c r="C13" s="109" t="s">
        <v>1000</v>
      </c>
      <c r="D13" s="109" t="s">
        <v>686</v>
      </c>
      <c r="E13" s="110">
        <v>1974.3336623889438</v>
      </c>
    </row>
    <row r="14" spans="1:5" x14ac:dyDescent="0.25">
      <c r="A14" s="109" t="s">
        <v>1004</v>
      </c>
      <c r="B14" s="109" t="s">
        <v>1001</v>
      </c>
      <c r="C14" s="109" t="s">
        <v>699</v>
      </c>
      <c r="D14" s="109" t="s">
        <v>686</v>
      </c>
      <c r="E14" s="110">
        <v>315.893385982231</v>
      </c>
    </row>
    <row r="15" spans="1:5" x14ac:dyDescent="0.25">
      <c r="A15" s="109" t="s">
        <v>1004</v>
      </c>
      <c r="B15" s="109" t="s">
        <v>1001</v>
      </c>
      <c r="C15" s="109" t="s">
        <v>1003</v>
      </c>
      <c r="D15" s="109" t="s">
        <v>686</v>
      </c>
      <c r="E15" s="110">
        <v>39.486673247778874</v>
      </c>
    </row>
    <row r="16" spans="1:5" x14ac:dyDescent="0.25">
      <c r="A16" s="109" t="s">
        <v>1004</v>
      </c>
      <c r="B16" s="109" t="s">
        <v>1001</v>
      </c>
      <c r="C16" s="109" t="s">
        <v>1005</v>
      </c>
      <c r="D16" s="109" t="s">
        <v>686</v>
      </c>
      <c r="E16" s="110">
        <v>51.332675222112542</v>
      </c>
    </row>
    <row r="17" spans="1:5" x14ac:dyDescent="0.25">
      <c r="A17" s="107" t="s">
        <v>940</v>
      </c>
      <c r="B17" s="107" t="s">
        <v>1001</v>
      </c>
      <c r="C17" s="107" t="s">
        <v>737</v>
      </c>
      <c r="D17" s="107" t="s">
        <v>686</v>
      </c>
      <c r="E17" s="108">
        <v>1067.6435494126636</v>
      </c>
    </row>
    <row r="18" spans="1:5" x14ac:dyDescent="0.25">
      <c r="A18" s="107" t="s">
        <v>940</v>
      </c>
      <c r="B18" s="107" t="s">
        <v>1001</v>
      </c>
      <c r="C18" s="107" t="s">
        <v>692</v>
      </c>
      <c r="D18" s="107" t="s">
        <v>686</v>
      </c>
      <c r="E18" s="108">
        <v>479.83979748883758</v>
      </c>
    </row>
    <row r="19" spans="1:5" x14ac:dyDescent="0.25">
      <c r="A19" s="107" t="s">
        <v>940</v>
      </c>
      <c r="B19" s="107" t="s">
        <v>1001</v>
      </c>
      <c r="C19" s="107" t="s">
        <v>1002</v>
      </c>
      <c r="D19" s="107" t="s">
        <v>686</v>
      </c>
      <c r="E19" s="108">
        <v>133.29416413577866</v>
      </c>
    </row>
    <row r="20" spans="1:5" x14ac:dyDescent="0.25">
      <c r="A20" s="107" t="s">
        <v>940</v>
      </c>
      <c r="B20" s="107" t="s">
        <v>1001</v>
      </c>
      <c r="C20" s="107" t="s">
        <v>85</v>
      </c>
      <c r="D20" s="107" t="s">
        <v>686</v>
      </c>
      <c r="E20" s="108">
        <v>0</v>
      </c>
    </row>
    <row r="21" spans="1:5" x14ac:dyDescent="0.25">
      <c r="A21" s="107" t="s">
        <v>940</v>
      </c>
      <c r="B21" s="107" t="s">
        <v>1001</v>
      </c>
      <c r="C21" s="107" t="s">
        <v>699</v>
      </c>
      <c r="D21" s="107" t="s">
        <v>686</v>
      </c>
      <c r="E21" s="108">
        <v>319.88999942589743</v>
      </c>
    </row>
    <row r="22" spans="1:5" x14ac:dyDescent="0.25">
      <c r="A22" s="107" t="s">
        <v>940</v>
      </c>
      <c r="B22" s="107" t="s">
        <v>1001</v>
      </c>
      <c r="C22" s="107" t="s">
        <v>940</v>
      </c>
      <c r="D22" s="107" t="s">
        <v>686</v>
      </c>
      <c r="E22" s="108">
        <v>1999.3324895368232</v>
      </c>
    </row>
    <row r="23" spans="1:5" x14ac:dyDescent="0.25">
      <c r="A23" s="109" t="s">
        <v>1006</v>
      </c>
      <c r="B23" s="109" t="s">
        <v>1001</v>
      </c>
      <c r="C23" s="109" t="s">
        <v>737</v>
      </c>
      <c r="D23" s="109" t="s">
        <v>686</v>
      </c>
      <c r="E23" s="110">
        <v>2530.8414204328469</v>
      </c>
    </row>
    <row r="24" spans="1:5" x14ac:dyDescent="0.25">
      <c r="A24" s="109" t="s">
        <v>1006</v>
      </c>
      <c r="B24" s="109" t="s">
        <v>1001</v>
      </c>
      <c r="C24" s="109" t="s">
        <v>692</v>
      </c>
      <c r="D24" s="109" t="s">
        <v>686</v>
      </c>
      <c r="E24" s="110">
        <v>1333.7801040701597</v>
      </c>
    </row>
    <row r="25" spans="1:5" x14ac:dyDescent="0.25">
      <c r="A25" s="109" t="s">
        <v>1006</v>
      </c>
      <c r="B25" s="109" t="s">
        <v>1001</v>
      </c>
      <c r="C25" s="109" t="s">
        <v>1002</v>
      </c>
      <c r="D25" s="109" t="s">
        <v>686</v>
      </c>
      <c r="E25" s="110">
        <v>333.45753004971516</v>
      </c>
    </row>
    <row r="26" spans="1:5" x14ac:dyDescent="0.25">
      <c r="A26" s="109" t="s">
        <v>1006</v>
      </c>
      <c r="B26" s="109" t="s">
        <v>1001</v>
      </c>
      <c r="C26" s="109" t="s">
        <v>85</v>
      </c>
      <c r="D26" s="109" t="s">
        <v>686</v>
      </c>
      <c r="E26" s="110">
        <v>0</v>
      </c>
    </row>
    <row r="27" spans="1:5" x14ac:dyDescent="0.25">
      <c r="A27" s="109" t="s">
        <v>1006</v>
      </c>
      <c r="B27" s="109" t="s">
        <v>1001</v>
      </c>
      <c r="C27" s="109" t="s">
        <v>699</v>
      </c>
      <c r="D27" s="109" t="s">
        <v>686</v>
      </c>
      <c r="E27" s="110">
        <v>800.25805921635549</v>
      </c>
    </row>
    <row r="28" spans="1:5" x14ac:dyDescent="0.25">
      <c r="A28" s="109" t="s">
        <v>1006</v>
      </c>
      <c r="B28" s="109" t="s">
        <v>1001</v>
      </c>
      <c r="C28" s="109" t="s">
        <v>1006</v>
      </c>
      <c r="D28" s="109" t="s">
        <v>686</v>
      </c>
      <c r="E28" s="110">
        <v>5001.6628862309226</v>
      </c>
    </row>
    <row r="29" spans="1:5" x14ac:dyDescent="0.25">
      <c r="A29" s="107" t="s">
        <v>1007</v>
      </c>
      <c r="B29" s="107" t="s">
        <v>1001</v>
      </c>
      <c r="C29" s="107" t="s">
        <v>737</v>
      </c>
      <c r="D29" s="107" t="s">
        <v>686</v>
      </c>
      <c r="E29" s="108">
        <v>971.67558991489602</v>
      </c>
    </row>
    <row r="30" spans="1:5" x14ac:dyDescent="0.25">
      <c r="A30" s="107" t="s">
        <v>1007</v>
      </c>
      <c r="B30" s="107" t="s">
        <v>1001</v>
      </c>
      <c r="C30" s="107" t="s">
        <v>692</v>
      </c>
      <c r="D30" s="107" t="s">
        <v>686</v>
      </c>
      <c r="E30" s="108">
        <v>89.969962029157031</v>
      </c>
    </row>
    <row r="31" spans="1:5" x14ac:dyDescent="0.25">
      <c r="A31" s="107" t="s">
        <v>1007</v>
      </c>
      <c r="B31" s="107" t="s">
        <v>1001</v>
      </c>
      <c r="C31" s="107" t="s">
        <v>1002</v>
      </c>
      <c r="D31" s="107" t="s">
        <v>686</v>
      </c>
      <c r="E31" s="108">
        <v>119.96474772220078</v>
      </c>
    </row>
    <row r="32" spans="1:5" x14ac:dyDescent="0.25">
      <c r="A32" s="107" t="s">
        <v>1007</v>
      </c>
      <c r="B32" s="107" t="s">
        <v>1001</v>
      </c>
      <c r="C32" s="107" t="s">
        <v>85</v>
      </c>
      <c r="D32" s="107" t="s">
        <v>686</v>
      </c>
      <c r="E32" s="108">
        <v>107.96395443498844</v>
      </c>
    </row>
    <row r="33" spans="1:5" x14ac:dyDescent="0.25">
      <c r="A33" s="107" t="s">
        <v>1007</v>
      </c>
      <c r="B33" s="107" t="s">
        <v>1001</v>
      </c>
      <c r="C33" s="107" t="s">
        <v>699</v>
      </c>
      <c r="D33" s="107" t="s">
        <v>686</v>
      </c>
      <c r="E33" s="108">
        <v>287.90099948330766</v>
      </c>
    </row>
    <row r="34" spans="1:5" x14ac:dyDescent="0.25">
      <c r="A34" s="107" t="s">
        <v>1007</v>
      </c>
      <c r="B34" s="107" t="s">
        <v>1001</v>
      </c>
      <c r="C34" s="107" t="s">
        <v>1007</v>
      </c>
      <c r="D34" s="107" t="s">
        <v>686</v>
      </c>
      <c r="E34" s="108">
        <v>1439.5193924665125</v>
      </c>
    </row>
    <row r="35" spans="1:5" x14ac:dyDescent="0.25">
      <c r="A35" s="107" t="s">
        <v>1007</v>
      </c>
      <c r="B35" s="107" t="s">
        <v>1001</v>
      </c>
      <c r="C35" s="107" t="s">
        <v>1008</v>
      </c>
      <c r="D35" s="107" t="s">
        <v>686</v>
      </c>
      <c r="E35" s="108">
        <v>583.00535394893757</v>
      </c>
    </row>
    <row r="36" spans="1:5" x14ac:dyDescent="0.25">
      <c r="A36" s="109" t="s">
        <v>1009</v>
      </c>
      <c r="B36" s="109" t="s">
        <v>1001</v>
      </c>
      <c r="C36" s="109" t="s">
        <v>1009</v>
      </c>
      <c r="D36" s="109" t="s">
        <v>686</v>
      </c>
      <c r="E36" s="110">
        <v>2669</v>
      </c>
    </row>
    <row r="37" spans="1:5" x14ac:dyDescent="0.25">
      <c r="A37" s="109" t="s">
        <v>1009</v>
      </c>
      <c r="B37" s="109" t="s">
        <v>1001</v>
      </c>
      <c r="C37" s="109" t="s">
        <v>692</v>
      </c>
      <c r="D37" s="109" t="s">
        <v>686</v>
      </c>
      <c r="E37" s="110">
        <v>176.79999999999998</v>
      </c>
    </row>
    <row r="38" spans="1:5" x14ac:dyDescent="0.25">
      <c r="A38" s="109" t="s">
        <v>1009</v>
      </c>
      <c r="B38" s="109" t="s">
        <v>1001</v>
      </c>
      <c r="C38" s="109" t="s">
        <v>1002</v>
      </c>
      <c r="D38" s="109" t="s">
        <v>686</v>
      </c>
      <c r="E38" s="110">
        <v>119</v>
      </c>
    </row>
    <row r="39" spans="1:5" x14ac:dyDescent="0.25">
      <c r="A39" s="109" t="s">
        <v>1009</v>
      </c>
      <c r="B39" s="109" t="s">
        <v>1001</v>
      </c>
      <c r="C39" s="109" t="s">
        <v>85</v>
      </c>
      <c r="D39" s="109" t="s">
        <v>686</v>
      </c>
      <c r="E39" s="110">
        <v>78.2</v>
      </c>
    </row>
    <row r="40" spans="1:5" x14ac:dyDescent="0.25">
      <c r="A40" s="109" t="s">
        <v>1009</v>
      </c>
      <c r="B40" s="109" t="s">
        <v>1001</v>
      </c>
      <c r="C40" s="109" t="s">
        <v>699</v>
      </c>
      <c r="D40" s="109" t="s">
        <v>686</v>
      </c>
      <c r="E40" s="110">
        <v>306</v>
      </c>
    </row>
    <row r="41" spans="1:5" x14ac:dyDescent="0.25">
      <c r="A41" s="109" t="s">
        <v>1009</v>
      </c>
      <c r="B41" s="109" t="s">
        <v>1001</v>
      </c>
      <c r="C41" s="109" t="s">
        <v>1003</v>
      </c>
      <c r="D41" s="109" t="s">
        <v>686</v>
      </c>
      <c r="E41" s="110">
        <v>51</v>
      </c>
    </row>
    <row r="42" spans="1:5" x14ac:dyDescent="0.25">
      <c r="A42" s="107" t="s">
        <v>1010</v>
      </c>
      <c r="B42" s="107" t="s">
        <v>1001</v>
      </c>
      <c r="C42" s="107" t="s">
        <v>737</v>
      </c>
      <c r="D42" s="107" t="s">
        <v>686</v>
      </c>
      <c r="E42" s="107">
        <v>4185</v>
      </c>
    </row>
    <row r="43" spans="1:5" x14ac:dyDescent="0.25">
      <c r="A43" s="107" t="s">
        <v>1010</v>
      </c>
      <c r="B43" s="107" t="s">
        <v>1001</v>
      </c>
      <c r="C43" s="107" t="s">
        <v>692</v>
      </c>
      <c r="D43" s="107" t="s">
        <v>686</v>
      </c>
      <c r="E43" s="107">
        <v>1170</v>
      </c>
    </row>
    <row r="44" spans="1:5" x14ac:dyDescent="0.25">
      <c r="A44" s="107" t="s">
        <v>1010</v>
      </c>
      <c r="B44" s="107" t="s">
        <v>1001</v>
      </c>
      <c r="C44" s="107" t="s">
        <v>1002</v>
      </c>
      <c r="D44" s="107" t="s">
        <v>686</v>
      </c>
      <c r="E44" s="107">
        <v>315</v>
      </c>
    </row>
    <row r="45" spans="1:5" x14ac:dyDescent="0.25">
      <c r="A45" s="107" t="s">
        <v>1010</v>
      </c>
      <c r="B45" s="107" t="s">
        <v>1001</v>
      </c>
      <c r="C45" s="107" t="s">
        <v>1010</v>
      </c>
      <c r="D45" s="107" t="s">
        <v>686</v>
      </c>
      <c r="E45" s="107">
        <v>2250</v>
      </c>
    </row>
    <row r="46" spans="1:5" x14ac:dyDescent="0.25">
      <c r="A46" s="107" t="s">
        <v>1010</v>
      </c>
      <c r="B46" s="107" t="s">
        <v>1001</v>
      </c>
      <c r="C46" s="107" t="s">
        <v>699</v>
      </c>
      <c r="D46" s="107" t="s">
        <v>686</v>
      </c>
      <c r="E46" s="107">
        <v>900</v>
      </c>
    </row>
    <row r="47" spans="1:5" x14ac:dyDescent="0.25">
      <c r="A47" s="107" t="s">
        <v>1010</v>
      </c>
      <c r="B47" s="107" t="s">
        <v>1001</v>
      </c>
      <c r="C47" s="107" t="s">
        <v>1003</v>
      </c>
      <c r="D47" s="107" t="s">
        <v>686</v>
      </c>
      <c r="E47" s="107">
        <v>180</v>
      </c>
    </row>
    <row r="48" spans="1:5" x14ac:dyDescent="0.25">
      <c r="A48" s="109" t="s">
        <v>1011</v>
      </c>
      <c r="B48" s="109" t="s">
        <v>1001</v>
      </c>
      <c r="C48" s="109" t="s">
        <v>737</v>
      </c>
      <c r="D48" s="109" t="s">
        <v>686</v>
      </c>
      <c r="E48" s="109">
        <v>1040</v>
      </c>
    </row>
    <row r="49" spans="1:5" x14ac:dyDescent="0.25">
      <c r="A49" s="109" t="s">
        <v>1011</v>
      </c>
      <c r="B49" s="109" t="s">
        <v>1001</v>
      </c>
      <c r="C49" s="109" t="s">
        <v>692</v>
      </c>
      <c r="D49" s="109" t="s">
        <v>686</v>
      </c>
      <c r="E49" s="109">
        <v>448</v>
      </c>
    </row>
    <row r="50" spans="1:5" x14ac:dyDescent="0.25">
      <c r="A50" s="109" t="s">
        <v>1011</v>
      </c>
      <c r="B50" s="109" t="s">
        <v>1001</v>
      </c>
      <c r="C50" s="109" t="s">
        <v>1002</v>
      </c>
      <c r="D50" s="109" t="s">
        <v>686</v>
      </c>
      <c r="E50" s="109">
        <v>132</v>
      </c>
    </row>
    <row r="51" spans="1:5" x14ac:dyDescent="0.25">
      <c r="A51" s="109" t="s">
        <v>1011</v>
      </c>
      <c r="B51" s="109" t="s">
        <v>1001</v>
      </c>
      <c r="C51" s="109" t="s">
        <v>85</v>
      </c>
      <c r="D51" s="109" t="s">
        <v>686</v>
      </c>
      <c r="E51" s="109">
        <v>60</v>
      </c>
    </row>
    <row r="52" spans="1:5" x14ac:dyDescent="0.25">
      <c r="A52" s="109" t="s">
        <v>1011</v>
      </c>
      <c r="B52" s="109" t="s">
        <v>1001</v>
      </c>
      <c r="C52" s="109" t="s">
        <v>699</v>
      </c>
      <c r="D52" s="109" t="s">
        <v>686</v>
      </c>
      <c r="E52" s="109">
        <v>320</v>
      </c>
    </row>
    <row r="53" spans="1:5" x14ac:dyDescent="0.25">
      <c r="A53" s="109" t="s">
        <v>1011</v>
      </c>
      <c r="B53" s="109" t="s">
        <v>1001</v>
      </c>
      <c r="C53" s="109" t="s">
        <v>1011</v>
      </c>
      <c r="D53" s="109" t="s">
        <v>686</v>
      </c>
      <c r="E53" s="109">
        <v>2000</v>
      </c>
    </row>
    <row r="54" spans="1:5" x14ac:dyDescent="0.25">
      <c r="A54" s="107" t="s">
        <v>1012</v>
      </c>
      <c r="B54" s="107" t="s">
        <v>1001</v>
      </c>
      <c r="C54" s="107" t="s">
        <v>737</v>
      </c>
      <c r="D54" s="107" t="s">
        <v>686</v>
      </c>
      <c r="E54" s="107">
        <v>980</v>
      </c>
    </row>
    <row r="55" spans="1:5" x14ac:dyDescent="0.25">
      <c r="A55" s="107" t="s">
        <v>1012</v>
      </c>
      <c r="B55" s="107" t="s">
        <v>1001</v>
      </c>
      <c r="C55" s="107" t="s">
        <v>692</v>
      </c>
      <c r="D55" s="107" t="s">
        <v>686</v>
      </c>
      <c r="E55" s="107">
        <v>432</v>
      </c>
    </row>
    <row r="56" spans="1:5" x14ac:dyDescent="0.25">
      <c r="A56" s="107" t="s">
        <v>1012</v>
      </c>
      <c r="B56" s="107" t="s">
        <v>1001</v>
      </c>
      <c r="C56" s="107" t="s">
        <v>1002</v>
      </c>
      <c r="D56" s="107" t="s">
        <v>686</v>
      </c>
      <c r="E56" s="107">
        <v>140</v>
      </c>
    </row>
    <row r="57" spans="1:5" x14ac:dyDescent="0.25">
      <c r="A57" s="107" t="s">
        <v>1012</v>
      </c>
      <c r="B57" s="107" t="s">
        <v>1001</v>
      </c>
      <c r="C57" s="107" t="s">
        <v>85</v>
      </c>
      <c r="D57" s="107" t="s">
        <v>686</v>
      </c>
      <c r="E57" s="107">
        <v>76</v>
      </c>
    </row>
    <row r="58" spans="1:5" x14ac:dyDescent="0.25">
      <c r="A58" s="107" t="s">
        <v>1012</v>
      </c>
      <c r="B58" s="107" t="s">
        <v>1001</v>
      </c>
      <c r="C58" s="107" t="s">
        <v>699</v>
      </c>
      <c r="D58" s="107" t="s">
        <v>686</v>
      </c>
      <c r="E58" s="107">
        <v>372</v>
      </c>
    </row>
    <row r="59" spans="1:5" x14ac:dyDescent="0.25">
      <c r="A59" s="107" t="s">
        <v>1012</v>
      </c>
      <c r="B59" s="107" t="s">
        <v>1001</v>
      </c>
      <c r="C59" s="107" t="s">
        <v>1011</v>
      </c>
      <c r="D59" s="107" t="s">
        <v>686</v>
      </c>
      <c r="E59" s="107">
        <v>1200</v>
      </c>
    </row>
    <row r="60" spans="1:5" x14ac:dyDescent="0.25">
      <c r="A60" s="107" t="s">
        <v>1012</v>
      </c>
      <c r="B60" s="107" t="s">
        <v>1001</v>
      </c>
      <c r="C60" s="107" t="s">
        <v>638</v>
      </c>
      <c r="D60" s="107" t="s">
        <v>686</v>
      </c>
      <c r="E60" s="107">
        <v>800</v>
      </c>
    </row>
    <row r="61" spans="1:5" x14ac:dyDescent="0.25">
      <c r="A61" s="109" t="s">
        <v>638</v>
      </c>
      <c r="B61" s="109" t="s">
        <v>1001</v>
      </c>
      <c r="C61" s="109" t="s">
        <v>737</v>
      </c>
      <c r="D61" s="109" t="s">
        <v>686</v>
      </c>
      <c r="E61" s="109">
        <v>2052</v>
      </c>
    </row>
    <row r="62" spans="1:5" x14ac:dyDescent="0.25">
      <c r="A62" s="109" t="s">
        <v>638</v>
      </c>
      <c r="B62" s="109" t="s">
        <v>1001</v>
      </c>
      <c r="C62" s="109" t="s">
        <v>692</v>
      </c>
      <c r="D62" s="109" t="s">
        <v>686</v>
      </c>
      <c r="E62" s="110">
        <v>763.80000000000007</v>
      </c>
    </row>
    <row r="63" spans="1:5" x14ac:dyDescent="0.25">
      <c r="A63" s="109" t="s">
        <v>638</v>
      </c>
      <c r="B63" s="109" t="s">
        <v>1001</v>
      </c>
      <c r="C63" s="109" t="s">
        <v>1002</v>
      </c>
      <c r="D63" s="109" t="s">
        <v>686</v>
      </c>
      <c r="E63" s="110">
        <v>199.5</v>
      </c>
    </row>
    <row r="64" spans="1:5" x14ac:dyDescent="0.25">
      <c r="A64" s="109" t="s">
        <v>638</v>
      </c>
      <c r="B64" s="109" t="s">
        <v>1001</v>
      </c>
      <c r="C64" s="109" t="s">
        <v>85</v>
      </c>
      <c r="D64" s="109" t="s">
        <v>686</v>
      </c>
      <c r="E64" s="110">
        <v>148.20000000000002</v>
      </c>
    </row>
    <row r="65" spans="1:5" x14ac:dyDescent="0.25">
      <c r="A65" s="109" t="s">
        <v>638</v>
      </c>
      <c r="B65" s="109" t="s">
        <v>1001</v>
      </c>
      <c r="C65" s="109" t="s">
        <v>638</v>
      </c>
      <c r="D65" s="109" t="s">
        <v>686</v>
      </c>
      <c r="E65" s="110">
        <v>1995</v>
      </c>
    </row>
    <row r="66" spans="1:5" x14ac:dyDescent="0.25">
      <c r="A66" s="109" t="s">
        <v>638</v>
      </c>
      <c r="B66" s="109" t="s">
        <v>1001</v>
      </c>
      <c r="C66" s="109" t="s">
        <v>699</v>
      </c>
      <c r="D66" s="109" t="s">
        <v>686</v>
      </c>
      <c r="E66" s="110">
        <v>456</v>
      </c>
    </row>
    <row r="67" spans="1:5" x14ac:dyDescent="0.25">
      <c r="A67" s="109" t="s">
        <v>638</v>
      </c>
      <c r="B67" s="109" t="s">
        <v>1001</v>
      </c>
      <c r="C67" s="109" t="s">
        <v>1013</v>
      </c>
      <c r="D67" s="109" t="s">
        <v>686</v>
      </c>
      <c r="E67" s="110">
        <v>85.5</v>
      </c>
    </row>
    <row r="68" spans="1:5" x14ac:dyDescent="0.25">
      <c r="A68" s="107" t="s">
        <v>1014</v>
      </c>
      <c r="B68" s="107" t="s">
        <v>1001</v>
      </c>
      <c r="C68" s="107" t="s">
        <v>737</v>
      </c>
      <c r="D68" s="107" t="s">
        <v>686</v>
      </c>
      <c r="E68" s="108">
        <v>377.5609756097561</v>
      </c>
    </row>
    <row r="69" spans="1:5" x14ac:dyDescent="0.25">
      <c r="A69" s="107" t="s">
        <v>1014</v>
      </c>
      <c r="B69" s="107" t="s">
        <v>1001</v>
      </c>
      <c r="C69" s="107" t="s">
        <v>692</v>
      </c>
      <c r="D69" s="107" t="s">
        <v>686</v>
      </c>
      <c r="E69" s="108">
        <v>151.21951219512195</v>
      </c>
    </row>
    <row r="70" spans="1:5" x14ac:dyDescent="0.25">
      <c r="A70" s="107" t="s">
        <v>1014</v>
      </c>
      <c r="B70" s="107" t="s">
        <v>1001</v>
      </c>
      <c r="C70" s="107" t="s">
        <v>1002</v>
      </c>
      <c r="D70" s="107" t="s">
        <v>686</v>
      </c>
      <c r="E70" s="108">
        <v>32.195121951219512</v>
      </c>
    </row>
    <row r="71" spans="1:5" x14ac:dyDescent="0.25">
      <c r="A71" s="107" t="s">
        <v>1014</v>
      </c>
      <c r="B71" s="107" t="s">
        <v>1001</v>
      </c>
      <c r="C71" s="107" t="s">
        <v>774</v>
      </c>
      <c r="D71" s="107" t="s">
        <v>686</v>
      </c>
      <c r="E71" s="108">
        <v>390.2439024390244</v>
      </c>
    </row>
    <row r="72" spans="1:5" x14ac:dyDescent="0.25">
      <c r="A72" s="107" t="s">
        <v>1014</v>
      </c>
      <c r="B72" s="107" t="s">
        <v>1001</v>
      </c>
      <c r="C72" s="107" t="s">
        <v>1015</v>
      </c>
      <c r="D72" s="107" t="s">
        <v>686</v>
      </c>
      <c r="E72" s="108">
        <v>29.268292682926827</v>
      </c>
    </row>
    <row r="73" spans="1:5" x14ac:dyDescent="0.25">
      <c r="A73" s="107" t="s">
        <v>1014</v>
      </c>
      <c r="B73" s="107" t="s">
        <v>1001</v>
      </c>
      <c r="C73" s="107" t="s">
        <v>1013</v>
      </c>
      <c r="D73" s="107" t="s">
        <v>686</v>
      </c>
      <c r="E73" s="108">
        <v>19.512195121951219</v>
      </c>
    </row>
    <row r="74" spans="1:5" x14ac:dyDescent="0.25">
      <c r="A74" s="109" t="s">
        <v>297</v>
      </c>
      <c r="B74" s="109" t="s">
        <v>1001</v>
      </c>
      <c r="C74" s="109" t="s">
        <v>737</v>
      </c>
      <c r="D74" s="109" t="s">
        <v>686</v>
      </c>
      <c r="E74" s="110">
        <v>2333.3266667333328</v>
      </c>
    </row>
    <row r="75" spans="1:5" x14ac:dyDescent="0.25">
      <c r="A75" s="109" t="s">
        <v>297</v>
      </c>
      <c r="B75" s="109" t="s">
        <v>1001</v>
      </c>
      <c r="C75" s="109" t="s">
        <v>692</v>
      </c>
      <c r="D75" s="109" t="s">
        <v>686</v>
      </c>
      <c r="E75" s="110">
        <v>1333.3366666333338</v>
      </c>
    </row>
    <row r="76" spans="1:5" x14ac:dyDescent="0.25">
      <c r="A76" s="109" t="s">
        <v>297</v>
      </c>
      <c r="B76" s="109" t="s">
        <v>1001</v>
      </c>
      <c r="C76" s="109" t="s">
        <v>1002</v>
      </c>
      <c r="D76" s="109" t="s">
        <v>686</v>
      </c>
      <c r="E76" s="110">
        <v>333.34666653333471</v>
      </c>
    </row>
    <row r="77" spans="1:5" x14ac:dyDescent="0.25">
      <c r="A77" s="109" t="s">
        <v>297</v>
      </c>
      <c r="B77" s="109" t="s">
        <v>1001</v>
      </c>
      <c r="C77" s="109" t="s">
        <v>85</v>
      </c>
      <c r="D77" s="109" t="s">
        <v>686</v>
      </c>
      <c r="E77" s="110">
        <v>199.99800001999978</v>
      </c>
    </row>
    <row r="78" spans="1:5" x14ac:dyDescent="0.25">
      <c r="A78" s="109" t="s">
        <v>297</v>
      </c>
      <c r="B78" s="109" t="s">
        <v>1001</v>
      </c>
      <c r="C78" s="109" t="s">
        <v>699</v>
      </c>
      <c r="D78" s="109" t="s">
        <v>686</v>
      </c>
      <c r="E78" s="110">
        <v>799.99200007999912</v>
      </c>
    </row>
    <row r="79" spans="1:5" x14ac:dyDescent="0.25">
      <c r="A79" s="109" t="s">
        <v>297</v>
      </c>
      <c r="B79" s="109" t="s">
        <v>1001</v>
      </c>
      <c r="C79" s="109" t="s">
        <v>297</v>
      </c>
      <c r="D79" s="109" t="s">
        <v>686</v>
      </c>
      <c r="E79" s="110">
        <v>5000</v>
      </c>
    </row>
    <row r="80" spans="1:5" x14ac:dyDescent="0.25">
      <c r="A80" s="107" t="s">
        <v>1016</v>
      </c>
      <c r="B80" s="107" t="s">
        <v>1001</v>
      </c>
      <c r="C80" s="107" t="s">
        <v>1009</v>
      </c>
      <c r="D80" s="107" t="s">
        <v>686</v>
      </c>
      <c r="E80" s="108">
        <v>1499.4996669494597</v>
      </c>
    </row>
    <row r="81" spans="1:5" x14ac:dyDescent="0.25">
      <c r="A81" s="107" t="s">
        <v>1016</v>
      </c>
      <c r="B81" s="107" t="s">
        <v>1001</v>
      </c>
      <c r="C81" s="107" t="s">
        <v>692</v>
      </c>
      <c r="D81" s="107" t="s">
        <v>686</v>
      </c>
      <c r="E81" s="108">
        <v>308.89693139158868</v>
      </c>
    </row>
    <row r="82" spans="1:5" x14ac:dyDescent="0.25">
      <c r="A82" s="107" t="s">
        <v>1016</v>
      </c>
      <c r="B82" s="107" t="s">
        <v>1001</v>
      </c>
      <c r="C82" s="107" t="s">
        <v>1002</v>
      </c>
      <c r="D82" s="107" t="s">
        <v>686</v>
      </c>
      <c r="E82" s="108">
        <v>99.970643089089592</v>
      </c>
    </row>
    <row r="83" spans="1:5" x14ac:dyDescent="0.25">
      <c r="A83" s="107" t="s">
        <v>1016</v>
      </c>
      <c r="B83" s="107" t="s">
        <v>1001</v>
      </c>
      <c r="C83" s="107" t="s">
        <v>85</v>
      </c>
      <c r="D83" s="107" t="s">
        <v>686</v>
      </c>
      <c r="E83" s="108">
        <v>59.979386884109537</v>
      </c>
    </row>
    <row r="84" spans="1:5" x14ac:dyDescent="0.25">
      <c r="A84" s="107" t="s">
        <v>1016</v>
      </c>
      <c r="B84" s="107" t="s">
        <v>1001</v>
      </c>
      <c r="C84" s="107" t="s">
        <v>699</v>
      </c>
      <c r="D84" s="107" t="s">
        <v>686</v>
      </c>
      <c r="E84" s="108">
        <v>239.91754753643815</v>
      </c>
    </row>
    <row r="85" spans="1:5" x14ac:dyDescent="0.25">
      <c r="A85" s="107" t="s">
        <v>1016</v>
      </c>
      <c r="B85" s="107" t="s">
        <v>1001</v>
      </c>
      <c r="C85" s="107" t="s">
        <v>297</v>
      </c>
      <c r="D85" s="107" t="s">
        <v>686</v>
      </c>
      <c r="E85" s="108">
        <v>791.73582414931468</v>
      </c>
    </row>
    <row r="86" spans="1:5" x14ac:dyDescent="0.25">
      <c r="A86" s="109" t="s">
        <v>820</v>
      </c>
      <c r="B86" s="109" t="s">
        <v>1001</v>
      </c>
      <c r="C86" s="109" t="s">
        <v>737</v>
      </c>
      <c r="D86" s="109" t="s">
        <v>686</v>
      </c>
      <c r="E86" s="109">
        <v>5750</v>
      </c>
    </row>
    <row r="87" spans="1:5" x14ac:dyDescent="0.25">
      <c r="A87" s="109" t="s">
        <v>820</v>
      </c>
      <c r="B87" s="109" t="s">
        <v>1001</v>
      </c>
      <c r="C87" s="109" t="s">
        <v>1002</v>
      </c>
      <c r="D87" s="109" t="s">
        <v>686</v>
      </c>
      <c r="E87" s="109">
        <v>350</v>
      </c>
    </row>
    <row r="88" spans="1:5" x14ac:dyDescent="0.25">
      <c r="A88" s="109" t="s">
        <v>820</v>
      </c>
      <c r="B88" s="109" t="s">
        <v>1001</v>
      </c>
      <c r="C88" s="109" t="s">
        <v>85</v>
      </c>
      <c r="D88" s="109" t="s">
        <v>686</v>
      </c>
      <c r="E88" s="109">
        <v>1400</v>
      </c>
    </row>
    <row r="89" spans="1:5" x14ac:dyDescent="0.25">
      <c r="A89" s="109" t="s">
        <v>820</v>
      </c>
      <c r="B89" s="109" t="s">
        <v>1001</v>
      </c>
      <c r="C89" s="109" t="s">
        <v>1017</v>
      </c>
      <c r="D89" s="109" t="s">
        <v>686</v>
      </c>
      <c r="E89" s="109">
        <v>700</v>
      </c>
    </row>
    <row r="90" spans="1:5" x14ac:dyDescent="0.25">
      <c r="A90" s="109" t="s">
        <v>820</v>
      </c>
      <c r="B90" s="109" t="s">
        <v>1001</v>
      </c>
      <c r="C90" s="109" t="s">
        <v>699</v>
      </c>
      <c r="D90" s="109" t="s">
        <v>686</v>
      </c>
      <c r="E90" s="109">
        <v>600</v>
      </c>
    </row>
    <row r="91" spans="1:5" x14ac:dyDescent="0.25">
      <c r="A91" s="109" t="s">
        <v>820</v>
      </c>
      <c r="B91" s="109" t="s">
        <v>1001</v>
      </c>
      <c r="C91" s="109" t="s">
        <v>1013</v>
      </c>
      <c r="D91" s="109" t="s">
        <v>686</v>
      </c>
      <c r="E91" s="109">
        <v>200</v>
      </c>
    </row>
    <row r="92" spans="1:5" x14ac:dyDescent="0.25">
      <c r="A92" s="109" t="s">
        <v>820</v>
      </c>
      <c r="B92" s="109" t="s">
        <v>1001</v>
      </c>
      <c r="C92" s="109" t="s">
        <v>1018</v>
      </c>
      <c r="D92" s="109" t="s">
        <v>686</v>
      </c>
      <c r="E92" s="109">
        <v>1000</v>
      </c>
    </row>
    <row r="93" spans="1:5" x14ac:dyDescent="0.25">
      <c r="A93" s="107" t="s">
        <v>1019</v>
      </c>
      <c r="B93" s="107" t="s">
        <v>1001</v>
      </c>
      <c r="C93" s="107" t="s">
        <v>737</v>
      </c>
      <c r="D93" s="107" t="s">
        <v>686</v>
      </c>
      <c r="E93" s="108">
        <v>1308.6325559823115</v>
      </c>
    </row>
    <row r="94" spans="1:5" x14ac:dyDescent="0.25">
      <c r="A94" s="107" t="s">
        <v>1019</v>
      </c>
      <c r="B94" s="107" t="s">
        <v>1001</v>
      </c>
      <c r="C94" s="107" t="s">
        <v>692</v>
      </c>
      <c r="D94" s="107" t="s">
        <v>686</v>
      </c>
      <c r="E94" s="108">
        <v>550.55738601197572</v>
      </c>
    </row>
    <row r="95" spans="1:5" x14ac:dyDescent="0.25">
      <c r="A95" s="107" t="s">
        <v>1019</v>
      </c>
      <c r="B95" s="107" t="s">
        <v>1001</v>
      </c>
      <c r="C95" s="107" t="s">
        <v>1002</v>
      </c>
      <c r="D95" s="107" t="s">
        <v>686</v>
      </c>
      <c r="E95" s="108">
        <v>141.17420720184501</v>
      </c>
    </row>
    <row r="96" spans="1:5" x14ac:dyDescent="0.25">
      <c r="A96" s="107" t="s">
        <v>1019</v>
      </c>
      <c r="B96" s="107" t="s">
        <v>1001</v>
      </c>
      <c r="C96" s="107" t="s">
        <v>85</v>
      </c>
      <c r="D96" s="107" t="s">
        <v>686</v>
      </c>
      <c r="E96" s="108">
        <v>169.40227261906944</v>
      </c>
    </row>
    <row r="97" spans="1:5" x14ac:dyDescent="0.25">
      <c r="A97" s="107" t="s">
        <v>1019</v>
      </c>
      <c r="B97" s="107" t="s">
        <v>1001</v>
      </c>
      <c r="C97" s="107" t="s">
        <v>699</v>
      </c>
      <c r="D97" s="107" t="s">
        <v>686</v>
      </c>
      <c r="E97" s="108">
        <v>338.80454523813887</v>
      </c>
    </row>
    <row r="98" spans="1:5" x14ac:dyDescent="0.25">
      <c r="A98" s="107" t="s">
        <v>1019</v>
      </c>
      <c r="B98" s="107" t="s">
        <v>1001</v>
      </c>
      <c r="C98" s="107" t="s">
        <v>1019</v>
      </c>
      <c r="D98" s="107" t="s">
        <v>686</v>
      </c>
      <c r="E98" s="108">
        <v>1694.0227261906944</v>
      </c>
    </row>
    <row r="99" spans="1:5" x14ac:dyDescent="0.25">
      <c r="A99" s="107" t="s">
        <v>1019</v>
      </c>
      <c r="B99" s="107" t="s">
        <v>1001</v>
      </c>
      <c r="C99" s="107" t="s">
        <v>1020</v>
      </c>
      <c r="D99" s="107" t="s">
        <v>686</v>
      </c>
      <c r="E99" s="108">
        <v>33.880454523813889</v>
      </c>
    </row>
    <row r="100" spans="1:5" x14ac:dyDescent="0.25">
      <c r="A100" s="107" t="s">
        <v>1019</v>
      </c>
      <c r="B100" s="107" t="s">
        <v>1001</v>
      </c>
      <c r="C100" s="107" t="s">
        <v>1013</v>
      </c>
      <c r="D100" s="107" t="s">
        <v>686</v>
      </c>
      <c r="E100" s="108">
        <v>63.525852232151038</v>
      </c>
    </row>
    <row r="101" spans="1:5" x14ac:dyDescent="0.25">
      <c r="A101" s="111" t="s">
        <v>1021</v>
      </c>
      <c r="B101" s="111" t="s">
        <v>684</v>
      </c>
      <c r="C101" s="111" t="s">
        <v>685</v>
      </c>
      <c r="D101" s="111" t="s">
        <v>686</v>
      </c>
      <c r="E101" s="111">
        <v>2400</v>
      </c>
    </row>
    <row r="102" spans="1:5" x14ac:dyDescent="0.25">
      <c r="A102" s="111" t="s">
        <v>1021</v>
      </c>
      <c r="B102" s="111" t="s">
        <v>684</v>
      </c>
      <c r="C102" s="111" t="s">
        <v>737</v>
      </c>
      <c r="D102" s="111" t="s">
        <v>686</v>
      </c>
      <c r="E102" s="111">
        <v>1240</v>
      </c>
    </row>
    <row r="103" spans="1:5" x14ac:dyDescent="0.25">
      <c r="A103" s="111" t="s">
        <v>1021</v>
      </c>
      <c r="B103" s="111" t="s">
        <v>684</v>
      </c>
      <c r="C103" s="111" t="s">
        <v>692</v>
      </c>
      <c r="D103" s="111" t="s">
        <v>686</v>
      </c>
      <c r="E103" s="111">
        <v>680</v>
      </c>
    </row>
    <row r="104" spans="1:5" x14ac:dyDescent="0.25">
      <c r="A104" s="111" t="s">
        <v>1021</v>
      </c>
      <c r="B104" s="111" t="s">
        <v>684</v>
      </c>
      <c r="C104" s="111" t="s">
        <v>85</v>
      </c>
      <c r="D104" s="111" t="s">
        <v>686</v>
      </c>
      <c r="E104" s="111">
        <v>680</v>
      </c>
    </row>
    <row r="105" spans="1:5" x14ac:dyDescent="0.25">
      <c r="A105" s="111" t="s">
        <v>1021</v>
      </c>
      <c r="B105" s="111" t="s">
        <v>684</v>
      </c>
      <c r="C105" s="111" t="s">
        <v>696</v>
      </c>
      <c r="D105" s="111" t="s">
        <v>686</v>
      </c>
      <c r="E105" s="111">
        <v>40</v>
      </c>
    </row>
    <row r="106" spans="1:5" x14ac:dyDescent="0.25">
      <c r="A106" s="111" t="s">
        <v>1021</v>
      </c>
      <c r="B106" s="111" t="s">
        <v>684</v>
      </c>
      <c r="C106" s="111" t="s">
        <v>699</v>
      </c>
      <c r="D106" s="111" t="s">
        <v>686</v>
      </c>
      <c r="E106" s="111">
        <v>320</v>
      </c>
    </row>
    <row r="107" spans="1:5" x14ac:dyDescent="0.25">
      <c r="A107" s="111" t="s">
        <v>1021</v>
      </c>
      <c r="B107" s="111" t="s">
        <v>684</v>
      </c>
      <c r="C107" s="111" t="s">
        <v>701</v>
      </c>
      <c r="D107" s="111" t="s">
        <v>686</v>
      </c>
      <c r="E107" s="111">
        <v>240</v>
      </c>
    </row>
    <row r="108" spans="1:5" x14ac:dyDescent="0.25">
      <c r="A108" s="111" t="s">
        <v>1021</v>
      </c>
      <c r="B108" s="111" t="s">
        <v>684</v>
      </c>
      <c r="C108" s="111" t="s">
        <v>1022</v>
      </c>
      <c r="D108" s="111" t="s">
        <v>686</v>
      </c>
      <c r="E108" s="111">
        <v>2400</v>
      </c>
    </row>
    <row r="109" spans="1:5" x14ac:dyDescent="0.25">
      <c r="A109" s="107" t="s">
        <v>1023</v>
      </c>
      <c r="B109" s="107" t="s">
        <v>684</v>
      </c>
      <c r="C109" s="107" t="s">
        <v>685</v>
      </c>
      <c r="D109" s="107" t="s">
        <v>686</v>
      </c>
      <c r="E109" s="107">
        <v>1520</v>
      </c>
    </row>
    <row r="110" spans="1:5" x14ac:dyDescent="0.25">
      <c r="A110" s="107" t="s">
        <v>1023</v>
      </c>
      <c r="B110" s="107" t="s">
        <v>684</v>
      </c>
      <c r="C110" s="107" t="s">
        <v>689</v>
      </c>
      <c r="D110" s="107" t="s">
        <v>686</v>
      </c>
      <c r="E110" s="107">
        <v>400</v>
      </c>
    </row>
    <row r="111" spans="1:5" x14ac:dyDescent="0.25">
      <c r="A111" s="107" t="s">
        <v>1023</v>
      </c>
      <c r="B111" s="107" t="s">
        <v>684</v>
      </c>
      <c r="C111" s="107" t="s">
        <v>692</v>
      </c>
      <c r="D111" s="107" t="s">
        <v>686</v>
      </c>
      <c r="E111" s="107">
        <v>320</v>
      </c>
    </row>
    <row r="112" spans="1:5" x14ac:dyDescent="0.25">
      <c r="A112" s="107" t="s">
        <v>1023</v>
      </c>
      <c r="B112" s="107" t="s">
        <v>684</v>
      </c>
      <c r="C112" s="107" t="s">
        <v>85</v>
      </c>
      <c r="D112" s="107" t="s">
        <v>686</v>
      </c>
      <c r="E112" s="107">
        <v>120</v>
      </c>
    </row>
    <row r="113" spans="1:5" x14ac:dyDescent="0.25">
      <c r="A113" s="107" t="s">
        <v>1023</v>
      </c>
      <c r="B113" s="107" t="s">
        <v>684</v>
      </c>
      <c r="C113" s="107" t="s">
        <v>696</v>
      </c>
      <c r="D113" s="107" t="s">
        <v>686</v>
      </c>
      <c r="E113" s="107">
        <v>20</v>
      </c>
    </row>
    <row r="114" spans="1:5" x14ac:dyDescent="0.25">
      <c r="A114" s="107" t="s">
        <v>1023</v>
      </c>
      <c r="B114" s="107" t="s">
        <v>684</v>
      </c>
      <c r="C114" s="107" t="s">
        <v>699</v>
      </c>
      <c r="D114" s="107" t="s">
        <v>686</v>
      </c>
      <c r="E114" s="107">
        <v>180</v>
      </c>
    </row>
    <row r="115" spans="1:5" x14ac:dyDescent="0.25">
      <c r="A115" s="107" t="s">
        <v>1023</v>
      </c>
      <c r="B115" s="107" t="s">
        <v>684</v>
      </c>
      <c r="C115" s="107" t="s">
        <v>701</v>
      </c>
      <c r="D115" s="107" t="s">
        <v>686</v>
      </c>
      <c r="E115" s="107">
        <v>120</v>
      </c>
    </row>
    <row r="116" spans="1:5" x14ac:dyDescent="0.25">
      <c r="A116" s="107" t="s">
        <v>1023</v>
      </c>
      <c r="B116" s="107" t="s">
        <v>684</v>
      </c>
      <c r="C116" s="107" t="s">
        <v>1000</v>
      </c>
      <c r="D116" s="107" t="s">
        <v>686</v>
      </c>
      <c r="E116" s="107">
        <v>1320</v>
      </c>
    </row>
    <row r="117" spans="1:5" x14ac:dyDescent="0.25">
      <c r="A117" s="109" t="s">
        <v>1024</v>
      </c>
      <c r="B117" s="111" t="s">
        <v>684</v>
      </c>
      <c r="C117" s="109" t="s">
        <v>685</v>
      </c>
      <c r="D117" s="111" t="s">
        <v>686</v>
      </c>
      <c r="E117" s="109">
        <v>2760</v>
      </c>
    </row>
    <row r="118" spans="1:5" x14ac:dyDescent="0.25">
      <c r="A118" s="109" t="s">
        <v>1024</v>
      </c>
      <c r="B118" s="111" t="s">
        <v>684</v>
      </c>
      <c r="C118" s="109" t="s">
        <v>689</v>
      </c>
      <c r="D118" s="111" t="s">
        <v>686</v>
      </c>
      <c r="E118" s="109">
        <v>320</v>
      </c>
    </row>
    <row r="119" spans="1:5" x14ac:dyDescent="0.25">
      <c r="A119" s="109" t="s">
        <v>1024</v>
      </c>
      <c r="B119" s="111" t="s">
        <v>684</v>
      </c>
      <c r="C119" s="109" t="s">
        <v>692</v>
      </c>
      <c r="D119" s="111" t="s">
        <v>686</v>
      </c>
      <c r="E119" s="109">
        <v>480</v>
      </c>
    </row>
    <row r="120" spans="1:5" x14ac:dyDescent="0.25">
      <c r="A120" s="109" t="s">
        <v>1024</v>
      </c>
      <c r="B120" s="111" t="s">
        <v>684</v>
      </c>
      <c r="C120" s="109" t="s">
        <v>85</v>
      </c>
      <c r="D120" s="111" t="s">
        <v>686</v>
      </c>
      <c r="E120" s="109">
        <v>120</v>
      </c>
    </row>
    <row r="121" spans="1:5" x14ac:dyDescent="0.25">
      <c r="A121" s="109" t="s">
        <v>1024</v>
      </c>
      <c r="B121" s="111" t="s">
        <v>684</v>
      </c>
      <c r="C121" s="109" t="s">
        <v>696</v>
      </c>
      <c r="D121" s="111" t="s">
        <v>686</v>
      </c>
      <c r="E121" s="109">
        <v>20</v>
      </c>
    </row>
    <row r="122" spans="1:5" x14ac:dyDescent="0.25">
      <c r="A122" s="109" t="s">
        <v>1024</v>
      </c>
      <c r="B122" s="111" t="s">
        <v>684</v>
      </c>
      <c r="C122" s="109" t="s">
        <v>699</v>
      </c>
      <c r="D122" s="111" t="s">
        <v>686</v>
      </c>
      <c r="E122" s="109">
        <v>180</v>
      </c>
    </row>
    <row r="123" spans="1:5" x14ac:dyDescent="0.25">
      <c r="A123" s="109" t="s">
        <v>1024</v>
      </c>
      <c r="B123" s="111" t="s">
        <v>684</v>
      </c>
      <c r="C123" s="109" t="s">
        <v>701</v>
      </c>
      <c r="D123" s="111" t="s">
        <v>686</v>
      </c>
      <c r="E123" s="109">
        <v>120</v>
      </c>
    </row>
    <row r="124" spans="1:5" x14ac:dyDescent="0.25">
      <c r="A124" s="109" t="s">
        <v>1024</v>
      </c>
      <c r="B124" s="111" t="s">
        <v>684</v>
      </c>
      <c r="C124" s="109" t="s">
        <v>93</v>
      </c>
      <c r="D124" s="111" t="s">
        <v>686</v>
      </c>
      <c r="E124" s="109">
        <v>320</v>
      </c>
    </row>
    <row r="125" spans="1:5" x14ac:dyDescent="0.25">
      <c r="A125" s="109" t="s">
        <v>1024</v>
      </c>
      <c r="B125" s="111" t="s">
        <v>684</v>
      </c>
      <c r="C125" s="109" t="s">
        <v>139</v>
      </c>
      <c r="D125" s="111" t="s">
        <v>686</v>
      </c>
      <c r="E125" s="109">
        <v>200</v>
      </c>
    </row>
    <row r="126" spans="1:5" x14ac:dyDescent="0.25">
      <c r="A126" s="109" t="s">
        <v>1024</v>
      </c>
      <c r="B126" s="111" t="s">
        <v>684</v>
      </c>
      <c r="C126" s="109" t="s">
        <v>1025</v>
      </c>
      <c r="D126" s="111" t="s">
        <v>686</v>
      </c>
      <c r="E126" s="109">
        <v>200</v>
      </c>
    </row>
    <row r="127" spans="1:5" x14ac:dyDescent="0.25">
      <c r="A127" s="107" t="s">
        <v>1026</v>
      </c>
      <c r="B127" s="107" t="s">
        <v>684</v>
      </c>
      <c r="C127" s="107" t="s">
        <v>685</v>
      </c>
      <c r="D127" s="107" t="s">
        <v>686</v>
      </c>
      <c r="E127" s="107">
        <v>2774</v>
      </c>
    </row>
    <row r="128" spans="1:5" x14ac:dyDescent="0.25">
      <c r="A128" s="107" t="s">
        <v>1026</v>
      </c>
      <c r="B128" s="107" t="s">
        <v>684</v>
      </c>
      <c r="C128" s="107" t="s">
        <v>689</v>
      </c>
      <c r="D128" s="107" t="s">
        <v>686</v>
      </c>
      <c r="E128" s="107">
        <v>160</v>
      </c>
    </row>
    <row r="129" spans="1:5" x14ac:dyDescent="0.25">
      <c r="A129" s="107" t="s">
        <v>1026</v>
      </c>
      <c r="B129" s="107" t="s">
        <v>684</v>
      </c>
      <c r="C129" s="107" t="s">
        <v>692</v>
      </c>
      <c r="D129" s="107" t="s">
        <v>686</v>
      </c>
      <c r="E129" s="107">
        <v>300</v>
      </c>
    </row>
    <row r="130" spans="1:5" x14ac:dyDescent="0.25">
      <c r="A130" s="107" t="s">
        <v>1026</v>
      </c>
      <c r="B130" s="107" t="s">
        <v>684</v>
      </c>
      <c r="C130" s="107" t="s">
        <v>85</v>
      </c>
      <c r="D130" s="107" t="s">
        <v>686</v>
      </c>
      <c r="E130" s="107">
        <v>140</v>
      </c>
    </row>
    <row r="131" spans="1:5" x14ac:dyDescent="0.25">
      <c r="A131" s="107" t="s">
        <v>1026</v>
      </c>
      <c r="B131" s="107" t="s">
        <v>684</v>
      </c>
      <c r="C131" s="107" t="s">
        <v>696</v>
      </c>
      <c r="D131" s="107" t="s">
        <v>686</v>
      </c>
      <c r="E131" s="107">
        <v>20</v>
      </c>
    </row>
    <row r="132" spans="1:5" x14ac:dyDescent="0.25">
      <c r="A132" s="107" t="s">
        <v>1026</v>
      </c>
      <c r="B132" s="107" t="s">
        <v>684</v>
      </c>
      <c r="C132" s="107" t="s">
        <v>699</v>
      </c>
      <c r="D132" s="107" t="s">
        <v>686</v>
      </c>
      <c r="E132" s="107">
        <v>160</v>
      </c>
    </row>
    <row r="133" spans="1:5" x14ac:dyDescent="0.25">
      <c r="A133" s="107" t="s">
        <v>1026</v>
      </c>
      <c r="B133" s="107" t="s">
        <v>684</v>
      </c>
      <c r="C133" s="107" t="s">
        <v>701</v>
      </c>
      <c r="D133" s="107" t="s">
        <v>686</v>
      </c>
      <c r="E133" s="107">
        <v>120</v>
      </c>
    </row>
    <row r="134" spans="1:5" x14ac:dyDescent="0.25">
      <c r="A134" s="107" t="s">
        <v>1026</v>
      </c>
      <c r="B134" s="107" t="s">
        <v>684</v>
      </c>
      <c r="C134" s="107" t="s">
        <v>1027</v>
      </c>
      <c r="D134" s="107" t="s">
        <v>686</v>
      </c>
      <c r="E134" s="107">
        <v>320</v>
      </c>
    </row>
    <row r="135" spans="1:5" x14ac:dyDescent="0.25">
      <c r="A135" s="107" t="s">
        <v>1026</v>
      </c>
      <c r="B135" s="107" t="s">
        <v>684</v>
      </c>
      <c r="C135" s="107" t="s">
        <v>115</v>
      </c>
      <c r="D135" s="107" t="s">
        <v>686</v>
      </c>
      <c r="E135" s="107">
        <v>6</v>
      </c>
    </row>
    <row r="136" spans="1:5" x14ac:dyDescent="0.25">
      <c r="A136" s="107" t="s">
        <v>1026</v>
      </c>
      <c r="B136" s="107" t="s">
        <v>684</v>
      </c>
      <c r="C136" s="107" t="s">
        <v>1028</v>
      </c>
      <c r="D136" s="107" t="s">
        <v>686</v>
      </c>
      <c r="E136" s="107">
        <v>300</v>
      </c>
    </row>
    <row r="137" spans="1:5" x14ac:dyDescent="0.25">
      <c r="A137" s="107" t="s">
        <v>1026</v>
      </c>
      <c r="B137" s="107" t="s">
        <v>684</v>
      </c>
      <c r="C137" s="107" t="s">
        <v>1026</v>
      </c>
      <c r="D137" s="107" t="s">
        <v>686</v>
      </c>
      <c r="E137" s="107">
        <v>80</v>
      </c>
    </row>
    <row r="138" spans="1:5" x14ac:dyDescent="0.25">
      <c r="A138" s="109" t="s">
        <v>1029</v>
      </c>
      <c r="B138" s="111" t="s">
        <v>684</v>
      </c>
      <c r="C138" s="109" t="s">
        <v>685</v>
      </c>
      <c r="D138" s="111" t="s">
        <v>686</v>
      </c>
      <c r="E138" s="110">
        <v>2774.4510978043909</v>
      </c>
    </row>
    <row r="139" spans="1:5" x14ac:dyDescent="0.25">
      <c r="A139" s="109" t="s">
        <v>1029</v>
      </c>
      <c r="B139" s="111" t="s">
        <v>684</v>
      </c>
      <c r="C139" s="109" t="s">
        <v>689</v>
      </c>
      <c r="D139" s="111" t="s">
        <v>686</v>
      </c>
      <c r="E139" s="110">
        <v>39.920159680638719</v>
      </c>
    </row>
    <row r="140" spans="1:5" x14ac:dyDescent="0.25">
      <c r="A140" s="109" t="s">
        <v>1029</v>
      </c>
      <c r="B140" s="111" t="s">
        <v>684</v>
      </c>
      <c r="C140" s="109" t="s">
        <v>692</v>
      </c>
      <c r="D140" s="111" t="s">
        <v>686</v>
      </c>
      <c r="E140" s="110">
        <v>319.36127744510975</v>
      </c>
    </row>
    <row r="141" spans="1:5" x14ac:dyDescent="0.25">
      <c r="A141" s="109" t="s">
        <v>1029</v>
      </c>
      <c r="B141" s="111" t="s">
        <v>684</v>
      </c>
      <c r="C141" s="109" t="s">
        <v>85</v>
      </c>
      <c r="D141" s="111" t="s">
        <v>686</v>
      </c>
      <c r="E141" s="110">
        <v>199.60079840319361</v>
      </c>
    </row>
    <row r="142" spans="1:5" x14ac:dyDescent="0.25">
      <c r="A142" s="109" t="s">
        <v>1029</v>
      </c>
      <c r="B142" s="111" t="s">
        <v>684</v>
      </c>
      <c r="C142" s="109" t="s">
        <v>696</v>
      </c>
      <c r="D142" s="111" t="s">
        <v>686</v>
      </c>
      <c r="E142" s="110">
        <v>19.960079840319359</v>
      </c>
    </row>
    <row r="143" spans="1:5" x14ac:dyDescent="0.25">
      <c r="A143" s="109" t="s">
        <v>1029</v>
      </c>
      <c r="B143" s="111" t="s">
        <v>684</v>
      </c>
      <c r="C143" s="109" t="s">
        <v>699</v>
      </c>
      <c r="D143" s="111" t="s">
        <v>686</v>
      </c>
      <c r="E143" s="110">
        <v>119.76047904191616</v>
      </c>
    </row>
    <row r="144" spans="1:5" x14ac:dyDescent="0.25">
      <c r="A144" s="109" t="s">
        <v>1029</v>
      </c>
      <c r="B144" s="111" t="s">
        <v>684</v>
      </c>
      <c r="C144" s="109" t="s">
        <v>701</v>
      </c>
      <c r="D144" s="111" t="s">
        <v>686</v>
      </c>
      <c r="E144" s="110">
        <v>119.76047904191616</v>
      </c>
    </row>
    <row r="145" spans="1:5" x14ac:dyDescent="0.25">
      <c r="A145" s="109" t="s">
        <v>1029</v>
      </c>
      <c r="B145" s="111" t="s">
        <v>684</v>
      </c>
      <c r="C145" s="109" t="s">
        <v>1030</v>
      </c>
      <c r="D145" s="111" t="s">
        <v>686</v>
      </c>
      <c r="E145" s="110">
        <v>399.20159680638722</v>
      </c>
    </row>
    <row r="146" spans="1:5" x14ac:dyDescent="0.25">
      <c r="A146" s="109" t="s">
        <v>1029</v>
      </c>
      <c r="B146" s="111" t="s">
        <v>684</v>
      </c>
      <c r="C146" s="109" t="s">
        <v>115</v>
      </c>
      <c r="D146" s="111" t="s">
        <v>686</v>
      </c>
      <c r="E146" s="110">
        <v>7.9840319361277441</v>
      </c>
    </row>
    <row r="147" spans="1:5" x14ac:dyDescent="0.25">
      <c r="A147" s="109" t="s">
        <v>1029</v>
      </c>
      <c r="B147" s="111" t="s">
        <v>684</v>
      </c>
      <c r="C147" s="109" t="s">
        <v>216</v>
      </c>
      <c r="D147" s="111" t="s">
        <v>686</v>
      </c>
      <c r="E147" s="109">
        <v>100</v>
      </c>
    </row>
    <row r="148" spans="1:5" x14ac:dyDescent="0.25">
      <c r="A148" s="107" t="s">
        <v>711</v>
      </c>
      <c r="B148" s="107" t="s">
        <v>684</v>
      </c>
      <c r="C148" s="107" t="s">
        <v>685</v>
      </c>
      <c r="D148" s="107" t="s">
        <v>686</v>
      </c>
      <c r="E148" s="108">
        <v>2954.07703851926</v>
      </c>
    </row>
    <row r="149" spans="1:5" x14ac:dyDescent="0.25">
      <c r="A149" s="107" t="s">
        <v>711</v>
      </c>
      <c r="B149" s="107" t="s">
        <v>684</v>
      </c>
      <c r="C149" s="107" t="s">
        <v>689</v>
      </c>
      <c r="D149" s="107" t="s">
        <v>686</v>
      </c>
      <c r="E149" s="108">
        <v>0</v>
      </c>
    </row>
    <row r="150" spans="1:5" x14ac:dyDescent="0.25">
      <c r="A150" s="107" t="s">
        <v>711</v>
      </c>
      <c r="B150" s="107" t="s">
        <v>684</v>
      </c>
      <c r="C150" s="107" t="s">
        <v>692</v>
      </c>
      <c r="D150" s="107" t="s">
        <v>686</v>
      </c>
      <c r="E150" s="108">
        <v>294.1470735367684</v>
      </c>
    </row>
    <row r="151" spans="1:5" x14ac:dyDescent="0.25">
      <c r="A151" s="107" t="s">
        <v>711</v>
      </c>
      <c r="B151" s="107" t="s">
        <v>684</v>
      </c>
      <c r="C151" s="107" t="s">
        <v>85</v>
      </c>
      <c r="D151" s="107" t="s">
        <v>686</v>
      </c>
      <c r="E151" s="108">
        <v>168.08404202101053</v>
      </c>
    </row>
    <row r="152" spans="1:5" x14ac:dyDescent="0.25">
      <c r="A152" s="107" t="s">
        <v>711</v>
      </c>
      <c r="B152" s="107" t="s">
        <v>684</v>
      </c>
      <c r="C152" s="107" t="s">
        <v>696</v>
      </c>
      <c r="D152" s="107" t="s">
        <v>686</v>
      </c>
      <c r="E152" s="108">
        <v>21.010505252626317</v>
      </c>
    </row>
    <row r="153" spans="1:5" x14ac:dyDescent="0.25">
      <c r="A153" s="107" t="s">
        <v>711</v>
      </c>
      <c r="B153" s="107" t="s">
        <v>684</v>
      </c>
      <c r="C153" s="107" t="s">
        <v>699</v>
      </c>
      <c r="D153" s="107" t="s">
        <v>686</v>
      </c>
      <c r="E153" s="108">
        <v>252.12606303151577</v>
      </c>
    </row>
    <row r="154" spans="1:5" x14ac:dyDescent="0.25">
      <c r="A154" s="107" t="s">
        <v>711</v>
      </c>
      <c r="B154" s="107" t="s">
        <v>684</v>
      </c>
      <c r="C154" s="107" t="s">
        <v>701</v>
      </c>
      <c r="D154" s="107" t="s">
        <v>686</v>
      </c>
      <c r="E154" s="108">
        <v>126.06303151575788</v>
      </c>
    </row>
    <row r="155" spans="1:5" x14ac:dyDescent="0.25">
      <c r="A155" s="107" t="s">
        <v>711</v>
      </c>
      <c r="B155" s="107" t="s">
        <v>684</v>
      </c>
      <c r="C155" s="107" t="s">
        <v>715</v>
      </c>
      <c r="D155" s="107" t="s">
        <v>686</v>
      </c>
      <c r="E155" s="108">
        <v>378.18909454727367</v>
      </c>
    </row>
    <row r="156" spans="1:5" x14ac:dyDescent="0.25">
      <c r="A156" s="107" t="s">
        <v>711</v>
      </c>
      <c r="B156" s="107" t="s">
        <v>684</v>
      </c>
      <c r="C156" s="107" t="s">
        <v>115</v>
      </c>
      <c r="D156" s="107" t="s">
        <v>686</v>
      </c>
      <c r="E156" s="108">
        <v>6.3031515757878944</v>
      </c>
    </row>
    <row r="157" spans="1:5" x14ac:dyDescent="0.25">
      <c r="A157" s="107" t="s">
        <v>711</v>
      </c>
      <c r="B157" s="107" t="s">
        <v>684</v>
      </c>
      <c r="C157" s="107" t="s">
        <v>711</v>
      </c>
      <c r="D157" s="107" t="s">
        <v>686</v>
      </c>
      <c r="E157" s="107">
        <v>105</v>
      </c>
    </row>
    <row r="158" spans="1:5" x14ac:dyDescent="0.25">
      <c r="A158" s="109" t="s">
        <v>1031</v>
      </c>
      <c r="B158" s="111" t="s">
        <v>684</v>
      </c>
      <c r="C158" s="109" t="s">
        <v>685</v>
      </c>
      <c r="D158" s="111" t="s">
        <v>686</v>
      </c>
      <c r="E158" s="110">
        <v>1873.9159678938165</v>
      </c>
    </row>
    <row r="159" spans="1:5" x14ac:dyDescent="0.25">
      <c r="A159" s="109" t="s">
        <v>1031</v>
      </c>
      <c r="B159" s="111" t="s">
        <v>684</v>
      </c>
      <c r="C159" s="109" t="s">
        <v>689</v>
      </c>
      <c r="D159" s="111" t="s">
        <v>686</v>
      </c>
      <c r="E159" s="110">
        <v>279.98744450921487</v>
      </c>
    </row>
    <row r="160" spans="1:5" x14ac:dyDescent="0.25">
      <c r="A160" s="109" t="s">
        <v>1031</v>
      </c>
      <c r="B160" s="111" t="s">
        <v>684</v>
      </c>
      <c r="C160" s="109" t="s">
        <v>692</v>
      </c>
      <c r="D160" s="111" t="s">
        <v>686</v>
      </c>
      <c r="E160" s="110">
        <v>358.72830814761676</v>
      </c>
    </row>
    <row r="161" spans="1:5" x14ac:dyDescent="0.25">
      <c r="A161" s="109" t="s">
        <v>1031</v>
      </c>
      <c r="B161" s="111" t="s">
        <v>684</v>
      </c>
      <c r="C161" s="109" t="s">
        <v>85</v>
      </c>
      <c r="D161" s="111" t="s">
        <v>686</v>
      </c>
      <c r="E161" s="110">
        <v>159.99282543383706</v>
      </c>
    </row>
    <row r="162" spans="1:5" x14ac:dyDescent="0.25">
      <c r="A162" s="109" t="s">
        <v>1031</v>
      </c>
      <c r="B162" s="111" t="s">
        <v>684</v>
      </c>
      <c r="C162" s="109" t="s">
        <v>696</v>
      </c>
      <c r="D162" s="111" t="s">
        <v>686</v>
      </c>
      <c r="E162" s="110">
        <v>19.999103179229632</v>
      </c>
    </row>
    <row r="163" spans="1:5" x14ac:dyDescent="0.25">
      <c r="A163" s="109" t="s">
        <v>1031</v>
      </c>
      <c r="B163" s="111" t="s">
        <v>684</v>
      </c>
      <c r="C163" s="109" t="s">
        <v>699</v>
      </c>
      <c r="D163" s="111" t="s">
        <v>686</v>
      </c>
      <c r="E163" s="110">
        <v>161.42773866642753</v>
      </c>
    </row>
    <row r="164" spans="1:5" x14ac:dyDescent="0.25">
      <c r="A164" s="109" t="s">
        <v>1031</v>
      </c>
      <c r="B164" s="111" t="s">
        <v>684</v>
      </c>
      <c r="C164" s="109" t="s">
        <v>701</v>
      </c>
      <c r="D164" s="111" t="s">
        <v>686</v>
      </c>
      <c r="E164" s="110">
        <v>99.995515896148163</v>
      </c>
    </row>
    <row r="165" spans="1:5" x14ac:dyDescent="0.25">
      <c r="A165" s="109" t="s">
        <v>1031</v>
      </c>
      <c r="B165" s="111" t="s">
        <v>684</v>
      </c>
      <c r="C165" s="109" t="s">
        <v>1031</v>
      </c>
      <c r="D165" s="111" t="s">
        <v>686</v>
      </c>
      <c r="E165" s="110">
        <v>599.97309537688898</v>
      </c>
    </row>
    <row r="166" spans="1:5" x14ac:dyDescent="0.25">
      <c r="A166" s="109" t="s">
        <v>1031</v>
      </c>
      <c r="B166" s="111" t="s">
        <v>684</v>
      </c>
      <c r="C166" s="109" t="s">
        <v>737</v>
      </c>
      <c r="D166" s="111" t="s">
        <v>686</v>
      </c>
      <c r="E166" s="110">
        <v>439.98026994305189</v>
      </c>
    </row>
    <row r="167" spans="1:5" x14ac:dyDescent="0.25">
      <c r="A167" s="109" t="s">
        <v>1031</v>
      </c>
      <c r="B167" s="111" t="s">
        <v>684</v>
      </c>
      <c r="C167" s="109" t="s">
        <v>115</v>
      </c>
      <c r="D167" s="111" t="s">
        <v>686</v>
      </c>
      <c r="E167" s="110">
        <v>5.9997309537688892</v>
      </c>
    </row>
    <row r="168" spans="1:5" x14ac:dyDescent="0.25">
      <c r="A168" s="107" t="s">
        <v>1032</v>
      </c>
      <c r="B168" s="107" t="s">
        <v>684</v>
      </c>
      <c r="C168" s="107" t="s">
        <v>685</v>
      </c>
      <c r="D168" s="107" t="s">
        <v>686</v>
      </c>
      <c r="E168" s="108">
        <v>1873.9159678938165</v>
      </c>
    </row>
    <row r="169" spans="1:5" x14ac:dyDescent="0.25">
      <c r="A169" s="107" t="s">
        <v>1032</v>
      </c>
      <c r="B169" s="107" t="s">
        <v>684</v>
      </c>
      <c r="C169" s="107" t="s">
        <v>689</v>
      </c>
      <c r="D169" s="107" t="s">
        <v>686</v>
      </c>
      <c r="E169" s="108">
        <v>279.98744450921487</v>
      </c>
    </row>
    <row r="170" spans="1:5" x14ac:dyDescent="0.25">
      <c r="A170" s="107" t="s">
        <v>1032</v>
      </c>
      <c r="B170" s="107" t="s">
        <v>684</v>
      </c>
      <c r="C170" s="107" t="s">
        <v>692</v>
      </c>
      <c r="D170" s="107" t="s">
        <v>686</v>
      </c>
      <c r="E170" s="108">
        <v>358.72830814761676</v>
      </c>
    </row>
    <row r="171" spans="1:5" x14ac:dyDescent="0.25">
      <c r="A171" s="107" t="s">
        <v>1032</v>
      </c>
      <c r="B171" s="107" t="s">
        <v>684</v>
      </c>
      <c r="C171" s="107" t="s">
        <v>85</v>
      </c>
      <c r="D171" s="107" t="s">
        <v>686</v>
      </c>
      <c r="E171" s="108">
        <v>159.99282543383706</v>
      </c>
    </row>
    <row r="172" spans="1:5" x14ac:dyDescent="0.25">
      <c r="A172" s="107" t="s">
        <v>1032</v>
      </c>
      <c r="B172" s="107" t="s">
        <v>684</v>
      </c>
      <c r="C172" s="107" t="s">
        <v>696</v>
      </c>
      <c r="D172" s="107" t="s">
        <v>686</v>
      </c>
      <c r="E172" s="108">
        <v>19.999103179229632</v>
      </c>
    </row>
    <row r="173" spans="1:5" x14ac:dyDescent="0.25">
      <c r="A173" s="107" t="s">
        <v>1032</v>
      </c>
      <c r="B173" s="107" t="s">
        <v>684</v>
      </c>
      <c r="C173" s="107" t="s">
        <v>699</v>
      </c>
      <c r="D173" s="107" t="s">
        <v>686</v>
      </c>
      <c r="E173" s="108">
        <v>161.42773866642753</v>
      </c>
    </row>
    <row r="174" spans="1:5" x14ac:dyDescent="0.25">
      <c r="A174" s="107" t="s">
        <v>1032</v>
      </c>
      <c r="B174" s="107" t="s">
        <v>684</v>
      </c>
      <c r="C174" s="107" t="s">
        <v>701</v>
      </c>
      <c r="D174" s="107" t="s">
        <v>686</v>
      </c>
      <c r="E174" s="108">
        <v>99.995515896148163</v>
      </c>
    </row>
    <row r="175" spans="1:5" x14ac:dyDescent="0.25">
      <c r="A175" s="107" t="s">
        <v>1032</v>
      </c>
      <c r="B175" s="107" t="s">
        <v>684</v>
      </c>
      <c r="C175" s="107" t="s">
        <v>1031</v>
      </c>
      <c r="D175" s="107" t="s">
        <v>686</v>
      </c>
      <c r="E175" s="108">
        <v>599.97309537688898</v>
      </c>
    </row>
    <row r="176" spans="1:5" x14ac:dyDescent="0.25">
      <c r="A176" s="107" t="s">
        <v>1032</v>
      </c>
      <c r="B176" s="107" t="s">
        <v>684</v>
      </c>
      <c r="C176" s="107" t="s">
        <v>737</v>
      </c>
      <c r="D176" s="107" t="s">
        <v>686</v>
      </c>
      <c r="E176" s="108">
        <v>439.98026994305189</v>
      </c>
    </row>
    <row r="177" spans="1:5" x14ac:dyDescent="0.25">
      <c r="A177" s="107" t="s">
        <v>1032</v>
      </c>
      <c r="B177" s="107" t="s">
        <v>684</v>
      </c>
      <c r="C177" s="107" t="s">
        <v>115</v>
      </c>
      <c r="D177" s="107" t="s">
        <v>686</v>
      </c>
      <c r="E177" s="108">
        <v>5.9997309537688892</v>
      </c>
    </row>
    <row r="178" spans="1:5" x14ac:dyDescent="0.25">
      <c r="A178" s="107" t="s">
        <v>1032</v>
      </c>
      <c r="B178" s="107" t="s">
        <v>684</v>
      </c>
      <c r="C178" s="107" t="s">
        <v>125</v>
      </c>
      <c r="D178" s="107" t="s">
        <v>686</v>
      </c>
      <c r="E178" s="107">
        <v>480</v>
      </c>
    </row>
    <row r="179" spans="1:5" x14ac:dyDescent="0.25">
      <c r="A179" s="109" t="s">
        <v>1033</v>
      </c>
      <c r="B179" s="111" t="s">
        <v>684</v>
      </c>
      <c r="C179" s="109" t="s">
        <v>685</v>
      </c>
      <c r="D179" s="111" t="s">
        <v>686</v>
      </c>
      <c r="E179" s="110">
        <v>1873.9159678938165</v>
      </c>
    </row>
    <row r="180" spans="1:5" x14ac:dyDescent="0.25">
      <c r="A180" s="109" t="s">
        <v>1033</v>
      </c>
      <c r="B180" s="111" t="s">
        <v>684</v>
      </c>
      <c r="C180" s="109" t="s">
        <v>689</v>
      </c>
      <c r="D180" s="111" t="s">
        <v>686</v>
      </c>
      <c r="E180" s="110">
        <v>279.98744450921487</v>
      </c>
    </row>
    <row r="181" spans="1:5" x14ac:dyDescent="0.25">
      <c r="A181" s="109" t="s">
        <v>1033</v>
      </c>
      <c r="B181" s="111" t="s">
        <v>684</v>
      </c>
      <c r="C181" s="109" t="s">
        <v>692</v>
      </c>
      <c r="D181" s="111" t="s">
        <v>686</v>
      </c>
      <c r="E181" s="110">
        <v>358.72830814761676</v>
      </c>
    </row>
    <row r="182" spans="1:5" x14ac:dyDescent="0.25">
      <c r="A182" s="109" t="s">
        <v>1033</v>
      </c>
      <c r="B182" s="111" t="s">
        <v>684</v>
      </c>
      <c r="C182" s="109" t="s">
        <v>85</v>
      </c>
      <c r="D182" s="111" t="s">
        <v>686</v>
      </c>
      <c r="E182" s="110">
        <v>159.99282543383706</v>
      </c>
    </row>
    <row r="183" spans="1:5" x14ac:dyDescent="0.25">
      <c r="A183" s="109" t="s">
        <v>1033</v>
      </c>
      <c r="B183" s="111" t="s">
        <v>684</v>
      </c>
      <c r="C183" s="109" t="s">
        <v>696</v>
      </c>
      <c r="D183" s="111" t="s">
        <v>686</v>
      </c>
      <c r="E183" s="110">
        <v>19.999103179229632</v>
      </c>
    </row>
    <row r="184" spans="1:5" x14ac:dyDescent="0.25">
      <c r="A184" s="109" t="s">
        <v>1033</v>
      </c>
      <c r="B184" s="111" t="s">
        <v>684</v>
      </c>
      <c r="C184" s="109" t="s">
        <v>699</v>
      </c>
      <c r="D184" s="111" t="s">
        <v>686</v>
      </c>
      <c r="E184" s="110">
        <v>161.42773866642753</v>
      </c>
    </row>
    <row r="185" spans="1:5" x14ac:dyDescent="0.25">
      <c r="A185" s="109" t="s">
        <v>1033</v>
      </c>
      <c r="B185" s="111" t="s">
        <v>684</v>
      </c>
      <c r="C185" s="109" t="s">
        <v>701</v>
      </c>
      <c r="D185" s="111" t="s">
        <v>686</v>
      </c>
      <c r="E185" s="110">
        <v>99.995515896148163</v>
      </c>
    </row>
    <row r="186" spans="1:5" x14ac:dyDescent="0.25">
      <c r="A186" s="109" t="s">
        <v>1033</v>
      </c>
      <c r="B186" s="111" t="s">
        <v>684</v>
      </c>
      <c r="C186" s="109" t="s">
        <v>1031</v>
      </c>
      <c r="D186" s="111" t="s">
        <v>686</v>
      </c>
      <c r="E186" s="110">
        <v>599.97309537688898</v>
      </c>
    </row>
    <row r="187" spans="1:5" x14ac:dyDescent="0.25">
      <c r="A187" s="109" t="s">
        <v>1033</v>
      </c>
      <c r="B187" s="111" t="s">
        <v>684</v>
      </c>
      <c r="C187" s="109" t="s">
        <v>737</v>
      </c>
      <c r="D187" s="111" t="s">
        <v>686</v>
      </c>
      <c r="E187" s="110">
        <v>439.98026994305189</v>
      </c>
    </row>
    <row r="188" spans="1:5" x14ac:dyDescent="0.25">
      <c r="A188" s="109" t="s">
        <v>1033</v>
      </c>
      <c r="B188" s="111" t="s">
        <v>684</v>
      </c>
      <c r="C188" s="109" t="s">
        <v>115</v>
      </c>
      <c r="D188" s="111" t="s">
        <v>686</v>
      </c>
      <c r="E188" s="110">
        <v>5.9997309537688892</v>
      </c>
    </row>
    <row r="189" spans="1:5" x14ac:dyDescent="0.25">
      <c r="A189" s="109" t="s">
        <v>1033</v>
      </c>
      <c r="B189" s="111" t="s">
        <v>684</v>
      </c>
      <c r="C189" s="109" t="s">
        <v>1034</v>
      </c>
      <c r="D189" s="111" t="s">
        <v>686</v>
      </c>
      <c r="E189" s="109">
        <v>300</v>
      </c>
    </row>
    <row r="190" spans="1:5" x14ac:dyDescent="0.25">
      <c r="A190" s="109" t="s">
        <v>1033</v>
      </c>
      <c r="B190" s="111" t="s">
        <v>684</v>
      </c>
      <c r="C190" s="109" t="s">
        <v>139</v>
      </c>
      <c r="D190" s="111" t="s">
        <v>686</v>
      </c>
      <c r="E190" s="109">
        <v>100</v>
      </c>
    </row>
    <row r="191" spans="1:5" x14ac:dyDescent="0.25">
      <c r="A191" s="107" t="s">
        <v>1035</v>
      </c>
      <c r="B191" s="107" t="s">
        <v>684</v>
      </c>
      <c r="C191" s="107" t="s">
        <v>685</v>
      </c>
      <c r="D191" s="107" t="s">
        <v>686</v>
      </c>
      <c r="E191" s="108">
        <v>3000</v>
      </c>
    </row>
    <row r="192" spans="1:5" x14ac:dyDescent="0.25">
      <c r="A192" s="107" t="s">
        <v>1035</v>
      </c>
      <c r="B192" s="107" t="s">
        <v>684</v>
      </c>
      <c r="C192" s="107" t="s">
        <v>689</v>
      </c>
      <c r="D192" s="107" t="s">
        <v>686</v>
      </c>
      <c r="E192" s="108">
        <v>342.85714285714283</v>
      </c>
    </row>
    <row r="193" spans="1:5" x14ac:dyDescent="0.25">
      <c r="A193" s="107" t="s">
        <v>1035</v>
      </c>
      <c r="B193" s="107" t="s">
        <v>684</v>
      </c>
      <c r="C193" s="107" t="s">
        <v>692</v>
      </c>
      <c r="D193" s="107" t="s">
        <v>686</v>
      </c>
      <c r="E193" s="108">
        <v>300</v>
      </c>
    </row>
    <row r="194" spans="1:5" x14ac:dyDescent="0.25">
      <c r="A194" s="107" t="s">
        <v>1035</v>
      </c>
      <c r="B194" s="107" t="s">
        <v>684</v>
      </c>
      <c r="C194" s="107" t="s">
        <v>85</v>
      </c>
      <c r="D194" s="107" t="s">
        <v>686</v>
      </c>
      <c r="E194" s="108">
        <v>300</v>
      </c>
    </row>
    <row r="195" spans="1:5" x14ac:dyDescent="0.25">
      <c r="A195" s="107" t="s">
        <v>1035</v>
      </c>
      <c r="B195" s="107" t="s">
        <v>684</v>
      </c>
      <c r="C195" s="107" t="s">
        <v>696</v>
      </c>
      <c r="D195" s="107" t="s">
        <v>686</v>
      </c>
      <c r="E195" s="108">
        <v>21.428571428571427</v>
      </c>
    </row>
    <row r="196" spans="1:5" x14ac:dyDescent="0.25">
      <c r="A196" s="107" t="s">
        <v>1035</v>
      </c>
      <c r="B196" s="107" t="s">
        <v>684</v>
      </c>
      <c r="C196" s="107" t="s">
        <v>699</v>
      </c>
      <c r="D196" s="107" t="s">
        <v>686</v>
      </c>
      <c r="E196" s="108">
        <v>192.85714285714286</v>
      </c>
    </row>
    <row r="197" spans="1:5" x14ac:dyDescent="0.25">
      <c r="A197" s="107" t="s">
        <v>1035</v>
      </c>
      <c r="B197" s="107" t="s">
        <v>684</v>
      </c>
      <c r="C197" s="107" t="s">
        <v>701</v>
      </c>
      <c r="D197" s="107" t="s">
        <v>686</v>
      </c>
      <c r="E197" s="108">
        <v>128.57142857142856</v>
      </c>
    </row>
    <row r="198" spans="1:5" x14ac:dyDescent="0.25">
      <c r="A198" s="107" t="s">
        <v>1035</v>
      </c>
      <c r="B198" s="107" t="s">
        <v>684</v>
      </c>
      <c r="C198" s="107" t="s">
        <v>1036</v>
      </c>
      <c r="D198" s="107" t="s">
        <v>686</v>
      </c>
      <c r="E198" s="108">
        <v>214.28571428571428</v>
      </c>
    </row>
    <row r="199" spans="1:5" x14ac:dyDescent="0.25">
      <c r="A199" s="109" t="s">
        <v>1037</v>
      </c>
      <c r="B199" s="111" t="s">
        <v>684</v>
      </c>
      <c r="C199" s="109" t="s">
        <v>685</v>
      </c>
      <c r="D199" s="111" t="s">
        <v>686</v>
      </c>
      <c r="E199" s="110">
        <v>676.19047619047615</v>
      </c>
    </row>
    <row r="200" spans="1:5" x14ac:dyDescent="0.25">
      <c r="A200" s="109" t="s">
        <v>1037</v>
      </c>
      <c r="B200" s="111" t="s">
        <v>684</v>
      </c>
      <c r="C200" s="109" t="s">
        <v>689</v>
      </c>
      <c r="D200" s="111" t="s">
        <v>686</v>
      </c>
      <c r="E200" s="110">
        <v>76.19047619047619</v>
      </c>
    </row>
    <row r="201" spans="1:5" x14ac:dyDescent="0.25">
      <c r="A201" s="109" t="s">
        <v>1037</v>
      </c>
      <c r="B201" s="111" t="s">
        <v>684</v>
      </c>
      <c r="C201" s="109" t="s">
        <v>692</v>
      </c>
      <c r="D201" s="111" t="s">
        <v>686</v>
      </c>
      <c r="E201" s="110">
        <v>76.19047619047619</v>
      </c>
    </row>
    <row r="202" spans="1:5" x14ac:dyDescent="0.25">
      <c r="A202" s="109" t="s">
        <v>1037</v>
      </c>
      <c r="B202" s="111" t="s">
        <v>684</v>
      </c>
      <c r="C202" s="109" t="s">
        <v>85</v>
      </c>
      <c r="D202" s="111" t="s">
        <v>686</v>
      </c>
      <c r="E202" s="110">
        <v>66.666666666666657</v>
      </c>
    </row>
    <row r="203" spans="1:5" x14ac:dyDescent="0.25">
      <c r="A203" s="109" t="s">
        <v>1037</v>
      </c>
      <c r="B203" s="111" t="s">
        <v>684</v>
      </c>
      <c r="C203" s="109" t="s">
        <v>696</v>
      </c>
      <c r="D203" s="111" t="s">
        <v>686</v>
      </c>
      <c r="E203" s="110">
        <v>4.7619047619047619</v>
      </c>
    </row>
    <row r="204" spans="1:5" x14ac:dyDescent="0.25">
      <c r="A204" s="109" t="s">
        <v>1037</v>
      </c>
      <c r="B204" s="111" t="s">
        <v>684</v>
      </c>
      <c r="C204" s="109" t="s">
        <v>699</v>
      </c>
      <c r="D204" s="111" t="s">
        <v>686</v>
      </c>
      <c r="E204" s="110">
        <v>42.857142857142854</v>
      </c>
    </row>
    <row r="205" spans="1:5" x14ac:dyDescent="0.25">
      <c r="A205" s="109" t="s">
        <v>1037</v>
      </c>
      <c r="B205" s="111" t="s">
        <v>684</v>
      </c>
      <c r="C205" s="109" t="s">
        <v>701</v>
      </c>
      <c r="D205" s="111" t="s">
        <v>686</v>
      </c>
      <c r="E205" s="110">
        <v>28.571428571428569</v>
      </c>
    </row>
    <row r="206" spans="1:5" x14ac:dyDescent="0.25">
      <c r="A206" s="109" t="s">
        <v>1037</v>
      </c>
      <c r="B206" s="111" t="s">
        <v>684</v>
      </c>
      <c r="C206" s="109" t="s">
        <v>1036</v>
      </c>
      <c r="D206" s="111" t="s">
        <v>686</v>
      </c>
      <c r="E206" s="110">
        <v>28.571428571428569</v>
      </c>
    </row>
    <row r="207" spans="1:5" x14ac:dyDescent="0.25">
      <c r="A207" s="109" t="s">
        <v>1037</v>
      </c>
      <c r="B207" s="111" t="s">
        <v>684</v>
      </c>
      <c r="C207" s="109" t="s">
        <v>751</v>
      </c>
      <c r="D207" s="111" t="s">
        <v>686</v>
      </c>
      <c r="E207" s="110">
        <v>100</v>
      </c>
    </row>
    <row r="208" spans="1:5" x14ac:dyDescent="0.25">
      <c r="A208" s="109" t="s">
        <v>1037</v>
      </c>
      <c r="B208" s="111" t="s">
        <v>684</v>
      </c>
      <c r="C208" s="109" t="s">
        <v>1038</v>
      </c>
      <c r="D208" s="111" t="s">
        <v>686</v>
      </c>
      <c r="E208" s="110">
        <v>100</v>
      </c>
    </row>
    <row r="209" spans="1:5" x14ac:dyDescent="0.25">
      <c r="A209" s="107" t="s">
        <v>1039</v>
      </c>
      <c r="B209" s="107" t="s">
        <v>684</v>
      </c>
      <c r="C209" s="107" t="s">
        <v>685</v>
      </c>
      <c r="D209" s="107" t="s">
        <v>686</v>
      </c>
      <c r="E209" s="108">
        <v>2933.3333333333335</v>
      </c>
    </row>
    <row r="210" spans="1:5" x14ac:dyDescent="0.25">
      <c r="A210" s="107" t="s">
        <v>1039</v>
      </c>
      <c r="B210" s="107" t="s">
        <v>684</v>
      </c>
      <c r="C210" s="107" t="s">
        <v>689</v>
      </c>
      <c r="D210" s="107" t="s">
        <v>686</v>
      </c>
      <c r="E210" s="108">
        <v>335.23809523809524</v>
      </c>
    </row>
    <row r="211" spans="1:5" x14ac:dyDescent="0.25">
      <c r="A211" s="107" t="s">
        <v>1039</v>
      </c>
      <c r="B211" s="107" t="s">
        <v>684</v>
      </c>
      <c r="C211" s="107" t="s">
        <v>692</v>
      </c>
      <c r="D211" s="107" t="s">
        <v>686</v>
      </c>
      <c r="E211" s="108">
        <v>293.33333333333337</v>
      </c>
    </row>
    <row r="212" spans="1:5" x14ac:dyDescent="0.25">
      <c r="A212" s="107" t="s">
        <v>1039</v>
      </c>
      <c r="B212" s="107" t="s">
        <v>684</v>
      </c>
      <c r="C212" s="107" t="s">
        <v>85</v>
      </c>
      <c r="D212" s="107" t="s">
        <v>686</v>
      </c>
      <c r="E212" s="108">
        <v>293.33333333333337</v>
      </c>
    </row>
    <row r="213" spans="1:5" x14ac:dyDescent="0.25">
      <c r="A213" s="107" t="s">
        <v>1039</v>
      </c>
      <c r="B213" s="107" t="s">
        <v>684</v>
      </c>
      <c r="C213" s="107" t="s">
        <v>696</v>
      </c>
      <c r="D213" s="107" t="s">
        <v>686</v>
      </c>
      <c r="E213" s="108">
        <v>20.952380952380953</v>
      </c>
    </row>
    <row r="214" spans="1:5" x14ac:dyDescent="0.25">
      <c r="A214" s="107" t="s">
        <v>1039</v>
      </c>
      <c r="B214" s="107" t="s">
        <v>684</v>
      </c>
      <c r="C214" s="107" t="s">
        <v>699</v>
      </c>
      <c r="D214" s="107" t="s">
        <v>686</v>
      </c>
      <c r="E214" s="108">
        <v>188.57142857142858</v>
      </c>
    </row>
    <row r="215" spans="1:5" x14ac:dyDescent="0.25">
      <c r="A215" s="107" t="s">
        <v>1039</v>
      </c>
      <c r="B215" s="107" t="s">
        <v>684</v>
      </c>
      <c r="C215" s="107" t="s">
        <v>701</v>
      </c>
      <c r="D215" s="107" t="s">
        <v>686</v>
      </c>
      <c r="E215" s="108">
        <v>125.71428571428572</v>
      </c>
    </row>
    <row r="216" spans="1:5" x14ac:dyDescent="0.25">
      <c r="A216" s="107" t="s">
        <v>1039</v>
      </c>
      <c r="B216" s="107" t="s">
        <v>684</v>
      </c>
      <c r="C216" s="107" t="s">
        <v>1040</v>
      </c>
      <c r="D216" s="107" t="s">
        <v>686</v>
      </c>
      <c r="E216" s="108">
        <v>209.52380952380955</v>
      </c>
    </row>
    <row r="217" spans="1:5" x14ac:dyDescent="0.25">
      <c r="A217" s="107" t="s">
        <v>1039</v>
      </c>
      <c r="B217" s="107" t="s">
        <v>684</v>
      </c>
      <c r="C217" s="107" t="s">
        <v>719</v>
      </c>
      <c r="D217" s="107" t="s">
        <v>686</v>
      </c>
      <c r="E217" s="108">
        <v>330</v>
      </c>
    </row>
    <row r="218" spans="1:5" x14ac:dyDescent="0.25">
      <c r="A218" s="107" t="s">
        <v>1039</v>
      </c>
      <c r="B218" s="107" t="s">
        <v>684</v>
      </c>
      <c r="C218" s="107" t="s">
        <v>1041</v>
      </c>
      <c r="D218" s="107" t="s">
        <v>686</v>
      </c>
      <c r="E218" s="108">
        <v>220</v>
      </c>
    </row>
    <row r="219" spans="1:5" x14ac:dyDescent="0.25">
      <c r="A219" s="109" t="s">
        <v>1042</v>
      </c>
      <c r="B219" s="111" t="s">
        <v>684</v>
      </c>
      <c r="C219" s="109" t="s">
        <v>685</v>
      </c>
      <c r="D219" s="111" t="s">
        <v>686</v>
      </c>
      <c r="E219" s="110">
        <v>2718.4466019417478</v>
      </c>
    </row>
    <row r="220" spans="1:5" x14ac:dyDescent="0.25">
      <c r="A220" s="109" t="s">
        <v>1042</v>
      </c>
      <c r="B220" s="111" t="s">
        <v>684</v>
      </c>
      <c r="C220" s="109" t="s">
        <v>689</v>
      </c>
      <c r="D220" s="111" t="s">
        <v>686</v>
      </c>
      <c r="E220" s="110">
        <v>310.67961165048541</v>
      </c>
    </row>
    <row r="221" spans="1:5" x14ac:dyDescent="0.25">
      <c r="A221" s="109" t="s">
        <v>1042</v>
      </c>
      <c r="B221" s="111" t="s">
        <v>684</v>
      </c>
      <c r="C221" s="109" t="s">
        <v>692</v>
      </c>
      <c r="D221" s="111" t="s">
        <v>686</v>
      </c>
      <c r="E221" s="110">
        <v>271.84466019417476</v>
      </c>
    </row>
    <row r="222" spans="1:5" x14ac:dyDescent="0.25">
      <c r="A222" s="109" t="s">
        <v>1042</v>
      </c>
      <c r="B222" s="111" t="s">
        <v>684</v>
      </c>
      <c r="C222" s="109" t="s">
        <v>85</v>
      </c>
      <c r="D222" s="111" t="s">
        <v>686</v>
      </c>
      <c r="E222" s="110">
        <v>271.84466019417476</v>
      </c>
    </row>
    <row r="223" spans="1:5" x14ac:dyDescent="0.25">
      <c r="A223" s="109" t="s">
        <v>1042</v>
      </c>
      <c r="B223" s="111" t="s">
        <v>684</v>
      </c>
      <c r="C223" s="109" t="s">
        <v>696</v>
      </c>
      <c r="D223" s="111" t="s">
        <v>686</v>
      </c>
      <c r="E223" s="110">
        <v>19.417475728155338</v>
      </c>
    </row>
    <row r="224" spans="1:5" x14ac:dyDescent="0.25">
      <c r="A224" s="109" t="s">
        <v>1042</v>
      </c>
      <c r="B224" s="111" t="s">
        <v>684</v>
      </c>
      <c r="C224" s="109" t="s">
        <v>699</v>
      </c>
      <c r="D224" s="111" t="s">
        <v>686</v>
      </c>
      <c r="E224" s="110">
        <v>174.75728155339806</v>
      </c>
    </row>
    <row r="225" spans="1:5" x14ac:dyDescent="0.25">
      <c r="A225" s="109" t="s">
        <v>1042</v>
      </c>
      <c r="B225" s="111" t="s">
        <v>684</v>
      </c>
      <c r="C225" s="109" t="s">
        <v>701</v>
      </c>
      <c r="D225" s="111" t="s">
        <v>686</v>
      </c>
      <c r="E225" s="110">
        <v>116.50485436893204</v>
      </c>
    </row>
    <row r="226" spans="1:5" x14ac:dyDescent="0.25">
      <c r="A226" s="109" t="s">
        <v>1042</v>
      </c>
      <c r="B226" s="111" t="s">
        <v>684</v>
      </c>
      <c r="C226" s="109" t="s">
        <v>1040</v>
      </c>
      <c r="D226" s="111" t="s">
        <v>686</v>
      </c>
      <c r="E226" s="110">
        <v>116.50485436893204</v>
      </c>
    </row>
    <row r="227" spans="1:5" x14ac:dyDescent="0.25">
      <c r="A227" s="109" t="s">
        <v>1042</v>
      </c>
      <c r="B227" s="111" t="s">
        <v>684</v>
      </c>
      <c r="C227" s="109" t="s">
        <v>168</v>
      </c>
      <c r="D227" s="111" t="s">
        <v>686</v>
      </c>
      <c r="E227" s="110">
        <v>400</v>
      </c>
    </row>
    <row r="228" spans="1:5" x14ac:dyDescent="0.25">
      <c r="A228" s="109" t="s">
        <v>1042</v>
      </c>
      <c r="B228" s="111" t="s">
        <v>684</v>
      </c>
      <c r="C228" s="109" t="s">
        <v>692</v>
      </c>
      <c r="D228" s="111" t="s">
        <v>686</v>
      </c>
      <c r="E228" s="110">
        <v>400</v>
      </c>
    </row>
    <row r="229" spans="1:5" x14ac:dyDescent="0.25">
      <c r="A229" s="107" t="s">
        <v>1043</v>
      </c>
      <c r="B229" s="107" t="s">
        <v>684</v>
      </c>
      <c r="C229" s="107" t="s">
        <v>685</v>
      </c>
      <c r="D229" s="107" t="s">
        <v>686</v>
      </c>
      <c r="E229" s="108">
        <v>2666.6666666666665</v>
      </c>
    </row>
    <row r="230" spans="1:5" x14ac:dyDescent="0.25">
      <c r="A230" s="107" t="s">
        <v>1043</v>
      </c>
      <c r="B230" s="107" t="s">
        <v>684</v>
      </c>
      <c r="C230" s="107" t="s">
        <v>689</v>
      </c>
      <c r="D230" s="107" t="s">
        <v>686</v>
      </c>
      <c r="E230" s="108">
        <v>304.76190476190476</v>
      </c>
    </row>
    <row r="231" spans="1:5" x14ac:dyDescent="0.25">
      <c r="A231" s="107" t="s">
        <v>1043</v>
      </c>
      <c r="B231" s="107" t="s">
        <v>684</v>
      </c>
      <c r="C231" s="107" t="s">
        <v>692</v>
      </c>
      <c r="D231" s="107" t="s">
        <v>686</v>
      </c>
      <c r="E231" s="108">
        <v>266.66666666666663</v>
      </c>
    </row>
    <row r="232" spans="1:5" x14ac:dyDescent="0.25">
      <c r="A232" s="107" t="s">
        <v>1043</v>
      </c>
      <c r="B232" s="107" t="s">
        <v>684</v>
      </c>
      <c r="C232" s="107" t="s">
        <v>85</v>
      </c>
      <c r="D232" s="107" t="s">
        <v>686</v>
      </c>
      <c r="E232" s="108">
        <v>266.66666666666663</v>
      </c>
    </row>
    <row r="233" spans="1:5" x14ac:dyDescent="0.25">
      <c r="A233" s="107" t="s">
        <v>1043</v>
      </c>
      <c r="B233" s="107" t="s">
        <v>684</v>
      </c>
      <c r="C233" s="107" t="s">
        <v>696</v>
      </c>
      <c r="D233" s="107" t="s">
        <v>686</v>
      </c>
      <c r="E233" s="108">
        <v>19.047619047619047</v>
      </c>
    </row>
    <row r="234" spans="1:5" x14ac:dyDescent="0.25">
      <c r="A234" s="107" t="s">
        <v>1043</v>
      </c>
      <c r="B234" s="107" t="s">
        <v>684</v>
      </c>
      <c r="C234" s="107" t="s">
        <v>699</v>
      </c>
      <c r="D234" s="107" t="s">
        <v>686</v>
      </c>
      <c r="E234" s="108">
        <v>171.42857142857142</v>
      </c>
    </row>
    <row r="235" spans="1:5" x14ac:dyDescent="0.25">
      <c r="A235" s="107" t="s">
        <v>1043</v>
      </c>
      <c r="B235" s="107" t="s">
        <v>684</v>
      </c>
      <c r="C235" s="107" t="s">
        <v>701</v>
      </c>
      <c r="D235" s="107" t="s">
        <v>686</v>
      </c>
      <c r="E235" s="108">
        <v>114.28571428571428</v>
      </c>
    </row>
    <row r="236" spans="1:5" x14ac:dyDescent="0.25">
      <c r="A236" s="107" t="s">
        <v>1043</v>
      </c>
      <c r="B236" s="107" t="s">
        <v>684</v>
      </c>
      <c r="C236" s="107" t="s">
        <v>1036</v>
      </c>
      <c r="D236" s="107" t="s">
        <v>686</v>
      </c>
      <c r="E236" s="108">
        <v>190.47619047619045</v>
      </c>
    </row>
    <row r="237" spans="1:5" x14ac:dyDescent="0.25">
      <c r="A237" s="107" t="s">
        <v>1043</v>
      </c>
      <c r="B237" s="107" t="s">
        <v>684</v>
      </c>
      <c r="C237" s="107" t="s">
        <v>716</v>
      </c>
      <c r="D237" s="107" t="s">
        <v>686</v>
      </c>
      <c r="E237" s="108">
        <v>300</v>
      </c>
    </row>
    <row r="238" spans="1:5" x14ac:dyDescent="0.25">
      <c r="A238" s="107" t="s">
        <v>1043</v>
      </c>
      <c r="B238" s="107" t="s">
        <v>684</v>
      </c>
      <c r="C238" s="107" t="s">
        <v>1044</v>
      </c>
      <c r="D238" s="107" t="s">
        <v>686</v>
      </c>
      <c r="E238" s="108">
        <v>160</v>
      </c>
    </row>
    <row r="239" spans="1:5" x14ac:dyDescent="0.25">
      <c r="A239" s="109" t="s">
        <v>1045</v>
      </c>
      <c r="B239" s="111" t="s">
        <v>684</v>
      </c>
      <c r="C239" s="109" t="s">
        <v>685</v>
      </c>
      <c r="D239" s="111" t="s">
        <v>686</v>
      </c>
      <c r="E239" s="110">
        <v>2816</v>
      </c>
    </row>
    <row r="240" spans="1:5" x14ac:dyDescent="0.25">
      <c r="A240" s="109" t="s">
        <v>1045</v>
      </c>
      <c r="B240" s="111" t="s">
        <v>684</v>
      </c>
      <c r="C240" s="109" t="s">
        <v>696</v>
      </c>
      <c r="D240" s="111" t="s">
        <v>686</v>
      </c>
      <c r="E240" s="110">
        <v>22</v>
      </c>
    </row>
    <row r="241" spans="1:5" x14ac:dyDescent="0.25">
      <c r="A241" s="109" t="s">
        <v>1045</v>
      </c>
      <c r="B241" s="111" t="s">
        <v>684</v>
      </c>
      <c r="C241" s="109" t="s">
        <v>699</v>
      </c>
      <c r="D241" s="111" t="s">
        <v>686</v>
      </c>
      <c r="E241" s="110">
        <v>198.00000000000003</v>
      </c>
    </row>
    <row r="242" spans="1:5" x14ac:dyDescent="0.25">
      <c r="A242" s="109" t="s">
        <v>1045</v>
      </c>
      <c r="B242" s="111" t="s">
        <v>684</v>
      </c>
      <c r="C242" s="109" t="s">
        <v>701</v>
      </c>
      <c r="D242" s="111" t="s">
        <v>686</v>
      </c>
      <c r="E242" s="110">
        <v>132</v>
      </c>
    </row>
    <row r="243" spans="1:5" x14ac:dyDescent="0.25">
      <c r="A243" s="109" t="s">
        <v>1045</v>
      </c>
      <c r="B243" s="111" t="s">
        <v>684</v>
      </c>
      <c r="C243" s="109" t="s">
        <v>162</v>
      </c>
      <c r="D243" s="111" t="s">
        <v>686</v>
      </c>
      <c r="E243" s="110">
        <v>1012.0000000000001</v>
      </c>
    </row>
    <row r="244" spans="1:5" x14ac:dyDescent="0.25">
      <c r="A244" s="109" t="s">
        <v>1045</v>
      </c>
      <c r="B244" s="111" t="s">
        <v>684</v>
      </c>
      <c r="C244" s="109" t="s">
        <v>692</v>
      </c>
      <c r="D244" s="111" t="s">
        <v>686</v>
      </c>
      <c r="E244" s="110">
        <v>220.00000000000003</v>
      </c>
    </row>
    <row r="245" spans="1:5" x14ac:dyDescent="0.25">
      <c r="A245" s="109" t="s">
        <v>1045</v>
      </c>
      <c r="B245" s="111" t="s">
        <v>684</v>
      </c>
      <c r="C245" s="109" t="s">
        <v>1046</v>
      </c>
      <c r="D245" s="111" t="s">
        <v>686</v>
      </c>
      <c r="E245" s="110">
        <v>176</v>
      </c>
    </row>
    <row r="246" spans="1:5" x14ac:dyDescent="0.25">
      <c r="A246" s="109" t="s">
        <v>1045</v>
      </c>
      <c r="B246" s="111" t="s">
        <v>684</v>
      </c>
      <c r="C246" s="109" t="s">
        <v>162</v>
      </c>
      <c r="D246" s="111" t="s">
        <v>686</v>
      </c>
      <c r="E246" s="110">
        <v>880</v>
      </c>
    </row>
    <row r="247" spans="1:5" x14ac:dyDescent="0.25">
      <c r="A247" s="109" t="s">
        <v>1045</v>
      </c>
      <c r="B247" s="111" t="s">
        <v>684</v>
      </c>
      <c r="C247" s="109" t="s">
        <v>104</v>
      </c>
      <c r="D247" s="111" t="s">
        <v>686</v>
      </c>
      <c r="E247" s="110">
        <v>220</v>
      </c>
    </row>
    <row r="248" spans="1:5" x14ac:dyDescent="0.25">
      <c r="A248" s="109" t="s">
        <v>1045</v>
      </c>
      <c r="B248" s="111" t="s">
        <v>684</v>
      </c>
      <c r="C248" s="109" t="s">
        <v>1047</v>
      </c>
      <c r="D248" s="111" t="s">
        <v>686</v>
      </c>
      <c r="E248" s="110">
        <v>330</v>
      </c>
    </row>
    <row r="249" spans="1:5" x14ac:dyDescent="0.25">
      <c r="A249" s="107" t="s">
        <v>1048</v>
      </c>
      <c r="B249" s="107" t="s">
        <v>684</v>
      </c>
      <c r="C249" s="107" t="s">
        <v>685</v>
      </c>
      <c r="D249" s="107" t="s">
        <v>686</v>
      </c>
      <c r="E249" s="108">
        <v>2080</v>
      </c>
    </row>
    <row r="250" spans="1:5" x14ac:dyDescent="0.25">
      <c r="A250" s="107" t="s">
        <v>1048</v>
      </c>
      <c r="B250" s="107" t="s">
        <v>684</v>
      </c>
      <c r="C250" s="107" t="s">
        <v>689</v>
      </c>
      <c r="D250" s="107" t="s">
        <v>686</v>
      </c>
      <c r="E250" s="108">
        <v>252</v>
      </c>
    </row>
    <row r="251" spans="1:5" x14ac:dyDescent="0.25">
      <c r="A251" s="107" t="s">
        <v>1048</v>
      </c>
      <c r="B251" s="107" t="s">
        <v>684</v>
      </c>
      <c r="C251" s="107" t="s">
        <v>692</v>
      </c>
      <c r="D251" s="107" t="s">
        <v>686</v>
      </c>
      <c r="E251" s="108">
        <v>512</v>
      </c>
    </row>
    <row r="252" spans="1:5" x14ac:dyDescent="0.25">
      <c r="A252" s="107" t="s">
        <v>1048</v>
      </c>
      <c r="B252" s="107" t="s">
        <v>684</v>
      </c>
      <c r="C252" s="107" t="s">
        <v>85</v>
      </c>
      <c r="D252" s="107" t="s">
        <v>686</v>
      </c>
      <c r="E252" s="108">
        <v>96</v>
      </c>
    </row>
    <row r="253" spans="1:5" x14ac:dyDescent="0.25">
      <c r="A253" s="107" t="s">
        <v>1048</v>
      </c>
      <c r="B253" s="107" t="s">
        <v>684</v>
      </c>
      <c r="C253" s="107" t="s">
        <v>696</v>
      </c>
      <c r="D253" s="107" t="s">
        <v>686</v>
      </c>
      <c r="E253" s="108">
        <v>20</v>
      </c>
    </row>
    <row r="254" spans="1:5" x14ac:dyDescent="0.25">
      <c r="A254" s="107" t="s">
        <v>1048</v>
      </c>
      <c r="B254" s="107" t="s">
        <v>684</v>
      </c>
      <c r="C254" s="107" t="s">
        <v>699</v>
      </c>
      <c r="D254" s="107" t="s">
        <v>686</v>
      </c>
      <c r="E254" s="108">
        <v>144</v>
      </c>
    </row>
    <row r="255" spans="1:5" x14ac:dyDescent="0.25">
      <c r="A255" s="107" t="s">
        <v>1048</v>
      </c>
      <c r="B255" s="107" t="s">
        <v>684</v>
      </c>
      <c r="C255" s="107" t="s">
        <v>701</v>
      </c>
      <c r="D255" s="107" t="s">
        <v>686</v>
      </c>
      <c r="E255" s="108">
        <v>96</v>
      </c>
    </row>
    <row r="256" spans="1:5" x14ac:dyDescent="0.25">
      <c r="A256" s="107" t="s">
        <v>1048</v>
      </c>
      <c r="B256" s="107" t="s">
        <v>684</v>
      </c>
      <c r="C256" s="107" t="s">
        <v>1049</v>
      </c>
      <c r="D256" s="107" t="s">
        <v>686</v>
      </c>
      <c r="E256" s="108">
        <v>800</v>
      </c>
    </row>
    <row r="257" spans="1:5" x14ac:dyDescent="0.25">
      <c r="A257" s="107" t="s">
        <v>1048</v>
      </c>
      <c r="B257" s="107" t="s">
        <v>684</v>
      </c>
      <c r="C257" s="107" t="s">
        <v>162</v>
      </c>
      <c r="D257" s="107" t="s">
        <v>686</v>
      </c>
      <c r="E257" s="108">
        <v>800</v>
      </c>
    </row>
    <row r="258" spans="1:5" x14ac:dyDescent="0.25">
      <c r="A258" s="107" t="s">
        <v>1048</v>
      </c>
      <c r="B258" s="107" t="s">
        <v>684</v>
      </c>
      <c r="C258" s="107" t="s">
        <v>1050</v>
      </c>
      <c r="D258" s="107" t="s">
        <v>686</v>
      </c>
      <c r="E258" s="108">
        <v>16</v>
      </c>
    </row>
    <row r="259" spans="1:5" x14ac:dyDescent="0.25">
      <c r="A259" s="107" t="s">
        <v>1048</v>
      </c>
      <c r="B259" s="107" t="s">
        <v>684</v>
      </c>
      <c r="C259" s="107" t="s">
        <v>1051</v>
      </c>
      <c r="D259" s="107" t="s">
        <v>686</v>
      </c>
      <c r="E259" s="108">
        <v>16</v>
      </c>
    </row>
    <row r="260" spans="1:5" x14ac:dyDescent="0.25">
      <c r="A260" s="109" t="s">
        <v>1052</v>
      </c>
      <c r="B260" s="111" t="s">
        <v>684</v>
      </c>
      <c r="C260" s="109" t="s">
        <v>685</v>
      </c>
      <c r="D260" s="111" t="s">
        <v>686</v>
      </c>
      <c r="E260" s="110">
        <v>2400</v>
      </c>
    </row>
    <row r="261" spans="1:5" x14ac:dyDescent="0.25">
      <c r="A261" s="109" t="s">
        <v>1052</v>
      </c>
      <c r="B261" s="111" t="s">
        <v>684</v>
      </c>
      <c r="C261" s="109" t="s">
        <v>689</v>
      </c>
      <c r="D261" s="111" t="s">
        <v>686</v>
      </c>
      <c r="E261" s="110">
        <v>160</v>
      </c>
    </row>
    <row r="262" spans="1:5" x14ac:dyDescent="0.25">
      <c r="A262" s="109" t="s">
        <v>1052</v>
      </c>
      <c r="B262" s="111" t="s">
        <v>684</v>
      </c>
      <c r="C262" s="109" t="s">
        <v>692</v>
      </c>
      <c r="D262" s="111" t="s">
        <v>686</v>
      </c>
      <c r="E262" s="110">
        <v>80</v>
      </c>
    </row>
    <row r="263" spans="1:5" x14ac:dyDescent="0.25">
      <c r="A263" s="109" t="s">
        <v>1052</v>
      </c>
      <c r="B263" s="111" t="s">
        <v>684</v>
      </c>
      <c r="C263" s="109" t="s">
        <v>85</v>
      </c>
      <c r="D263" s="111" t="s">
        <v>686</v>
      </c>
      <c r="E263" s="110">
        <v>160</v>
      </c>
    </row>
    <row r="264" spans="1:5" x14ac:dyDescent="0.25">
      <c r="A264" s="109" t="s">
        <v>1052</v>
      </c>
      <c r="B264" s="111" t="s">
        <v>684</v>
      </c>
      <c r="C264" s="109" t="s">
        <v>696</v>
      </c>
      <c r="D264" s="111" t="s">
        <v>686</v>
      </c>
      <c r="E264" s="110">
        <v>20</v>
      </c>
    </row>
    <row r="265" spans="1:5" x14ac:dyDescent="0.25">
      <c r="A265" s="109" t="s">
        <v>1052</v>
      </c>
      <c r="B265" s="111" t="s">
        <v>684</v>
      </c>
      <c r="C265" s="109" t="s">
        <v>699</v>
      </c>
      <c r="D265" s="111" t="s">
        <v>686</v>
      </c>
      <c r="E265" s="110">
        <v>180</v>
      </c>
    </row>
    <row r="266" spans="1:5" x14ac:dyDescent="0.25">
      <c r="A266" s="109" t="s">
        <v>1052</v>
      </c>
      <c r="B266" s="111" t="s">
        <v>684</v>
      </c>
      <c r="C266" s="109" t="s">
        <v>701</v>
      </c>
      <c r="D266" s="111" t="s">
        <v>686</v>
      </c>
      <c r="E266" s="110">
        <v>80</v>
      </c>
    </row>
    <row r="267" spans="1:5" x14ac:dyDescent="0.25">
      <c r="A267" s="109" t="s">
        <v>1052</v>
      </c>
      <c r="B267" s="111" t="s">
        <v>684</v>
      </c>
      <c r="C267" s="109" t="s">
        <v>1017</v>
      </c>
      <c r="D267" s="111" t="s">
        <v>686</v>
      </c>
      <c r="E267" s="110">
        <v>120</v>
      </c>
    </row>
    <row r="268" spans="1:5" x14ac:dyDescent="0.25">
      <c r="A268" s="109" t="s">
        <v>1052</v>
      </c>
      <c r="B268" s="111" t="s">
        <v>684</v>
      </c>
      <c r="C268" s="109" t="s">
        <v>162</v>
      </c>
      <c r="D268" s="111" t="s">
        <v>686</v>
      </c>
      <c r="E268" s="110">
        <v>800</v>
      </c>
    </row>
    <row r="269" spans="1:5" x14ac:dyDescent="0.25">
      <c r="A269" s="109" t="s">
        <v>1052</v>
      </c>
      <c r="B269" s="111" t="s">
        <v>684</v>
      </c>
      <c r="C269" s="109" t="s">
        <v>162</v>
      </c>
      <c r="D269" s="111" t="s">
        <v>686</v>
      </c>
      <c r="E269" s="110">
        <v>800</v>
      </c>
    </row>
    <row r="270" spans="1:5" x14ac:dyDescent="0.25">
      <c r="A270" s="109" t="s">
        <v>1052</v>
      </c>
      <c r="B270" s="111" t="s">
        <v>684</v>
      </c>
      <c r="C270" s="109" t="s">
        <v>1050</v>
      </c>
      <c r="D270" s="111" t="s">
        <v>686</v>
      </c>
      <c r="E270" s="110">
        <v>16</v>
      </c>
    </row>
    <row r="271" spans="1:5" x14ac:dyDescent="0.25">
      <c r="A271" s="109" t="s">
        <v>1052</v>
      </c>
      <c r="B271" s="111" t="s">
        <v>684</v>
      </c>
      <c r="C271" s="109" t="s">
        <v>1051</v>
      </c>
      <c r="D271" s="111" t="s">
        <v>686</v>
      </c>
      <c r="E271" s="110">
        <v>16</v>
      </c>
    </row>
    <row r="272" spans="1:5" x14ac:dyDescent="0.25">
      <c r="A272" s="107" t="s">
        <v>1053</v>
      </c>
      <c r="B272" s="107" t="s">
        <v>684</v>
      </c>
      <c r="C272" s="107" t="s">
        <v>685</v>
      </c>
      <c r="D272" s="107" t="s">
        <v>686</v>
      </c>
      <c r="E272" s="108">
        <v>2580.5245196578003</v>
      </c>
    </row>
    <row r="273" spans="1:5" x14ac:dyDescent="0.25">
      <c r="A273" s="107" t="s">
        <v>1053</v>
      </c>
      <c r="B273" s="107" t="s">
        <v>684</v>
      </c>
      <c r="C273" s="107" t="s">
        <v>689</v>
      </c>
      <c r="D273" s="107" t="s">
        <v>686</v>
      </c>
      <c r="E273" s="108">
        <v>299.19124865597689</v>
      </c>
    </row>
    <row r="274" spans="1:5" x14ac:dyDescent="0.25">
      <c r="A274" s="107" t="s">
        <v>1053</v>
      </c>
      <c r="B274" s="107" t="s">
        <v>684</v>
      </c>
      <c r="C274" s="107" t="s">
        <v>692</v>
      </c>
      <c r="D274" s="107" t="s">
        <v>686</v>
      </c>
      <c r="E274" s="108">
        <v>448.78687298396528</v>
      </c>
    </row>
    <row r="275" spans="1:5" x14ac:dyDescent="0.25">
      <c r="A275" s="107" t="s">
        <v>1053</v>
      </c>
      <c r="B275" s="107" t="s">
        <v>684</v>
      </c>
      <c r="C275" s="107" t="s">
        <v>85</v>
      </c>
      <c r="D275" s="107" t="s">
        <v>686</v>
      </c>
      <c r="E275" s="108">
        <v>112.19671824599132</v>
      </c>
    </row>
    <row r="276" spans="1:5" x14ac:dyDescent="0.25">
      <c r="A276" s="107" t="s">
        <v>1053</v>
      </c>
      <c r="B276" s="107" t="s">
        <v>684</v>
      </c>
      <c r="C276" s="107" t="s">
        <v>696</v>
      </c>
      <c r="D276" s="107" t="s">
        <v>686</v>
      </c>
      <c r="E276" s="108">
        <v>18.699453040998556</v>
      </c>
    </row>
    <row r="277" spans="1:5" x14ac:dyDescent="0.25">
      <c r="A277" s="107" t="s">
        <v>1053</v>
      </c>
      <c r="B277" s="107" t="s">
        <v>684</v>
      </c>
      <c r="C277" s="107" t="s">
        <v>699</v>
      </c>
      <c r="D277" s="107" t="s">
        <v>686</v>
      </c>
      <c r="E277" s="108">
        <v>168.29507736898699</v>
      </c>
    </row>
    <row r="278" spans="1:5" x14ac:dyDescent="0.25">
      <c r="A278" s="107" t="s">
        <v>1053</v>
      </c>
      <c r="B278" s="107" t="s">
        <v>684</v>
      </c>
      <c r="C278" s="107" t="s">
        <v>701</v>
      </c>
      <c r="D278" s="107" t="s">
        <v>686</v>
      </c>
      <c r="E278" s="108">
        <v>112.19671824599132</v>
      </c>
    </row>
    <row r="279" spans="1:5" x14ac:dyDescent="0.25">
      <c r="A279" s="107" t="s">
        <v>1053</v>
      </c>
      <c r="B279" s="107" t="s">
        <v>684</v>
      </c>
      <c r="C279" s="107" t="s">
        <v>1054</v>
      </c>
      <c r="D279" s="107" t="s">
        <v>686</v>
      </c>
      <c r="E279" s="108">
        <v>260.10939180028987</v>
      </c>
    </row>
    <row r="280" spans="1:5" x14ac:dyDescent="0.25">
      <c r="A280" s="107" t="s">
        <v>1053</v>
      </c>
      <c r="B280" s="107" t="s">
        <v>684</v>
      </c>
      <c r="C280" s="107" t="s">
        <v>1055</v>
      </c>
      <c r="D280" s="107" t="s">
        <v>686</v>
      </c>
      <c r="E280" s="108">
        <v>320</v>
      </c>
    </row>
    <row r="281" spans="1:5" x14ac:dyDescent="0.25">
      <c r="A281" s="109" t="s">
        <v>1056</v>
      </c>
      <c r="B281" s="111" t="s">
        <v>684</v>
      </c>
      <c r="C281" s="109" t="s">
        <v>685</v>
      </c>
      <c r="D281" s="111" t="s">
        <v>686</v>
      </c>
      <c r="E281" s="110">
        <v>2579.9214806505888</v>
      </c>
    </row>
    <row r="282" spans="1:5" x14ac:dyDescent="0.25">
      <c r="A282" s="109" t="s">
        <v>1056</v>
      </c>
      <c r="B282" s="111" t="s">
        <v>684</v>
      </c>
      <c r="C282" s="109" t="s">
        <v>689</v>
      </c>
      <c r="D282" s="111" t="s">
        <v>686</v>
      </c>
      <c r="E282" s="110">
        <v>340.06356328285659</v>
      </c>
    </row>
    <row r="283" spans="1:5" x14ac:dyDescent="0.25">
      <c r="A283" s="109" t="s">
        <v>1056</v>
      </c>
      <c r="B283" s="111" t="s">
        <v>684</v>
      </c>
      <c r="C283" s="109" t="s">
        <v>692</v>
      </c>
      <c r="D283" s="111" t="s">
        <v>686</v>
      </c>
      <c r="E283" s="110">
        <v>448.68199663488502</v>
      </c>
    </row>
    <row r="284" spans="1:5" x14ac:dyDescent="0.25">
      <c r="A284" s="109" t="s">
        <v>1056</v>
      </c>
      <c r="B284" s="111" t="s">
        <v>684</v>
      </c>
      <c r="C284" s="109" t="s">
        <v>85</v>
      </c>
      <c r="D284" s="111" t="s">
        <v>686</v>
      </c>
      <c r="E284" s="110">
        <v>112.17049915872126</v>
      </c>
    </row>
    <row r="285" spans="1:5" x14ac:dyDescent="0.25">
      <c r="A285" s="109" t="s">
        <v>1056</v>
      </c>
      <c r="B285" s="111" t="s">
        <v>684</v>
      </c>
      <c r="C285" s="109" t="s">
        <v>696</v>
      </c>
      <c r="D285" s="111" t="s">
        <v>686</v>
      </c>
      <c r="E285" s="110">
        <v>18.695083193120208</v>
      </c>
    </row>
    <row r="286" spans="1:5" x14ac:dyDescent="0.25">
      <c r="A286" s="109" t="s">
        <v>1056</v>
      </c>
      <c r="B286" s="111" t="s">
        <v>684</v>
      </c>
      <c r="C286" s="109" t="s">
        <v>699</v>
      </c>
      <c r="D286" s="111" t="s">
        <v>686</v>
      </c>
      <c r="E286" s="110">
        <v>168.25574873808188</v>
      </c>
    </row>
    <row r="287" spans="1:5" x14ac:dyDescent="0.25">
      <c r="A287" s="109" t="s">
        <v>1056</v>
      </c>
      <c r="B287" s="111" t="s">
        <v>684</v>
      </c>
      <c r="C287" s="109" t="s">
        <v>701</v>
      </c>
      <c r="D287" s="111" t="s">
        <v>686</v>
      </c>
      <c r="E287" s="110">
        <v>112.17049915872126</v>
      </c>
    </row>
    <row r="288" spans="1:5" x14ac:dyDescent="0.25">
      <c r="A288" s="109" t="s">
        <v>1056</v>
      </c>
      <c r="B288" s="111" t="s">
        <v>684</v>
      </c>
      <c r="C288" s="109" t="s">
        <v>1054</v>
      </c>
      <c r="D288" s="111" t="s">
        <v>686</v>
      </c>
      <c r="E288" s="110">
        <v>200.03739016638625</v>
      </c>
    </row>
    <row r="289" spans="1:5" x14ac:dyDescent="0.25">
      <c r="A289" s="109" t="s">
        <v>1056</v>
      </c>
      <c r="B289" s="111" t="s">
        <v>684</v>
      </c>
      <c r="C289" s="109" t="s">
        <v>1057</v>
      </c>
      <c r="D289" s="111" t="s">
        <v>686</v>
      </c>
      <c r="E289" s="110">
        <v>20.003739016638626</v>
      </c>
    </row>
    <row r="290" spans="1:5" x14ac:dyDescent="0.25">
      <c r="A290" s="109" t="s">
        <v>1056</v>
      </c>
      <c r="B290" s="111" t="s">
        <v>684</v>
      </c>
      <c r="C290" s="109" t="s">
        <v>720</v>
      </c>
      <c r="D290" s="111" t="s">
        <v>686</v>
      </c>
      <c r="E290" s="110">
        <v>600</v>
      </c>
    </row>
    <row r="291" spans="1:5" x14ac:dyDescent="0.25">
      <c r="A291" s="107" t="s">
        <v>1058</v>
      </c>
      <c r="B291" s="107" t="s">
        <v>684</v>
      </c>
      <c r="C291" s="107" t="s">
        <v>685</v>
      </c>
      <c r="D291" s="107" t="s">
        <v>686</v>
      </c>
      <c r="E291" s="108">
        <v>2719.2118226600987</v>
      </c>
    </row>
    <row r="292" spans="1:5" x14ac:dyDescent="0.25">
      <c r="A292" s="107" t="s">
        <v>1058</v>
      </c>
      <c r="B292" s="107" t="s">
        <v>684</v>
      </c>
      <c r="C292" s="107" t="s">
        <v>689</v>
      </c>
      <c r="D292" s="107" t="s">
        <v>686</v>
      </c>
      <c r="E292" s="108">
        <v>315.27093596059115</v>
      </c>
    </row>
    <row r="293" spans="1:5" x14ac:dyDescent="0.25">
      <c r="A293" s="107" t="s">
        <v>1058</v>
      </c>
      <c r="B293" s="107" t="s">
        <v>684</v>
      </c>
      <c r="C293" s="107" t="s">
        <v>692</v>
      </c>
      <c r="D293" s="107" t="s">
        <v>686</v>
      </c>
      <c r="E293" s="108">
        <v>472.90640394088672</v>
      </c>
    </row>
    <row r="294" spans="1:5" x14ac:dyDescent="0.25">
      <c r="A294" s="107" t="s">
        <v>1058</v>
      </c>
      <c r="B294" s="107" t="s">
        <v>684</v>
      </c>
      <c r="C294" s="107" t="s">
        <v>85</v>
      </c>
      <c r="D294" s="107" t="s">
        <v>686</v>
      </c>
      <c r="E294" s="108">
        <v>118.22660098522168</v>
      </c>
    </row>
    <row r="295" spans="1:5" x14ac:dyDescent="0.25">
      <c r="A295" s="107" t="s">
        <v>1058</v>
      </c>
      <c r="B295" s="107" t="s">
        <v>684</v>
      </c>
      <c r="C295" s="107" t="s">
        <v>696</v>
      </c>
      <c r="D295" s="107" t="s">
        <v>686</v>
      </c>
      <c r="E295" s="108">
        <v>19.704433497536947</v>
      </c>
    </row>
    <row r="296" spans="1:5" x14ac:dyDescent="0.25">
      <c r="A296" s="107" t="s">
        <v>1058</v>
      </c>
      <c r="B296" s="107" t="s">
        <v>684</v>
      </c>
      <c r="C296" s="107" t="s">
        <v>699</v>
      </c>
      <c r="D296" s="107" t="s">
        <v>686</v>
      </c>
      <c r="E296" s="108">
        <v>177.33990147783251</v>
      </c>
    </row>
    <row r="297" spans="1:5" x14ac:dyDescent="0.25">
      <c r="A297" s="107" t="s">
        <v>1058</v>
      </c>
      <c r="B297" s="107" t="s">
        <v>684</v>
      </c>
      <c r="C297" s="107" t="s">
        <v>701</v>
      </c>
      <c r="D297" s="107" t="s">
        <v>686</v>
      </c>
      <c r="E297" s="108">
        <v>118.22660098522168</v>
      </c>
    </row>
    <row r="298" spans="1:5" x14ac:dyDescent="0.25">
      <c r="A298" s="107" t="s">
        <v>1058</v>
      </c>
      <c r="B298" s="107" t="s">
        <v>684</v>
      </c>
      <c r="C298" s="107" t="s">
        <v>1059</v>
      </c>
      <c r="D298" s="107" t="s">
        <v>686</v>
      </c>
      <c r="E298" s="108">
        <v>59.11330049261084</v>
      </c>
    </row>
    <row r="299" spans="1:5" x14ac:dyDescent="0.25">
      <c r="A299" s="107" t="s">
        <v>1058</v>
      </c>
      <c r="B299" s="107" t="s">
        <v>684</v>
      </c>
      <c r="C299" s="107" t="s">
        <v>719</v>
      </c>
      <c r="D299" s="107" t="s">
        <v>686</v>
      </c>
      <c r="E299" s="108">
        <v>320</v>
      </c>
    </row>
    <row r="300" spans="1:5" x14ac:dyDescent="0.25">
      <c r="A300" s="109" t="s">
        <v>773</v>
      </c>
      <c r="B300" s="111" t="s">
        <v>684</v>
      </c>
      <c r="C300" s="109" t="s">
        <v>685</v>
      </c>
      <c r="D300" s="111" t="s">
        <v>686</v>
      </c>
      <c r="E300" s="110">
        <v>3148.7846795973487</v>
      </c>
    </row>
    <row r="301" spans="1:5" x14ac:dyDescent="0.25">
      <c r="A301" s="109" t="s">
        <v>773</v>
      </c>
      <c r="B301" s="111" t="s">
        <v>684</v>
      </c>
      <c r="C301" s="109" t="s">
        <v>689</v>
      </c>
      <c r="D301" s="111" t="s">
        <v>686</v>
      </c>
      <c r="E301" s="110">
        <v>224.91319139981064</v>
      </c>
    </row>
    <row r="302" spans="1:5" x14ac:dyDescent="0.25">
      <c r="A302" s="109" t="s">
        <v>773</v>
      </c>
      <c r="B302" s="111" t="s">
        <v>684</v>
      </c>
      <c r="C302" s="109" t="s">
        <v>692</v>
      </c>
      <c r="D302" s="111" t="s">
        <v>686</v>
      </c>
      <c r="E302" s="110">
        <v>350.8645785837046</v>
      </c>
    </row>
    <row r="303" spans="1:5" x14ac:dyDescent="0.25">
      <c r="A303" s="109" t="s">
        <v>773</v>
      </c>
      <c r="B303" s="111" t="s">
        <v>684</v>
      </c>
      <c r="C303" s="109" t="s">
        <v>85</v>
      </c>
      <c r="D303" s="111" t="s">
        <v>686</v>
      </c>
      <c r="E303" s="110">
        <v>148.44270632387503</v>
      </c>
    </row>
    <row r="304" spans="1:5" x14ac:dyDescent="0.25">
      <c r="A304" s="109" t="s">
        <v>773</v>
      </c>
      <c r="B304" s="111" t="s">
        <v>684</v>
      </c>
      <c r="C304" s="109" t="s">
        <v>696</v>
      </c>
      <c r="D304" s="111" t="s">
        <v>686</v>
      </c>
      <c r="E304" s="110">
        <v>19.72922731577286</v>
      </c>
    </row>
    <row r="305" spans="1:5" x14ac:dyDescent="0.25">
      <c r="A305" s="109" t="s">
        <v>773</v>
      </c>
      <c r="B305" s="111" t="s">
        <v>684</v>
      </c>
      <c r="C305" s="109" t="s">
        <v>699</v>
      </c>
      <c r="D305" s="111" t="s">
        <v>686</v>
      </c>
      <c r="E305" s="110">
        <v>224.91319139981064</v>
      </c>
    </row>
    <row r="306" spans="1:5" x14ac:dyDescent="0.25">
      <c r="A306" s="109" t="s">
        <v>773</v>
      </c>
      <c r="B306" s="111" t="s">
        <v>684</v>
      </c>
      <c r="C306" s="109" t="s">
        <v>701</v>
      </c>
      <c r="D306" s="111" t="s">
        <v>686</v>
      </c>
      <c r="E306" s="110">
        <v>112.45659569990532</v>
      </c>
    </row>
    <row r="307" spans="1:5" x14ac:dyDescent="0.25">
      <c r="A307" s="109" t="s">
        <v>773</v>
      </c>
      <c r="B307" s="111" t="s">
        <v>684</v>
      </c>
      <c r="C307" s="109" t="s">
        <v>935</v>
      </c>
      <c r="D307" s="111" t="s">
        <v>686</v>
      </c>
      <c r="E307" s="110">
        <v>269.89582967977276</v>
      </c>
    </row>
    <row r="308" spans="1:5" x14ac:dyDescent="0.25">
      <c r="A308" s="107" t="s">
        <v>1060</v>
      </c>
      <c r="B308" s="107" t="s">
        <v>684</v>
      </c>
      <c r="C308" s="107" t="s">
        <v>685</v>
      </c>
      <c r="D308" s="107" t="s">
        <v>686</v>
      </c>
      <c r="E308" s="108">
        <v>3870</v>
      </c>
    </row>
    <row r="309" spans="1:5" x14ac:dyDescent="0.25">
      <c r="A309" s="107" t="s">
        <v>1060</v>
      </c>
      <c r="B309" s="107" t="s">
        <v>684</v>
      </c>
      <c r="C309" s="107" t="s">
        <v>689</v>
      </c>
      <c r="D309" s="107" t="s">
        <v>686</v>
      </c>
      <c r="E309" s="108">
        <v>540</v>
      </c>
    </row>
    <row r="310" spans="1:5" x14ac:dyDescent="0.25">
      <c r="A310" s="107" t="s">
        <v>1060</v>
      </c>
      <c r="B310" s="107" t="s">
        <v>684</v>
      </c>
      <c r="C310" s="107" t="s">
        <v>692</v>
      </c>
      <c r="D310" s="107" t="s">
        <v>686</v>
      </c>
      <c r="E310" s="108">
        <v>900</v>
      </c>
    </row>
    <row r="311" spans="1:5" x14ac:dyDescent="0.25">
      <c r="A311" s="107" t="s">
        <v>1060</v>
      </c>
      <c r="B311" s="107" t="s">
        <v>684</v>
      </c>
      <c r="C311" s="107" t="s">
        <v>696</v>
      </c>
      <c r="D311" s="107" t="s">
        <v>686</v>
      </c>
      <c r="E311" s="108">
        <v>45</v>
      </c>
    </row>
    <row r="312" spans="1:5" x14ac:dyDescent="0.25">
      <c r="A312" s="107" t="s">
        <v>1060</v>
      </c>
      <c r="B312" s="107" t="s">
        <v>684</v>
      </c>
      <c r="C312" s="107" t="s">
        <v>699</v>
      </c>
      <c r="D312" s="107" t="s">
        <v>686</v>
      </c>
      <c r="E312" s="108">
        <v>405</v>
      </c>
    </row>
    <row r="313" spans="1:5" x14ac:dyDescent="0.25">
      <c r="A313" s="107" t="s">
        <v>1060</v>
      </c>
      <c r="B313" s="107" t="s">
        <v>684</v>
      </c>
      <c r="C313" s="107" t="s">
        <v>701</v>
      </c>
      <c r="D313" s="107" t="s">
        <v>686</v>
      </c>
      <c r="E313" s="108">
        <v>270</v>
      </c>
    </row>
    <row r="314" spans="1:5" x14ac:dyDescent="0.25">
      <c r="A314" s="107" t="s">
        <v>1060</v>
      </c>
      <c r="B314" s="107" t="s">
        <v>684</v>
      </c>
      <c r="C314" s="107" t="s">
        <v>1018</v>
      </c>
      <c r="D314" s="107" t="s">
        <v>686</v>
      </c>
      <c r="E314" s="108">
        <v>720</v>
      </c>
    </row>
    <row r="315" spans="1:5" x14ac:dyDescent="0.25">
      <c r="A315" s="107" t="s">
        <v>1060</v>
      </c>
      <c r="B315" s="107" t="s">
        <v>684</v>
      </c>
      <c r="C315" s="107" t="s">
        <v>1017</v>
      </c>
      <c r="D315" s="107" t="s">
        <v>686</v>
      </c>
      <c r="E315" s="108">
        <v>630</v>
      </c>
    </row>
    <row r="316" spans="1:5" x14ac:dyDescent="0.25">
      <c r="A316" s="107" t="s">
        <v>1060</v>
      </c>
      <c r="B316" s="107" t="s">
        <v>684</v>
      </c>
      <c r="C316" s="107" t="s">
        <v>1061</v>
      </c>
      <c r="D316" s="107" t="s">
        <v>686</v>
      </c>
      <c r="E316" s="108">
        <v>450</v>
      </c>
    </row>
    <row r="317" spans="1:5" x14ac:dyDescent="0.25">
      <c r="A317" s="107" t="s">
        <v>1060</v>
      </c>
      <c r="B317" s="107" t="s">
        <v>684</v>
      </c>
      <c r="C317" s="107" t="s">
        <v>1062</v>
      </c>
      <c r="D317" s="107" t="s">
        <v>686</v>
      </c>
      <c r="E317" s="108">
        <v>1170</v>
      </c>
    </row>
    <row r="318" spans="1:5" x14ac:dyDescent="0.25">
      <c r="A318" s="109" t="s">
        <v>1063</v>
      </c>
      <c r="B318" s="111" t="s">
        <v>684</v>
      </c>
      <c r="C318" s="109" t="s">
        <v>685</v>
      </c>
      <c r="D318" s="111" t="s">
        <v>686</v>
      </c>
      <c r="E318" s="110">
        <v>2751</v>
      </c>
    </row>
    <row r="319" spans="1:5" x14ac:dyDescent="0.25">
      <c r="A319" s="109" t="s">
        <v>1063</v>
      </c>
      <c r="B319" s="111" t="s">
        <v>684</v>
      </c>
      <c r="C319" s="109" t="s">
        <v>689</v>
      </c>
      <c r="D319" s="111" t="s">
        <v>686</v>
      </c>
      <c r="E319" s="110">
        <v>117.60000000000001</v>
      </c>
    </row>
    <row r="320" spans="1:5" x14ac:dyDescent="0.25">
      <c r="A320" s="109" t="s">
        <v>1063</v>
      </c>
      <c r="B320" s="111" t="s">
        <v>684</v>
      </c>
      <c r="C320" s="109" t="s">
        <v>692</v>
      </c>
      <c r="D320" s="111" t="s">
        <v>686</v>
      </c>
      <c r="E320" s="110">
        <v>210</v>
      </c>
    </row>
    <row r="321" spans="1:5" x14ac:dyDescent="0.25">
      <c r="A321" s="109" t="s">
        <v>1063</v>
      </c>
      <c r="B321" s="111" t="s">
        <v>684</v>
      </c>
      <c r="C321" s="109" t="s">
        <v>85</v>
      </c>
      <c r="D321" s="111" t="s">
        <v>686</v>
      </c>
      <c r="E321" s="110">
        <v>252</v>
      </c>
    </row>
    <row r="322" spans="1:5" x14ac:dyDescent="0.25">
      <c r="A322" s="109" t="s">
        <v>1063</v>
      </c>
      <c r="B322" s="111" t="s">
        <v>684</v>
      </c>
      <c r="C322" s="109" t="s">
        <v>696</v>
      </c>
      <c r="D322" s="111" t="s">
        <v>686</v>
      </c>
      <c r="E322" s="110">
        <v>21</v>
      </c>
    </row>
    <row r="323" spans="1:5" x14ac:dyDescent="0.25">
      <c r="A323" s="109" t="s">
        <v>1063</v>
      </c>
      <c r="B323" s="111" t="s">
        <v>684</v>
      </c>
      <c r="C323" s="109" t="s">
        <v>699</v>
      </c>
      <c r="D323" s="111" t="s">
        <v>686</v>
      </c>
      <c r="E323" s="110">
        <v>168</v>
      </c>
    </row>
    <row r="324" spans="1:5" x14ac:dyDescent="0.25">
      <c r="A324" s="109" t="s">
        <v>1063</v>
      </c>
      <c r="B324" s="111" t="s">
        <v>684</v>
      </c>
      <c r="C324" s="109" t="s">
        <v>701</v>
      </c>
      <c r="D324" s="111" t="s">
        <v>686</v>
      </c>
      <c r="E324" s="110">
        <v>126</v>
      </c>
    </row>
    <row r="325" spans="1:5" x14ac:dyDescent="0.25">
      <c r="A325" s="109" t="s">
        <v>1063</v>
      </c>
      <c r="B325" s="111" t="s">
        <v>684</v>
      </c>
      <c r="C325" s="109" t="s">
        <v>139</v>
      </c>
      <c r="D325" s="111" t="s">
        <v>686</v>
      </c>
      <c r="E325" s="110">
        <v>546</v>
      </c>
    </row>
    <row r="326" spans="1:5" x14ac:dyDescent="0.25">
      <c r="A326" s="109" t="s">
        <v>1063</v>
      </c>
      <c r="B326" s="111" t="s">
        <v>684</v>
      </c>
      <c r="C326" s="109" t="s">
        <v>139</v>
      </c>
      <c r="D326" s="111" t="s">
        <v>686</v>
      </c>
      <c r="E326" s="110">
        <v>84</v>
      </c>
    </row>
    <row r="327" spans="1:5" x14ac:dyDescent="0.25">
      <c r="A327" s="107" t="s">
        <v>1064</v>
      </c>
      <c r="B327" s="107" t="s">
        <v>684</v>
      </c>
      <c r="C327" s="107" t="s">
        <v>685</v>
      </c>
      <c r="D327" s="107" t="s">
        <v>686</v>
      </c>
      <c r="E327" s="108">
        <v>4690</v>
      </c>
    </row>
    <row r="328" spans="1:5" x14ac:dyDescent="0.25">
      <c r="A328" s="107" t="s">
        <v>1064</v>
      </c>
      <c r="B328" s="107" t="s">
        <v>684</v>
      </c>
      <c r="C328" s="107" t="s">
        <v>689</v>
      </c>
      <c r="D328" s="107" t="s">
        <v>686</v>
      </c>
      <c r="E328" s="108">
        <v>560</v>
      </c>
    </row>
    <row r="329" spans="1:5" x14ac:dyDescent="0.25">
      <c r="A329" s="107" t="s">
        <v>1064</v>
      </c>
      <c r="B329" s="107" t="s">
        <v>684</v>
      </c>
      <c r="C329" s="107" t="s">
        <v>692</v>
      </c>
      <c r="D329" s="107" t="s">
        <v>686</v>
      </c>
      <c r="E329" s="108">
        <v>630</v>
      </c>
    </row>
    <row r="330" spans="1:5" x14ac:dyDescent="0.25">
      <c r="A330" s="107" t="s">
        <v>1064</v>
      </c>
      <c r="B330" s="107" t="s">
        <v>684</v>
      </c>
      <c r="C330" s="107" t="s">
        <v>696</v>
      </c>
      <c r="D330" s="107" t="s">
        <v>686</v>
      </c>
      <c r="E330" s="108">
        <v>35</v>
      </c>
    </row>
    <row r="331" spans="1:5" x14ac:dyDescent="0.25">
      <c r="A331" s="107" t="s">
        <v>1064</v>
      </c>
      <c r="B331" s="107" t="s">
        <v>684</v>
      </c>
      <c r="C331" s="107" t="s">
        <v>699</v>
      </c>
      <c r="D331" s="107" t="s">
        <v>686</v>
      </c>
      <c r="E331" s="108">
        <v>315</v>
      </c>
    </row>
    <row r="332" spans="1:5" x14ac:dyDescent="0.25">
      <c r="A332" s="107" t="s">
        <v>1064</v>
      </c>
      <c r="B332" s="107" t="s">
        <v>684</v>
      </c>
      <c r="C332" s="107" t="s">
        <v>701</v>
      </c>
      <c r="D332" s="107" t="s">
        <v>686</v>
      </c>
      <c r="E332" s="108">
        <v>210</v>
      </c>
    </row>
    <row r="333" spans="1:5" x14ac:dyDescent="0.25">
      <c r="A333" s="107" t="s">
        <v>1064</v>
      </c>
      <c r="B333" s="107" t="s">
        <v>684</v>
      </c>
      <c r="C333" s="107" t="s">
        <v>1065</v>
      </c>
      <c r="D333" s="107" t="s">
        <v>686</v>
      </c>
      <c r="E333" s="108">
        <v>560</v>
      </c>
    </row>
    <row r="334" spans="1:5" x14ac:dyDescent="0.25">
      <c r="A334" s="109" t="s">
        <v>772</v>
      </c>
      <c r="B334" s="111" t="s">
        <v>684</v>
      </c>
      <c r="C334" s="109" t="s">
        <v>685</v>
      </c>
      <c r="D334" s="111" t="s">
        <v>686</v>
      </c>
      <c r="E334" s="110">
        <v>2780</v>
      </c>
    </row>
    <row r="335" spans="1:5" x14ac:dyDescent="0.25">
      <c r="A335" s="109" t="s">
        <v>772</v>
      </c>
      <c r="B335" s="111" t="s">
        <v>684</v>
      </c>
      <c r="C335" s="109" t="s">
        <v>689</v>
      </c>
      <c r="D335" s="111" t="s">
        <v>686</v>
      </c>
      <c r="E335" s="110">
        <v>40</v>
      </c>
    </row>
    <row r="336" spans="1:5" x14ac:dyDescent="0.25">
      <c r="A336" s="109" t="s">
        <v>772</v>
      </c>
      <c r="B336" s="111" t="s">
        <v>684</v>
      </c>
      <c r="C336" s="109" t="s">
        <v>692</v>
      </c>
      <c r="D336" s="111" t="s">
        <v>686</v>
      </c>
      <c r="E336" s="110">
        <v>320</v>
      </c>
    </row>
    <row r="337" spans="1:5" x14ac:dyDescent="0.25">
      <c r="A337" s="109" t="s">
        <v>772</v>
      </c>
      <c r="B337" s="111" t="s">
        <v>684</v>
      </c>
      <c r="C337" s="109" t="s">
        <v>85</v>
      </c>
      <c r="D337" s="111" t="s">
        <v>686</v>
      </c>
      <c r="E337" s="110">
        <v>200</v>
      </c>
    </row>
    <row r="338" spans="1:5" x14ac:dyDescent="0.25">
      <c r="A338" s="109" t="s">
        <v>772</v>
      </c>
      <c r="B338" s="111" t="s">
        <v>684</v>
      </c>
      <c r="C338" s="109" t="s">
        <v>696</v>
      </c>
      <c r="D338" s="111" t="s">
        <v>686</v>
      </c>
      <c r="E338" s="110">
        <v>20</v>
      </c>
    </row>
    <row r="339" spans="1:5" x14ac:dyDescent="0.25">
      <c r="A339" s="109" t="s">
        <v>772</v>
      </c>
      <c r="B339" s="111" t="s">
        <v>684</v>
      </c>
      <c r="C339" s="109" t="s">
        <v>699</v>
      </c>
      <c r="D339" s="111" t="s">
        <v>686</v>
      </c>
      <c r="E339" s="110">
        <v>120</v>
      </c>
    </row>
    <row r="340" spans="1:5" x14ac:dyDescent="0.25">
      <c r="A340" s="109" t="s">
        <v>772</v>
      </c>
      <c r="B340" s="111" t="s">
        <v>684</v>
      </c>
      <c r="C340" s="109" t="s">
        <v>701</v>
      </c>
      <c r="D340" s="111" t="s">
        <v>686</v>
      </c>
      <c r="E340" s="110">
        <v>120</v>
      </c>
    </row>
    <row r="341" spans="1:5" x14ac:dyDescent="0.25">
      <c r="A341" s="109" t="s">
        <v>772</v>
      </c>
      <c r="B341" s="111" t="s">
        <v>684</v>
      </c>
      <c r="C341" s="109" t="s">
        <v>1030</v>
      </c>
      <c r="D341" s="111" t="s">
        <v>686</v>
      </c>
      <c r="E341" s="110">
        <v>400</v>
      </c>
    </row>
    <row r="342" spans="1:5" x14ac:dyDescent="0.25">
      <c r="A342" s="109" t="s">
        <v>772</v>
      </c>
      <c r="B342" s="111" t="s">
        <v>684</v>
      </c>
      <c r="C342" s="109" t="s">
        <v>151</v>
      </c>
      <c r="D342" s="111" t="s">
        <v>686</v>
      </c>
      <c r="E342" s="110">
        <v>600</v>
      </c>
    </row>
    <row r="343" spans="1:5" x14ac:dyDescent="0.25">
      <c r="A343" s="109" t="s">
        <v>772</v>
      </c>
      <c r="B343" s="111" t="s">
        <v>684</v>
      </c>
      <c r="C343" s="109" t="s">
        <v>216</v>
      </c>
      <c r="D343" s="111" t="s">
        <v>686</v>
      </c>
      <c r="E343" s="110">
        <v>240</v>
      </c>
    </row>
    <row r="344" spans="1:5" x14ac:dyDescent="0.25">
      <c r="A344" s="109" t="s">
        <v>772</v>
      </c>
      <c r="B344" s="111" t="s">
        <v>684</v>
      </c>
      <c r="C344" s="109" t="s">
        <v>1055</v>
      </c>
      <c r="D344" s="111" t="s">
        <v>686</v>
      </c>
      <c r="E344" s="110">
        <v>60</v>
      </c>
    </row>
    <row r="345" spans="1:5" x14ac:dyDescent="0.25">
      <c r="A345" s="107" t="s">
        <v>1066</v>
      </c>
      <c r="B345" s="107" t="s">
        <v>684</v>
      </c>
      <c r="C345" s="107" t="s">
        <v>685</v>
      </c>
      <c r="D345" s="107" t="s">
        <v>686</v>
      </c>
      <c r="E345" s="108">
        <v>2859.727644986192</v>
      </c>
    </row>
    <row r="346" spans="1:5" x14ac:dyDescent="0.25">
      <c r="A346" s="107" t="s">
        <v>1066</v>
      </c>
      <c r="B346" s="107" t="s">
        <v>684</v>
      </c>
      <c r="C346" s="107" t="s">
        <v>689</v>
      </c>
      <c r="D346" s="107" t="s">
        <v>686</v>
      </c>
      <c r="E346" s="108">
        <v>152.36644129130559</v>
      </c>
    </row>
    <row r="347" spans="1:5" x14ac:dyDescent="0.25">
      <c r="A347" s="107" t="s">
        <v>1066</v>
      </c>
      <c r="B347" s="107" t="s">
        <v>684</v>
      </c>
      <c r="C347" s="107" t="s">
        <v>692</v>
      </c>
      <c r="D347" s="107" t="s">
        <v>686</v>
      </c>
      <c r="E347" s="108">
        <v>380.91610322826392</v>
      </c>
    </row>
    <row r="348" spans="1:5" x14ac:dyDescent="0.25">
      <c r="A348" s="107" t="s">
        <v>1066</v>
      </c>
      <c r="B348" s="107" t="s">
        <v>684</v>
      </c>
      <c r="C348" s="107" t="s">
        <v>85</v>
      </c>
      <c r="D348" s="107" t="s">
        <v>686</v>
      </c>
      <c r="E348" s="108">
        <v>114.27483096847918</v>
      </c>
    </row>
    <row r="349" spans="1:5" x14ac:dyDescent="0.25">
      <c r="A349" s="107" t="s">
        <v>1066</v>
      </c>
      <c r="B349" s="107" t="s">
        <v>684</v>
      </c>
      <c r="C349" s="107" t="s">
        <v>696</v>
      </c>
      <c r="D349" s="107" t="s">
        <v>686</v>
      </c>
      <c r="E349" s="108">
        <v>19.045805161413199</v>
      </c>
    </row>
    <row r="350" spans="1:5" x14ac:dyDescent="0.25">
      <c r="A350" s="107" t="s">
        <v>1066</v>
      </c>
      <c r="B350" s="107" t="s">
        <v>684</v>
      </c>
      <c r="C350" s="107" t="s">
        <v>699</v>
      </c>
      <c r="D350" s="107" t="s">
        <v>686</v>
      </c>
      <c r="E350" s="108">
        <v>171.41224645271879</v>
      </c>
    </row>
    <row r="351" spans="1:5" x14ac:dyDescent="0.25">
      <c r="A351" s="107" t="s">
        <v>1066</v>
      </c>
      <c r="B351" s="107" t="s">
        <v>684</v>
      </c>
      <c r="C351" s="107" t="s">
        <v>701</v>
      </c>
      <c r="D351" s="107" t="s">
        <v>686</v>
      </c>
      <c r="E351" s="108">
        <v>114.27483096847918</v>
      </c>
    </row>
    <row r="352" spans="1:5" x14ac:dyDescent="0.25">
      <c r="A352" s="107" t="s">
        <v>1066</v>
      </c>
      <c r="B352" s="107" t="s">
        <v>684</v>
      </c>
      <c r="C352" s="107" t="s">
        <v>718</v>
      </c>
      <c r="D352" s="107" t="s">
        <v>686</v>
      </c>
      <c r="E352" s="108">
        <v>187.98209694314826</v>
      </c>
    </row>
    <row r="353" spans="1:5" x14ac:dyDescent="0.25">
      <c r="A353" s="107" t="s">
        <v>1066</v>
      </c>
      <c r="B353" s="107" t="s">
        <v>684</v>
      </c>
      <c r="C353" s="107" t="s">
        <v>155</v>
      </c>
      <c r="D353" s="107" t="s">
        <v>686</v>
      </c>
      <c r="E353" s="108">
        <v>300</v>
      </c>
    </row>
    <row r="354" spans="1:5" x14ac:dyDescent="0.25">
      <c r="A354" s="107" t="s">
        <v>1066</v>
      </c>
      <c r="B354" s="107" t="s">
        <v>684</v>
      </c>
      <c r="C354" s="107" t="s">
        <v>139</v>
      </c>
      <c r="D354" s="107" t="s">
        <v>686</v>
      </c>
      <c r="E354" s="108">
        <v>90</v>
      </c>
    </row>
    <row r="355" spans="1:5" x14ac:dyDescent="0.25">
      <c r="A355" s="109" t="s">
        <v>729</v>
      </c>
      <c r="B355" s="111" t="s">
        <v>684</v>
      </c>
      <c r="C355" s="109" t="s">
        <v>685</v>
      </c>
      <c r="D355" s="111" t="s">
        <v>686</v>
      </c>
      <c r="E355" s="110">
        <v>2073.3025426149893</v>
      </c>
    </row>
    <row r="356" spans="1:5" x14ac:dyDescent="0.25">
      <c r="A356" s="109" t="s">
        <v>729</v>
      </c>
      <c r="B356" s="111" t="s">
        <v>684</v>
      </c>
      <c r="C356" s="109" t="s">
        <v>689</v>
      </c>
      <c r="D356" s="111" t="s">
        <v>686</v>
      </c>
      <c r="E356" s="110">
        <v>110.46566993619655</v>
      </c>
    </row>
    <row r="357" spans="1:5" x14ac:dyDescent="0.25">
      <c r="A357" s="109" t="s">
        <v>729</v>
      </c>
      <c r="B357" s="111" t="s">
        <v>684</v>
      </c>
      <c r="C357" s="109" t="s">
        <v>692</v>
      </c>
      <c r="D357" s="111" t="s">
        <v>686</v>
      </c>
      <c r="E357" s="110">
        <v>276.16417484049134</v>
      </c>
    </row>
    <row r="358" spans="1:5" x14ac:dyDescent="0.25">
      <c r="A358" s="109" t="s">
        <v>729</v>
      </c>
      <c r="B358" s="111" t="s">
        <v>684</v>
      </c>
      <c r="C358" s="109" t="s">
        <v>85</v>
      </c>
      <c r="D358" s="111" t="s">
        <v>686</v>
      </c>
      <c r="E358" s="110">
        <v>82.849252452147411</v>
      </c>
    </row>
    <row r="359" spans="1:5" x14ac:dyDescent="0.25">
      <c r="A359" s="109" t="s">
        <v>729</v>
      </c>
      <c r="B359" s="111" t="s">
        <v>684</v>
      </c>
      <c r="C359" s="109" t="s">
        <v>696</v>
      </c>
      <c r="D359" s="111" t="s">
        <v>686</v>
      </c>
      <c r="E359" s="110">
        <v>13.808208742024568</v>
      </c>
    </row>
    <row r="360" spans="1:5" x14ac:dyDescent="0.25">
      <c r="A360" s="109" t="s">
        <v>729</v>
      </c>
      <c r="B360" s="111" t="s">
        <v>684</v>
      </c>
      <c r="C360" s="109" t="s">
        <v>699</v>
      </c>
      <c r="D360" s="111" t="s">
        <v>686</v>
      </c>
      <c r="E360" s="110">
        <v>124.27387867822111</v>
      </c>
    </row>
    <row r="361" spans="1:5" x14ac:dyDescent="0.25">
      <c r="A361" s="109" t="s">
        <v>729</v>
      </c>
      <c r="B361" s="111" t="s">
        <v>684</v>
      </c>
      <c r="C361" s="109" t="s">
        <v>701</v>
      </c>
      <c r="D361" s="111" t="s">
        <v>686</v>
      </c>
      <c r="E361" s="110">
        <v>82.849252452147411</v>
      </c>
    </row>
    <row r="362" spans="1:5" x14ac:dyDescent="0.25">
      <c r="A362" s="109" t="s">
        <v>729</v>
      </c>
      <c r="B362" s="111" t="s">
        <v>684</v>
      </c>
      <c r="C362" s="109" t="s">
        <v>718</v>
      </c>
      <c r="D362" s="111" t="s">
        <v>686</v>
      </c>
      <c r="E362" s="110">
        <v>136.28702028378251</v>
      </c>
    </row>
    <row r="363" spans="1:5" x14ac:dyDescent="0.25">
      <c r="A363" s="109" t="s">
        <v>729</v>
      </c>
      <c r="B363" s="111" t="s">
        <v>684</v>
      </c>
      <c r="C363" s="109" t="s">
        <v>719</v>
      </c>
      <c r="D363" s="111" t="s">
        <v>686</v>
      </c>
      <c r="E363" s="110">
        <v>217.5</v>
      </c>
    </row>
    <row r="364" spans="1:5" x14ac:dyDescent="0.25">
      <c r="A364" s="109" t="s">
        <v>729</v>
      </c>
      <c r="B364" s="111" t="s">
        <v>684</v>
      </c>
      <c r="C364" s="109" t="s">
        <v>139</v>
      </c>
      <c r="D364" s="111" t="s">
        <v>686</v>
      </c>
      <c r="E364" s="110">
        <v>65.25</v>
      </c>
    </row>
    <row r="365" spans="1:5" x14ac:dyDescent="0.25">
      <c r="A365" s="107" t="s">
        <v>1067</v>
      </c>
      <c r="B365" s="107" t="s">
        <v>684</v>
      </c>
      <c r="C365" s="107" t="s">
        <v>685</v>
      </c>
      <c r="D365" s="107" t="s">
        <v>686</v>
      </c>
      <c r="E365" s="108">
        <v>2859.727644986192</v>
      </c>
    </row>
    <row r="366" spans="1:5" x14ac:dyDescent="0.25">
      <c r="A366" s="107" t="s">
        <v>1067</v>
      </c>
      <c r="B366" s="107" t="s">
        <v>684</v>
      </c>
      <c r="C366" s="107" t="s">
        <v>689</v>
      </c>
      <c r="D366" s="107" t="s">
        <v>686</v>
      </c>
      <c r="E366" s="108">
        <v>152.36644129130559</v>
      </c>
    </row>
    <row r="367" spans="1:5" x14ac:dyDescent="0.25">
      <c r="A367" s="107" t="s">
        <v>1067</v>
      </c>
      <c r="B367" s="107" t="s">
        <v>684</v>
      </c>
      <c r="C367" s="107" t="s">
        <v>692</v>
      </c>
      <c r="D367" s="107" t="s">
        <v>686</v>
      </c>
      <c r="E367" s="108">
        <v>380.91610322826392</v>
      </c>
    </row>
    <row r="368" spans="1:5" x14ac:dyDescent="0.25">
      <c r="A368" s="107" t="s">
        <v>1067</v>
      </c>
      <c r="B368" s="107" t="s">
        <v>684</v>
      </c>
      <c r="C368" s="107" t="s">
        <v>85</v>
      </c>
      <c r="D368" s="107" t="s">
        <v>686</v>
      </c>
      <c r="E368" s="108">
        <v>114.27483096847918</v>
      </c>
    </row>
    <row r="369" spans="1:5" x14ac:dyDescent="0.25">
      <c r="A369" s="107" t="s">
        <v>1067</v>
      </c>
      <c r="B369" s="107" t="s">
        <v>684</v>
      </c>
      <c r="C369" s="107" t="s">
        <v>696</v>
      </c>
      <c r="D369" s="107" t="s">
        <v>686</v>
      </c>
      <c r="E369" s="108">
        <v>19.045805161413199</v>
      </c>
    </row>
    <row r="370" spans="1:5" x14ac:dyDescent="0.25">
      <c r="A370" s="107" t="s">
        <v>1067</v>
      </c>
      <c r="B370" s="107" t="s">
        <v>684</v>
      </c>
      <c r="C370" s="107" t="s">
        <v>699</v>
      </c>
      <c r="D370" s="107" t="s">
        <v>686</v>
      </c>
      <c r="E370" s="108">
        <v>171.41224645271879</v>
      </c>
    </row>
    <row r="371" spans="1:5" x14ac:dyDescent="0.25">
      <c r="A371" s="107" t="s">
        <v>1067</v>
      </c>
      <c r="B371" s="107" t="s">
        <v>684</v>
      </c>
      <c r="C371" s="107" t="s">
        <v>701</v>
      </c>
      <c r="D371" s="107" t="s">
        <v>686</v>
      </c>
      <c r="E371" s="108">
        <v>114.27483096847918</v>
      </c>
    </row>
    <row r="372" spans="1:5" x14ac:dyDescent="0.25">
      <c r="A372" s="107" t="s">
        <v>1067</v>
      </c>
      <c r="B372" s="107" t="s">
        <v>684</v>
      </c>
      <c r="C372" s="107" t="s">
        <v>718</v>
      </c>
      <c r="D372" s="107" t="s">
        <v>686</v>
      </c>
      <c r="E372" s="108">
        <v>187.98209694314826</v>
      </c>
    </row>
    <row r="373" spans="1:5" x14ac:dyDescent="0.25">
      <c r="A373" s="107" t="s">
        <v>1067</v>
      </c>
      <c r="B373" s="107" t="s">
        <v>684</v>
      </c>
      <c r="C373" s="107" t="s">
        <v>1068</v>
      </c>
      <c r="D373" s="107" t="s">
        <v>686</v>
      </c>
      <c r="E373" s="108">
        <v>300</v>
      </c>
    </row>
    <row r="374" spans="1:5" x14ac:dyDescent="0.25">
      <c r="A374" s="107" t="s">
        <v>1067</v>
      </c>
      <c r="B374" s="107" t="s">
        <v>684</v>
      </c>
      <c r="C374" s="107" t="s">
        <v>139</v>
      </c>
      <c r="D374" s="107" t="s">
        <v>686</v>
      </c>
      <c r="E374" s="108">
        <v>90</v>
      </c>
    </row>
    <row r="375" spans="1:5" x14ac:dyDescent="0.25">
      <c r="A375" s="109" t="s">
        <v>1069</v>
      </c>
      <c r="B375" s="111" t="s">
        <v>684</v>
      </c>
      <c r="C375" s="109" t="s">
        <v>685</v>
      </c>
      <c r="D375" s="111" t="s">
        <v>686</v>
      </c>
      <c r="E375" s="110">
        <v>2859.727644986192</v>
      </c>
    </row>
    <row r="376" spans="1:5" x14ac:dyDescent="0.25">
      <c r="A376" s="109" t="s">
        <v>1069</v>
      </c>
      <c r="B376" s="111" t="s">
        <v>684</v>
      </c>
      <c r="C376" s="109" t="s">
        <v>689</v>
      </c>
      <c r="D376" s="111" t="s">
        <v>686</v>
      </c>
      <c r="E376" s="110">
        <v>152.36644129130559</v>
      </c>
    </row>
    <row r="377" spans="1:5" x14ac:dyDescent="0.25">
      <c r="A377" s="109" t="s">
        <v>1069</v>
      </c>
      <c r="B377" s="111" t="s">
        <v>684</v>
      </c>
      <c r="C377" s="109" t="s">
        <v>692</v>
      </c>
      <c r="D377" s="111" t="s">
        <v>686</v>
      </c>
      <c r="E377" s="110">
        <v>380.91610322826392</v>
      </c>
    </row>
    <row r="378" spans="1:5" x14ac:dyDescent="0.25">
      <c r="A378" s="109" t="s">
        <v>1069</v>
      </c>
      <c r="B378" s="111" t="s">
        <v>684</v>
      </c>
      <c r="C378" s="109" t="s">
        <v>85</v>
      </c>
      <c r="D378" s="111" t="s">
        <v>686</v>
      </c>
      <c r="E378" s="110">
        <v>114.27483096847918</v>
      </c>
    </row>
    <row r="379" spans="1:5" x14ac:dyDescent="0.25">
      <c r="A379" s="109" t="s">
        <v>1069</v>
      </c>
      <c r="B379" s="111" t="s">
        <v>684</v>
      </c>
      <c r="C379" s="109" t="s">
        <v>696</v>
      </c>
      <c r="D379" s="111" t="s">
        <v>686</v>
      </c>
      <c r="E379" s="110">
        <v>19.045805161413199</v>
      </c>
    </row>
    <row r="380" spans="1:5" x14ac:dyDescent="0.25">
      <c r="A380" s="109" t="s">
        <v>1069</v>
      </c>
      <c r="B380" s="111" t="s">
        <v>684</v>
      </c>
      <c r="C380" s="109" t="s">
        <v>699</v>
      </c>
      <c r="D380" s="111" t="s">
        <v>686</v>
      </c>
      <c r="E380" s="110">
        <v>171.41224645271879</v>
      </c>
    </row>
    <row r="381" spans="1:5" x14ac:dyDescent="0.25">
      <c r="A381" s="109" t="s">
        <v>1069</v>
      </c>
      <c r="B381" s="111" t="s">
        <v>684</v>
      </c>
      <c r="C381" s="109" t="s">
        <v>701</v>
      </c>
      <c r="D381" s="111" t="s">
        <v>686</v>
      </c>
      <c r="E381" s="110">
        <v>114.27483096847918</v>
      </c>
    </row>
    <row r="382" spans="1:5" x14ac:dyDescent="0.25">
      <c r="A382" s="109" t="s">
        <v>1069</v>
      </c>
      <c r="B382" s="111" t="s">
        <v>684</v>
      </c>
      <c r="C382" s="109" t="s">
        <v>718</v>
      </c>
      <c r="D382" s="111" t="s">
        <v>686</v>
      </c>
      <c r="E382" s="110">
        <v>187.98209694314826</v>
      </c>
    </row>
    <row r="383" spans="1:5" x14ac:dyDescent="0.25">
      <c r="A383" s="109" t="s">
        <v>1069</v>
      </c>
      <c r="B383" s="111" t="s">
        <v>684</v>
      </c>
      <c r="C383" s="109" t="s">
        <v>1070</v>
      </c>
      <c r="D383" s="111" t="s">
        <v>686</v>
      </c>
      <c r="E383" s="110">
        <v>300</v>
      </c>
    </row>
    <row r="384" spans="1:5" x14ac:dyDescent="0.25">
      <c r="A384" s="109" t="s">
        <v>1069</v>
      </c>
      <c r="B384" s="111" t="s">
        <v>684</v>
      </c>
      <c r="C384" s="109" t="s">
        <v>139</v>
      </c>
      <c r="D384" s="111" t="s">
        <v>686</v>
      </c>
      <c r="E384" s="110">
        <v>90</v>
      </c>
    </row>
    <row r="385" spans="1:5" x14ac:dyDescent="0.25">
      <c r="A385" s="107" t="s">
        <v>1071</v>
      </c>
      <c r="B385" s="107" t="s">
        <v>684</v>
      </c>
      <c r="C385" s="107" t="s">
        <v>685</v>
      </c>
      <c r="D385" s="107" t="s">
        <v>686</v>
      </c>
      <c r="E385" s="108">
        <v>2653.8461538461538</v>
      </c>
    </row>
    <row r="386" spans="1:5" x14ac:dyDescent="0.25">
      <c r="A386" s="107" t="s">
        <v>1071</v>
      </c>
      <c r="B386" s="107" t="s">
        <v>684</v>
      </c>
      <c r="C386" s="107" t="s">
        <v>689</v>
      </c>
      <c r="D386" s="107" t="s">
        <v>686</v>
      </c>
      <c r="E386" s="108">
        <v>307.69230769230768</v>
      </c>
    </row>
    <row r="387" spans="1:5" x14ac:dyDescent="0.25">
      <c r="A387" s="107" t="s">
        <v>1071</v>
      </c>
      <c r="B387" s="107" t="s">
        <v>684</v>
      </c>
      <c r="C387" s="107" t="s">
        <v>692</v>
      </c>
      <c r="D387" s="107" t="s">
        <v>686</v>
      </c>
      <c r="E387" s="108">
        <v>461.53846153846155</v>
      </c>
    </row>
    <row r="388" spans="1:5" x14ac:dyDescent="0.25">
      <c r="A388" s="107" t="s">
        <v>1071</v>
      </c>
      <c r="B388" s="107" t="s">
        <v>684</v>
      </c>
      <c r="C388" s="107" t="s">
        <v>85</v>
      </c>
      <c r="D388" s="107" t="s">
        <v>686</v>
      </c>
      <c r="E388" s="108">
        <v>115.38461538461539</v>
      </c>
    </row>
    <row r="389" spans="1:5" x14ac:dyDescent="0.25">
      <c r="A389" s="107" t="s">
        <v>1071</v>
      </c>
      <c r="B389" s="107" t="s">
        <v>684</v>
      </c>
      <c r="C389" s="107" t="s">
        <v>696</v>
      </c>
      <c r="D389" s="107" t="s">
        <v>686</v>
      </c>
      <c r="E389" s="108">
        <v>19.23076923076923</v>
      </c>
    </row>
    <row r="390" spans="1:5" x14ac:dyDescent="0.25">
      <c r="A390" s="107" t="s">
        <v>1071</v>
      </c>
      <c r="B390" s="107" t="s">
        <v>684</v>
      </c>
      <c r="C390" s="107" t="s">
        <v>699</v>
      </c>
      <c r="D390" s="107" t="s">
        <v>686</v>
      </c>
      <c r="E390" s="108">
        <v>173.07692307692309</v>
      </c>
    </row>
    <row r="391" spans="1:5" x14ac:dyDescent="0.25">
      <c r="A391" s="107" t="s">
        <v>1071</v>
      </c>
      <c r="B391" s="107" t="s">
        <v>684</v>
      </c>
      <c r="C391" s="107" t="s">
        <v>701</v>
      </c>
      <c r="D391" s="107" t="s">
        <v>686</v>
      </c>
      <c r="E391" s="108">
        <v>115.38461538461539</v>
      </c>
    </row>
    <row r="392" spans="1:5" x14ac:dyDescent="0.25">
      <c r="A392" s="107" t="s">
        <v>1071</v>
      </c>
      <c r="B392" s="107" t="s">
        <v>684</v>
      </c>
      <c r="C392" s="107" t="s">
        <v>1040</v>
      </c>
      <c r="D392" s="107" t="s">
        <v>686</v>
      </c>
      <c r="E392" s="108">
        <v>153.84615384615384</v>
      </c>
    </row>
    <row r="393" spans="1:5" x14ac:dyDescent="0.25">
      <c r="A393" s="107" t="s">
        <v>1071</v>
      </c>
      <c r="B393" s="107" t="s">
        <v>684</v>
      </c>
      <c r="C393" s="107" t="s">
        <v>716</v>
      </c>
      <c r="D393" s="107" t="s">
        <v>686</v>
      </c>
      <c r="E393" s="108">
        <v>700</v>
      </c>
    </row>
    <row r="394" spans="1:5" x14ac:dyDescent="0.25">
      <c r="A394" s="107" t="s">
        <v>1071</v>
      </c>
      <c r="B394" s="107" t="s">
        <v>684</v>
      </c>
      <c r="C394" s="107" t="s">
        <v>1072</v>
      </c>
      <c r="D394" s="107" t="s">
        <v>686</v>
      </c>
      <c r="E394" s="108">
        <v>250</v>
      </c>
    </row>
    <row r="395" spans="1:5" x14ac:dyDescent="0.25">
      <c r="A395" s="107" t="s">
        <v>1071</v>
      </c>
      <c r="B395" s="107" t="s">
        <v>684</v>
      </c>
      <c r="C395" s="107" t="s">
        <v>151</v>
      </c>
      <c r="D395" s="107" t="s">
        <v>686</v>
      </c>
      <c r="E395" s="108">
        <v>500</v>
      </c>
    </row>
    <row r="396" spans="1:5" x14ac:dyDescent="0.25">
      <c r="A396" s="109" t="s">
        <v>790</v>
      </c>
      <c r="B396" s="111" t="s">
        <v>684</v>
      </c>
      <c r="C396" s="109" t="s">
        <v>685</v>
      </c>
      <c r="D396" s="111" t="s">
        <v>686</v>
      </c>
      <c r="E396" s="110">
        <v>2608</v>
      </c>
    </row>
    <row r="397" spans="1:5" x14ac:dyDescent="0.25">
      <c r="A397" s="109" t="s">
        <v>790</v>
      </c>
      <c r="B397" s="111" t="s">
        <v>684</v>
      </c>
      <c r="C397" s="109" t="s">
        <v>689</v>
      </c>
      <c r="D397" s="111" t="s">
        <v>686</v>
      </c>
      <c r="E397" s="110">
        <v>160</v>
      </c>
    </row>
    <row r="398" spans="1:5" x14ac:dyDescent="0.25">
      <c r="A398" s="109" t="s">
        <v>790</v>
      </c>
      <c r="B398" s="111" t="s">
        <v>684</v>
      </c>
      <c r="C398" s="109" t="s">
        <v>692</v>
      </c>
      <c r="D398" s="111" t="s">
        <v>686</v>
      </c>
      <c r="E398" s="110">
        <v>40</v>
      </c>
    </row>
    <row r="399" spans="1:5" x14ac:dyDescent="0.25">
      <c r="A399" s="109" t="s">
        <v>790</v>
      </c>
      <c r="B399" s="111" t="s">
        <v>684</v>
      </c>
      <c r="C399" s="109" t="s">
        <v>85</v>
      </c>
      <c r="D399" s="111" t="s">
        <v>686</v>
      </c>
      <c r="E399" s="110">
        <v>620</v>
      </c>
    </row>
    <row r="400" spans="1:5" x14ac:dyDescent="0.25">
      <c r="A400" s="109" t="s">
        <v>790</v>
      </c>
      <c r="B400" s="111" t="s">
        <v>684</v>
      </c>
      <c r="C400" s="109" t="s">
        <v>696</v>
      </c>
      <c r="D400" s="111" t="s">
        <v>686</v>
      </c>
      <c r="E400" s="110">
        <v>20</v>
      </c>
    </row>
    <row r="401" spans="1:5" x14ac:dyDescent="0.25">
      <c r="A401" s="109" t="s">
        <v>790</v>
      </c>
      <c r="B401" s="111" t="s">
        <v>684</v>
      </c>
      <c r="C401" s="109" t="s">
        <v>699</v>
      </c>
      <c r="D401" s="111" t="s">
        <v>686</v>
      </c>
      <c r="E401" s="110">
        <v>180</v>
      </c>
    </row>
    <row r="402" spans="1:5" x14ac:dyDescent="0.25">
      <c r="A402" s="109" t="s">
        <v>790</v>
      </c>
      <c r="B402" s="111" t="s">
        <v>684</v>
      </c>
      <c r="C402" s="109" t="s">
        <v>701</v>
      </c>
      <c r="D402" s="111" t="s">
        <v>686</v>
      </c>
      <c r="E402" s="110">
        <v>72</v>
      </c>
    </row>
    <row r="403" spans="1:5" x14ac:dyDescent="0.25">
      <c r="A403" s="109" t="s">
        <v>790</v>
      </c>
      <c r="B403" s="111" t="s">
        <v>684</v>
      </c>
      <c r="C403" s="109" t="s">
        <v>1017</v>
      </c>
      <c r="D403" s="111" t="s">
        <v>686</v>
      </c>
      <c r="E403" s="110">
        <v>300</v>
      </c>
    </row>
    <row r="404" spans="1:5" x14ac:dyDescent="0.25">
      <c r="A404" s="109" t="s">
        <v>790</v>
      </c>
      <c r="B404" s="111" t="s">
        <v>684</v>
      </c>
      <c r="C404" s="109" t="s">
        <v>1073</v>
      </c>
      <c r="D404" s="111" t="s">
        <v>686</v>
      </c>
      <c r="E404" s="110">
        <v>60</v>
      </c>
    </row>
    <row r="405" spans="1:5" x14ac:dyDescent="0.25">
      <c r="A405" s="107" t="s">
        <v>1074</v>
      </c>
      <c r="B405" s="107" t="s">
        <v>684</v>
      </c>
      <c r="C405" s="107" t="s">
        <v>685</v>
      </c>
      <c r="D405" s="107" t="s">
        <v>686</v>
      </c>
      <c r="E405" s="108">
        <v>2368</v>
      </c>
    </row>
    <row r="406" spans="1:5" x14ac:dyDescent="0.25">
      <c r="A406" s="107" t="s">
        <v>1074</v>
      </c>
      <c r="B406" s="107" t="s">
        <v>684</v>
      </c>
      <c r="C406" s="107" t="s">
        <v>689</v>
      </c>
      <c r="D406" s="107" t="s">
        <v>686</v>
      </c>
      <c r="E406" s="108">
        <v>200</v>
      </c>
    </row>
    <row r="407" spans="1:5" x14ac:dyDescent="0.25">
      <c r="A407" s="107" t="s">
        <v>1074</v>
      </c>
      <c r="B407" s="107" t="s">
        <v>684</v>
      </c>
      <c r="C407" s="107" t="s">
        <v>692</v>
      </c>
      <c r="D407" s="107" t="s">
        <v>686</v>
      </c>
      <c r="E407" s="108">
        <v>40</v>
      </c>
    </row>
    <row r="408" spans="1:5" x14ac:dyDescent="0.25">
      <c r="A408" s="107" t="s">
        <v>1074</v>
      </c>
      <c r="B408" s="107" t="s">
        <v>684</v>
      </c>
      <c r="C408" s="107" t="s">
        <v>85</v>
      </c>
      <c r="D408" s="107" t="s">
        <v>686</v>
      </c>
      <c r="E408" s="108">
        <v>520</v>
      </c>
    </row>
    <row r="409" spans="1:5" x14ac:dyDescent="0.25">
      <c r="A409" s="107" t="s">
        <v>1074</v>
      </c>
      <c r="B409" s="107" t="s">
        <v>684</v>
      </c>
      <c r="C409" s="107" t="s">
        <v>696</v>
      </c>
      <c r="D409" s="107" t="s">
        <v>686</v>
      </c>
      <c r="E409" s="108">
        <v>20</v>
      </c>
    </row>
    <row r="410" spans="1:5" x14ac:dyDescent="0.25">
      <c r="A410" s="107" t="s">
        <v>1074</v>
      </c>
      <c r="B410" s="107" t="s">
        <v>684</v>
      </c>
      <c r="C410" s="107" t="s">
        <v>699</v>
      </c>
      <c r="D410" s="107" t="s">
        <v>686</v>
      </c>
      <c r="E410" s="108">
        <v>180</v>
      </c>
    </row>
    <row r="411" spans="1:5" x14ac:dyDescent="0.25">
      <c r="A411" s="107" t="s">
        <v>1074</v>
      </c>
      <c r="B411" s="107" t="s">
        <v>684</v>
      </c>
      <c r="C411" s="107" t="s">
        <v>701</v>
      </c>
      <c r="D411" s="107" t="s">
        <v>686</v>
      </c>
      <c r="E411" s="108">
        <v>72</v>
      </c>
    </row>
    <row r="412" spans="1:5" x14ac:dyDescent="0.25">
      <c r="A412" s="107" t="s">
        <v>1074</v>
      </c>
      <c r="B412" s="107" t="s">
        <v>684</v>
      </c>
      <c r="C412" s="107" t="s">
        <v>1017</v>
      </c>
      <c r="D412" s="107" t="s">
        <v>686</v>
      </c>
      <c r="E412" s="108">
        <v>200</v>
      </c>
    </row>
    <row r="413" spans="1:5" x14ac:dyDescent="0.25">
      <c r="A413" s="107" t="s">
        <v>1074</v>
      </c>
      <c r="B413" s="107" t="s">
        <v>684</v>
      </c>
      <c r="C413" s="107" t="s">
        <v>1018</v>
      </c>
      <c r="D413" s="107" t="s">
        <v>686</v>
      </c>
      <c r="E413" s="108">
        <v>400</v>
      </c>
    </row>
    <row r="414" spans="1:5" x14ac:dyDescent="0.25">
      <c r="A414" s="107" t="s">
        <v>1074</v>
      </c>
      <c r="B414" s="107" t="s">
        <v>684</v>
      </c>
      <c r="C414" s="107" t="s">
        <v>716</v>
      </c>
      <c r="D414" s="107" t="s">
        <v>686</v>
      </c>
      <c r="E414" s="108">
        <v>300</v>
      </c>
    </row>
    <row r="415" spans="1:5" x14ac:dyDescent="0.25">
      <c r="A415" s="107" t="s">
        <v>1074</v>
      </c>
      <c r="B415" s="107" t="s">
        <v>684</v>
      </c>
      <c r="C415" s="107" t="s">
        <v>1075</v>
      </c>
      <c r="D415" s="107" t="s">
        <v>686</v>
      </c>
      <c r="E415" s="108">
        <v>80</v>
      </c>
    </row>
    <row r="416" spans="1:5" x14ac:dyDescent="0.25">
      <c r="A416" s="107" t="s">
        <v>1074</v>
      </c>
      <c r="B416" s="107" t="s">
        <v>684</v>
      </c>
      <c r="C416" s="107" t="s">
        <v>711</v>
      </c>
      <c r="D416" s="107" t="s">
        <v>686</v>
      </c>
      <c r="E416" s="108">
        <v>80</v>
      </c>
    </row>
    <row r="417" spans="1:5" x14ac:dyDescent="0.25">
      <c r="A417" s="109" t="s">
        <v>738</v>
      </c>
      <c r="B417" s="111" t="s">
        <v>684</v>
      </c>
      <c r="C417" s="109" t="s">
        <v>685</v>
      </c>
      <c r="D417" s="111" t="s">
        <v>686</v>
      </c>
      <c r="E417" s="110">
        <v>2580</v>
      </c>
    </row>
    <row r="418" spans="1:5" x14ac:dyDescent="0.25">
      <c r="A418" s="109" t="s">
        <v>738</v>
      </c>
      <c r="B418" s="111" t="s">
        <v>684</v>
      </c>
      <c r="C418" s="109" t="s">
        <v>689</v>
      </c>
      <c r="D418" s="111" t="s">
        <v>686</v>
      </c>
      <c r="E418" s="110">
        <v>80</v>
      </c>
    </row>
    <row r="419" spans="1:5" x14ac:dyDescent="0.25">
      <c r="A419" s="109" t="s">
        <v>738</v>
      </c>
      <c r="B419" s="111" t="s">
        <v>684</v>
      </c>
      <c r="C419" s="109" t="s">
        <v>692</v>
      </c>
      <c r="D419" s="111" t="s">
        <v>686</v>
      </c>
      <c r="E419" s="110">
        <v>0</v>
      </c>
    </row>
    <row r="420" spans="1:5" x14ac:dyDescent="0.25">
      <c r="A420" s="109" t="s">
        <v>738</v>
      </c>
      <c r="B420" s="111" t="s">
        <v>684</v>
      </c>
      <c r="C420" s="109" t="s">
        <v>85</v>
      </c>
      <c r="D420" s="111" t="s">
        <v>686</v>
      </c>
      <c r="E420" s="110">
        <v>120</v>
      </c>
    </row>
    <row r="421" spans="1:5" x14ac:dyDescent="0.25">
      <c r="A421" s="109" t="s">
        <v>738</v>
      </c>
      <c r="B421" s="111" t="s">
        <v>684</v>
      </c>
      <c r="C421" s="109" t="s">
        <v>696</v>
      </c>
      <c r="D421" s="111" t="s">
        <v>686</v>
      </c>
      <c r="E421" s="110">
        <v>20</v>
      </c>
    </row>
    <row r="422" spans="1:5" x14ac:dyDescent="0.25">
      <c r="A422" s="109" t="s">
        <v>738</v>
      </c>
      <c r="B422" s="111" t="s">
        <v>684</v>
      </c>
      <c r="C422" s="109" t="s">
        <v>699</v>
      </c>
      <c r="D422" s="111" t="s">
        <v>686</v>
      </c>
      <c r="E422" s="110">
        <v>140</v>
      </c>
    </row>
    <row r="423" spans="1:5" x14ac:dyDescent="0.25">
      <c r="A423" s="109" t="s">
        <v>738</v>
      </c>
      <c r="B423" s="111" t="s">
        <v>684</v>
      </c>
      <c r="C423" s="109" t="s">
        <v>701</v>
      </c>
      <c r="D423" s="111" t="s">
        <v>686</v>
      </c>
      <c r="E423" s="110">
        <v>100</v>
      </c>
    </row>
    <row r="424" spans="1:5" x14ac:dyDescent="0.25">
      <c r="A424" s="109" t="s">
        <v>738</v>
      </c>
      <c r="B424" s="111" t="s">
        <v>684</v>
      </c>
      <c r="C424" s="109" t="s">
        <v>722</v>
      </c>
      <c r="D424" s="111" t="s">
        <v>686</v>
      </c>
      <c r="E424" s="110">
        <v>800</v>
      </c>
    </row>
    <row r="425" spans="1:5" x14ac:dyDescent="0.25">
      <c r="A425" s="109" t="s">
        <v>738</v>
      </c>
      <c r="B425" s="111" t="s">
        <v>684</v>
      </c>
      <c r="C425" s="109" t="s">
        <v>710</v>
      </c>
      <c r="D425" s="111" t="s">
        <v>686</v>
      </c>
      <c r="E425" s="110">
        <v>160</v>
      </c>
    </row>
    <row r="426" spans="1:5" x14ac:dyDescent="0.25">
      <c r="A426" s="107" t="s">
        <v>1076</v>
      </c>
      <c r="B426" s="107" t="s">
        <v>684</v>
      </c>
      <c r="C426" s="107" t="s">
        <v>685</v>
      </c>
      <c r="D426" s="107" t="s">
        <v>686</v>
      </c>
      <c r="E426" s="108">
        <v>2639.4454946439823</v>
      </c>
    </row>
    <row r="427" spans="1:5" x14ac:dyDescent="0.25">
      <c r="A427" s="107" t="s">
        <v>1076</v>
      </c>
      <c r="B427" s="107" t="s">
        <v>684</v>
      </c>
      <c r="C427" s="107" t="s">
        <v>692</v>
      </c>
      <c r="D427" s="107" t="s">
        <v>686</v>
      </c>
      <c r="E427" s="108">
        <v>199.95799201848351</v>
      </c>
    </row>
    <row r="428" spans="1:5" x14ac:dyDescent="0.25">
      <c r="A428" s="107" t="s">
        <v>1076</v>
      </c>
      <c r="B428" s="107" t="s">
        <v>684</v>
      </c>
      <c r="C428" s="107" t="s">
        <v>696</v>
      </c>
      <c r="D428" s="107" t="s">
        <v>686</v>
      </c>
      <c r="E428" s="108">
        <v>19.995799201848349</v>
      </c>
    </row>
    <row r="429" spans="1:5" x14ac:dyDescent="0.25">
      <c r="A429" s="107" t="s">
        <v>1076</v>
      </c>
      <c r="B429" s="107" t="s">
        <v>684</v>
      </c>
      <c r="C429" s="107" t="s">
        <v>699</v>
      </c>
      <c r="D429" s="107" t="s">
        <v>686</v>
      </c>
      <c r="E429" s="108">
        <v>159.9663936147868</v>
      </c>
    </row>
    <row r="430" spans="1:5" x14ac:dyDescent="0.25">
      <c r="A430" s="107" t="s">
        <v>1076</v>
      </c>
      <c r="B430" s="107" t="s">
        <v>684</v>
      </c>
      <c r="C430" s="107" t="s">
        <v>701</v>
      </c>
      <c r="D430" s="107" t="s">
        <v>686</v>
      </c>
      <c r="E430" s="108">
        <v>100.81915563957151</v>
      </c>
    </row>
    <row r="431" spans="1:5" x14ac:dyDescent="0.25">
      <c r="A431" s="107" t="s">
        <v>1076</v>
      </c>
      <c r="B431" s="107" t="s">
        <v>684</v>
      </c>
      <c r="C431" s="107" t="s">
        <v>1076</v>
      </c>
      <c r="D431" s="107" t="s">
        <v>686</v>
      </c>
      <c r="E431" s="108">
        <v>879.81516488132741</v>
      </c>
    </row>
    <row r="432" spans="1:5" x14ac:dyDescent="0.25">
      <c r="A432" s="109" t="s">
        <v>1077</v>
      </c>
      <c r="B432" s="111" t="s">
        <v>684</v>
      </c>
      <c r="C432" s="109" t="s">
        <v>685</v>
      </c>
      <c r="D432" s="111" t="s">
        <v>686</v>
      </c>
      <c r="E432" s="110">
        <v>1319.7227473219912</v>
      </c>
    </row>
    <row r="433" spans="1:5" x14ac:dyDescent="0.25">
      <c r="A433" s="109" t="s">
        <v>1077</v>
      </c>
      <c r="B433" s="111" t="s">
        <v>684</v>
      </c>
      <c r="C433" s="109" t="s">
        <v>692</v>
      </c>
      <c r="D433" s="111" t="s">
        <v>686</v>
      </c>
      <c r="E433" s="110">
        <v>99.978996009241754</v>
      </c>
    </row>
    <row r="434" spans="1:5" x14ac:dyDescent="0.25">
      <c r="A434" s="109" t="s">
        <v>1077</v>
      </c>
      <c r="B434" s="111" t="s">
        <v>684</v>
      </c>
      <c r="C434" s="109" t="s">
        <v>696</v>
      </c>
      <c r="D434" s="111" t="s">
        <v>686</v>
      </c>
      <c r="E434" s="110">
        <v>9.9978996009241747</v>
      </c>
    </row>
    <row r="435" spans="1:5" x14ac:dyDescent="0.25">
      <c r="A435" s="109" t="s">
        <v>1077</v>
      </c>
      <c r="B435" s="111" t="s">
        <v>684</v>
      </c>
      <c r="C435" s="109" t="s">
        <v>699</v>
      </c>
      <c r="D435" s="111" t="s">
        <v>686</v>
      </c>
      <c r="E435" s="110">
        <v>79.983196807393398</v>
      </c>
    </row>
    <row r="436" spans="1:5" x14ac:dyDescent="0.25">
      <c r="A436" s="109" t="s">
        <v>1077</v>
      </c>
      <c r="B436" s="111" t="s">
        <v>684</v>
      </c>
      <c r="C436" s="109" t="s">
        <v>701</v>
      </c>
      <c r="D436" s="111" t="s">
        <v>686</v>
      </c>
      <c r="E436" s="110">
        <v>50.409577819785753</v>
      </c>
    </row>
    <row r="437" spans="1:5" x14ac:dyDescent="0.25">
      <c r="A437" s="109" t="s">
        <v>1077</v>
      </c>
      <c r="B437" s="111" t="s">
        <v>684</v>
      </c>
      <c r="C437" s="109" t="s">
        <v>1076</v>
      </c>
      <c r="D437" s="111" t="s">
        <v>686</v>
      </c>
      <c r="E437" s="110">
        <v>439.9075824406637</v>
      </c>
    </row>
    <row r="438" spans="1:5" x14ac:dyDescent="0.25">
      <c r="A438" s="109" t="s">
        <v>1077</v>
      </c>
      <c r="B438" s="111" t="s">
        <v>684</v>
      </c>
      <c r="C438" s="109" t="s">
        <v>1078</v>
      </c>
      <c r="D438" s="111" t="s">
        <v>686</v>
      </c>
      <c r="E438" s="110">
        <v>300</v>
      </c>
    </row>
    <row r="439" spans="1:5" x14ac:dyDescent="0.25">
      <c r="A439" s="107" t="s">
        <v>1079</v>
      </c>
      <c r="B439" s="107" t="s">
        <v>684</v>
      </c>
      <c r="C439" s="107" t="s">
        <v>685</v>
      </c>
      <c r="D439" s="107" t="s">
        <v>686</v>
      </c>
      <c r="E439" s="108">
        <v>5080</v>
      </c>
    </row>
    <row r="440" spans="1:5" x14ac:dyDescent="0.25">
      <c r="A440" s="107" t="s">
        <v>1079</v>
      </c>
      <c r="B440" s="107" t="s">
        <v>684</v>
      </c>
      <c r="C440" s="107" t="s">
        <v>689</v>
      </c>
      <c r="D440" s="107" t="s">
        <v>686</v>
      </c>
      <c r="E440" s="108">
        <v>320</v>
      </c>
    </row>
    <row r="441" spans="1:5" x14ac:dyDescent="0.25">
      <c r="A441" s="107" t="s">
        <v>1079</v>
      </c>
      <c r="B441" s="107" t="s">
        <v>684</v>
      </c>
      <c r="C441" s="107" t="s">
        <v>692</v>
      </c>
      <c r="D441" s="107" t="s">
        <v>686</v>
      </c>
      <c r="E441" s="108">
        <v>880</v>
      </c>
    </row>
    <row r="442" spans="1:5" x14ac:dyDescent="0.25">
      <c r="A442" s="107" t="s">
        <v>1079</v>
      </c>
      <c r="B442" s="107" t="s">
        <v>684</v>
      </c>
      <c r="C442" s="107" t="s">
        <v>85</v>
      </c>
      <c r="D442" s="107" t="s">
        <v>686</v>
      </c>
      <c r="E442" s="108">
        <v>0</v>
      </c>
    </row>
    <row r="443" spans="1:5" x14ac:dyDescent="0.25">
      <c r="A443" s="107" t="s">
        <v>1079</v>
      </c>
      <c r="B443" s="107" t="s">
        <v>684</v>
      </c>
      <c r="C443" s="107" t="s">
        <v>696</v>
      </c>
      <c r="D443" s="107" t="s">
        <v>686</v>
      </c>
      <c r="E443" s="108">
        <v>40</v>
      </c>
    </row>
    <row r="444" spans="1:5" x14ac:dyDescent="0.25">
      <c r="A444" s="107" t="s">
        <v>1079</v>
      </c>
      <c r="B444" s="107" t="s">
        <v>684</v>
      </c>
      <c r="C444" s="107" t="s">
        <v>699</v>
      </c>
      <c r="D444" s="107" t="s">
        <v>686</v>
      </c>
      <c r="E444" s="108">
        <v>360</v>
      </c>
    </row>
    <row r="445" spans="1:5" x14ac:dyDescent="0.25">
      <c r="A445" s="107" t="s">
        <v>1079</v>
      </c>
      <c r="B445" s="107" t="s">
        <v>684</v>
      </c>
      <c r="C445" s="107" t="s">
        <v>701</v>
      </c>
      <c r="D445" s="107" t="s">
        <v>686</v>
      </c>
      <c r="E445" s="108">
        <v>280</v>
      </c>
    </row>
    <row r="446" spans="1:5" x14ac:dyDescent="0.25">
      <c r="A446" s="107" t="s">
        <v>1079</v>
      </c>
      <c r="B446" s="107" t="s">
        <v>684</v>
      </c>
      <c r="C446" s="107" t="s">
        <v>1017</v>
      </c>
      <c r="D446" s="107" t="s">
        <v>686</v>
      </c>
      <c r="E446" s="108">
        <v>400</v>
      </c>
    </row>
    <row r="447" spans="1:5" x14ac:dyDescent="0.25">
      <c r="A447" s="107" t="s">
        <v>1079</v>
      </c>
      <c r="B447" s="107" t="s">
        <v>684</v>
      </c>
      <c r="C447" s="107" t="s">
        <v>1080</v>
      </c>
      <c r="D447" s="107" t="s">
        <v>686</v>
      </c>
      <c r="E447" s="108">
        <v>640</v>
      </c>
    </row>
    <row r="448" spans="1:5" x14ac:dyDescent="0.25">
      <c r="A448" s="109" t="s">
        <v>1081</v>
      </c>
      <c r="B448" s="111" t="s">
        <v>684</v>
      </c>
      <c r="C448" s="109" t="s">
        <v>685</v>
      </c>
      <c r="D448" s="111" t="s">
        <v>686</v>
      </c>
      <c r="E448" s="110">
        <v>2520</v>
      </c>
    </row>
    <row r="449" spans="1:5" x14ac:dyDescent="0.25">
      <c r="A449" s="109" t="s">
        <v>1081</v>
      </c>
      <c r="B449" s="111" t="s">
        <v>684</v>
      </c>
      <c r="C449" s="109" t="s">
        <v>689</v>
      </c>
      <c r="D449" s="111" t="s">
        <v>686</v>
      </c>
      <c r="E449" s="110">
        <v>160</v>
      </c>
    </row>
    <row r="450" spans="1:5" x14ac:dyDescent="0.25">
      <c r="A450" s="109" t="s">
        <v>1081</v>
      </c>
      <c r="B450" s="111" t="s">
        <v>684</v>
      </c>
      <c r="C450" s="109" t="s">
        <v>692</v>
      </c>
      <c r="D450" s="111" t="s">
        <v>686</v>
      </c>
      <c r="E450" s="110">
        <v>0</v>
      </c>
    </row>
    <row r="451" spans="1:5" x14ac:dyDescent="0.25">
      <c r="A451" s="109" t="s">
        <v>1081</v>
      </c>
      <c r="B451" s="111" t="s">
        <v>684</v>
      </c>
      <c r="C451" s="109" t="s">
        <v>85</v>
      </c>
      <c r="D451" s="111" t="s">
        <v>686</v>
      </c>
      <c r="E451" s="110">
        <v>748</v>
      </c>
    </row>
    <row r="452" spans="1:5" x14ac:dyDescent="0.25">
      <c r="A452" s="109" t="s">
        <v>1081</v>
      </c>
      <c r="B452" s="111" t="s">
        <v>684</v>
      </c>
      <c r="C452" s="109" t="s">
        <v>696</v>
      </c>
      <c r="D452" s="111" t="s">
        <v>686</v>
      </c>
      <c r="E452" s="110">
        <v>20</v>
      </c>
    </row>
    <row r="453" spans="1:5" x14ac:dyDescent="0.25">
      <c r="A453" s="109" t="s">
        <v>1081</v>
      </c>
      <c r="B453" s="111" t="s">
        <v>684</v>
      </c>
      <c r="C453" s="109" t="s">
        <v>699</v>
      </c>
      <c r="D453" s="111" t="s">
        <v>686</v>
      </c>
      <c r="E453" s="110">
        <v>180</v>
      </c>
    </row>
    <row r="454" spans="1:5" x14ac:dyDescent="0.25">
      <c r="A454" s="109" t="s">
        <v>1081</v>
      </c>
      <c r="B454" s="111" t="s">
        <v>684</v>
      </c>
      <c r="C454" s="109" t="s">
        <v>701</v>
      </c>
      <c r="D454" s="111" t="s">
        <v>686</v>
      </c>
      <c r="E454" s="110">
        <v>72</v>
      </c>
    </row>
    <row r="455" spans="1:5" x14ac:dyDescent="0.25">
      <c r="A455" s="109" t="s">
        <v>1081</v>
      </c>
      <c r="B455" s="111" t="s">
        <v>684</v>
      </c>
      <c r="C455" s="109" t="s">
        <v>1017</v>
      </c>
      <c r="D455" s="111" t="s">
        <v>686</v>
      </c>
      <c r="E455" s="110">
        <v>300</v>
      </c>
    </row>
    <row r="456" spans="1:5" x14ac:dyDescent="0.25">
      <c r="A456" s="109" t="s">
        <v>1081</v>
      </c>
      <c r="B456" s="111" t="s">
        <v>684</v>
      </c>
      <c r="C456" s="109" t="s">
        <v>93</v>
      </c>
      <c r="D456" s="111" t="s">
        <v>686</v>
      </c>
      <c r="E456" s="110">
        <v>300</v>
      </c>
    </row>
    <row r="457" spans="1:5" x14ac:dyDescent="0.25">
      <c r="A457" s="109" t="s">
        <v>1081</v>
      </c>
      <c r="B457" s="111" t="s">
        <v>684</v>
      </c>
      <c r="C457" s="109" t="s">
        <v>104</v>
      </c>
      <c r="D457" s="111" t="s">
        <v>686</v>
      </c>
      <c r="E457" s="110">
        <v>150</v>
      </c>
    </row>
    <row r="458" spans="1:5" x14ac:dyDescent="0.25">
      <c r="A458" s="109" t="s">
        <v>1081</v>
      </c>
      <c r="B458" s="111" t="s">
        <v>684</v>
      </c>
      <c r="C458" s="109" t="s">
        <v>716</v>
      </c>
      <c r="D458" s="111" t="s">
        <v>686</v>
      </c>
      <c r="E458" s="110">
        <v>240</v>
      </c>
    </row>
    <row r="459" spans="1:5" x14ac:dyDescent="0.25">
      <c r="A459" s="109" t="s">
        <v>1081</v>
      </c>
      <c r="B459" s="111" t="s">
        <v>684</v>
      </c>
      <c r="C459" s="109" t="s">
        <v>1082</v>
      </c>
      <c r="D459" s="111" t="s">
        <v>686</v>
      </c>
      <c r="E459" s="110">
        <v>240</v>
      </c>
    </row>
    <row r="460" spans="1:5" x14ac:dyDescent="0.25">
      <c r="A460" s="107" t="s">
        <v>1083</v>
      </c>
      <c r="B460" s="107" t="s">
        <v>684</v>
      </c>
      <c r="C460" s="107" t="s">
        <v>685</v>
      </c>
      <c r="D460" s="107" t="s">
        <v>686</v>
      </c>
      <c r="E460" s="108">
        <v>2520</v>
      </c>
    </row>
    <row r="461" spans="1:5" x14ac:dyDescent="0.25">
      <c r="A461" s="107" t="s">
        <v>1083</v>
      </c>
      <c r="B461" s="107" t="s">
        <v>684</v>
      </c>
      <c r="C461" s="107" t="s">
        <v>689</v>
      </c>
      <c r="D461" s="107" t="s">
        <v>686</v>
      </c>
      <c r="E461" s="108">
        <v>160</v>
      </c>
    </row>
    <row r="462" spans="1:5" x14ac:dyDescent="0.25">
      <c r="A462" s="107" t="s">
        <v>1083</v>
      </c>
      <c r="B462" s="107" t="s">
        <v>684</v>
      </c>
      <c r="C462" s="107" t="s">
        <v>692</v>
      </c>
      <c r="D462" s="107" t="s">
        <v>686</v>
      </c>
      <c r="E462" s="108">
        <v>0</v>
      </c>
    </row>
    <row r="463" spans="1:5" x14ac:dyDescent="0.25">
      <c r="A463" s="107" t="s">
        <v>1083</v>
      </c>
      <c r="B463" s="107" t="s">
        <v>684</v>
      </c>
      <c r="C463" s="107" t="s">
        <v>85</v>
      </c>
      <c r="D463" s="107" t="s">
        <v>686</v>
      </c>
      <c r="E463" s="108">
        <v>748</v>
      </c>
    </row>
    <row r="464" spans="1:5" x14ac:dyDescent="0.25">
      <c r="A464" s="107" t="s">
        <v>1083</v>
      </c>
      <c r="B464" s="107" t="s">
        <v>684</v>
      </c>
      <c r="C464" s="107" t="s">
        <v>696</v>
      </c>
      <c r="D464" s="107" t="s">
        <v>686</v>
      </c>
      <c r="E464" s="108">
        <v>20</v>
      </c>
    </row>
    <row r="465" spans="1:5" x14ac:dyDescent="0.25">
      <c r="A465" s="107" t="s">
        <v>1083</v>
      </c>
      <c r="B465" s="107" t="s">
        <v>684</v>
      </c>
      <c r="C465" s="107" t="s">
        <v>699</v>
      </c>
      <c r="D465" s="107" t="s">
        <v>686</v>
      </c>
      <c r="E465" s="108">
        <v>180</v>
      </c>
    </row>
    <row r="466" spans="1:5" x14ac:dyDescent="0.25">
      <c r="A466" s="107" t="s">
        <v>1083</v>
      </c>
      <c r="B466" s="107" t="s">
        <v>684</v>
      </c>
      <c r="C466" s="107" t="s">
        <v>701</v>
      </c>
      <c r="D466" s="107" t="s">
        <v>686</v>
      </c>
      <c r="E466" s="108">
        <v>72</v>
      </c>
    </row>
    <row r="467" spans="1:5" x14ac:dyDescent="0.25">
      <c r="A467" s="107" t="s">
        <v>1083</v>
      </c>
      <c r="B467" s="107" t="s">
        <v>684</v>
      </c>
      <c r="C467" s="107" t="s">
        <v>1017</v>
      </c>
      <c r="D467" s="107" t="s">
        <v>686</v>
      </c>
      <c r="E467" s="108">
        <v>300</v>
      </c>
    </row>
    <row r="468" spans="1:5" x14ac:dyDescent="0.25">
      <c r="A468" s="107" t="s">
        <v>1083</v>
      </c>
      <c r="B468" s="107" t="s">
        <v>684</v>
      </c>
      <c r="C468" s="107" t="s">
        <v>589</v>
      </c>
      <c r="D468" s="107" t="s">
        <v>686</v>
      </c>
      <c r="E468" s="108">
        <v>250</v>
      </c>
    </row>
    <row r="469" spans="1:5" x14ac:dyDescent="0.25">
      <c r="A469" s="107" t="s">
        <v>1083</v>
      </c>
      <c r="B469" s="107" t="s">
        <v>684</v>
      </c>
      <c r="C469" s="107" t="s">
        <v>1084</v>
      </c>
      <c r="D469" s="107" t="s">
        <v>686</v>
      </c>
      <c r="E469" s="108">
        <v>400</v>
      </c>
    </row>
    <row r="470" spans="1:5" x14ac:dyDescent="0.25">
      <c r="A470" s="107" t="s">
        <v>1083</v>
      </c>
      <c r="B470" s="107" t="s">
        <v>684</v>
      </c>
      <c r="C470" s="107" t="s">
        <v>692</v>
      </c>
      <c r="D470" s="107" t="s">
        <v>686</v>
      </c>
      <c r="E470" s="108">
        <v>250</v>
      </c>
    </row>
    <row r="471" spans="1:5" x14ac:dyDescent="0.25">
      <c r="A471" s="109" t="s">
        <v>1085</v>
      </c>
      <c r="B471" s="111" t="s">
        <v>684</v>
      </c>
      <c r="C471" s="109" t="s">
        <v>685</v>
      </c>
      <c r="D471" s="111" t="s">
        <v>686</v>
      </c>
      <c r="E471" s="110">
        <v>3000</v>
      </c>
    </row>
    <row r="472" spans="1:5" x14ac:dyDescent="0.25">
      <c r="A472" s="109" t="s">
        <v>1085</v>
      </c>
      <c r="B472" s="111" t="s">
        <v>684</v>
      </c>
      <c r="C472" s="109" t="s">
        <v>1017</v>
      </c>
      <c r="D472" s="111" t="s">
        <v>686</v>
      </c>
      <c r="E472" s="110">
        <v>150</v>
      </c>
    </row>
    <row r="473" spans="1:5" x14ac:dyDescent="0.25">
      <c r="A473" s="109" t="s">
        <v>1085</v>
      </c>
      <c r="B473" s="111" t="s">
        <v>684</v>
      </c>
      <c r="C473" s="109" t="s">
        <v>1086</v>
      </c>
      <c r="D473" s="111" t="s">
        <v>686</v>
      </c>
      <c r="E473" s="110">
        <v>900</v>
      </c>
    </row>
    <row r="474" spans="1:5" x14ac:dyDescent="0.25">
      <c r="A474" s="109" t="s">
        <v>1085</v>
      </c>
      <c r="B474" s="111" t="s">
        <v>684</v>
      </c>
      <c r="C474" s="109" t="s">
        <v>115</v>
      </c>
      <c r="D474" s="111" t="s">
        <v>686</v>
      </c>
      <c r="E474" s="110">
        <v>5</v>
      </c>
    </row>
    <row r="475" spans="1:5" x14ac:dyDescent="0.25">
      <c r="A475" s="109" t="s">
        <v>1085</v>
      </c>
      <c r="B475" s="111" t="s">
        <v>684</v>
      </c>
      <c r="C475" s="109" t="s">
        <v>1087</v>
      </c>
      <c r="D475" s="111" t="s">
        <v>686</v>
      </c>
      <c r="E475" s="110">
        <v>405.5</v>
      </c>
    </row>
    <row r="476" spans="1:5" x14ac:dyDescent="0.25">
      <c r="A476" s="107" t="s">
        <v>1088</v>
      </c>
      <c r="B476" s="107" t="s">
        <v>684</v>
      </c>
      <c r="C476" s="107" t="s">
        <v>685</v>
      </c>
      <c r="D476" s="107" t="s">
        <v>686</v>
      </c>
      <c r="E476" s="108">
        <v>2360</v>
      </c>
    </row>
    <row r="477" spans="1:5" x14ac:dyDescent="0.25">
      <c r="A477" s="107" t="s">
        <v>1088</v>
      </c>
      <c r="B477" s="107" t="s">
        <v>684</v>
      </c>
      <c r="C477" s="107" t="s">
        <v>689</v>
      </c>
      <c r="D477" s="107" t="s">
        <v>686</v>
      </c>
      <c r="E477" s="108">
        <v>240</v>
      </c>
    </row>
    <row r="478" spans="1:5" x14ac:dyDescent="0.25">
      <c r="A478" s="107" t="s">
        <v>1088</v>
      </c>
      <c r="B478" s="107" t="s">
        <v>684</v>
      </c>
      <c r="C478" s="107" t="s">
        <v>692</v>
      </c>
      <c r="D478" s="107" t="s">
        <v>686</v>
      </c>
      <c r="E478" s="108">
        <v>400</v>
      </c>
    </row>
    <row r="479" spans="1:5" x14ac:dyDescent="0.25">
      <c r="A479" s="107" t="s">
        <v>1088</v>
      </c>
      <c r="B479" s="107" t="s">
        <v>684</v>
      </c>
      <c r="C479" s="107" t="s">
        <v>696</v>
      </c>
      <c r="D479" s="107" t="s">
        <v>686</v>
      </c>
      <c r="E479" s="108">
        <v>20</v>
      </c>
    </row>
    <row r="480" spans="1:5" x14ac:dyDescent="0.25">
      <c r="A480" s="107" t="s">
        <v>1088</v>
      </c>
      <c r="B480" s="107" t="s">
        <v>684</v>
      </c>
      <c r="C480" s="107" t="s">
        <v>699</v>
      </c>
      <c r="D480" s="107" t="s">
        <v>686</v>
      </c>
      <c r="E480" s="108">
        <v>180</v>
      </c>
    </row>
    <row r="481" spans="1:5" x14ac:dyDescent="0.25">
      <c r="A481" s="107" t="s">
        <v>1088</v>
      </c>
      <c r="B481" s="107" t="s">
        <v>684</v>
      </c>
      <c r="C481" s="107" t="s">
        <v>701</v>
      </c>
      <c r="D481" s="107" t="s">
        <v>686</v>
      </c>
      <c r="E481" s="108">
        <v>120</v>
      </c>
    </row>
    <row r="482" spans="1:5" x14ac:dyDescent="0.25">
      <c r="A482" s="107" t="s">
        <v>1088</v>
      </c>
      <c r="B482" s="107" t="s">
        <v>684</v>
      </c>
      <c r="C482" s="107" t="s">
        <v>1089</v>
      </c>
      <c r="D482" s="107" t="s">
        <v>686</v>
      </c>
      <c r="E482" s="108">
        <v>320</v>
      </c>
    </row>
    <row r="483" spans="1:5" x14ac:dyDescent="0.25">
      <c r="A483" s="107" t="s">
        <v>1088</v>
      </c>
      <c r="B483" s="107" t="s">
        <v>684</v>
      </c>
      <c r="C483" s="107" t="s">
        <v>1017</v>
      </c>
      <c r="D483" s="107" t="s">
        <v>686</v>
      </c>
      <c r="E483" s="108">
        <v>360</v>
      </c>
    </row>
    <row r="484" spans="1:5" x14ac:dyDescent="0.25">
      <c r="A484" s="109" t="s">
        <v>1090</v>
      </c>
      <c r="B484" s="111" t="s">
        <v>684</v>
      </c>
      <c r="C484" s="109" t="s">
        <v>685</v>
      </c>
      <c r="D484" s="111" t="s">
        <v>686</v>
      </c>
      <c r="E484" s="110">
        <v>2460</v>
      </c>
    </row>
    <row r="485" spans="1:5" x14ac:dyDescent="0.25">
      <c r="A485" s="109" t="s">
        <v>1090</v>
      </c>
      <c r="B485" s="111" t="s">
        <v>684</v>
      </c>
      <c r="C485" s="109" t="s">
        <v>689</v>
      </c>
      <c r="D485" s="111" t="s">
        <v>686</v>
      </c>
      <c r="E485" s="110">
        <v>0</v>
      </c>
    </row>
    <row r="486" spans="1:5" x14ac:dyDescent="0.25">
      <c r="A486" s="109" t="s">
        <v>1090</v>
      </c>
      <c r="B486" s="111" t="s">
        <v>684</v>
      </c>
      <c r="C486" s="109" t="s">
        <v>692</v>
      </c>
      <c r="D486" s="111" t="s">
        <v>686</v>
      </c>
      <c r="E486" s="110">
        <v>0</v>
      </c>
    </row>
    <row r="487" spans="1:5" x14ac:dyDescent="0.25">
      <c r="A487" s="109" t="s">
        <v>1090</v>
      </c>
      <c r="B487" s="111" t="s">
        <v>684</v>
      </c>
      <c r="C487" s="109" t="s">
        <v>85</v>
      </c>
      <c r="D487" s="111" t="s">
        <v>686</v>
      </c>
      <c r="E487" s="110">
        <v>240</v>
      </c>
    </row>
    <row r="488" spans="1:5" x14ac:dyDescent="0.25">
      <c r="A488" s="109" t="s">
        <v>1090</v>
      </c>
      <c r="B488" s="111" t="s">
        <v>684</v>
      </c>
      <c r="C488" s="109" t="s">
        <v>696</v>
      </c>
      <c r="D488" s="111" t="s">
        <v>686</v>
      </c>
      <c r="E488" s="110">
        <v>20</v>
      </c>
    </row>
    <row r="489" spans="1:5" x14ac:dyDescent="0.25">
      <c r="A489" s="109" t="s">
        <v>1090</v>
      </c>
      <c r="B489" s="111" t="s">
        <v>684</v>
      </c>
      <c r="C489" s="109" t="s">
        <v>699</v>
      </c>
      <c r="D489" s="111" t="s">
        <v>686</v>
      </c>
      <c r="E489" s="110">
        <v>140</v>
      </c>
    </row>
    <row r="490" spans="1:5" x14ac:dyDescent="0.25">
      <c r="A490" s="109" t="s">
        <v>1090</v>
      </c>
      <c r="B490" s="111" t="s">
        <v>684</v>
      </c>
      <c r="C490" s="109" t="s">
        <v>701</v>
      </c>
      <c r="D490" s="111" t="s">
        <v>686</v>
      </c>
      <c r="E490" s="110">
        <v>100</v>
      </c>
    </row>
    <row r="491" spans="1:5" x14ac:dyDescent="0.25">
      <c r="A491" s="109" t="s">
        <v>1090</v>
      </c>
      <c r="B491" s="111" t="s">
        <v>684</v>
      </c>
      <c r="C491" s="109" t="s">
        <v>722</v>
      </c>
      <c r="D491" s="111" t="s">
        <v>686</v>
      </c>
      <c r="E491" s="110">
        <v>800</v>
      </c>
    </row>
    <row r="492" spans="1:5" x14ac:dyDescent="0.25">
      <c r="A492" s="109" t="s">
        <v>1090</v>
      </c>
      <c r="B492" s="111" t="s">
        <v>684</v>
      </c>
      <c r="C492" s="109" t="s">
        <v>1091</v>
      </c>
      <c r="D492" s="111" t="s">
        <v>686</v>
      </c>
      <c r="E492" s="110">
        <v>240</v>
      </c>
    </row>
    <row r="493" spans="1:5" x14ac:dyDescent="0.25">
      <c r="A493" s="109" t="s">
        <v>1090</v>
      </c>
      <c r="B493" s="111" t="s">
        <v>684</v>
      </c>
      <c r="C493" s="109" t="s">
        <v>1092</v>
      </c>
      <c r="D493" s="111" t="s">
        <v>686</v>
      </c>
      <c r="E493" s="110">
        <v>0</v>
      </c>
    </row>
    <row r="494" spans="1:5" x14ac:dyDescent="0.25">
      <c r="A494" s="107" t="s">
        <v>826</v>
      </c>
      <c r="B494" s="107" t="s">
        <v>684</v>
      </c>
      <c r="C494" s="107" t="s">
        <v>685</v>
      </c>
      <c r="D494" s="107" t="s">
        <v>686</v>
      </c>
      <c r="E494" s="108">
        <v>2657.1428571428573</v>
      </c>
    </row>
    <row r="495" spans="1:5" x14ac:dyDescent="0.25">
      <c r="A495" s="107" t="s">
        <v>826</v>
      </c>
      <c r="B495" s="107" t="s">
        <v>684</v>
      </c>
      <c r="C495" s="107" t="s">
        <v>689</v>
      </c>
      <c r="D495" s="107" t="s">
        <v>686</v>
      </c>
      <c r="E495" s="108">
        <v>285.71428571428572</v>
      </c>
    </row>
    <row r="496" spans="1:5" x14ac:dyDescent="0.25">
      <c r="A496" s="107" t="s">
        <v>826</v>
      </c>
      <c r="B496" s="107" t="s">
        <v>684</v>
      </c>
      <c r="C496" s="107" t="s">
        <v>692</v>
      </c>
      <c r="D496" s="107" t="s">
        <v>686</v>
      </c>
      <c r="E496" s="108">
        <v>410.71428571428572</v>
      </c>
    </row>
    <row r="497" spans="1:5" x14ac:dyDescent="0.25">
      <c r="A497" s="107" t="s">
        <v>826</v>
      </c>
      <c r="B497" s="107" t="s">
        <v>684</v>
      </c>
      <c r="C497" s="107" t="s">
        <v>696</v>
      </c>
      <c r="D497" s="107" t="s">
        <v>686</v>
      </c>
      <c r="E497" s="108">
        <v>17.857142857142858</v>
      </c>
    </row>
    <row r="498" spans="1:5" x14ac:dyDescent="0.25">
      <c r="A498" s="107" t="s">
        <v>826</v>
      </c>
      <c r="B498" s="107" t="s">
        <v>684</v>
      </c>
      <c r="C498" s="107" t="s">
        <v>699</v>
      </c>
      <c r="D498" s="107" t="s">
        <v>686</v>
      </c>
      <c r="E498" s="108">
        <v>92.857142857142861</v>
      </c>
    </row>
    <row r="499" spans="1:5" x14ac:dyDescent="0.25">
      <c r="A499" s="107" t="s">
        <v>826</v>
      </c>
      <c r="B499" s="107" t="s">
        <v>684</v>
      </c>
      <c r="C499" s="107" t="s">
        <v>701</v>
      </c>
      <c r="D499" s="107" t="s">
        <v>686</v>
      </c>
      <c r="E499" s="108">
        <v>107.14285714285715</v>
      </c>
    </row>
    <row r="500" spans="1:5" x14ac:dyDescent="0.25">
      <c r="A500" s="107" t="s">
        <v>826</v>
      </c>
      <c r="B500" s="107" t="s">
        <v>684</v>
      </c>
      <c r="C500" s="107" t="s">
        <v>1093</v>
      </c>
      <c r="D500" s="107" t="s">
        <v>686</v>
      </c>
      <c r="E500" s="108">
        <v>428.57142857142861</v>
      </c>
    </row>
    <row r="501" spans="1:5" x14ac:dyDescent="0.25">
      <c r="A501" s="107" t="s">
        <v>826</v>
      </c>
      <c r="B501" s="107" t="s">
        <v>684</v>
      </c>
      <c r="C501" s="107" t="s">
        <v>716</v>
      </c>
      <c r="D501" s="107" t="s">
        <v>686</v>
      </c>
      <c r="E501" s="108">
        <v>250</v>
      </c>
    </row>
    <row r="502" spans="1:5" x14ac:dyDescent="0.25">
      <c r="A502" s="107" t="s">
        <v>826</v>
      </c>
      <c r="B502" s="107" t="s">
        <v>684</v>
      </c>
      <c r="C502" s="107" t="s">
        <v>1028</v>
      </c>
      <c r="D502" s="107" t="s">
        <v>686</v>
      </c>
      <c r="E502" s="108">
        <v>500</v>
      </c>
    </row>
    <row r="503" spans="1:5" x14ac:dyDescent="0.25">
      <c r="A503" s="107" t="s">
        <v>826</v>
      </c>
      <c r="B503" s="107" t="s">
        <v>684</v>
      </c>
      <c r="C503" s="107" t="s">
        <v>826</v>
      </c>
      <c r="D503" s="107" t="s">
        <v>686</v>
      </c>
      <c r="E503" s="108">
        <v>250</v>
      </c>
    </row>
    <row r="504" spans="1:5" x14ac:dyDescent="0.25">
      <c r="A504" s="109" t="s">
        <v>1094</v>
      </c>
      <c r="B504" s="111" t="s">
        <v>684</v>
      </c>
      <c r="C504" s="109" t="s">
        <v>685</v>
      </c>
      <c r="D504" s="111" t="s">
        <v>686</v>
      </c>
      <c r="E504" s="110">
        <v>2719.2118226600987</v>
      </c>
    </row>
    <row r="505" spans="1:5" x14ac:dyDescent="0.25">
      <c r="A505" s="109" t="s">
        <v>1094</v>
      </c>
      <c r="B505" s="111" t="s">
        <v>684</v>
      </c>
      <c r="C505" s="109" t="s">
        <v>689</v>
      </c>
      <c r="D505" s="111" t="s">
        <v>686</v>
      </c>
      <c r="E505" s="110">
        <v>315.27093596059115</v>
      </c>
    </row>
    <row r="506" spans="1:5" x14ac:dyDescent="0.25">
      <c r="A506" s="109" t="s">
        <v>1094</v>
      </c>
      <c r="B506" s="111" t="s">
        <v>684</v>
      </c>
      <c r="C506" s="109" t="s">
        <v>692</v>
      </c>
      <c r="D506" s="111" t="s">
        <v>686</v>
      </c>
      <c r="E506" s="110">
        <v>472.90640394088672</v>
      </c>
    </row>
    <row r="507" spans="1:5" x14ac:dyDescent="0.25">
      <c r="A507" s="109" t="s">
        <v>1094</v>
      </c>
      <c r="B507" s="111" t="s">
        <v>684</v>
      </c>
      <c r="C507" s="109" t="s">
        <v>85</v>
      </c>
      <c r="D507" s="111" t="s">
        <v>686</v>
      </c>
      <c r="E507" s="110">
        <v>118.22660098522168</v>
      </c>
    </row>
    <row r="508" spans="1:5" x14ac:dyDescent="0.25">
      <c r="A508" s="109" t="s">
        <v>1094</v>
      </c>
      <c r="B508" s="111" t="s">
        <v>684</v>
      </c>
      <c r="C508" s="109" t="s">
        <v>696</v>
      </c>
      <c r="D508" s="111" t="s">
        <v>686</v>
      </c>
      <c r="E508" s="110">
        <v>19.704433497536947</v>
      </c>
    </row>
    <row r="509" spans="1:5" x14ac:dyDescent="0.25">
      <c r="A509" s="109" t="s">
        <v>1094</v>
      </c>
      <c r="B509" s="111" t="s">
        <v>684</v>
      </c>
      <c r="C509" s="109" t="s">
        <v>699</v>
      </c>
      <c r="D509" s="111" t="s">
        <v>686</v>
      </c>
      <c r="E509" s="110">
        <v>177.33990147783251</v>
      </c>
    </row>
    <row r="510" spans="1:5" x14ac:dyDescent="0.25">
      <c r="A510" s="109" t="s">
        <v>1094</v>
      </c>
      <c r="B510" s="111" t="s">
        <v>684</v>
      </c>
      <c r="C510" s="109" t="s">
        <v>701</v>
      </c>
      <c r="D510" s="111" t="s">
        <v>686</v>
      </c>
      <c r="E510" s="110">
        <v>118.22660098522168</v>
      </c>
    </row>
    <row r="511" spans="1:5" x14ac:dyDescent="0.25">
      <c r="A511" s="109" t="s">
        <v>1094</v>
      </c>
      <c r="B511" s="111" t="s">
        <v>684</v>
      </c>
      <c r="C511" s="109" t="s">
        <v>1059</v>
      </c>
      <c r="D511" s="111" t="s">
        <v>686</v>
      </c>
      <c r="E511" s="110">
        <v>59.11330049261084</v>
      </c>
    </row>
    <row r="512" spans="1:5" x14ac:dyDescent="0.25">
      <c r="A512" s="109" t="s">
        <v>1094</v>
      </c>
      <c r="B512" s="111" t="s">
        <v>684</v>
      </c>
      <c r="C512" s="109" t="s">
        <v>151</v>
      </c>
      <c r="D512" s="111" t="s">
        <v>686</v>
      </c>
      <c r="E512" s="110">
        <v>480</v>
      </c>
    </row>
    <row r="513" spans="1:5" x14ac:dyDescent="0.25">
      <c r="A513" s="107" t="s">
        <v>1095</v>
      </c>
      <c r="B513" s="107" t="s">
        <v>684</v>
      </c>
      <c r="C513" s="107" t="s">
        <v>685</v>
      </c>
      <c r="D513" s="107" t="s">
        <v>686</v>
      </c>
      <c r="E513" s="108">
        <v>1475.3892802589883</v>
      </c>
    </row>
    <row r="514" spans="1:5" x14ac:dyDescent="0.25">
      <c r="A514" s="107" t="s">
        <v>1095</v>
      </c>
      <c r="B514" s="107" t="s">
        <v>684</v>
      </c>
      <c r="C514" s="107" t="s">
        <v>107</v>
      </c>
      <c r="D514" s="107" t="s">
        <v>686</v>
      </c>
      <c r="E514" s="108">
        <v>1302.5579645715068</v>
      </c>
    </row>
    <row r="515" spans="1:5" x14ac:dyDescent="0.25">
      <c r="A515" s="107" t="s">
        <v>1095</v>
      </c>
      <c r="B515" s="107" t="s">
        <v>684</v>
      </c>
      <c r="C515" s="107" t="s">
        <v>689</v>
      </c>
      <c r="D515" s="107" t="s">
        <v>686</v>
      </c>
      <c r="E515" s="108">
        <v>196.06502063242368</v>
      </c>
    </row>
    <row r="516" spans="1:5" x14ac:dyDescent="0.25">
      <c r="A516" s="107" t="s">
        <v>1095</v>
      </c>
      <c r="B516" s="107" t="s">
        <v>684</v>
      </c>
      <c r="C516" s="107" t="s">
        <v>692</v>
      </c>
      <c r="D516" s="107" t="s">
        <v>686</v>
      </c>
      <c r="E516" s="108">
        <v>311.9394478261861</v>
      </c>
    </row>
    <row r="517" spans="1:5" x14ac:dyDescent="0.25">
      <c r="A517" s="107" t="s">
        <v>1095</v>
      </c>
      <c r="B517" s="107" t="s">
        <v>684</v>
      </c>
      <c r="C517" s="107" t="s">
        <v>85</v>
      </c>
      <c r="D517" s="107" t="s">
        <v>686</v>
      </c>
      <c r="E517" s="108">
        <v>421.53979435971092</v>
      </c>
    </row>
    <row r="518" spans="1:5" x14ac:dyDescent="0.25">
      <c r="A518" s="107" t="s">
        <v>1095</v>
      </c>
      <c r="B518" s="107" t="s">
        <v>684</v>
      </c>
      <c r="C518" s="107" t="s">
        <v>696</v>
      </c>
      <c r="D518" s="107" t="s">
        <v>686</v>
      </c>
      <c r="E518" s="108">
        <v>19.60650206324237</v>
      </c>
    </row>
    <row r="519" spans="1:5" x14ac:dyDescent="0.25">
      <c r="A519" s="107" t="s">
        <v>1095</v>
      </c>
      <c r="B519" s="107" t="s">
        <v>684</v>
      </c>
      <c r="C519" s="107" t="s">
        <v>699</v>
      </c>
      <c r="D519" s="107" t="s">
        <v>686</v>
      </c>
      <c r="E519" s="108">
        <v>160.7733169185874</v>
      </c>
    </row>
    <row r="520" spans="1:5" x14ac:dyDescent="0.25">
      <c r="A520" s="107" t="s">
        <v>1095</v>
      </c>
      <c r="B520" s="107" t="s">
        <v>684</v>
      </c>
      <c r="C520" s="107" t="s">
        <v>701</v>
      </c>
      <c r="D520" s="107" t="s">
        <v>686</v>
      </c>
      <c r="E520" s="108">
        <v>118.03114242071905</v>
      </c>
    </row>
    <row r="521" spans="1:5" x14ac:dyDescent="0.25">
      <c r="A521" s="107" t="s">
        <v>1095</v>
      </c>
      <c r="B521" s="107" t="s">
        <v>684</v>
      </c>
      <c r="C521" s="107" t="s">
        <v>1047</v>
      </c>
      <c r="D521" s="107" t="s">
        <v>686</v>
      </c>
      <c r="E521" s="108">
        <v>294.09753094863549</v>
      </c>
    </row>
    <row r="522" spans="1:5" x14ac:dyDescent="0.25">
      <c r="A522" s="109" t="s">
        <v>1096</v>
      </c>
      <c r="B522" s="111" t="s">
        <v>684</v>
      </c>
      <c r="C522" s="109" t="s">
        <v>685</v>
      </c>
      <c r="D522" s="111" t="s">
        <v>686</v>
      </c>
      <c r="E522" s="110">
        <v>1372.4551444269657</v>
      </c>
    </row>
    <row r="523" spans="1:5" x14ac:dyDescent="0.25">
      <c r="A523" s="109" t="s">
        <v>1096</v>
      </c>
      <c r="B523" s="111" t="s">
        <v>684</v>
      </c>
      <c r="C523" s="109" t="s">
        <v>107</v>
      </c>
      <c r="D523" s="111" t="s">
        <v>686</v>
      </c>
      <c r="E523" s="110">
        <v>1211.6818275083783</v>
      </c>
    </row>
    <row r="524" spans="1:5" x14ac:dyDescent="0.25">
      <c r="A524" s="109" t="s">
        <v>1096</v>
      </c>
      <c r="B524" s="111" t="s">
        <v>684</v>
      </c>
      <c r="C524" s="109" t="s">
        <v>689</v>
      </c>
      <c r="D524" s="111" t="s">
        <v>686</v>
      </c>
      <c r="E524" s="110">
        <v>182.38606570458015</v>
      </c>
    </row>
    <row r="525" spans="1:5" x14ac:dyDescent="0.25">
      <c r="A525" s="109" t="s">
        <v>1096</v>
      </c>
      <c r="B525" s="111" t="s">
        <v>684</v>
      </c>
      <c r="C525" s="109" t="s">
        <v>692</v>
      </c>
      <c r="D525" s="111" t="s">
        <v>686</v>
      </c>
      <c r="E525" s="110">
        <v>290.17623053598703</v>
      </c>
    </row>
    <row r="526" spans="1:5" x14ac:dyDescent="0.25">
      <c r="A526" s="109" t="s">
        <v>1096</v>
      </c>
      <c r="B526" s="111" t="s">
        <v>684</v>
      </c>
      <c r="C526" s="109" t="s">
        <v>85</v>
      </c>
      <c r="D526" s="111" t="s">
        <v>686</v>
      </c>
      <c r="E526" s="110">
        <v>392.13004126484736</v>
      </c>
    </row>
    <row r="527" spans="1:5" x14ac:dyDescent="0.25">
      <c r="A527" s="109" t="s">
        <v>1096</v>
      </c>
      <c r="B527" s="111" t="s">
        <v>684</v>
      </c>
      <c r="C527" s="109" t="s">
        <v>696</v>
      </c>
      <c r="D527" s="111" t="s">
        <v>686</v>
      </c>
      <c r="E527" s="110">
        <v>18.238606570458018</v>
      </c>
    </row>
    <row r="528" spans="1:5" x14ac:dyDescent="0.25">
      <c r="A528" s="109" t="s">
        <v>1096</v>
      </c>
      <c r="B528" s="111" t="s">
        <v>684</v>
      </c>
      <c r="C528" s="109" t="s">
        <v>699</v>
      </c>
      <c r="D528" s="111" t="s">
        <v>686</v>
      </c>
      <c r="E528" s="110">
        <v>149.55657387775574</v>
      </c>
    </row>
    <row r="529" spans="1:5" x14ac:dyDescent="0.25">
      <c r="A529" s="109" t="s">
        <v>1096</v>
      </c>
      <c r="B529" s="111" t="s">
        <v>684</v>
      </c>
      <c r="C529" s="109" t="s">
        <v>701</v>
      </c>
      <c r="D529" s="111" t="s">
        <v>686</v>
      </c>
      <c r="E529" s="110">
        <v>109.79641155415726</v>
      </c>
    </row>
    <row r="530" spans="1:5" x14ac:dyDescent="0.25">
      <c r="A530" s="109" t="s">
        <v>1096</v>
      </c>
      <c r="B530" s="111" t="s">
        <v>684</v>
      </c>
      <c r="C530" s="109" t="s">
        <v>1047</v>
      </c>
      <c r="D530" s="111" t="s">
        <v>686</v>
      </c>
      <c r="E530" s="110">
        <v>273.57909855687024</v>
      </c>
    </row>
    <row r="531" spans="1:5" x14ac:dyDescent="0.25">
      <c r="A531" s="109" t="s">
        <v>1096</v>
      </c>
      <c r="B531" s="111" t="s">
        <v>684</v>
      </c>
      <c r="C531" s="109" t="s">
        <v>1097</v>
      </c>
      <c r="D531" s="111" t="s">
        <v>686</v>
      </c>
      <c r="E531" s="110">
        <v>400</v>
      </c>
    </row>
    <row r="532" spans="1:5" x14ac:dyDescent="0.25">
      <c r="A532" s="109" t="s">
        <v>1096</v>
      </c>
      <c r="B532" s="111" t="s">
        <v>684</v>
      </c>
      <c r="C532" s="109" t="s">
        <v>720</v>
      </c>
      <c r="D532" s="111" t="s">
        <v>686</v>
      </c>
      <c r="E532" s="110">
        <v>500</v>
      </c>
    </row>
    <row r="533" spans="1:5" x14ac:dyDescent="0.25">
      <c r="A533" s="107" t="s">
        <v>1098</v>
      </c>
      <c r="B533" s="107" t="s">
        <v>684</v>
      </c>
      <c r="C533" s="107" t="s">
        <v>1099</v>
      </c>
      <c r="D533" s="107" t="s">
        <v>686</v>
      </c>
      <c r="E533" s="108">
        <v>2500</v>
      </c>
    </row>
    <row r="534" spans="1:5" x14ac:dyDescent="0.25">
      <c r="A534" s="107" t="s">
        <v>1098</v>
      </c>
      <c r="B534" s="107" t="s">
        <v>684</v>
      </c>
      <c r="C534" s="107" t="s">
        <v>1100</v>
      </c>
      <c r="D534" s="107" t="s">
        <v>686</v>
      </c>
      <c r="E534" s="108">
        <v>900</v>
      </c>
    </row>
    <row r="535" spans="1:5" x14ac:dyDescent="0.25">
      <c r="A535" s="107" t="s">
        <v>1098</v>
      </c>
      <c r="B535" s="107" t="s">
        <v>684</v>
      </c>
      <c r="C535" s="107" t="s">
        <v>1047</v>
      </c>
      <c r="D535" s="107" t="s">
        <v>686</v>
      </c>
      <c r="E535" s="108">
        <v>300</v>
      </c>
    </row>
    <row r="536" spans="1:5" x14ac:dyDescent="0.25">
      <c r="A536" s="107" t="s">
        <v>1098</v>
      </c>
      <c r="B536" s="107" t="s">
        <v>684</v>
      </c>
      <c r="C536" s="107" t="s">
        <v>107</v>
      </c>
      <c r="D536" s="107" t="s">
        <v>686</v>
      </c>
      <c r="E536" s="108">
        <v>500</v>
      </c>
    </row>
    <row r="537" spans="1:5" x14ac:dyDescent="0.25">
      <c r="A537" s="109" t="s">
        <v>1101</v>
      </c>
      <c r="B537" s="111" t="s">
        <v>684</v>
      </c>
      <c r="C537" s="109" t="s">
        <v>685</v>
      </c>
      <c r="D537" s="111" t="s">
        <v>686</v>
      </c>
      <c r="E537" s="110">
        <v>690</v>
      </c>
    </row>
    <row r="538" spans="1:5" x14ac:dyDescent="0.25">
      <c r="A538" s="109" t="s">
        <v>1101</v>
      </c>
      <c r="B538" s="111" t="s">
        <v>684</v>
      </c>
      <c r="C538" s="109" t="s">
        <v>689</v>
      </c>
      <c r="D538" s="111" t="s">
        <v>686</v>
      </c>
      <c r="E538" s="110">
        <v>80</v>
      </c>
    </row>
    <row r="539" spans="1:5" x14ac:dyDescent="0.25">
      <c r="A539" s="109" t="s">
        <v>1101</v>
      </c>
      <c r="B539" s="111" t="s">
        <v>684</v>
      </c>
      <c r="C539" s="109" t="s">
        <v>692</v>
      </c>
      <c r="D539" s="111" t="s">
        <v>686</v>
      </c>
      <c r="E539" s="110">
        <v>120</v>
      </c>
    </row>
    <row r="540" spans="1:5" x14ac:dyDescent="0.25">
      <c r="A540" s="109" t="s">
        <v>1101</v>
      </c>
      <c r="B540" s="111" t="s">
        <v>684</v>
      </c>
      <c r="C540" s="109" t="s">
        <v>85</v>
      </c>
      <c r="D540" s="111" t="s">
        <v>686</v>
      </c>
      <c r="E540" s="110">
        <v>30</v>
      </c>
    </row>
    <row r="541" spans="1:5" x14ac:dyDescent="0.25">
      <c r="A541" s="109" t="s">
        <v>1101</v>
      </c>
      <c r="B541" s="111" t="s">
        <v>684</v>
      </c>
      <c r="C541" s="109" t="s">
        <v>696</v>
      </c>
      <c r="D541" s="111" t="s">
        <v>686</v>
      </c>
      <c r="E541" s="110">
        <v>5</v>
      </c>
    </row>
    <row r="542" spans="1:5" x14ac:dyDescent="0.25">
      <c r="A542" s="109" t="s">
        <v>1101</v>
      </c>
      <c r="B542" s="111" t="s">
        <v>684</v>
      </c>
      <c r="C542" s="109" t="s">
        <v>699</v>
      </c>
      <c r="D542" s="111" t="s">
        <v>686</v>
      </c>
      <c r="E542" s="110">
        <v>45</v>
      </c>
    </row>
    <row r="543" spans="1:5" x14ac:dyDescent="0.25">
      <c r="A543" s="109" t="s">
        <v>1101</v>
      </c>
      <c r="B543" s="111" t="s">
        <v>684</v>
      </c>
      <c r="C543" s="109" t="s">
        <v>701</v>
      </c>
      <c r="D543" s="111" t="s">
        <v>686</v>
      </c>
      <c r="E543" s="110">
        <v>30</v>
      </c>
    </row>
    <row r="544" spans="1:5" x14ac:dyDescent="0.25">
      <c r="A544" s="109" t="s">
        <v>1101</v>
      </c>
      <c r="B544" s="111" t="s">
        <v>684</v>
      </c>
      <c r="C544" s="109" t="s">
        <v>716</v>
      </c>
      <c r="D544" s="111" t="s">
        <v>686</v>
      </c>
      <c r="E544" s="110">
        <v>100</v>
      </c>
    </row>
    <row r="545" spans="1:5" x14ac:dyDescent="0.25">
      <c r="A545" s="107" t="s">
        <v>1102</v>
      </c>
      <c r="B545" s="107" t="s">
        <v>684</v>
      </c>
      <c r="C545" s="107" t="s">
        <v>685</v>
      </c>
      <c r="D545" s="107" t="s">
        <v>686</v>
      </c>
      <c r="E545" s="108">
        <v>2760</v>
      </c>
    </row>
    <row r="546" spans="1:5" x14ac:dyDescent="0.25">
      <c r="A546" s="107" t="s">
        <v>1102</v>
      </c>
      <c r="B546" s="107" t="s">
        <v>684</v>
      </c>
      <c r="C546" s="107" t="s">
        <v>689</v>
      </c>
      <c r="D546" s="107" t="s">
        <v>686</v>
      </c>
      <c r="E546" s="108">
        <v>320</v>
      </c>
    </row>
    <row r="547" spans="1:5" x14ac:dyDescent="0.25">
      <c r="A547" s="107" t="s">
        <v>1102</v>
      </c>
      <c r="B547" s="107" t="s">
        <v>684</v>
      </c>
      <c r="C547" s="107" t="s">
        <v>692</v>
      </c>
      <c r="D547" s="107" t="s">
        <v>686</v>
      </c>
      <c r="E547" s="108">
        <v>480</v>
      </c>
    </row>
    <row r="548" spans="1:5" x14ac:dyDescent="0.25">
      <c r="A548" s="107" t="s">
        <v>1102</v>
      </c>
      <c r="B548" s="107" t="s">
        <v>684</v>
      </c>
      <c r="C548" s="107" t="s">
        <v>85</v>
      </c>
      <c r="D548" s="107" t="s">
        <v>686</v>
      </c>
      <c r="E548" s="108">
        <v>120</v>
      </c>
    </row>
    <row r="549" spans="1:5" x14ac:dyDescent="0.25">
      <c r="A549" s="107" t="s">
        <v>1102</v>
      </c>
      <c r="B549" s="107" t="s">
        <v>684</v>
      </c>
      <c r="C549" s="107" t="s">
        <v>696</v>
      </c>
      <c r="D549" s="107" t="s">
        <v>686</v>
      </c>
      <c r="E549" s="108">
        <v>20</v>
      </c>
    </row>
    <row r="550" spans="1:5" x14ac:dyDescent="0.25">
      <c r="A550" s="107" t="s">
        <v>1102</v>
      </c>
      <c r="B550" s="107" t="s">
        <v>684</v>
      </c>
      <c r="C550" s="107" t="s">
        <v>699</v>
      </c>
      <c r="D550" s="107" t="s">
        <v>686</v>
      </c>
      <c r="E550" s="108">
        <v>180</v>
      </c>
    </row>
    <row r="551" spans="1:5" x14ac:dyDescent="0.25">
      <c r="A551" s="107" t="s">
        <v>1102</v>
      </c>
      <c r="B551" s="107" t="s">
        <v>684</v>
      </c>
      <c r="C551" s="107" t="s">
        <v>701</v>
      </c>
      <c r="D551" s="107" t="s">
        <v>686</v>
      </c>
      <c r="E551" s="108">
        <v>120</v>
      </c>
    </row>
    <row r="552" spans="1:5" x14ac:dyDescent="0.25">
      <c r="A552" s="107" t="s">
        <v>1102</v>
      </c>
      <c r="B552" s="107" t="s">
        <v>684</v>
      </c>
      <c r="C552" s="107" t="s">
        <v>1103</v>
      </c>
      <c r="D552" s="107" t="s">
        <v>686</v>
      </c>
      <c r="E552" s="108">
        <v>400</v>
      </c>
    </row>
    <row r="553" spans="1:5" x14ac:dyDescent="0.25">
      <c r="A553" s="107" t="s">
        <v>1102</v>
      </c>
      <c r="B553" s="107" t="s">
        <v>684</v>
      </c>
      <c r="C553" s="107" t="s">
        <v>708</v>
      </c>
      <c r="D553" s="107" t="s">
        <v>686</v>
      </c>
      <c r="E553" s="108">
        <v>100</v>
      </c>
    </row>
    <row r="554" spans="1:5" x14ac:dyDescent="0.25">
      <c r="A554" s="109" t="s">
        <v>916</v>
      </c>
      <c r="B554" s="111" t="s">
        <v>684</v>
      </c>
      <c r="C554" s="109" t="s">
        <v>685</v>
      </c>
      <c r="D554" s="111" t="s">
        <v>686</v>
      </c>
      <c r="E554" s="110">
        <v>2611.1111111111113</v>
      </c>
    </row>
    <row r="555" spans="1:5" x14ac:dyDescent="0.25">
      <c r="A555" s="109" t="s">
        <v>916</v>
      </c>
      <c r="B555" s="111" t="s">
        <v>684</v>
      </c>
      <c r="C555" s="109" t="s">
        <v>689</v>
      </c>
      <c r="D555" s="111" t="s">
        <v>686</v>
      </c>
      <c r="E555" s="110">
        <v>296.2962962962963</v>
      </c>
    </row>
    <row r="556" spans="1:5" x14ac:dyDescent="0.25">
      <c r="A556" s="109" t="s">
        <v>916</v>
      </c>
      <c r="B556" s="111" t="s">
        <v>684</v>
      </c>
      <c r="C556" s="109" t="s">
        <v>692</v>
      </c>
      <c r="D556" s="111" t="s">
        <v>686</v>
      </c>
      <c r="E556" s="110">
        <v>444.44444444444446</v>
      </c>
    </row>
    <row r="557" spans="1:5" x14ac:dyDescent="0.25">
      <c r="A557" s="109" t="s">
        <v>916</v>
      </c>
      <c r="B557" s="111" t="s">
        <v>684</v>
      </c>
      <c r="C557" s="109" t="s">
        <v>85</v>
      </c>
      <c r="D557" s="111" t="s">
        <v>686</v>
      </c>
      <c r="E557" s="110">
        <v>55.555555555555557</v>
      </c>
    </row>
    <row r="558" spans="1:5" x14ac:dyDescent="0.25">
      <c r="A558" s="109" t="s">
        <v>916</v>
      </c>
      <c r="B558" s="111" t="s">
        <v>684</v>
      </c>
      <c r="C558" s="109" t="s">
        <v>696</v>
      </c>
      <c r="D558" s="111" t="s">
        <v>686</v>
      </c>
      <c r="E558" s="110">
        <v>18.518518518518519</v>
      </c>
    </row>
    <row r="559" spans="1:5" x14ac:dyDescent="0.25">
      <c r="A559" s="109" t="s">
        <v>916</v>
      </c>
      <c r="B559" s="111" t="s">
        <v>684</v>
      </c>
      <c r="C559" s="109" t="s">
        <v>699</v>
      </c>
      <c r="D559" s="111" t="s">
        <v>686</v>
      </c>
      <c r="E559" s="110">
        <v>166.66666666666666</v>
      </c>
    </row>
    <row r="560" spans="1:5" x14ac:dyDescent="0.25">
      <c r="A560" s="109" t="s">
        <v>916</v>
      </c>
      <c r="B560" s="111" t="s">
        <v>684</v>
      </c>
      <c r="C560" s="109" t="s">
        <v>701</v>
      </c>
      <c r="D560" s="111" t="s">
        <v>686</v>
      </c>
      <c r="E560" s="110">
        <v>111.11111111111111</v>
      </c>
    </row>
    <row r="561" spans="1:5" x14ac:dyDescent="0.25">
      <c r="A561" s="109" t="s">
        <v>916</v>
      </c>
      <c r="B561" s="111" t="s">
        <v>684</v>
      </c>
      <c r="C561" s="109" t="s">
        <v>1104</v>
      </c>
      <c r="D561" s="111" t="s">
        <v>686</v>
      </c>
      <c r="E561" s="110">
        <v>111.11111111111111</v>
      </c>
    </row>
    <row r="562" spans="1:5" x14ac:dyDescent="0.25">
      <c r="A562" s="109" t="s">
        <v>916</v>
      </c>
      <c r="B562" s="111" t="s">
        <v>684</v>
      </c>
      <c r="C562" s="109" t="s">
        <v>724</v>
      </c>
      <c r="D562" s="111" t="s">
        <v>686</v>
      </c>
      <c r="E562" s="110">
        <v>185.18518518518519</v>
      </c>
    </row>
    <row r="563" spans="1:5" x14ac:dyDescent="0.25">
      <c r="A563" s="107" t="s">
        <v>1105</v>
      </c>
      <c r="B563" s="107" t="s">
        <v>684</v>
      </c>
      <c r="C563" s="107" t="s">
        <v>685</v>
      </c>
      <c r="D563" s="107" t="s">
        <v>686</v>
      </c>
      <c r="E563" s="108">
        <v>3075</v>
      </c>
    </row>
    <row r="564" spans="1:5" x14ac:dyDescent="0.25">
      <c r="A564" s="107" t="s">
        <v>1105</v>
      </c>
      <c r="B564" s="107" t="s">
        <v>684</v>
      </c>
      <c r="C564" s="107" t="s">
        <v>689</v>
      </c>
      <c r="D564" s="107" t="s">
        <v>686</v>
      </c>
      <c r="E564" s="108">
        <v>100</v>
      </c>
    </row>
    <row r="565" spans="1:5" x14ac:dyDescent="0.25">
      <c r="A565" s="107" t="s">
        <v>1105</v>
      </c>
      <c r="B565" s="107" t="s">
        <v>684</v>
      </c>
      <c r="C565" s="107" t="s">
        <v>692</v>
      </c>
      <c r="D565" s="107" t="s">
        <v>686</v>
      </c>
      <c r="E565" s="108">
        <v>0</v>
      </c>
    </row>
    <row r="566" spans="1:5" x14ac:dyDescent="0.25">
      <c r="A566" s="107" t="s">
        <v>1105</v>
      </c>
      <c r="B566" s="107" t="s">
        <v>684</v>
      </c>
      <c r="C566" s="107" t="s">
        <v>85</v>
      </c>
      <c r="D566" s="107" t="s">
        <v>686</v>
      </c>
      <c r="E566" s="108">
        <v>300</v>
      </c>
    </row>
    <row r="567" spans="1:5" x14ac:dyDescent="0.25">
      <c r="A567" s="107" t="s">
        <v>1105</v>
      </c>
      <c r="B567" s="107" t="s">
        <v>684</v>
      </c>
      <c r="C567" s="107" t="s">
        <v>696</v>
      </c>
      <c r="D567" s="107" t="s">
        <v>686</v>
      </c>
      <c r="E567" s="108">
        <v>25</v>
      </c>
    </row>
    <row r="568" spans="1:5" x14ac:dyDescent="0.25">
      <c r="A568" s="107" t="s">
        <v>1105</v>
      </c>
      <c r="B568" s="107" t="s">
        <v>684</v>
      </c>
      <c r="C568" s="107" t="s">
        <v>699</v>
      </c>
      <c r="D568" s="107" t="s">
        <v>686</v>
      </c>
      <c r="E568" s="108">
        <v>175</v>
      </c>
    </row>
    <row r="569" spans="1:5" x14ac:dyDescent="0.25">
      <c r="A569" s="107" t="s">
        <v>1105</v>
      </c>
      <c r="B569" s="107" t="s">
        <v>684</v>
      </c>
      <c r="C569" s="107" t="s">
        <v>701</v>
      </c>
      <c r="D569" s="107" t="s">
        <v>686</v>
      </c>
      <c r="E569" s="108">
        <v>125</v>
      </c>
    </row>
    <row r="570" spans="1:5" x14ac:dyDescent="0.25">
      <c r="A570" s="107" t="s">
        <v>1105</v>
      </c>
      <c r="B570" s="107" t="s">
        <v>684</v>
      </c>
      <c r="C570" s="107" t="s">
        <v>722</v>
      </c>
      <c r="D570" s="107" t="s">
        <v>686</v>
      </c>
      <c r="E570" s="108">
        <v>1000</v>
      </c>
    </row>
    <row r="571" spans="1:5" x14ac:dyDescent="0.25">
      <c r="A571" s="107" t="s">
        <v>1105</v>
      </c>
      <c r="B571" s="107" t="s">
        <v>684</v>
      </c>
      <c r="C571" s="107" t="s">
        <v>1051</v>
      </c>
      <c r="D571" s="107" t="s">
        <v>686</v>
      </c>
      <c r="E571" s="108">
        <v>200</v>
      </c>
    </row>
    <row r="572" spans="1:5" x14ac:dyDescent="0.25">
      <c r="A572" s="107" t="s">
        <v>1105</v>
      </c>
      <c r="B572" s="107" t="s">
        <v>684</v>
      </c>
      <c r="C572" s="107" t="s">
        <v>1055</v>
      </c>
      <c r="D572" s="107" t="s">
        <v>686</v>
      </c>
      <c r="E572" s="108">
        <v>250</v>
      </c>
    </row>
    <row r="573" spans="1:5" x14ac:dyDescent="0.25">
      <c r="A573" s="107" t="s">
        <v>1105</v>
      </c>
      <c r="B573" s="107" t="s">
        <v>684</v>
      </c>
      <c r="C573" s="107" t="s">
        <v>1106</v>
      </c>
      <c r="D573" s="107" t="s">
        <v>686</v>
      </c>
      <c r="E573" s="108">
        <v>350</v>
      </c>
    </row>
    <row r="574" spans="1:5" x14ac:dyDescent="0.25">
      <c r="A574" s="109" t="s">
        <v>720</v>
      </c>
      <c r="B574" s="111" t="s">
        <v>684</v>
      </c>
      <c r="C574" s="109" t="s">
        <v>685</v>
      </c>
      <c r="D574" s="111" t="s">
        <v>686</v>
      </c>
      <c r="E574" s="110">
        <v>648</v>
      </c>
    </row>
    <row r="575" spans="1:5" x14ac:dyDescent="0.25">
      <c r="A575" s="109" t="s">
        <v>720</v>
      </c>
      <c r="B575" s="111" t="s">
        <v>684</v>
      </c>
      <c r="C575" s="109" t="s">
        <v>689</v>
      </c>
      <c r="D575" s="111" t="s">
        <v>686</v>
      </c>
      <c r="E575" s="110">
        <v>202.5</v>
      </c>
    </row>
    <row r="576" spans="1:5" x14ac:dyDescent="0.25">
      <c r="A576" s="109" t="s">
        <v>720</v>
      </c>
      <c r="B576" s="111" t="s">
        <v>684</v>
      </c>
      <c r="C576" s="109" t="s">
        <v>692</v>
      </c>
      <c r="D576" s="111" t="s">
        <v>686</v>
      </c>
      <c r="E576" s="110">
        <v>0</v>
      </c>
    </row>
    <row r="577" spans="1:5" x14ac:dyDescent="0.25">
      <c r="A577" s="109" t="s">
        <v>720</v>
      </c>
      <c r="B577" s="111" t="s">
        <v>684</v>
      </c>
      <c r="C577" s="109" t="s">
        <v>85</v>
      </c>
      <c r="D577" s="111" t="s">
        <v>686</v>
      </c>
      <c r="E577" s="110">
        <v>20.25</v>
      </c>
    </row>
    <row r="578" spans="1:5" x14ac:dyDescent="0.25">
      <c r="A578" s="109" t="s">
        <v>720</v>
      </c>
      <c r="B578" s="111" t="s">
        <v>684</v>
      </c>
      <c r="C578" s="109" t="s">
        <v>699</v>
      </c>
      <c r="D578" s="111" t="s">
        <v>686</v>
      </c>
      <c r="E578" s="110">
        <v>180</v>
      </c>
    </row>
    <row r="579" spans="1:5" x14ac:dyDescent="0.25">
      <c r="A579" s="109" t="s">
        <v>720</v>
      </c>
      <c r="B579" s="111" t="s">
        <v>684</v>
      </c>
      <c r="C579" s="109" t="s">
        <v>736</v>
      </c>
      <c r="D579" s="111" t="s">
        <v>686</v>
      </c>
      <c r="E579" s="110">
        <v>270</v>
      </c>
    </row>
    <row r="580" spans="1:5" x14ac:dyDescent="0.25">
      <c r="A580" s="109" t="s">
        <v>720</v>
      </c>
      <c r="B580" s="111" t="s">
        <v>684</v>
      </c>
      <c r="C580" s="109" t="s">
        <v>696</v>
      </c>
      <c r="D580" s="111" t="s">
        <v>686</v>
      </c>
      <c r="E580" s="110">
        <v>22.5</v>
      </c>
    </row>
    <row r="581" spans="1:5" x14ac:dyDescent="0.25">
      <c r="A581" s="109" t="s">
        <v>720</v>
      </c>
      <c r="B581" s="111" t="s">
        <v>684</v>
      </c>
      <c r="C581" s="109" t="s">
        <v>720</v>
      </c>
      <c r="D581" s="111" t="s">
        <v>686</v>
      </c>
      <c r="E581" s="110">
        <v>1575</v>
      </c>
    </row>
    <row r="582" spans="1:5" x14ac:dyDescent="0.25">
      <c r="A582" s="109" t="s">
        <v>720</v>
      </c>
      <c r="B582" s="111" t="s">
        <v>684</v>
      </c>
      <c r="C582" s="109" t="s">
        <v>737</v>
      </c>
      <c r="D582" s="111" t="s">
        <v>686</v>
      </c>
      <c r="E582" s="110">
        <v>1575</v>
      </c>
    </row>
    <row r="583" spans="1:5" x14ac:dyDescent="0.25">
      <c r="A583" s="109" t="s">
        <v>720</v>
      </c>
      <c r="B583" s="111" t="s">
        <v>684</v>
      </c>
      <c r="C583" s="109" t="s">
        <v>115</v>
      </c>
      <c r="D583" s="111" t="s">
        <v>686</v>
      </c>
      <c r="E583" s="110">
        <v>6.75</v>
      </c>
    </row>
    <row r="584" spans="1:5" x14ac:dyDescent="0.25">
      <c r="A584" s="109" t="s">
        <v>720</v>
      </c>
      <c r="B584" s="111" t="s">
        <v>684</v>
      </c>
      <c r="C584" s="109" t="s">
        <v>151</v>
      </c>
      <c r="D584" s="111" t="s">
        <v>686</v>
      </c>
      <c r="E584" s="110">
        <v>180</v>
      </c>
    </row>
    <row r="585" spans="1:5" x14ac:dyDescent="0.25">
      <c r="A585" s="107" t="s">
        <v>1107</v>
      </c>
      <c r="B585" s="107" t="s">
        <v>684</v>
      </c>
      <c r="C585" s="107" t="s">
        <v>685</v>
      </c>
      <c r="D585" s="107" t="s">
        <v>686</v>
      </c>
      <c r="E585" s="108">
        <v>2760.3384365381685</v>
      </c>
    </row>
    <row r="586" spans="1:5" x14ac:dyDescent="0.25">
      <c r="A586" s="107" t="s">
        <v>1107</v>
      </c>
      <c r="B586" s="107" t="s">
        <v>684</v>
      </c>
      <c r="C586" s="107" t="s">
        <v>689</v>
      </c>
      <c r="D586" s="107" t="s">
        <v>686</v>
      </c>
      <c r="E586" s="108">
        <v>80.681768054857883</v>
      </c>
    </row>
    <row r="587" spans="1:5" x14ac:dyDescent="0.25">
      <c r="A587" s="107" t="s">
        <v>1107</v>
      </c>
      <c r="B587" s="107" t="s">
        <v>684</v>
      </c>
      <c r="C587" s="107" t="s">
        <v>692</v>
      </c>
      <c r="D587" s="107" t="s">
        <v>686</v>
      </c>
      <c r="E587" s="108">
        <v>322.72707221943153</v>
      </c>
    </row>
    <row r="588" spans="1:5" x14ac:dyDescent="0.25">
      <c r="A588" s="107" t="s">
        <v>1107</v>
      </c>
      <c r="B588" s="107" t="s">
        <v>684</v>
      </c>
      <c r="C588" s="107" t="s">
        <v>85</v>
      </c>
      <c r="D588" s="107" t="s">
        <v>686</v>
      </c>
      <c r="E588" s="108">
        <v>363.06795624686049</v>
      </c>
    </row>
    <row r="589" spans="1:5" x14ac:dyDescent="0.25">
      <c r="A589" s="107" t="s">
        <v>1107</v>
      </c>
      <c r="B589" s="107" t="s">
        <v>684</v>
      </c>
      <c r="C589" s="107" t="s">
        <v>696</v>
      </c>
      <c r="D589" s="107" t="s">
        <v>686</v>
      </c>
      <c r="E589" s="108">
        <v>21.00714183057967</v>
      </c>
    </row>
    <row r="590" spans="1:5" x14ac:dyDescent="0.25">
      <c r="A590" s="107" t="s">
        <v>1107</v>
      </c>
      <c r="B590" s="107" t="s">
        <v>684</v>
      </c>
      <c r="C590" s="107" t="s">
        <v>699</v>
      </c>
      <c r="D590" s="107" t="s">
        <v>686</v>
      </c>
      <c r="E590" s="108">
        <v>164.35174974137718</v>
      </c>
    </row>
    <row r="591" spans="1:5" x14ac:dyDescent="0.25">
      <c r="A591" s="107" t="s">
        <v>1107</v>
      </c>
      <c r="B591" s="107" t="s">
        <v>684</v>
      </c>
      <c r="C591" s="107" t="s">
        <v>701</v>
      </c>
      <c r="D591" s="107" t="s">
        <v>686</v>
      </c>
      <c r="E591" s="108">
        <v>104.5874771081491</v>
      </c>
    </row>
    <row r="592" spans="1:5" x14ac:dyDescent="0.25">
      <c r="A592" s="107" t="s">
        <v>1107</v>
      </c>
      <c r="B592" s="107" t="s">
        <v>684</v>
      </c>
      <c r="C592" s="107" t="s">
        <v>1108</v>
      </c>
      <c r="D592" s="107" t="s">
        <v>686</v>
      </c>
      <c r="E592" s="108">
        <v>201.70442013714472</v>
      </c>
    </row>
    <row r="593" spans="1:5" x14ac:dyDescent="0.25">
      <c r="A593" s="107" t="s">
        <v>1107</v>
      </c>
      <c r="B593" s="107" t="s">
        <v>684</v>
      </c>
      <c r="C593" s="107" t="s">
        <v>1017</v>
      </c>
      <c r="D593" s="107" t="s">
        <v>686</v>
      </c>
      <c r="E593" s="108">
        <v>181.53397812343024</v>
      </c>
    </row>
    <row r="594" spans="1:5" x14ac:dyDescent="0.25">
      <c r="A594" s="107" t="s">
        <v>1107</v>
      </c>
      <c r="B594" s="107" t="s">
        <v>684</v>
      </c>
      <c r="C594" s="107" t="s">
        <v>716</v>
      </c>
      <c r="D594" s="107" t="s">
        <v>686</v>
      </c>
      <c r="E594" s="108">
        <v>315</v>
      </c>
    </row>
    <row r="595" spans="1:5" x14ac:dyDescent="0.25">
      <c r="A595" s="107" t="s">
        <v>1107</v>
      </c>
      <c r="B595" s="107" t="s">
        <v>684</v>
      </c>
      <c r="C595" s="107" t="s">
        <v>711</v>
      </c>
      <c r="D595" s="107" t="s">
        <v>686</v>
      </c>
      <c r="E595" s="108">
        <v>105</v>
      </c>
    </row>
    <row r="596" spans="1:5" x14ac:dyDescent="0.25">
      <c r="A596" s="109" t="s">
        <v>930</v>
      </c>
      <c r="B596" s="111" t="s">
        <v>684</v>
      </c>
      <c r="C596" s="109" t="s">
        <v>685</v>
      </c>
      <c r="D596" s="111" t="s">
        <v>686</v>
      </c>
      <c r="E596" s="110">
        <v>2740.9437736128602</v>
      </c>
    </row>
    <row r="597" spans="1:5" x14ac:dyDescent="0.25">
      <c r="A597" s="109" t="s">
        <v>930</v>
      </c>
      <c r="B597" s="111" t="s">
        <v>684</v>
      </c>
      <c r="C597" s="109" t="s">
        <v>689</v>
      </c>
      <c r="D597" s="111" t="s">
        <v>686</v>
      </c>
      <c r="E597" s="110">
        <v>200.01481591228978</v>
      </c>
    </row>
    <row r="598" spans="1:5" x14ac:dyDescent="0.25">
      <c r="A598" s="109" t="s">
        <v>930</v>
      </c>
      <c r="B598" s="111" t="s">
        <v>684</v>
      </c>
      <c r="C598" s="109" t="s">
        <v>692</v>
      </c>
      <c r="D598" s="111" t="s">
        <v>686</v>
      </c>
      <c r="E598" s="110">
        <v>274.09437736128598</v>
      </c>
    </row>
    <row r="599" spans="1:5" x14ac:dyDescent="0.25">
      <c r="A599" s="109" t="s">
        <v>930</v>
      </c>
      <c r="B599" s="111" t="s">
        <v>684</v>
      </c>
      <c r="C599" s="109" t="s">
        <v>85</v>
      </c>
      <c r="D599" s="111" t="s">
        <v>686</v>
      </c>
      <c r="E599" s="110">
        <v>203.71879398473959</v>
      </c>
    </row>
    <row r="600" spans="1:5" x14ac:dyDescent="0.25">
      <c r="A600" s="109" t="s">
        <v>930</v>
      </c>
      <c r="B600" s="111" t="s">
        <v>684</v>
      </c>
      <c r="C600" s="109" t="s">
        <v>696</v>
      </c>
      <c r="D600" s="111" t="s">
        <v>686</v>
      </c>
      <c r="E600" s="110">
        <v>18.519890362249054</v>
      </c>
    </row>
    <row r="601" spans="1:5" x14ac:dyDescent="0.25">
      <c r="A601" s="109" t="s">
        <v>930</v>
      </c>
      <c r="B601" s="111" t="s">
        <v>684</v>
      </c>
      <c r="C601" s="109" t="s">
        <v>699</v>
      </c>
      <c r="D601" s="111" t="s">
        <v>686</v>
      </c>
      <c r="E601" s="110">
        <v>162.97503518779166</v>
      </c>
    </row>
    <row r="602" spans="1:5" x14ac:dyDescent="0.25">
      <c r="A602" s="109" t="s">
        <v>930</v>
      </c>
      <c r="B602" s="111" t="s">
        <v>684</v>
      </c>
      <c r="C602" s="109" t="s">
        <v>701</v>
      </c>
      <c r="D602" s="111" t="s">
        <v>686</v>
      </c>
      <c r="E602" s="110">
        <v>103.7113860285947</v>
      </c>
    </row>
    <row r="603" spans="1:5" x14ac:dyDescent="0.25">
      <c r="A603" s="109" t="s">
        <v>930</v>
      </c>
      <c r="B603" s="111" t="s">
        <v>684</v>
      </c>
      <c r="C603" s="109" t="s">
        <v>1109</v>
      </c>
      <c r="D603" s="111" t="s">
        <v>686</v>
      </c>
      <c r="E603" s="110">
        <v>296.02192755018888</v>
      </c>
    </row>
    <row r="604" spans="1:5" x14ac:dyDescent="0.25">
      <c r="A604" s="109" t="s">
        <v>930</v>
      </c>
      <c r="B604" s="111" t="s">
        <v>684</v>
      </c>
      <c r="C604" s="109" t="s">
        <v>1110</v>
      </c>
      <c r="D604" s="111" t="s">
        <v>686</v>
      </c>
      <c r="E604" s="110">
        <v>300</v>
      </c>
    </row>
    <row r="605" spans="1:5" x14ac:dyDescent="0.25">
      <c r="A605" s="107" t="s">
        <v>739</v>
      </c>
      <c r="B605" s="107" t="s">
        <v>684</v>
      </c>
      <c r="C605" s="107" t="s">
        <v>685</v>
      </c>
      <c r="D605" s="107" t="s">
        <v>686</v>
      </c>
      <c r="E605" s="108">
        <v>470</v>
      </c>
    </row>
    <row r="606" spans="1:5" x14ac:dyDescent="0.25">
      <c r="A606" s="107" t="s">
        <v>739</v>
      </c>
      <c r="B606" s="107" t="s">
        <v>684</v>
      </c>
      <c r="C606" s="107" t="s">
        <v>1111</v>
      </c>
      <c r="D606" s="107" t="s">
        <v>686</v>
      </c>
      <c r="E606" s="108">
        <v>300</v>
      </c>
    </row>
    <row r="607" spans="1:5" x14ac:dyDescent="0.25">
      <c r="A607" s="107" t="s">
        <v>739</v>
      </c>
      <c r="B607" s="107" t="s">
        <v>684</v>
      </c>
      <c r="C607" s="107" t="s">
        <v>697</v>
      </c>
      <c r="D607" s="107" t="s">
        <v>686</v>
      </c>
      <c r="E607" s="108">
        <v>120</v>
      </c>
    </row>
    <row r="608" spans="1:5" x14ac:dyDescent="0.25">
      <c r="A608" s="107" t="s">
        <v>739</v>
      </c>
      <c r="B608" s="107" t="s">
        <v>684</v>
      </c>
      <c r="C608" s="107" t="s">
        <v>85</v>
      </c>
      <c r="D608" s="107" t="s">
        <v>686</v>
      </c>
      <c r="E608" s="108">
        <v>30</v>
      </c>
    </row>
    <row r="609" spans="1:5" x14ac:dyDescent="0.25">
      <c r="A609" s="107" t="s">
        <v>739</v>
      </c>
      <c r="B609" s="107" t="s">
        <v>684</v>
      </c>
      <c r="C609" s="107" t="s">
        <v>696</v>
      </c>
      <c r="D609" s="107" t="s">
        <v>686</v>
      </c>
      <c r="E609" s="108">
        <v>5</v>
      </c>
    </row>
    <row r="610" spans="1:5" x14ac:dyDescent="0.25">
      <c r="A610" s="107" t="s">
        <v>739</v>
      </c>
      <c r="B610" s="107" t="s">
        <v>684</v>
      </c>
      <c r="C610" s="107" t="s">
        <v>699</v>
      </c>
      <c r="D610" s="107" t="s">
        <v>686</v>
      </c>
      <c r="E610" s="108">
        <v>45</v>
      </c>
    </row>
    <row r="611" spans="1:5" x14ac:dyDescent="0.25">
      <c r="A611" s="107" t="s">
        <v>739</v>
      </c>
      <c r="B611" s="107" t="s">
        <v>684</v>
      </c>
      <c r="C611" s="107" t="s">
        <v>701</v>
      </c>
      <c r="D611" s="107" t="s">
        <v>686</v>
      </c>
      <c r="E611" s="108">
        <v>30</v>
      </c>
    </row>
    <row r="612" spans="1:5" x14ac:dyDescent="0.25">
      <c r="A612" s="109" t="s">
        <v>780</v>
      </c>
      <c r="B612" s="111" t="s">
        <v>684</v>
      </c>
      <c r="C612" s="109" t="s">
        <v>685</v>
      </c>
      <c r="D612" s="111" t="s">
        <v>686</v>
      </c>
      <c r="E612" s="110">
        <v>2679.6116504854367</v>
      </c>
    </row>
    <row r="613" spans="1:5" x14ac:dyDescent="0.25">
      <c r="A613" s="109" t="s">
        <v>780</v>
      </c>
      <c r="B613" s="111" t="s">
        <v>684</v>
      </c>
      <c r="C613" s="109" t="s">
        <v>689</v>
      </c>
      <c r="D613" s="111" t="s">
        <v>686</v>
      </c>
      <c r="E613" s="110">
        <v>310.67961165048541</v>
      </c>
    </row>
    <row r="614" spans="1:5" x14ac:dyDescent="0.25">
      <c r="A614" s="109" t="s">
        <v>780</v>
      </c>
      <c r="B614" s="111" t="s">
        <v>684</v>
      </c>
      <c r="C614" s="109" t="s">
        <v>692</v>
      </c>
      <c r="D614" s="111" t="s">
        <v>686</v>
      </c>
      <c r="E614" s="110">
        <v>466.01941747572818</v>
      </c>
    </row>
    <row r="615" spans="1:5" x14ac:dyDescent="0.25">
      <c r="A615" s="109" t="s">
        <v>780</v>
      </c>
      <c r="B615" s="111" t="s">
        <v>684</v>
      </c>
      <c r="C615" s="109" t="s">
        <v>85</v>
      </c>
      <c r="D615" s="111" t="s">
        <v>686</v>
      </c>
      <c r="E615" s="110">
        <v>116.50485436893204</v>
      </c>
    </row>
    <row r="616" spans="1:5" x14ac:dyDescent="0.25">
      <c r="A616" s="109" t="s">
        <v>780</v>
      </c>
      <c r="B616" s="111" t="s">
        <v>684</v>
      </c>
      <c r="C616" s="109" t="s">
        <v>696</v>
      </c>
      <c r="D616" s="111" t="s">
        <v>686</v>
      </c>
      <c r="E616" s="110">
        <v>19.417475728155338</v>
      </c>
    </row>
    <row r="617" spans="1:5" x14ac:dyDescent="0.25">
      <c r="A617" s="109" t="s">
        <v>780</v>
      </c>
      <c r="B617" s="111" t="s">
        <v>684</v>
      </c>
      <c r="C617" s="109" t="s">
        <v>699</v>
      </c>
      <c r="D617" s="111" t="s">
        <v>686</v>
      </c>
      <c r="E617" s="110">
        <v>174.75728155339806</v>
      </c>
    </row>
    <row r="618" spans="1:5" x14ac:dyDescent="0.25">
      <c r="A618" s="109" t="s">
        <v>780</v>
      </c>
      <c r="B618" s="111" t="s">
        <v>684</v>
      </c>
      <c r="C618" s="109" t="s">
        <v>701</v>
      </c>
      <c r="D618" s="111" t="s">
        <v>686</v>
      </c>
      <c r="E618" s="110">
        <v>116.50485436893204</v>
      </c>
    </row>
    <row r="619" spans="1:5" x14ac:dyDescent="0.25">
      <c r="A619" s="109" t="s">
        <v>780</v>
      </c>
      <c r="B619" s="111" t="s">
        <v>684</v>
      </c>
      <c r="C619" s="109" t="s">
        <v>1036</v>
      </c>
      <c r="D619" s="111" t="s">
        <v>686</v>
      </c>
      <c r="E619" s="110">
        <v>116.50485436893204</v>
      </c>
    </row>
    <row r="620" spans="1:5" x14ac:dyDescent="0.25">
      <c r="A620" s="109" t="s">
        <v>780</v>
      </c>
      <c r="B620" s="111" t="s">
        <v>684</v>
      </c>
      <c r="C620" s="109" t="s">
        <v>1112</v>
      </c>
      <c r="D620" s="111" t="s">
        <v>686</v>
      </c>
      <c r="E620" s="110">
        <v>200</v>
      </c>
    </row>
    <row r="621" spans="1:5" x14ac:dyDescent="0.25">
      <c r="A621" s="109" t="s">
        <v>780</v>
      </c>
      <c r="B621" s="111" t="s">
        <v>684</v>
      </c>
      <c r="C621" s="109" t="s">
        <v>93</v>
      </c>
      <c r="D621" s="111" t="s">
        <v>686</v>
      </c>
      <c r="E621" s="110">
        <v>300</v>
      </c>
    </row>
    <row r="622" spans="1:5" x14ac:dyDescent="0.25">
      <c r="A622" s="107" t="s">
        <v>1113</v>
      </c>
      <c r="B622" s="107" t="s">
        <v>684</v>
      </c>
      <c r="C622" s="107" t="s">
        <v>685</v>
      </c>
      <c r="D622" s="107" t="s">
        <v>686</v>
      </c>
      <c r="E622" s="108">
        <v>3997.5</v>
      </c>
    </row>
    <row r="623" spans="1:5" x14ac:dyDescent="0.25">
      <c r="A623" s="107" t="s">
        <v>1113</v>
      </c>
      <c r="B623" s="107" t="s">
        <v>684</v>
      </c>
      <c r="C623" s="107" t="s">
        <v>689</v>
      </c>
      <c r="D623" s="107" t="s">
        <v>686</v>
      </c>
      <c r="E623" s="108">
        <v>130</v>
      </c>
    </row>
    <row r="624" spans="1:5" x14ac:dyDescent="0.25">
      <c r="A624" s="107" t="s">
        <v>1113</v>
      </c>
      <c r="B624" s="107" t="s">
        <v>684</v>
      </c>
      <c r="C624" s="107" t="s">
        <v>692</v>
      </c>
      <c r="D624" s="107" t="s">
        <v>686</v>
      </c>
      <c r="E624" s="108">
        <v>0</v>
      </c>
    </row>
    <row r="625" spans="1:5" x14ac:dyDescent="0.25">
      <c r="A625" s="107" t="s">
        <v>1113</v>
      </c>
      <c r="B625" s="107" t="s">
        <v>684</v>
      </c>
      <c r="C625" s="107" t="s">
        <v>85</v>
      </c>
      <c r="D625" s="107" t="s">
        <v>686</v>
      </c>
      <c r="E625" s="108">
        <v>390</v>
      </c>
    </row>
    <row r="626" spans="1:5" x14ac:dyDescent="0.25">
      <c r="A626" s="107" t="s">
        <v>1113</v>
      </c>
      <c r="B626" s="107" t="s">
        <v>684</v>
      </c>
      <c r="C626" s="107" t="s">
        <v>696</v>
      </c>
      <c r="D626" s="107" t="s">
        <v>686</v>
      </c>
      <c r="E626" s="108">
        <v>32.5</v>
      </c>
    </row>
    <row r="627" spans="1:5" x14ac:dyDescent="0.25">
      <c r="A627" s="107" t="s">
        <v>1113</v>
      </c>
      <c r="B627" s="107" t="s">
        <v>684</v>
      </c>
      <c r="C627" s="107" t="s">
        <v>699</v>
      </c>
      <c r="D627" s="107" t="s">
        <v>686</v>
      </c>
      <c r="E627" s="108">
        <v>227.5</v>
      </c>
    </row>
    <row r="628" spans="1:5" x14ac:dyDescent="0.25">
      <c r="A628" s="107" t="s">
        <v>1113</v>
      </c>
      <c r="B628" s="107" t="s">
        <v>684</v>
      </c>
      <c r="C628" s="107" t="s">
        <v>701</v>
      </c>
      <c r="D628" s="107" t="s">
        <v>686</v>
      </c>
      <c r="E628" s="108">
        <v>162.5</v>
      </c>
    </row>
    <row r="629" spans="1:5" x14ac:dyDescent="0.25">
      <c r="A629" s="107" t="s">
        <v>1113</v>
      </c>
      <c r="B629" s="107" t="s">
        <v>684</v>
      </c>
      <c r="C629" s="107" t="s">
        <v>722</v>
      </c>
      <c r="D629" s="107" t="s">
        <v>686</v>
      </c>
      <c r="E629" s="108">
        <v>1300</v>
      </c>
    </row>
    <row r="630" spans="1:5" x14ac:dyDescent="0.25">
      <c r="A630" s="107" t="s">
        <v>1113</v>
      </c>
      <c r="B630" s="107" t="s">
        <v>684</v>
      </c>
      <c r="C630" s="107" t="s">
        <v>1051</v>
      </c>
      <c r="D630" s="107" t="s">
        <v>686</v>
      </c>
      <c r="E630" s="108">
        <v>260</v>
      </c>
    </row>
    <row r="631" spans="1:5" x14ac:dyDescent="0.25">
      <c r="A631" s="107" t="s">
        <v>1113</v>
      </c>
      <c r="B631" s="107" t="s">
        <v>684</v>
      </c>
      <c r="C631" s="107" t="s">
        <v>93</v>
      </c>
      <c r="D631" s="107" t="s">
        <v>686</v>
      </c>
      <c r="E631" s="108">
        <v>487.5</v>
      </c>
    </row>
    <row r="632" spans="1:5" x14ac:dyDescent="0.25">
      <c r="A632" s="107" t="s">
        <v>1113</v>
      </c>
      <c r="B632" s="107" t="s">
        <v>684</v>
      </c>
      <c r="C632" s="107" t="s">
        <v>1028</v>
      </c>
      <c r="D632" s="107" t="s">
        <v>686</v>
      </c>
      <c r="E632" s="108">
        <v>325</v>
      </c>
    </row>
    <row r="633" spans="1:5" x14ac:dyDescent="0.25">
      <c r="A633" s="109" t="s">
        <v>1114</v>
      </c>
      <c r="B633" s="111" t="s">
        <v>684</v>
      </c>
      <c r="C633" s="109" t="s">
        <v>737</v>
      </c>
      <c r="D633" s="111" t="s">
        <v>686</v>
      </c>
      <c r="E633" s="110">
        <v>2530.8414204328469</v>
      </c>
    </row>
    <row r="634" spans="1:5" x14ac:dyDescent="0.25">
      <c r="A634" s="109" t="s">
        <v>1114</v>
      </c>
      <c r="B634" s="111" t="s">
        <v>684</v>
      </c>
      <c r="C634" s="109" t="s">
        <v>692</v>
      </c>
      <c r="D634" s="111" t="s">
        <v>686</v>
      </c>
      <c r="E634" s="110">
        <v>1333.7801040701597</v>
      </c>
    </row>
    <row r="635" spans="1:5" x14ac:dyDescent="0.25">
      <c r="A635" s="109" t="s">
        <v>1114</v>
      </c>
      <c r="B635" s="111" t="s">
        <v>684</v>
      </c>
      <c r="C635" s="109" t="s">
        <v>1002</v>
      </c>
      <c r="D635" s="111" t="s">
        <v>686</v>
      </c>
      <c r="E635" s="110">
        <v>333.45753004971516</v>
      </c>
    </row>
    <row r="636" spans="1:5" x14ac:dyDescent="0.25">
      <c r="A636" s="109" t="s">
        <v>1114</v>
      </c>
      <c r="B636" s="111" t="s">
        <v>684</v>
      </c>
      <c r="C636" s="109" t="s">
        <v>85</v>
      </c>
      <c r="D636" s="111" t="s">
        <v>686</v>
      </c>
      <c r="E636" s="110">
        <v>0</v>
      </c>
    </row>
    <row r="637" spans="1:5" x14ac:dyDescent="0.25">
      <c r="A637" s="109" t="s">
        <v>1114</v>
      </c>
      <c r="B637" s="111" t="s">
        <v>684</v>
      </c>
      <c r="C637" s="109" t="s">
        <v>699</v>
      </c>
      <c r="D637" s="111" t="s">
        <v>686</v>
      </c>
      <c r="E637" s="110">
        <v>800.25805921635549</v>
      </c>
    </row>
    <row r="638" spans="1:5" x14ac:dyDescent="0.25">
      <c r="A638" s="109" t="s">
        <v>1114</v>
      </c>
      <c r="B638" s="111" t="s">
        <v>684</v>
      </c>
      <c r="C638" s="109" t="s">
        <v>1006</v>
      </c>
      <c r="D638" s="111" t="s">
        <v>686</v>
      </c>
      <c r="E638" s="110">
        <v>5001.6628862309226</v>
      </c>
    </row>
    <row r="639" spans="1:5" x14ac:dyDescent="0.25">
      <c r="A639" s="107" t="s">
        <v>1115</v>
      </c>
      <c r="B639" s="107" t="s">
        <v>684</v>
      </c>
      <c r="C639" s="107" t="s">
        <v>737</v>
      </c>
      <c r="D639" s="107" t="s">
        <v>686</v>
      </c>
      <c r="E639" s="108">
        <v>759.25242612985414</v>
      </c>
    </row>
    <row r="640" spans="1:5" x14ac:dyDescent="0.25">
      <c r="A640" s="107" t="s">
        <v>1115</v>
      </c>
      <c r="B640" s="107" t="s">
        <v>684</v>
      </c>
      <c r="C640" s="107" t="s">
        <v>692</v>
      </c>
      <c r="D640" s="107" t="s">
        <v>686</v>
      </c>
      <c r="E640" s="108">
        <v>400.13403122104796</v>
      </c>
    </row>
    <row r="641" spans="1:5" x14ac:dyDescent="0.25">
      <c r="A641" s="107" t="s">
        <v>1115</v>
      </c>
      <c r="B641" s="107" t="s">
        <v>684</v>
      </c>
      <c r="C641" s="107" t="s">
        <v>1002</v>
      </c>
      <c r="D641" s="107" t="s">
        <v>686</v>
      </c>
      <c r="E641" s="108">
        <v>100.03725901491457</v>
      </c>
    </row>
    <row r="642" spans="1:5" x14ac:dyDescent="0.25">
      <c r="A642" s="107" t="s">
        <v>1115</v>
      </c>
      <c r="B642" s="107" t="s">
        <v>684</v>
      </c>
      <c r="C642" s="107" t="s">
        <v>85</v>
      </c>
      <c r="D642" s="107" t="s">
        <v>686</v>
      </c>
      <c r="E642" s="108">
        <v>0</v>
      </c>
    </row>
    <row r="643" spans="1:5" x14ac:dyDescent="0.25">
      <c r="A643" s="107" t="s">
        <v>1115</v>
      </c>
      <c r="B643" s="107" t="s">
        <v>684</v>
      </c>
      <c r="C643" s="107" t="s">
        <v>699</v>
      </c>
      <c r="D643" s="107" t="s">
        <v>686</v>
      </c>
      <c r="E643" s="108">
        <v>240.07741776490667</v>
      </c>
    </row>
    <row r="644" spans="1:5" x14ac:dyDescent="0.25">
      <c r="A644" s="107" t="s">
        <v>1115</v>
      </c>
      <c r="B644" s="107" t="s">
        <v>684</v>
      </c>
      <c r="C644" s="107" t="s">
        <v>1006</v>
      </c>
      <c r="D644" s="107" t="s">
        <v>686</v>
      </c>
      <c r="E644" s="108">
        <v>1500.4988658692771</v>
      </c>
    </row>
    <row r="645" spans="1:5" x14ac:dyDescent="0.25">
      <c r="A645" s="107" t="s">
        <v>1115</v>
      </c>
      <c r="B645" s="107" t="s">
        <v>684</v>
      </c>
      <c r="C645" s="107" t="s">
        <v>1078</v>
      </c>
      <c r="D645" s="107" t="s">
        <v>686</v>
      </c>
      <c r="E645" s="108">
        <v>225</v>
      </c>
    </row>
    <row r="646" spans="1:5" x14ac:dyDescent="0.25">
      <c r="A646" s="109" t="s">
        <v>1116</v>
      </c>
      <c r="B646" s="111" t="s">
        <v>684</v>
      </c>
      <c r="C646" s="109" t="s">
        <v>737</v>
      </c>
      <c r="D646" s="111" t="s">
        <v>686</v>
      </c>
      <c r="E646" s="110">
        <v>1012.3365681731389</v>
      </c>
    </row>
    <row r="647" spans="1:5" x14ac:dyDescent="0.25">
      <c r="A647" s="109" t="s">
        <v>1116</v>
      </c>
      <c r="B647" s="111" t="s">
        <v>684</v>
      </c>
      <c r="C647" s="109" t="s">
        <v>692</v>
      </c>
      <c r="D647" s="111" t="s">
        <v>686</v>
      </c>
      <c r="E647" s="110">
        <v>533.51204162806391</v>
      </c>
    </row>
    <row r="648" spans="1:5" x14ac:dyDescent="0.25">
      <c r="A648" s="109" t="s">
        <v>1116</v>
      </c>
      <c r="B648" s="111" t="s">
        <v>684</v>
      </c>
      <c r="C648" s="109" t="s">
        <v>1002</v>
      </c>
      <c r="D648" s="111" t="s">
        <v>686</v>
      </c>
      <c r="E648" s="110">
        <v>133.38301201988608</v>
      </c>
    </row>
    <row r="649" spans="1:5" x14ac:dyDescent="0.25">
      <c r="A649" s="109" t="s">
        <v>1116</v>
      </c>
      <c r="B649" s="111" t="s">
        <v>684</v>
      </c>
      <c r="C649" s="109" t="s">
        <v>85</v>
      </c>
      <c r="D649" s="111" t="s">
        <v>686</v>
      </c>
      <c r="E649" s="110">
        <v>0</v>
      </c>
    </row>
    <row r="650" spans="1:5" x14ac:dyDescent="0.25">
      <c r="A650" s="109" t="s">
        <v>1116</v>
      </c>
      <c r="B650" s="111" t="s">
        <v>684</v>
      </c>
      <c r="C650" s="109" t="s">
        <v>699</v>
      </c>
      <c r="D650" s="111" t="s">
        <v>686</v>
      </c>
      <c r="E650" s="110">
        <v>320.10322368654221</v>
      </c>
    </row>
    <row r="651" spans="1:5" x14ac:dyDescent="0.25">
      <c r="A651" s="109" t="s">
        <v>1116</v>
      </c>
      <c r="B651" s="111" t="s">
        <v>684</v>
      </c>
      <c r="C651" s="109" t="s">
        <v>1006</v>
      </c>
      <c r="D651" s="111" t="s">
        <v>686</v>
      </c>
      <c r="E651" s="110">
        <v>2000.6651544923693</v>
      </c>
    </row>
    <row r="652" spans="1:5" x14ac:dyDescent="0.25">
      <c r="A652" s="109" t="s">
        <v>1116</v>
      </c>
      <c r="B652" s="111" t="s">
        <v>684</v>
      </c>
      <c r="C652" s="109" t="s">
        <v>185</v>
      </c>
      <c r="D652" s="111" t="s">
        <v>686</v>
      </c>
      <c r="E652" s="110">
        <v>225</v>
      </c>
    </row>
    <row r="653" spans="1:5" x14ac:dyDescent="0.25">
      <c r="A653" s="109" t="s">
        <v>1116</v>
      </c>
      <c r="B653" s="111" t="s">
        <v>684</v>
      </c>
      <c r="C653" s="109" t="s">
        <v>716</v>
      </c>
      <c r="D653" s="111" t="s">
        <v>686</v>
      </c>
      <c r="E653" s="110">
        <v>225</v>
      </c>
    </row>
    <row r="654" spans="1:5" x14ac:dyDescent="0.25">
      <c r="A654" s="109" t="s">
        <v>1116</v>
      </c>
      <c r="B654" s="111" t="s">
        <v>684</v>
      </c>
      <c r="C654" s="109" t="s">
        <v>722</v>
      </c>
      <c r="D654" s="111" t="s">
        <v>686</v>
      </c>
      <c r="E654" s="110">
        <v>225</v>
      </c>
    </row>
    <row r="655" spans="1:5" x14ac:dyDescent="0.25">
      <c r="A655" s="109" t="s">
        <v>1116</v>
      </c>
      <c r="B655" s="111" t="s">
        <v>684</v>
      </c>
      <c r="C655" s="109" t="s">
        <v>1076</v>
      </c>
      <c r="D655" s="111" t="s">
        <v>686</v>
      </c>
      <c r="E655" s="110">
        <v>225</v>
      </c>
    </row>
    <row r="656" spans="1:5" x14ac:dyDescent="0.25">
      <c r="A656" s="107" t="s">
        <v>1117</v>
      </c>
      <c r="B656" s="107" t="s">
        <v>684</v>
      </c>
      <c r="C656" s="107" t="s">
        <v>1099</v>
      </c>
      <c r="D656" s="107" t="s">
        <v>686</v>
      </c>
      <c r="E656" s="108">
        <v>3000</v>
      </c>
    </row>
    <row r="657" spans="1:5" x14ac:dyDescent="0.25">
      <c r="A657" s="107" t="s">
        <v>1117</v>
      </c>
      <c r="B657" s="107" t="s">
        <v>684</v>
      </c>
      <c r="C657" s="107" t="s">
        <v>1086</v>
      </c>
      <c r="D657" s="107" t="s">
        <v>686</v>
      </c>
      <c r="E657" s="108">
        <v>900</v>
      </c>
    </row>
    <row r="658" spans="1:5" x14ac:dyDescent="0.25">
      <c r="A658" s="107" t="s">
        <v>1117</v>
      </c>
      <c r="B658" s="107" t="s">
        <v>684</v>
      </c>
      <c r="C658" s="107" t="s">
        <v>1051</v>
      </c>
      <c r="D658" s="107" t="s">
        <v>686</v>
      </c>
      <c r="E658" s="108">
        <v>120</v>
      </c>
    </row>
    <row r="659" spans="1:5" x14ac:dyDescent="0.25">
      <c r="A659" s="107" t="s">
        <v>1117</v>
      </c>
      <c r="B659" s="107" t="s">
        <v>684</v>
      </c>
      <c r="C659" s="107" t="s">
        <v>115</v>
      </c>
      <c r="D659" s="107" t="s">
        <v>686</v>
      </c>
      <c r="E659" s="108">
        <v>5</v>
      </c>
    </row>
    <row r="660" spans="1:5" x14ac:dyDescent="0.25">
      <c r="A660" s="107" t="s">
        <v>1117</v>
      </c>
      <c r="B660" s="107" t="s">
        <v>684</v>
      </c>
      <c r="C660" s="107" t="s">
        <v>715</v>
      </c>
      <c r="D660" s="107" t="s">
        <v>686</v>
      </c>
      <c r="E660" s="108">
        <v>150</v>
      </c>
    </row>
    <row r="661" spans="1:5" x14ac:dyDescent="0.25">
      <c r="A661" s="107" t="s">
        <v>1117</v>
      </c>
      <c r="B661" s="107" t="s">
        <v>684</v>
      </c>
      <c r="C661" s="107" t="s">
        <v>711</v>
      </c>
      <c r="D661" s="107" t="s">
        <v>686</v>
      </c>
      <c r="E661" s="108">
        <v>62.625</v>
      </c>
    </row>
    <row r="662" spans="1:5" x14ac:dyDescent="0.25">
      <c r="A662" s="109" t="s">
        <v>1118</v>
      </c>
      <c r="B662" s="111" t="s">
        <v>684</v>
      </c>
      <c r="C662" s="109" t="s">
        <v>737</v>
      </c>
      <c r="D662" s="111" t="s">
        <v>686</v>
      </c>
      <c r="E662" s="110">
        <v>971.67558991489602</v>
      </c>
    </row>
    <row r="663" spans="1:5" x14ac:dyDescent="0.25">
      <c r="A663" s="109" t="s">
        <v>1118</v>
      </c>
      <c r="B663" s="111" t="s">
        <v>684</v>
      </c>
      <c r="C663" s="109" t="s">
        <v>692</v>
      </c>
      <c r="D663" s="111" t="s">
        <v>686</v>
      </c>
      <c r="E663" s="110">
        <v>89.969962029157031</v>
      </c>
    </row>
    <row r="664" spans="1:5" x14ac:dyDescent="0.25">
      <c r="A664" s="109" t="s">
        <v>1118</v>
      </c>
      <c r="B664" s="111" t="s">
        <v>684</v>
      </c>
      <c r="C664" s="109" t="s">
        <v>1002</v>
      </c>
      <c r="D664" s="111" t="s">
        <v>686</v>
      </c>
      <c r="E664" s="110">
        <v>119.96474772220078</v>
      </c>
    </row>
    <row r="665" spans="1:5" x14ac:dyDescent="0.25">
      <c r="A665" s="109" t="s">
        <v>1118</v>
      </c>
      <c r="B665" s="111" t="s">
        <v>684</v>
      </c>
      <c r="C665" s="109" t="s">
        <v>85</v>
      </c>
      <c r="D665" s="111" t="s">
        <v>686</v>
      </c>
      <c r="E665" s="110">
        <v>107.96395443498844</v>
      </c>
    </row>
    <row r="666" spans="1:5" x14ac:dyDescent="0.25">
      <c r="A666" s="109" t="s">
        <v>1118</v>
      </c>
      <c r="B666" s="111" t="s">
        <v>684</v>
      </c>
      <c r="C666" s="109" t="s">
        <v>699</v>
      </c>
      <c r="D666" s="111" t="s">
        <v>686</v>
      </c>
      <c r="E666" s="110">
        <v>287.90099948330766</v>
      </c>
    </row>
    <row r="667" spans="1:5" x14ac:dyDescent="0.25">
      <c r="A667" s="109" t="s">
        <v>1118</v>
      </c>
      <c r="B667" s="111" t="s">
        <v>684</v>
      </c>
      <c r="C667" s="109" t="s">
        <v>1007</v>
      </c>
      <c r="D667" s="111" t="s">
        <v>686</v>
      </c>
      <c r="E667" s="110">
        <v>1439.5193924665125</v>
      </c>
    </row>
    <row r="668" spans="1:5" x14ac:dyDescent="0.25">
      <c r="A668" s="109" t="s">
        <v>1118</v>
      </c>
      <c r="B668" s="111" t="s">
        <v>684</v>
      </c>
      <c r="C668" s="109" t="s">
        <v>1008</v>
      </c>
      <c r="D668" s="111" t="s">
        <v>686</v>
      </c>
      <c r="E668" s="110">
        <v>583.00535394893757</v>
      </c>
    </row>
    <row r="669" spans="1:5" x14ac:dyDescent="0.25">
      <c r="A669" s="107" t="s">
        <v>1119</v>
      </c>
      <c r="B669" s="107" t="s">
        <v>684</v>
      </c>
      <c r="C669" s="107" t="s">
        <v>737</v>
      </c>
      <c r="D669" s="107" t="s">
        <v>686</v>
      </c>
      <c r="E669" s="108">
        <v>999.99999999999989</v>
      </c>
    </row>
    <row r="670" spans="1:5" x14ac:dyDescent="0.25">
      <c r="A670" s="107" t="s">
        <v>1119</v>
      </c>
      <c r="B670" s="107" t="s">
        <v>684</v>
      </c>
      <c r="C670" s="107" t="s">
        <v>1120</v>
      </c>
      <c r="D670" s="107" t="s">
        <v>686</v>
      </c>
      <c r="E670" s="108">
        <v>1049.9999999999998</v>
      </c>
    </row>
    <row r="671" spans="1:5" x14ac:dyDescent="0.25">
      <c r="A671" s="107" t="s">
        <v>1119</v>
      </c>
      <c r="B671" s="107" t="s">
        <v>684</v>
      </c>
      <c r="C671" s="107" t="s">
        <v>1007</v>
      </c>
      <c r="D671" s="107" t="s">
        <v>686</v>
      </c>
      <c r="E671" s="108">
        <v>1999.9999999999998</v>
      </c>
    </row>
    <row r="672" spans="1:5" x14ac:dyDescent="0.25">
      <c r="A672" s="109" t="s">
        <v>1121</v>
      </c>
      <c r="B672" s="111" t="s">
        <v>684</v>
      </c>
      <c r="C672" s="109" t="s">
        <v>685</v>
      </c>
      <c r="D672" s="111" t="s">
        <v>686</v>
      </c>
      <c r="E672" s="110">
        <v>1057.5</v>
      </c>
    </row>
    <row r="673" spans="1:5" x14ac:dyDescent="0.25">
      <c r="A673" s="109" t="s">
        <v>1121</v>
      </c>
      <c r="B673" s="111" t="s">
        <v>684</v>
      </c>
      <c r="C673" s="109" t="s">
        <v>689</v>
      </c>
      <c r="D673" s="111" t="s">
        <v>686</v>
      </c>
      <c r="E673" s="110">
        <v>45</v>
      </c>
    </row>
    <row r="674" spans="1:5" x14ac:dyDescent="0.25">
      <c r="A674" s="109" t="s">
        <v>1121</v>
      </c>
      <c r="B674" s="111" t="s">
        <v>684</v>
      </c>
      <c r="C674" s="109" t="s">
        <v>692</v>
      </c>
      <c r="D674" s="111" t="s">
        <v>686</v>
      </c>
      <c r="E674" s="110">
        <v>60</v>
      </c>
    </row>
    <row r="675" spans="1:5" x14ac:dyDescent="0.25">
      <c r="A675" s="109" t="s">
        <v>1121</v>
      </c>
      <c r="B675" s="111" t="s">
        <v>684</v>
      </c>
      <c r="C675" s="109" t="s">
        <v>85</v>
      </c>
      <c r="D675" s="111" t="s">
        <v>686</v>
      </c>
      <c r="E675" s="110">
        <v>90</v>
      </c>
    </row>
    <row r="676" spans="1:5" x14ac:dyDescent="0.25">
      <c r="A676" s="109" t="s">
        <v>1121</v>
      </c>
      <c r="B676" s="111" t="s">
        <v>684</v>
      </c>
      <c r="C676" s="109" t="s">
        <v>696</v>
      </c>
      <c r="D676" s="111" t="s">
        <v>686</v>
      </c>
      <c r="E676" s="110">
        <v>7.5</v>
      </c>
    </row>
    <row r="677" spans="1:5" x14ac:dyDescent="0.25">
      <c r="A677" s="109" t="s">
        <v>1121</v>
      </c>
      <c r="B677" s="111" t="s">
        <v>684</v>
      </c>
      <c r="C677" s="109" t="s">
        <v>699</v>
      </c>
      <c r="D677" s="111" t="s">
        <v>686</v>
      </c>
      <c r="E677" s="110">
        <v>75</v>
      </c>
    </row>
    <row r="678" spans="1:5" x14ac:dyDescent="0.25">
      <c r="A678" s="109" t="s">
        <v>1121</v>
      </c>
      <c r="B678" s="111" t="s">
        <v>684</v>
      </c>
      <c r="C678" s="109" t="s">
        <v>701</v>
      </c>
      <c r="D678" s="111" t="s">
        <v>686</v>
      </c>
      <c r="E678" s="110">
        <v>45</v>
      </c>
    </row>
    <row r="679" spans="1:5" x14ac:dyDescent="0.25">
      <c r="A679" s="109" t="s">
        <v>1121</v>
      </c>
      <c r="B679" s="111" t="s">
        <v>684</v>
      </c>
      <c r="C679" s="109" t="s">
        <v>115</v>
      </c>
      <c r="D679" s="111" t="s">
        <v>686</v>
      </c>
      <c r="E679" s="110">
        <v>0</v>
      </c>
    </row>
    <row r="680" spans="1:5" x14ac:dyDescent="0.25">
      <c r="A680" s="109" t="s">
        <v>1121</v>
      </c>
      <c r="B680" s="111" t="s">
        <v>684</v>
      </c>
      <c r="C680" s="109" t="s">
        <v>1121</v>
      </c>
      <c r="D680" s="111" t="s">
        <v>686</v>
      </c>
      <c r="E680" s="110">
        <v>120</v>
      </c>
    </row>
    <row r="681" spans="1:5" x14ac:dyDescent="0.25">
      <c r="A681" s="109" t="s">
        <v>1121</v>
      </c>
      <c r="B681" s="111" t="s">
        <v>684</v>
      </c>
      <c r="C681" s="109" t="s">
        <v>716</v>
      </c>
      <c r="D681" s="111" t="s">
        <v>686</v>
      </c>
      <c r="E681" s="110">
        <v>75</v>
      </c>
    </row>
    <row r="682" spans="1:5" x14ac:dyDescent="0.25">
      <c r="A682" s="109" t="s">
        <v>1121</v>
      </c>
      <c r="B682" s="111" t="s">
        <v>684</v>
      </c>
      <c r="C682" s="109" t="s">
        <v>711</v>
      </c>
      <c r="D682" s="111" t="s">
        <v>686</v>
      </c>
      <c r="E682" s="110">
        <v>15</v>
      </c>
    </row>
    <row r="683" spans="1:5" x14ac:dyDescent="0.25">
      <c r="A683" s="107" t="s">
        <v>740</v>
      </c>
      <c r="B683" s="107" t="s">
        <v>684</v>
      </c>
      <c r="C683" s="107" t="s">
        <v>685</v>
      </c>
      <c r="D683" s="107" t="s">
        <v>686</v>
      </c>
      <c r="E683" s="108">
        <v>1662.5</v>
      </c>
    </row>
    <row r="684" spans="1:5" x14ac:dyDescent="0.25">
      <c r="A684" s="107" t="s">
        <v>740</v>
      </c>
      <c r="B684" s="107" t="s">
        <v>684</v>
      </c>
      <c r="C684" s="107" t="s">
        <v>689</v>
      </c>
      <c r="D684" s="107" t="s">
        <v>686</v>
      </c>
      <c r="E684" s="108">
        <v>150</v>
      </c>
    </row>
    <row r="685" spans="1:5" x14ac:dyDescent="0.25">
      <c r="A685" s="107" t="s">
        <v>740</v>
      </c>
      <c r="B685" s="107" t="s">
        <v>684</v>
      </c>
      <c r="C685" s="107" t="s">
        <v>692</v>
      </c>
      <c r="D685" s="107" t="s">
        <v>686</v>
      </c>
      <c r="E685" s="108">
        <v>275</v>
      </c>
    </row>
    <row r="686" spans="1:5" x14ac:dyDescent="0.25">
      <c r="A686" s="107" t="s">
        <v>740</v>
      </c>
      <c r="B686" s="107" t="s">
        <v>684</v>
      </c>
      <c r="C686" s="107" t="s">
        <v>85</v>
      </c>
      <c r="D686" s="107" t="s">
        <v>686</v>
      </c>
      <c r="E686" s="108">
        <v>125</v>
      </c>
    </row>
    <row r="687" spans="1:5" x14ac:dyDescent="0.25">
      <c r="A687" s="107" t="s">
        <v>740</v>
      </c>
      <c r="B687" s="107" t="s">
        <v>684</v>
      </c>
      <c r="C687" s="107" t="s">
        <v>696</v>
      </c>
      <c r="D687" s="107" t="s">
        <v>686</v>
      </c>
      <c r="E687" s="108">
        <v>12.5</v>
      </c>
    </row>
    <row r="688" spans="1:5" x14ac:dyDescent="0.25">
      <c r="A688" s="107" t="s">
        <v>740</v>
      </c>
      <c r="B688" s="107" t="s">
        <v>684</v>
      </c>
      <c r="C688" s="107" t="s">
        <v>699</v>
      </c>
      <c r="D688" s="107" t="s">
        <v>686</v>
      </c>
      <c r="E688" s="108">
        <v>100</v>
      </c>
    </row>
    <row r="689" spans="1:5" x14ac:dyDescent="0.25">
      <c r="A689" s="107" t="s">
        <v>740</v>
      </c>
      <c r="B689" s="107" t="s">
        <v>684</v>
      </c>
      <c r="C689" s="107" t="s">
        <v>701</v>
      </c>
      <c r="D689" s="107" t="s">
        <v>686</v>
      </c>
      <c r="E689" s="108">
        <v>50</v>
      </c>
    </row>
    <row r="690" spans="1:5" x14ac:dyDescent="0.25">
      <c r="A690" s="107" t="s">
        <v>740</v>
      </c>
      <c r="B690" s="107" t="s">
        <v>684</v>
      </c>
      <c r="C690" s="107" t="s">
        <v>724</v>
      </c>
      <c r="D690" s="107" t="s">
        <v>686</v>
      </c>
      <c r="E690" s="108">
        <v>125</v>
      </c>
    </row>
    <row r="691" spans="1:5" x14ac:dyDescent="0.25">
      <c r="A691" s="107" t="s">
        <v>740</v>
      </c>
      <c r="B691" s="107" t="s">
        <v>684</v>
      </c>
      <c r="C691" s="107" t="s">
        <v>93</v>
      </c>
      <c r="D691" s="107" t="s">
        <v>686</v>
      </c>
      <c r="E691" s="108">
        <v>187.5</v>
      </c>
    </row>
    <row r="692" spans="1:5" x14ac:dyDescent="0.25">
      <c r="A692" s="109" t="s">
        <v>1122</v>
      </c>
      <c r="B692" s="111" t="s">
        <v>684</v>
      </c>
      <c r="C692" s="109" t="s">
        <v>685</v>
      </c>
      <c r="D692" s="111" t="s">
        <v>686</v>
      </c>
      <c r="E692" s="110">
        <v>1762.5</v>
      </c>
    </row>
    <row r="693" spans="1:5" x14ac:dyDescent="0.25">
      <c r="A693" s="109" t="s">
        <v>1122</v>
      </c>
      <c r="B693" s="111" t="s">
        <v>684</v>
      </c>
      <c r="C693" s="109" t="s">
        <v>689</v>
      </c>
      <c r="D693" s="111" t="s">
        <v>686</v>
      </c>
      <c r="E693" s="110">
        <v>150</v>
      </c>
    </row>
    <row r="694" spans="1:5" x14ac:dyDescent="0.25">
      <c r="A694" s="109" t="s">
        <v>1122</v>
      </c>
      <c r="B694" s="111" t="s">
        <v>684</v>
      </c>
      <c r="C694" s="109" t="s">
        <v>692</v>
      </c>
      <c r="D694" s="111" t="s">
        <v>686</v>
      </c>
      <c r="E694" s="110">
        <v>200</v>
      </c>
    </row>
    <row r="695" spans="1:5" x14ac:dyDescent="0.25">
      <c r="A695" s="109" t="s">
        <v>1122</v>
      </c>
      <c r="B695" s="111" t="s">
        <v>684</v>
      </c>
      <c r="C695" s="109" t="s">
        <v>85</v>
      </c>
      <c r="D695" s="111" t="s">
        <v>686</v>
      </c>
      <c r="E695" s="110">
        <v>100</v>
      </c>
    </row>
    <row r="696" spans="1:5" x14ac:dyDescent="0.25">
      <c r="A696" s="109" t="s">
        <v>1122</v>
      </c>
      <c r="B696" s="111" t="s">
        <v>684</v>
      </c>
      <c r="C696" s="109" t="s">
        <v>696</v>
      </c>
      <c r="D696" s="111" t="s">
        <v>686</v>
      </c>
      <c r="E696" s="110">
        <v>12.5</v>
      </c>
    </row>
    <row r="697" spans="1:5" x14ac:dyDescent="0.25">
      <c r="A697" s="109" t="s">
        <v>1122</v>
      </c>
      <c r="B697" s="111" t="s">
        <v>684</v>
      </c>
      <c r="C697" s="109" t="s">
        <v>699</v>
      </c>
      <c r="D697" s="111" t="s">
        <v>686</v>
      </c>
      <c r="E697" s="110">
        <v>100</v>
      </c>
    </row>
    <row r="698" spans="1:5" x14ac:dyDescent="0.25">
      <c r="A698" s="109" t="s">
        <v>1122</v>
      </c>
      <c r="B698" s="111" t="s">
        <v>684</v>
      </c>
      <c r="C698" s="109" t="s">
        <v>701</v>
      </c>
      <c r="D698" s="111" t="s">
        <v>686</v>
      </c>
      <c r="E698" s="110">
        <v>50</v>
      </c>
    </row>
    <row r="699" spans="1:5" x14ac:dyDescent="0.25">
      <c r="A699" s="109" t="s">
        <v>1122</v>
      </c>
      <c r="B699" s="111" t="s">
        <v>684</v>
      </c>
      <c r="C699" s="109" t="s">
        <v>724</v>
      </c>
      <c r="D699" s="111" t="s">
        <v>686</v>
      </c>
      <c r="E699" s="110">
        <v>125</v>
      </c>
    </row>
    <row r="700" spans="1:5" x14ac:dyDescent="0.25">
      <c r="A700" s="109" t="s">
        <v>1122</v>
      </c>
      <c r="B700" s="111" t="s">
        <v>684</v>
      </c>
      <c r="C700" s="109" t="s">
        <v>1123</v>
      </c>
      <c r="D700" s="111" t="s">
        <v>686</v>
      </c>
      <c r="E700" s="110">
        <v>187.5</v>
      </c>
    </row>
    <row r="701" spans="1:5" x14ac:dyDescent="0.25">
      <c r="A701" s="107" t="s">
        <v>713</v>
      </c>
      <c r="B701" s="107" t="s">
        <v>684</v>
      </c>
      <c r="C701" s="107" t="s">
        <v>685</v>
      </c>
      <c r="D701" s="107" t="s">
        <v>686</v>
      </c>
      <c r="E701" s="108">
        <v>7938.45</v>
      </c>
    </row>
    <row r="702" spans="1:5" x14ac:dyDescent="0.25">
      <c r="A702" s="107" t="s">
        <v>713</v>
      </c>
      <c r="B702" s="107" t="s">
        <v>684</v>
      </c>
      <c r="C702" s="107" t="s">
        <v>689</v>
      </c>
      <c r="D702" s="107" t="s">
        <v>686</v>
      </c>
      <c r="E702" s="108">
        <v>351</v>
      </c>
    </row>
    <row r="703" spans="1:5" x14ac:dyDescent="0.25">
      <c r="A703" s="107" t="s">
        <v>713</v>
      </c>
      <c r="B703" s="107" t="s">
        <v>684</v>
      </c>
      <c r="C703" s="107" t="s">
        <v>692</v>
      </c>
      <c r="D703" s="107" t="s">
        <v>686</v>
      </c>
      <c r="E703" s="108">
        <v>1053</v>
      </c>
    </row>
    <row r="704" spans="1:5" x14ac:dyDescent="0.25">
      <c r="A704" s="107" t="s">
        <v>713</v>
      </c>
      <c r="B704" s="107" t="s">
        <v>684</v>
      </c>
      <c r="C704" s="107" t="s">
        <v>85</v>
      </c>
      <c r="D704" s="107" t="s">
        <v>686</v>
      </c>
      <c r="E704" s="108">
        <v>468</v>
      </c>
    </row>
    <row r="705" spans="1:5" x14ac:dyDescent="0.25">
      <c r="A705" s="107" t="s">
        <v>713</v>
      </c>
      <c r="B705" s="107" t="s">
        <v>684</v>
      </c>
      <c r="C705" s="107" t="s">
        <v>696</v>
      </c>
      <c r="D705" s="107" t="s">
        <v>686</v>
      </c>
      <c r="E705" s="108">
        <v>58.5</v>
      </c>
    </row>
    <row r="706" spans="1:5" x14ac:dyDescent="0.25">
      <c r="A706" s="107" t="s">
        <v>713</v>
      </c>
      <c r="B706" s="107" t="s">
        <v>684</v>
      </c>
      <c r="C706" s="107" t="s">
        <v>699</v>
      </c>
      <c r="D706" s="107" t="s">
        <v>686</v>
      </c>
      <c r="E706" s="108">
        <v>702</v>
      </c>
    </row>
    <row r="707" spans="1:5" x14ac:dyDescent="0.25">
      <c r="A707" s="107" t="s">
        <v>713</v>
      </c>
      <c r="B707" s="107" t="s">
        <v>684</v>
      </c>
      <c r="C707" s="107" t="s">
        <v>701</v>
      </c>
      <c r="D707" s="107" t="s">
        <v>686</v>
      </c>
      <c r="E707" s="108">
        <v>351</v>
      </c>
    </row>
    <row r="708" spans="1:5" x14ac:dyDescent="0.25">
      <c r="A708" s="107" t="s">
        <v>713</v>
      </c>
      <c r="B708" s="107" t="s">
        <v>684</v>
      </c>
      <c r="C708" s="107" t="s">
        <v>715</v>
      </c>
      <c r="D708" s="107" t="s">
        <v>686</v>
      </c>
      <c r="E708" s="108">
        <v>760.5</v>
      </c>
    </row>
    <row r="709" spans="1:5" x14ac:dyDescent="0.25">
      <c r="A709" s="107" t="s">
        <v>713</v>
      </c>
      <c r="B709" s="107" t="s">
        <v>684</v>
      </c>
      <c r="C709" s="107" t="s">
        <v>115</v>
      </c>
      <c r="D709" s="107" t="s">
        <v>686</v>
      </c>
      <c r="E709" s="108">
        <v>17.549999999999997</v>
      </c>
    </row>
    <row r="710" spans="1:5" x14ac:dyDescent="0.25">
      <c r="A710" s="107" t="s">
        <v>713</v>
      </c>
      <c r="B710" s="107" t="s">
        <v>684</v>
      </c>
      <c r="C710" s="107" t="s">
        <v>716</v>
      </c>
      <c r="D710" s="107" t="s">
        <v>686</v>
      </c>
      <c r="E710" s="108">
        <v>877.5</v>
      </c>
    </row>
    <row r="711" spans="1:5" x14ac:dyDescent="0.25">
      <c r="A711" s="107" t="s">
        <v>713</v>
      </c>
      <c r="B711" s="107" t="s">
        <v>684</v>
      </c>
      <c r="C711" s="107" t="s">
        <v>711</v>
      </c>
      <c r="D711" s="107" t="s">
        <v>686</v>
      </c>
      <c r="E711" s="108">
        <v>146.25</v>
      </c>
    </row>
    <row r="712" spans="1:5" x14ac:dyDescent="0.25">
      <c r="A712" s="109" t="s">
        <v>1124</v>
      </c>
      <c r="B712" s="111" t="s">
        <v>684</v>
      </c>
      <c r="C712" s="109" t="s">
        <v>685</v>
      </c>
      <c r="D712" s="111" t="s">
        <v>686</v>
      </c>
      <c r="E712" s="110">
        <v>1637.5</v>
      </c>
    </row>
    <row r="713" spans="1:5" x14ac:dyDescent="0.25">
      <c r="A713" s="109" t="s">
        <v>1124</v>
      </c>
      <c r="B713" s="111" t="s">
        <v>684</v>
      </c>
      <c r="C713" s="109" t="s">
        <v>689</v>
      </c>
      <c r="D713" s="111" t="s">
        <v>686</v>
      </c>
      <c r="E713" s="110">
        <v>50</v>
      </c>
    </row>
    <row r="714" spans="1:5" x14ac:dyDescent="0.25">
      <c r="A714" s="109" t="s">
        <v>1124</v>
      </c>
      <c r="B714" s="111" t="s">
        <v>684</v>
      </c>
      <c r="C714" s="109" t="s">
        <v>692</v>
      </c>
      <c r="D714" s="111" t="s">
        <v>686</v>
      </c>
      <c r="E714" s="110">
        <v>0</v>
      </c>
    </row>
    <row r="715" spans="1:5" x14ac:dyDescent="0.25">
      <c r="A715" s="109" t="s">
        <v>1124</v>
      </c>
      <c r="B715" s="111" t="s">
        <v>684</v>
      </c>
      <c r="C715" s="109" t="s">
        <v>85</v>
      </c>
      <c r="D715" s="111" t="s">
        <v>686</v>
      </c>
      <c r="E715" s="110">
        <v>100</v>
      </c>
    </row>
    <row r="716" spans="1:5" x14ac:dyDescent="0.25">
      <c r="A716" s="109" t="s">
        <v>1124</v>
      </c>
      <c r="B716" s="111" t="s">
        <v>684</v>
      </c>
      <c r="C716" s="109" t="s">
        <v>696</v>
      </c>
      <c r="D716" s="111" t="s">
        <v>686</v>
      </c>
      <c r="E716" s="110">
        <v>12.5</v>
      </c>
    </row>
    <row r="717" spans="1:5" x14ac:dyDescent="0.25">
      <c r="A717" s="109" t="s">
        <v>1124</v>
      </c>
      <c r="B717" s="111" t="s">
        <v>684</v>
      </c>
      <c r="C717" s="109" t="s">
        <v>699</v>
      </c>
      <c r="D717" s="111" t="s">
        <v>686</v>
      </c>
      <c r="E717" s="110">
        <v>87.5</v>
      </c>
    </row>
    <row r="718" spans="1:5" x14ac:dyDescent="0.25">
      <c r="A718" s="109" t="s">
        <v>1124</v>
      </c>
      <c r="B718" s="111" t="s">
        <v>684</v>
      </c>
      <c r="C718" s="109" t="s">
        <v>701</v>
      </c>
      <c r="D718" s="111" t="s">
        <v>686</v>
      </c>
      <c r="E718" s="110">
        <v>62.5</v>
      </c>
    </row>
    <row r="719" spans="1:5" x14ac:dyDescent="0.25">
      <c r="A719" s="109" t="s">
        <v>1124</v>
      </c>
      <c r="B719" s="111" t="s">
        <v>684</v>
      </c>
      <c r="C719" s="109" t="s">
        <v>722</v>
      </c>
      <c r="D719" s="111" t="s">
        <v>686</v>
      </c>
      <c r="E719" s="110">
        <v>500</v>
      </c>
    </row>
    <row r="720" spans="1:5" x14ac:dyDescent="0.25">
      <c r="A720" s="109" t="s">
        <v>1124</v>
      </c>
      <c r="B720" s="111" t="s">
        <v>684</v>
      </c>
      <c r="C720" s="109" t="s">
        <v>1017</v>
      </c>
      <c r="D720" s="111" t="s">
        <v>686</v>
      </c>
      <c r="E720" s="110">
        <v>50</v>
      </c>
    </row>
    <row r="721" spans="1:5" x14ac:dyDescent="0.25">
      <c r="A721" s="109" t="s">
        <v>1124</v>
      </c>
      <c r="B721" s="111" t="s">
        <v>684</v>
      </c>
      <c r="C721" s="109" t="s">
        <v>716</v>
      </c>
      <c r="D721" s="111" t="s">
        <v>686</v>
      </c>
      <c r="E721" s="110">
        <v>187.5</v>
      </c>
    </row>
    <row r="722" spans="1:5" x14ac:dyDescent="0.25">
      <c r="A722" s="109" t="s">
        <v>1124</v>
      </c>
      <c r="B722" s="111" t="s">
        <v>684</v>
      </c>
      <c r="C722" s="109" t="s">
        <v>1041</v>
      </c>
      <c r="D722" s="111" t="s">
        <v>686</v>
      </c>
      <c r="E722" s="110">
        <v>125</v>
      </c>
    </row>
    <row r="723" spans="1:5" x14ac:dyDescent="0.25">
      <c r="A723" s="107" t="s">
        <v>1125</v>
      </c>
      <c r="B723" s="107" t="s">
        <v>684</v>
      </c>
      <c r="C723" s="107" t="s">
        <v>685</v>
      </c>
      <c r="D723" s="107" t="s">
        <v>686</v>
      </c>
      <c r="E723" s="108">
        <v>2641.1483253588517</v>
      </c>
    </row>
    <row r="724" spans="1:5" x14ac:dyDescent="0.25">
      <c r="A724" s="107" t="s">
        <v>1125</v>
      </c>
      <c r="B724" s="107" t="s">
        <v>684</v>
      </c>
      <c r="C724" s="107" t="s">
        <v>689</v>
      </c>
      <c r="D724" s="107" t="s">
        <v>686</v>
      </c>
      <c r="E724" s="108">
        <v>0</v>
      </c>
    </row>
    <row r="725" spans="1:5" x14ac:dyDescent="0.25">
      <c r="A725" s="107" t="s">
        <v>1125</v>
      </c>
      <c r="B725" s="107" t="s">
        <v>684</v>
      </c>
      <c r="C725" s="107" t="s">
        <v>692</v>
      </c>
      <c r="D725" s="107" t="s">
        <v>686</v>
      </c>
      <c r="E725" s="108">
        <v>306.22009569377991</v>
      </c>
    </row>
    <row r="726" spans="1:5" x14ac:dyDescent="0.25">
      <c r="A726" s="107" t="s">
        <v>1125</v>
      </c>
      <c r="B726" s="107" t="s">
        <v>684</v>
      </c>
      <c r="C726" s="107" t="s">
        <v>696</v>
      </c>
      <c r="D726" s="107" t="s">
        <v>686</v>
      </c>
      <c r="E726" s="108">
        <v>19.138755980861244</v>
      </c>
    </row>
    <row r="727" spans="1:5" x14ac:dyDescent="0.25">
      <c r="A727" s="107" t="s">
        <v>1125</v>
      </c>
      <c r="B727" s="107" t="s">
        <v>684</v>
      </c>
      <c r="C727" s="107" t="s">
        <v>699</v>
      </c>
      <c r="D727" s="107" t="s">
        <v>686</v>
      </c>
      <c r="E727" s="108">
        <v>153.11004784688996</v>
      </c>
    </row>
    <row r="728" spans="1:5" x14ac:dyDescent="0.25">
      <c r="A728" s="107" t="s">
        <v>1125</v>
      </c>
      <c r="B728" s="107" t="s">
        <v>684</v>
      </c>
      <c r="C728" s="107" t="s">
        <v>701</v>
      </c>
      <c r="D728" s="107" t="s">
        <v>686</v>
      </c>
      <c r="E728" s="108">
        <v>114.83253588516746</v>
      </c>
    </row>
    <row r="729" spans="1:5" x14ac:dyDescent="0.25">
      <c r="A729" s="107" t="s">
        <v>1125</v>
      </c>
      <c r="B729" s="107" t="s">
        <v>684</v>
      </c>
      <c r="C729" s="107" t="s">
        <v>1126</v>
      </c>
      <c r="D729" s="107" t="s">
        <v>686</v>
      </c>
      <c r="E729" s="108">
        <v>765.5502392344498</v>
      </c>
    </row>
    <row r="730" spans="1:5" x14ac:dyDescent="0.25">
      <c r="A730" s="107" t="s">
        <v>1125</v>
      </c>
      <c r="B730" s="107" t="s">
        <v>684</v>
      </c>
      <c r="C730" s="107" t="s">
        <v>1126</v>
      </c>
      <c r="D730" s="107" t="s">
        <v>686</v>
      </c>
      <c r="E730" s="108">
        <v>400</v>
      </c>
    </row>
    <row r="731" spans="1:5" x14ac:dyDescent="0.25">
      <c r="A731" s="109" t="s">
        <v>1127</v>
      </c>
      <c r="B731" s="111" t="s">
        <v>684</v>
      </c>
      <c r="C731" s="109" t="s">
        <v>685</v>
      </c>
      <c r="D731" s="111" t="s">
        <v>686</v>
      </c>
      <c r="E731" s="110">
        <v>8713.636363636364</v>
      </c>
    </row>
    <row r="732" spans="1:5" x14ac:dyDescent="0.25">
      <c r="A732" s="109" t="s">
        <v>1127</v>
      </c>
      <c r="B732" s="111" t="s">
        <v>684</v>
      </c>
      <c r="C732" s="109" t="s">
        <v>689</v>
      </c>
      <c r="D732" s="111" t="s">
        <v>686</v>
      </c>
      <c r="E732" s="110">
        <v>981.81818181818187</v>
      </c>
    </row>
    <row r="733" spans="1:5" x14ac:dyDescent="0.25">
      <c r="A733" s="109" t="s">
        <v>1127</v>
      </c>
      <c r="B733" s="111" t="s">
        <v>684</v>
      </c>
      <c r="C733" s="109" t="s">
        <v>692</v>
      </c>
      <c r="D733" s="111" t="s">
        <v>686</v>
      </c>
      <c r="E733" s="110">
        <v>1472.7272727272727</v>
      </c>
    </row>
    <row r="734" spans="1:5" x14ac:dyDescent="0.25">
      <c r="A734" s="109" t="s">
        <v>1127</v>
      </c>
      <c r="B734" s="111" t="s">
        <v>684</v>
      </c>
      <c r="C734" s="109" t="s">
        <v>85</v>
      </c>
      <c r="D734" s="111" t="s">
        <v>686</v>
      </c>
      <c r="E734" s="110">
        <v>122.72727272727273</v>
      </c>
    </row>
    <row r="735" spans="1:5" x14ac:dyDescent="0.25">
      <c r="A735" s="109" t="s">
        <v>1127</v>
      </c>
      <c r="B735" s="111" t="s">
        <v>684</v>
      </c>
      <c r="C735" s="109" t="s">
        <v>696</v>
      </c>
      <c r="D735" s="111" t="s">
        <v>686</v>
      </c>
      <c r="E735" s="110">
        <v>61.363636363636367</v>
      </c>
    </row>
    <row r="736" spans="1:5" x14ac:dyDescent="0.25">
      <c r="A736" s="109" t="s">
        <v>1127</v>
      </c>
      <c r="B736" s="111" t="s">
        <v>684</v>
      </c>
      <c r="C736" s="109" t="s">
        <v>699</v>
      </c>
      <c r="D736" s="111" t="s">
        <v>686</v>
      </c>
      <c r="E736" s="110">
        <v>552.27272727272725</v>
      </c>
    </row>
    <row r="737" spans="1:5" x14ac:dyDescent="0.25">
      <c r="A737" s="109" t="s">
        <v>1127</v>
      </c>
      <c r="B737" s="111" t="s">
        <v>684</v>
      </c>
      <c r="C737" s="109" t="s">
        <v>701</v>
      </c>
      <c r="D737" s="111" t="s">
        <v>686</v>
      </c>
      <c r="E737" s="110">
        <v>368.18181818181819</v>
      </c>
    </row>
    <row r="738" spans="1:5" x14ac:dyDescent="0.25">
      <c r="A738" s="109" t="s">
        <v>1127</v>
      </c>
      <c r="B738" s="111" t="s">
        <v>684</v>
      </c>
      <c r="C738" s="109" t="s">
        <v>1128</v>
      </c>
      <c r="D738" s="111" t="s">
        <v>686</v>
      </c>
      <c r="E738" s="110">
        <v>1227.2727272727273</v>
      </c>
    </row>
    <row r="739" spans="1:5" x14ac:dyDescent="0.25">
      <c r="A739" s="109" t="s">
        <v>1127</v>
      </c>
      <c r="B739" s="111" t="s">
        <v>684</v>
      </c>
      <c r="C739" s="109" t="s">
        <v>1129</v>
      </c>
      <c r="D739" s="111" t="s">
        <v>686</v>
      </c>
      <c r="E739" s="110">
        <v>1350</v>
      </c>
    </row>
    <row r="740" spans="1:5" x14ac:dyDescent="0.25">
      <c r="A740" s="107" t="s">
        <v>1130</v>
      </c>
      <c r="B740" s="107" t="s">
        <v>684</v>
      </c>
      <c r="C740" s="107" t="s">
        <v>685</v>
      </c>
      <c r="D740" s="107" t="s">
        <v>686</v>
      </c>
      <c r="E740" s="108">
        <v>4038</v>
      </c>
    </row>
    <row r="741" spans="1:5" x14ac:dyDescent="0.25">
      <c r="A741" s="107" t="s">
        <v>1130</v>
      </c>
      <c r="B741" s="107" t="s">
        <v>684</v>
      </c>
      <c r="C741" s="107" t="s">
        <v>85</v>
      </c>
      <c r="D741" s="107" t="s">
        <v>686</v>
      </c>
      <c r="E741" s="108">
        <v>798</v>
      </c>
    </row>
    <row r="742" spans="1:5" x14ac:dyDescent="0.25">
      <c r="A742" s="107" t="s">
        <v>1130</v>
      </c>
      <c r="B742" s="107" t="s">
        <v>684</v>
      </c>
      <c r="C742" s="107" t="s">
        <v>696</v>
      </c>
      <c r="D742" s="107" t="s">
        <v>686</v>
      </c>
      <c r="E742" s="108">
        <v>30</v>
      </c>
    </row>
    <row r="743" spans="1:5" x14ac:dyDescent="0.25">
      <c r="A743" s="107" t="s">
        <v>1130</v>
      </c>
      <c r="B743" s="107" t="s">
        <v>684</v>
      </c>
      <c r="C743" s="107" t="s">
        <v>699</v>
      </c>
      <c r="D743" s="107" t="s">
        <v>686</v>
      </c>
      <c r="E743" s="108">
        <v>198</v>
      </c>
    </row>
    <row r="744" spans="1:5" x14ac:dyDescent="0.25">
      <c r="A744" s="107" t="s">
        <v>1130</v>
      </c>
      <c r="B744" s="107" t="s">
        <v>684</v>
      </c>
      <c r="C744" s="107" t="s">
        <v>701</v>
      </c>
      <c r="D744" s="107" t="s">
        <v>686</v>
      </c>
      <c r="E744" s="108">
        <v>156</v>
      </c>
    </row>
    <row r="745" spans="1:5" x14ac:dyDescent="0.25">
      <c r="A745" s="107" t="s">
        <v>1130</v>
      </c>
      <c r="B745" s="107" t="s">
        <v>684</v>
      </c>
      <c r="C745" s="107" t="s">
        <v>1130</v>
      </c>
      <c r="D745" s="107" t="s">
        <v>686</v>
      </c>
      <c r="E745" s="108">
        <v>780</v>
      </c>
    </row>
    <row r="746" spans="1:5" x14ac:dyDescent="0.25">
      <c r="A746" s="107" t="s">
        <v>1130</v>
      </c>
      <c r="B746" s="107" t="s">
        <v>684</v>
      </c>
      <c r="C746" s="107" t="s">
        <v>716</v>
      </c>
      <c r="D746" s="107" t="s">
        <v>686</v>
      </c>
      <c r="E746" s="108">
        <v>450</v>
      </c>
    </row>
    <row r="747" spans="1:5" x14ac:dyDescent="0.25">
      <c r="A747" s="107" t="s">
        <v>1130</v>
      </c>
      <c r="B747" s="107" t="s">
        <v>684</v>
      </c>
      <c r="C747" s="107" t="s">
        <v>711</v>
      </c>
      <c r="D747" s="107" t="s">
        <v>686</v>
      </c>
      <c r="E747" s="108">
        <v>150</v>
      </c>
    </row>
    <row r="748" spans="1:5" x14ac:dyDescent="0.25">
      <c r="A748" s="109" t="s">
        <v>799</v>
      </c>
      <c r="B748" s="111" t="s">
        <v>684</v>
      </c>
      <c r="C748" s="109" t="s">
        <v>685</v>
      </c>
      <c r="D748" s="111" t="s">
        <v>686</v>
      </c>
      <c r="E748" s="110">
        <v>3959.1682419659733</v>
      </c>
    </row>
    <row r="749" spans="1:5" x14ac:dyDescent="0.25">
      <c r="A749" s="109" t="s">
        <v>799</v>
      </c>
      <c r="B749" s="111" t="s">
        <v>684</v>
      </c>
      <c r="C749" s="109" t="s">
        <v>692</v>
      </c>
      <c r="D749" s="111" t="s">
        <v>686</v>
      </c>
      <c r="E749" s="110">
        <v>299.93698802772525</v>
      </c>
    </row>
    <row r="750" spans="1:5" x14ac:dyDescent="0.25">
      <c r="A750" s="109" t="s">
        <v>799</v>
      </c>
      <c r="B750" s="111" t="s">
        <v>684</v>
      </c>
      <c r="C750" s="109" t="s">
        <v>696</v>
      </c>
      <c r="D750" s="111" t="s">
        <v>686</v>
      </c>
      <c r="E750" s="110">
        <v>29.993698802772528</v>
      </c>
    </row>
    <row r="751" spans="1:5" x14ac:dyDescent="0.25">
      <c r="A751" s="109" t="s">
        <v>799</v>
      </c>
      <c r="B751" s="111" t="s">
        <v>684</v>
      </c>
      <c r="C751" s="109" t="s">
        <v>699</v>
      </c>
      <c r="D751" s="111" t="s">
        <v>686</v>
      </c>
      <c r="E751" s="110">
        <v>239.94959042218022</v>
      </c>
    </row>
    <row r="752" spans="1:5" x14ac:dyDescent="0.25">
      <c r="A752" s="109" t="s">
        <v>799</v>
      </c>
      <c r="B752" s="111" t="s">
        <v>684</v>
      </c>
      <c r="C752" s="109" t="s">
        <v>701</v>
      </c>
      <c r="D752" s="111" t="s">
        <v>686</v>
      </c>
      <c r="E752" s="110">
        <v>151.22873345935727</v>
      </c>
    </row>
    <row r="753" spans="1:5" x14ac:dyDescent="0.25">
      <c r="A753" s="109" t="s">
        <v>799</v>
      </c>
      <c r="B753" s="111" t="s">
        <v>684</v>
      </c>
      <c r="C753" s="109" t="s">
        <v>1076</v>
      </c>
      <c r="D753" s="111" t="s">
        <v>686</v>
      </c>
      <c r="E753" s="110">
        <v>1319.7227473219912</v>
      </c>
    </row>
    <row r="754" spans="1:5" x14ac:dyDescent="0.25">
      <c r="A754" s="109" t="s">
        <v>799</v>
      </c>
      <c r="B754" s="111" t="s">
        <v>684</v>
      </c>
      <c r="C754" s="109" t="s">
        <v>1131</v>
      </c>
      <c r="D754" s="111" t="s">
        <v>686</v>
      </c>
      <c r="E754" s="110">
        <v>450</v>
      </c>
    </row>
    <row r="755" spans="1:5" x14ac:dyDescent="0.25">
      <c r="A755" s="109" t="s">
        <v>799</v>
      </c>
      <c r="B755" s="111" t="s">
        <v>684</v>
      </c>
      <c r="C755" s="109" t="s">
        <v>1112</v>
      </c>
      <c r="D755" s="111" t="s">
        <v>686</v>
      </c>
      <c r="E755" s="110">
        <v>300</v>
      </c>
    </row>
    <row r="756" spans="1:5" x14ac:dyDescent="0.25">
      <c r="A756" s="109" t="s">
        <v>799</v>
      </c>
      <c r="B756" s="111" t="s">
        <v>684</v>
      </c>
      <c r="C756" s="109" t="s">
        <v>1132</v>
      </c>
      <c r="D756" s="111" t="s">
        <v>686</v>
      </c>
      <c r="E756" s="110">
        <v>396</v>
      </c>
    </row>
    <row r="757" spans="1:5" x14ac:dyDescent="0.25">
      <c r="A757" s="107" t="s">
        <v>1133</v>
      </c>
      <c r="B757" s="107" t="s">
        <v>684</v>
      </c>
      <c r="C757" s="107" t="s">
        <v>1009</v>
      </c>
      <c r="D757" s="107" t="s">
        <v>686</v>
      </c>
      <c r="E757" s="108">
        <v>2669</v>
      </c>
    </row>
    <row r="758" spans="1:5" x14ac:dyDescent="0.25">
      <c r="A758" s="107" t="s">
        <v>1133</v>
      </c>
      <c r="B758" s="107" t="s">
        <v>684</v>
      </c>
      <c r="C758" s="107" t="s">
        <v>692</v>
      </c>
      <c r="D758" s="107" t="s">
        <v>686</v>
      </c>
      <c r="E758" s="108">
        <v>176.79999999999998</v>
      </c>
    </row>
    <row r="759" spans="1:5" x14ac:dyDescent="0.25">
      <c r="A759" s="107" t="s">
        <v>1133</v>
      </c>
      <c r="B759" s="107" t="s">
        <v>684</v>
      </c>
      <c r="C759" s="107" t="s">
        <v>1002</v>
      </c>
      <c r="D759" s="107" t="s">
        <v>686</v>
      </c>
      <c r="E759" s="108">
        <v>119</v>
      </c>
    </row>
    <row r="760" spans="1:5" x14ac:dyDescent="0.25">
      <c r="A760" s="107" t="s">
        <v>1133</v>
      </c>
      <c r="B760" s="107" t="s">
        <v>684</v>
      </c>
      <c r="C760" s="107" t="s">
        <v>85</v>
      </c>
      <c r="D760" s="107" t="s">
        <v>686</v>
      </c>
      <c r="E760" s="108">
        <v>78.2</v>
      </c>
    </row>
    <row r="761" spans="1:5" x14ac:dyDescent="0.25">
      <c r="A761" s="107" t="s">
        <v>1133</v>
      </c>
      <c r="B761" s="107" t="s">
        <v>684</v>
      </c>
      <c r="C761" s="107" t="s">
        <v>699</v>
      </c>
      <c r="D761" s="107" t="s">
        <v>686</v>
      </c>
      <c r="E761" s="108">
        <v>306</v>
      </c>
    </row>
    <row r="762" spans="1:5" x14ac:dyDescent="0.25">
      <c r="A762" s="107" t="s">
        <v>1133</v>
      </c>
      <c r="B762" s="107" t="s">
        <v>684</v>
      </c>
      <c r="C762" s="107" t="s">
        <v>1003</v>
      </c>
      <c r="D762" s="107" t="s">
        <v>686</v>
      </c>
      <c r="E762" s="108">
        <v>51</v>
      </c>
    </row>
    <row r="763" spans="1:5" x14ac:dyDescent="0.25">
      <c r="A763" s="107" t="s">
        <v>1133</v>
      </c>
      <c r="B763" s="107" t="s">
        <v>684</v>
      </c>
      <c r="C763" s="107" t="s">
        <v>155</v>
      </c>
      <c r="D763" s="107" t="s">
        <v>686</v>
      </c>
      <c r="E763" s="108">
        <v>255</v>
      </c>
    </row>
    <row r="764" spans="1:5" x14ac:dyDescent="0.25">
      <c r="A764" s="109" t="s">
        <v>1134</v>
      </c>
      <c r="B764" s="111" t="s">
        <v>684</v>
      </c>
      <c r="C764" s="109" t="s">
        <v>685</v>
      </c>
      <c r="D764" s="111" t="s">
        <v>686</v>
      </c>
      <c r="E764" s="110">
        <v>2560</v>
      </c>
    </row>
    <row r="765" spans="1:5" x14ac:dyDescent="0.25">
      <c r="A765" s="109" t="s">
        <v>1134</v>
      </c>
      <c r="B765" s="111" t="s">
        <v>684</v>
      </c>
      <c r="C765" s="109" t="s">
        <v>696</v>
      </c>
      <c r="D765" s="111" t="s">
        <v>686</v>
      </c>
      <c r="E765" s="110">
        <v>20</v>
      </c>
    </row>
    <row r="766" spans="1:5" x14ac:dyDescent="0.25">
      <c r="A766" s="109" t="s">
        <v>1134</v>
      </c>
      <c r="B766" s="111" t="s">
        <v>684</v>
      </c>
      <c r="C766" s="109" t="s">
        <v>699</v>
      </c>
      <c r="D766" s="111" t="s">
        <v>686</v>
      </c>
      <c r="E766" s="110">
        <v>180</v>
      </c>
    </row>
    <row r="767" spans="1:5" x14ac:dyDescent="0.25">
      <c r="A767" s="109" t="s">
        <v>1134</v>
      </c>
      <c r="B767" s="111" t="s">
        <v>684</v>
      </c>
      <c r="C767" s="109" t="s">
        <v>701</v>
      </c>
      <c r="D767" s="111" t="s">
        <v>686</v>
      </c>
      <c r="E767" s="110">
        <v>120</v>
      </c>
    </row>
    <row r="768" spans="1:5" x14ac:dyDescent="0.25">
      <c r="A768" s="109" t="s">
        <v>1134</v>
      </c>
      <c r="B768" s="111" t="s">
        <v>684</v>
      </c>
      <c r="C768" s="109" t="s">
        <v>162</v>
      </c>
      <c r="D768" s="111" t="s">
        <v>686</v>
      </c>
      <c r="E768" s="110">
        <v>1120</v>
      </c>
    </row>
    <row r="769" spans="1:5" x14ac:dyDescent="0.25">
      <c r="A769" s="107" t="s">
        <v>1135</v>
      </c>
      <c r="B769" s="107" t="s">
        <v>684</v>
      </c>
      <c r="C769" s="107" t="s">
        <v>685</v>
      </c>
      <c r="D769" s="107" t="s">
        <v>686</v>
      </c>
      <c r="E769" s="108">
        <v>3000</v>
      </c>
    </row>
    <row r="770" spans="1:5" x14ac:dyDescent="0.25">
      <c r="A770" s="107" t="s">
        <v>1135</v>
      </c>
      <c r="B770" s="107" t="s">
        <v>684</v>
      </c>
      <c r="C770" s="107" t="s">
        <v>701</v>
      </c>
      <c r="D770" s="107" t="s">
        <v>686</v>
      </c>
      <c r="E770" s="108">
        <v>400</v>
      </c>
    </row>
    <row r="771" spans="1:5" x14ac:dyDescent="0.25">
      <c r="A771" s="107" t="s">
        <v>1135</v>
      </c>
      <c r="B771" s="107" t="s">
        <v>684</v>
      </c>
      <c r="C771" s="107" t="s">
        <v>1086</v>
      </c>
      <c r="D771" s="107" t="s">
        <v>686</v>
      </c>
      <c r="E771" s="108">
        <v>900</v>
      </c>
    </row>
    <row r="772" spans="1:5" x14ac:dyDescent="0.25">
      <c r="A772" s="109" t="s">
        <v>1136</v>
      </c>
      <c r="B772" s="111" t="s">
        <v>684</v>
      </c>
      <c r="C772" s="109" t="s">
        <v>685</v>
      </c>
      <c r="D772" s="111" t="s">
        <v>686</v>
      </c>
      <c r="E772" s="110">
        <v>2500</v>
      </c>
    </row>
    <row r="773" spans="1:5" x14ac:dyDescent="0.25">
      <c r="A773" s="109" t="s">
        <v>1136</v>
      </c>
      <c r="B773" s="111" t="s">
        <v>684</v>
      </c>
      <c r="C773" s="109" t="s">
        <v>701</v>
      </c>
      <c r="D773" s="111" t="s">
        <v>686</v>
      </c>
      <c r="E773" s="110">
        <v>400</v>
      </c>
    </row>
    <row r="774" spans="1:5" x14ac:dyDescent="0.25">
      <c r="A774" s="109" t="s">
        <v>1136</v>
      </c>
      <c r="B774" s="111" t="s">
        <v>684</v>
      </c>
      <c r="C774" s="109" t="s">
        <v>1086</v>
      </c>
      <c r="D774" s="111" t="s">
        <v>686</v>
      </c>
      <c r="E774" s="110">
        <v>900</v>
      </c>
    </row>
    <row r="775" spans="1:5" x14ac:dyDescent="0.25">
      <c r="A775" s="109" t="s">
        <v>1136</v>
      </c>
      <c r="B775" s="111" t="s">
        <v>684</v>
      </c>
      <c r="C775" s="109" t="s">
        <v>1031</v>
      </c>
      <c r="D775" s="111" t="s">
        <v>686</v>
      </c>
      <c r="E775" s="110">
        <v>500</v>
      </c>
    </row>
    <row r="776" spans="1:5" x14ac:dyDescent="0.25">
      <c r="A776" s="109" t="s">
        <v>1137</v>
      </c>
      <c r="B776" s="111" t="s">
        <v>684</v>
      </c>
      <c r="C776" s="109" t="s">
        <v>685</v>
      </c>
      <c r="D776" s="111" t="s">
        <v>686</v>
      </c>
      <c r="E776" s="110">
        <v>2500</v>
      </c>
    </row>
    <row r="777" spans="1:5" x14ac:dyDescent="0.25">
      <c r="A777" s="109" t="s">
        <v>1137</v>
      </c>
      <c r="B777" s="111" t="s">
        <v>684</v>
      </c>
      <c r="C777" s="109" t="s">
        <v>701</v>
      </c>
      <c r="D777" s="111" t="s">
        <v>686</v>
      </c>
      <c r="E777" s="110">
        <v>400</v>
      </c>
    </row>
    <row r="778" spans="1:5" x14ac:dyDescent="0.25">
      <c r="A778" s="109" t="s">
        <v>1137</v>
      </c>
      <c r="B778" s="111" t="s">
        <v>684</v>
      </c>
      <c r="C778" s="109" t="s">
        <v>1086</v>
      </c>
      <c r="D778" s="111" t="s">
        <v>686</v>
      </c>
      <c r="E778" s="110">
        <v>900</v>
      </c>
    </row>
    <row r="779" spans="1:5" x14ac:dyDescent="0.25">
      <c r="A779" s="109" t="s">
        <v>1137</v>
      </c>
      <c r="B779" s="111" t="s">
        <v>684</v>
      </c>
      <c r="C779" s="109" t="s">
        <v>1011</v>
      </c>
      <c r="D779" s="111" t="s">
        <v>686</v>
      </c>
      <c r="E779" s="110">
        <v>1000</v>
      </c>
    </row>
    <row r="780" spans="1:5" x14ac:dyDescent="0.25">
      <c r="A780" s="107" t="s">
        <v>1138</v>
      </c>
      <c r="B780" s="107" t="s">
        <v>684</v>
      </c>
      <c r="C780" s="107" t="s">
        <v>685</v>
      </c>
      <c r="D780" s="107" t="s">
        <v>686</v>
      </c>
      <c r="E780" s="108">
        <v>2500</v>
      </c>
    </row>
    <row r="781" spans="1:5" x14ac:dyDescent="0.25">
      <c r="A781" s="107" t="s">
        <v>1138</v>
      </c>
      <c r="B781" s="107" t="s">
        <v>684</v>
      </c>
      <c r="C781" s="107" t="s">
        <v>701</v>
      </c>
      <c r="D781" s="107" t="s">
        <v>686</v>
      </c>
      <c r="E781" s="108">
        <v>400</v>
      </c>
    </row>
    <row r="782" spans="1:5" x14ac:dyDescent="0.25">
      <c r="A782" s="107" t="s">
        <v>1138</v>
      </c>
      <c r="B782" s="107" t="s">
        <v>684</v>
      </c>
      <c r="C782" s="107" t="s">
        <v>1086</v>
      </c>
      <c r="D782" s="107" t="s">
        <v>686</v>
      </c>
      <c r="E782" s="108">
        <v>900</v>
      </c>
    </row>
    <row r="783" spans="1:5" x14ac:dyDescent="0.25">
      <c r="A783" s="107" t="s">
        <v>1138</v>
      </c>
      <c r="B783" s="107" t="s">
        <v>684</v>
      </c>
      <c r="C783" s="107" t="s">
        <v>638</v>
      </c>
      <c r="D783" s="107" t="s">
        <v>686</v>
      </c>
      <c r="E783" s="108">
        <v>1000</v>
      </c>
    </row>
    <row r="784" spans="1:5" x14ac:dyDescent="0.25">
      <c r="A784" s="107" t="s">
        <v>1139</v>
      </c>
      <c r="B784" s="107" t="s">
        <v>684</v>
      </c>
      <c r="C784" s="107" t="s">
        <v>685</v>
      </c>
      <c r="D784" s="107" t="s">
        <v>686</v>
      </c>
      <c r="E784" s="108">
        <v>2500</v>
      </c>
    </row>
    <row r="785" spans="1:5" x14ac:dyDescent="0.25">
      <c r="A785" s="107" t="s">
        <v>1139</v>
      </c>
      <c r="B785" s="107" t="s">
        <v>684</v>
      </c>
      <c r="C785" s="107" t="s">
        <v>701</v>
      </c>
      <c r="D785" s="107" t="s">
        <v>686</v>
      </c>
      <c r="E785" s="108">
        <v>400</v>
      </c>
    </row>
    <row r="786" spans="1:5" x14ac:dyDescent="0.25">
      <c r="A786" s="107" t="s">
        <v>1139</v>
      </c>
      <c r="B786" s="107" t="s">
        <v>684</v>
      </c>
      <c r="C786" s="107" t="s">
        <v>1086</v>
      </c>
      <c r="D786" s="107" t="s">
        <v>686</v>
      </c>
      <c r="E786" s="108">
        <v>900</v>
      </c>
    </row>
    <row r="787" spans="1:5" x14ac:dyDescent="0.25">
      <c r="A787" s="107" t="s">
        <v>1139</v>
      </c>
      <c r="B787" s="107" t="s">
        <v>684</v>
      </c>
      <c r="C787" s="107" t="s">
        <v>297</v>
      </c>
      <c r="D787" s="107" t="s">
        <v>686</v>
      </c>
      <c r="E787" s="108">
        <v>1000</v>
      </c>
    </row>
    <row r="788" spans="1:5" x14ac:dyDescent="0.25">
      <c r="A788" s="109" t="s">
        <v>1140</v>
      </c>
      <c r="B788" s="111" t="s">
        <v>684</v>
      </c>
      <c r="C788" s="109" t="s">
        <v>685</v>
      </c>
      <c r="D788" s="111" t="s">
        <v>686</v>
      </c>
      <c r="E788" s="110">
        <v>3000</v>
      </c>
    </row>
    <row r="789" spans="1:5" x14ac:dyDescent="0.25">
      <c r="A789" s="109" t="s">
        <v>1140</v>
      </c>
      <c r="B789" s="111" t="s">
        <v>684</v>
      </c>
      <c r="C789" s="109" t="s">
        <v>701</v>
      </c>
      <c r="D789" s="111" t="s">
        <v>686</v>
      </c>
      <c r="E789" s="110">
        <v>400</v>
      </c>
    </row>
    <row r="790" spans="1:5" x14ac:dyDescent="0.25">
      <c r="A790" s="109" t="s">
        <v>1140</v>
      </c>
      <c r="B790" s="111" t="s">
        <v>684</v>
      </c>
      <c r="C790" s="109" t="s">
        <v>1086</v>
      </c>
      <c r="D790" s="111" t="s">
        <v>686</v>
      </c>
      <c r="E790" s="110">
        <v>900</v>
      </c>
    </row>
    <row r="791" spans="1:5" x14ac:dyDescent="0.25">
      <c r="A791" s="109" t="s">
        <v>1140</v>
      </c>
      <c r="B791" s="111" t="s">
        <v>684</v>
      </c>
      <c r="C791" s="109" t="s">
        <v>1141</v>
      </c>
      <c r="D791" s="111" t="s">
        <v>686</v>
      </c>
      <c r="E791" s="110">
        <v>430</v>
      </c>
    </row>
    <row r="792" spans="1:5" x14ac:dyDescent="0.25">
      <c r="A792" s="107" t="s">
        <v>1142</v>
      </c>
      <c r="B792" s="107" t="s">
        <v>684</v>
      </c>
      <c r="C792" s="107" t="s">
        <v>685</v>
      </c>
      <c r="D792" s="107" t="s">
        <v>686</v>
      </c>
      <c r="E792" s="108">
        <v>2860</v>
      </c>
    </row>
    <row r="793" spans="1:5" x14ac:dyDescent="0.25">
      <c r="A793" s="107" t="s">
        <v>1142</v>
      </c>
      <c r="B793" s="107" t="s">
        <v>684</v>
      </c>
      <c r="C793" s="107" t="s">
        <v>692</v>
      </c>
      <c r="D793" s="107" t="s">
        <v>686</v>
      </c>
      <c r="E793" s="108">
        <v>320</v>
      </c>
    </row>
    <row r="794" spans="1:5" x14ac:dyDescent="0.25">
      <c r="A794" s="107" t="s">
        <v>1142</v>
      </c>
      <c r="B794" s="107" t="s">
        <v>684</v>
      </c>
      <c r="C794" s="107" t="s">
        <v>696</v>
      </c>
      <c r="D794" s="107" t="s">
        <v>686</v>
      </c>
      <c r="E794" s="108">
        <v>20</v>
      </c>
    </row>
    <row r="795" spans="1:5" x14ac:dyDescent="0.25">
      <c r="A795" s="107" t="s">
        <v>1142</v>
      </c>
      <c r="B795" s="107" t="s">
        <v>684</v>
      </c>
      <c r="C795" s="107" t="s">
        <v>699</v>
      </c>
      <c r="D795" s="107" t="s">
        <v>686</v>
      </c>
      <c r="E795" s="108">
        <v>80</v>
      </c>
    </row>
    <row r="796" spans="1:5" x14ac:dyDescent="0.25">
      <c r="A796" s="107" t="s">
        <v>1142</v>
      </c>
      <c r="B796" s="107" t="s">
        <v>684</v>
      </c>
      <c r="C796" s="107" t="s">
        <v>701</v>
      </c>
      <c r="D796" s="107" t="s">
        <v>686</v>
      </c>
      <c r="E796" s="108">
        <v>720</v>
      </c>
    </row>
    <row r="797" spans="1:5" x14ac:dyDescent="0.25">
      <c r="A797" s="107" t="s">
        <v>1142</v>
      </c>
      <c r="B797" s="107" t="s">
        <v>684</v>
      </c>
      <c r="C797" s="107" t="s">
        <v>1084</v>
      </c>
      <c r="D797" s="107" t="s">
        <v>686</v>
      </c>
      <c r="E797" s="108">
        <v>600</v>
      </c>
    </row>
    <row r="798" spans="1:5" x14ac:dyDescent="0.25">
      <c r="A798" s="109" t="s">
        <v>1143</v>
      </c>
      <c r="B798" s="111" t="s">
        <v>684</v>
      </c>
      <c r="C798" s="109" t="s">
        <v>685</v>
      </c>
      <c r="D798" s="111" t="s">
        <v>686</v>
      </c>
      <c r="E798" s="110">
        <v>2860</v>
      </c>
    </row>
    <row r="799" spans="1:5" x14ac:dyDescent="0.25">
      <c r="A799" s="109" t="s">
        <v>1143</v>
      </c>
      <c r="B799" s="111" t="s">
        <v>684</v>
      </c>
      <c r="C799" s="109" t="s">
        <v>692</v>
      </c>
      <c r="D799" s="111" t="s">
        <v>686</v>
      </c>
      <c r="E799" s="110">
        <v>320</v>
      </c>
    </row>
    <row r="800" spans="1:5" x14ac:dyDescent="0.25">
      <c r="A800" s="109" t="s">
        <v>1143</v>
      </c>
      <c r="B800" s="111" t="s">
        <v>684</v>
      </c>
      <c r="C800" s="109" t="s">
        <v>696</v>
      </c>
      <c r="D800" s="111" t="s">
        <v>686</v>
      </c>
      <c r="E800" s="110">
        <v>20</v>
      </c>
    </row>
    <row r="801" spans="1:5" x14ac:dyDescent="0.25">
      <c r="A801" s="109" t="s">
        <v>1143</v>
      </c>
      <c r="B801" s="111" t="s">
        <v>684</v>
      </c>
      <c r="C801" s="109" t="s">
        <v>699</v>
      </c>
      <c r="D801" s="111" t="s">
        <v>686</v>
      </c>
      <c r="E801" s="110">
        <v>80</v>
      </c>
    </row>
    <row r="802" spans="1:5" x14ac:dyDescent="0.25">
      <c r="A802" s="109" t="s">
        <v>1143</v>
      </c>
      <c r="B802" s="111" t="s">
        <v>684</v>
      </c>
      <c r="C802" s="109" t="s">
        <v>701</v>
      </c>
      <c r="D802" s="111" t="s">
        <v>686</v>
      </c>
      <c r="E802" s="110">
        <v>720</v>
      </c>
    </row>
    <row r="803" spans="1:5" x14ac:dyDescent="0.25">
      <c r="A803" s="109" t="s">
        <v>1143</v>
      </c>
      <c r="B803" s="111" t="s">
        <v>684</v>
      </c>
      <c r="C803" s="109" t="s">
        <v>716</v>
      </c>
      <c r="D803" s="111" t="s">
        <v>686</v>
      </c>
      <c r="E803" s="110">
        <v>300</v>
      </c>
    </row>
    <row r="804" spans="1:5" x14ac:dyDescent="0.25">
      <c r="A804" s="107" t="s">
        <v>1144</v>
      </c>
      <c r="B804" s="107" t="s">
        <v>684</v>
      </c>
      <c r="C804" s="107" t="s">
        <v>685</v>
      </c>
      <c r="D804" s="107" t="s">
        <v>686</v>
      </c>
      <c r="E804" s="108">
        <v>2500</v>
      </c>
    </row>
    <row r="805" spans="1:5" x14ac:dyDescent="0.25">
      <c r="A805" s="107" t="s">
        <v>1144</v>
      </c>
      <c r="B805" s="107" t="s">
        <v>684</v>
      </c>
      <c r="C805" s="107" t="s">
        <v>701</v>
      </c>
      <c r="D805" s="107" t="s">
        <v>686</v>
      </c>
      <c r="E805" s="108">
        <v>400</v>
      </c>
    </row>
    <row r="806" spans="1:5" x14ac:dyDescent="0.25">
      <c r="A806" s="107" t="s">
        <v>1144</v>
      </c>
      <c r="B806" s="107" t="s">
        <v>684</v>
      </c>
      <c r="C806" s="107" t="s">
        <v>1086</v>
      </c>
      <c r="D806" s="107" t="s">
        <v>686</v>
      </c>
      <c r="E806" s="108">
        <v>900</v>
      </c>
    </row>
    <row r="807" spans="1:5" x14ac:dyDescent="0.25">
      <c r="A807" s="107" t="s">
        <v>1144</v>
      </c>
      <c r="B807" s="107" t="s">
        <v>684</v>
      </c>
      <c r="C807" s="107" t="s">
        <v>1031</v>
      </c>
      <c r="D807" s="107" t="s">
        <v>686</v>
      </c>
      <c r="E807" s="108">
        <v>500</v>
      </c>
    </row>
    <row r="808" spans="1:5" x14ac:dyDescent="0.25">
      <c r="A808" s="107" t="s">
        <v>1144</v>
      </c>
      <c r="B808" s="107" t="s">
        <v>684</v>
      </c>
      <c r="C808" s="107" t="s">
        <v>1145</v>
      </c>
      <c r="D808" s="107" t="s">
        <v>686</v>
      </c>
      <c r="E808" s="108">
        <v>322.5</v>
      </c>
    </row>
    <row r="809" spans="1:5" x14ac:dyDescent="0.25">
      <c r="A809" s="109" t="s">
        <v>1038</v>
      </c>
      <c r="B809" s="111" t="s">
        <v>684</v>
      </c>
      <c r="C809" s="109" t="s">
        <v>685</v>
      </c>
      <c r="D809" s="111" t="s">
        <v>686</v>
      </c>
      <c r="E809" s="110">
        <v>2920.6190713929104</v>
      </c>
    </row>
    <row r="810" spans="1:5" x14ac:dyDescent="0.25">
      <c r="A810" s="109" t="s">
        <v>1038</v>
      </c>
      <c r="B810" s="111" t="s">
        <v>684</v>
      </c>
      <c r="C810" s="109" t="s">
        <v>1146</v>
      </c>
      <c r="D810" s="111" t="s">
        <v>686</v>
      </c>
      <c r="E810" s="110">
        <v>269.59560659011481</v>
      </c>
    </row>
    <row r="811" spans="1:5" x14ac:dyDescent="0.25">
      <c r="A811" s="109" t="s">
        <v>1038</v>
      </c>
      <c r="B811" s="111" t="s">
        <v>684</v>
      </c>
      <c r="C811" s="109" t="s">
        <v>692</v>
      </c>
      <c r="D811" s="111" t="s">
        <v>686</v>
      </c>
      <c r="E811" s="110">
        <v>269.59560659011481</v>
      </c>
    </row>
    <row r="812" spans="1:5" x14ac:dyDescent="0.25">
      <c r="A812" s="109" t="s">
        <v>1038</v>
      </c>
      <c r="B812" s="111" t="s">
        <v>684</v>
      </c>
      <c r="C812" s="109" t="s">
        <v>85</v>
      </c>
      <c r="D812" s="111" t="s">
        <v>686</v>
      </c>
      <c r="E812" s="110">
        <v>224.66300549176233</v>
      </c>
    </row>
    <row r="813" spans="1:5" x14ac:dyDescent="0.25">
      <c r="A813" s="109" t="s">
        <v>1038</v>
      </c>
      <c r="B813" s="111" t="s">
        <v>684</v>
      </c>
      <c r="C813" s="109" t="s">
        <v>696</v>
      </c>
      <c r="D813" s="111" t="s">
        <v>686</v>
      </c>
      <c r="E813" s="110">
        <v>22.466300549176236</v>
      </c>
    </row>
    <row r="814" spans="1:5" x14ac:dyDescent="0.25">
      <c r="A814" s="109" t="s">
        <v>1038</v>
      </c>
      <c r="B814" s="111" t="s">
        <v>684</v>
      </c>
      <c r="C814" s="109" t="s">
        <v>699</v>
      </c>
      <c r="D814" s="111" t="s">
        <v>686</v>
      </c>
      <c r="E814" s="110">
        <v>202.19670494258611</v>
      </c>
    </row>
    <row r="815" spans="1:5" x14ac:dyDescent="0.25">
      <c r="A815" s="109" t="s">
        <v>1038</v>
      </c>
      <c r="B815" s="111" t="s">
        <v>684</v>
      </c>
      <c r="C815" s="109" t="s">
        <v>701</v>
      </c>
      <c r="D815" s="111" t="s">
        <v>686</v>
      </c>
      <c r="E815" s="110">
        <v>134.79780329505741</v>
      </c>
    </row>
    <row r="816" spans="1:5" x14ac:dyDescent="0.25">
      <c r="A816" s="109" t="s">
        <v>1038</v>
      </c>
      <c r="B816" s="111" t="s">
        <v>684</v>
      </c>
      <c r="C816" s="109" t="s">
        <v>1147</v>
      </c>
      <c r="D816" s="111" t="s">
        <v>686</v>
      </c>
      <c r="E816" s="110">
        <v>449.32601098352467</v>
      </c>
    </row>
    <row r="817" spans="1:5" x14ac:dyDescent="0.25">
      <c r="A817" s="109" t="s">
        <v>1038</v>
      </c>
      <c r="B817" s="111" t="s">
        <v>684</v>
      </c>
      <c r="C817" s="109" t="s">
        <v>115</v>
      </c>
      <c r="D817" s="111" t="s">
        <v>686</v>
      </c>
      <c r="E817" s="110">
        <v>6.7398901647528699</v>
      </c>
    </row>
    <row r="818" spans="1:5" x14ac:dyDescent="0.25">
      <c r="A818" s="109" t="s">
        <v>1038</v>
      </c>
      <c r="B818" s="111" t="s">
        <v>684</v>
      </c>
      <c r="C818" s="109" t="s">
        <v>1148</v>
      </c>
      <c r="D818" s="111" t="s">
        <v>686</v>
      </c>
      <c r="E818" s="110">
        <v>405</v>
      </c>
    </row>
    <row r="819" spans="1:5" x14ac:dyDescent="0.25">
      <c r="A819" s="107" t="s">
        <v>1149</v>
      </c>
      <c r="B819" s="107" t="s">
        <v>684</v>
      </c>
      <c r="C819" s="107" t="s">
        <v>685</v>
      </c>
      <c r="D819" s="107" t="s">
        <v>686</v>
      </c>
      <c r="E819" s="108">
        <v>2142</v>
      </c>
    </row>
    <row r="820" spans="1:5" x14ac:dyDescent="0.25">
      <c r="A820" s="107" t="s">
        <v>1149</v>
      </c>
      <c r="B820" s="107" t="s">
        <v>684</v>
      </c>
      <c r="C820" s="107" t="s">
        <v>689</v>
      </c>
      <c r="D820" s="107" t="s">
        <v>686</v>
      </c>
      <c r="E820" s="108">
        <v>189</v>
      </c>
    </row>
    <row r="821" spans="1:5" x14ac:dyDescent="0.25">
      <c r="A821" s="107" t="s">
        <v>1149</v>
      </c>
      <c r="B821" s="107" t="s">
        <v>684</v>
      </c>
      <c r="C821" s="107" t="s">
        <v>692</v>
      </c>
      <c r="D821" s="107" t="s">
        <v>686</v>
      </c>
      <c r="E821" s="108">
        <v>504</v>
      </c>
    </row>
    <row r="822" spans="1:5" x14ac:dyDescent="0.25">
      <c r="A822" s="107" t="s">
        <v>1149</v>
      </c>
      <c r="B822" s="107" t="s">
        <v>684</v>
      </c>
      <c r="C822" s="107" t="s">
        <v>85</v>
      </c>
      <c r="D822" s="107" t="s">
        <v>686</v>
      </c>
      <c r="E822" s="108">
        <v>0</v>
      </c>
    </row>
    <row r="823" spans="1:5" x14ac:dyDescent="0.25">
      <c r="A823" s="107" t="s">
        <v>1149</v>
      </c>
      <c r="B823" s="107" t="s">
        <v>684</v>
      </c>
      <c r="C823" s="107" t="s">
        <v>696</v>
      </c>
      <c r="D823" s="107" t="s">
        <v>686</v>
      </c>
      <c r="E823" s="108">
        <v>21</v>
      </c>
    </row>
    <row r="824" spans="1:5" x14ac:dyDescent="0.25">
      <c r="A824" s="107" t="s">
        <v>1149</v>
      </c>
      <c r="B824" s="107" t="s">
        <v>684</v>
      </c>
      <c r="C824" s="107" t="s">
        <v>699</v>
      </c>
      <c r="D824" s="107" t="s">
        <v>686</v>
      </c>
      <c r="E824" s="108">
        <v>168</v>
      </c>
    </row>
    <row r="825" spans="1:5" x14ac:dyDescent="0.25">
      <c r="A825" s="107" t="s">
        <v>1149</v>
      </c>
      <c r="B825" s="107" t="s">
        <v>684</v>
      </c>
      <c r="C825" s="107" t="s">
        <v>701</v>
      </c>
      <c r="D825" s="107" t="s">
        <v>686</v>
      </c>
      <c r="E825" s="108">
        <v>126</v>
      </c>
    </row>
    <row r="826" spans="1:5" x14ac:dyDescent="0.25">
      <c r="A826" s="107" t="s">
        <v>1149</v>
      </c>
      <c r="B826" s="107" t="s">
        <v>684</v>
      </c>
      <c r="C826" s="107" t="s">
        <v>1150</v>
      </c>
      <c r="D826" s="107" t="s">
        <v>686</v>
      </c>
      <c r="E826" s="108">
        <v>840</v>
      </c>
    </row>
    <row r="827" spans="1:5" x14ac:dyDescent="0.25">
      <c r="A827" s="107" t="s">
        <v>1149</v>
      </c>
      <c r="B827" s="107" t="s">
        <v>684</v>
      </c>
      <c r="C827" s="107" t="s">
        <v>1151</v>
      </c>
      <c r="D827" s="107" t="s">
        <v>686</v>
      </c>
      <c r="E827" s="108">
        <v>210</v>
      </c>
    </row>
    <row r="828" spans="1:5" x14ac:dyDescent="0.25">
      <c r="A828" s="109" t="s">
        <v>1152</v>
      </c>
      <c r="B828" s="111" t="s">
        <v>684</v>
      </c>
      <c r="C828" s="109" t="s">
        <v>737</v>
      </c>
      <c r="D828" s="111" t="s">
        <v>686</v>
      </c>
      <c r="E828" s="110">
        <v>999.99999999999989</v>
      </c>
    </row>
    <row r="829" spans="1:5" x14ac:dyDescent="0.25">
      <c r="A829" s="109" t="s">
        <v>1152</v>
      </c>
      <c r="B829" s="111" t="s">
        <v>684</v>
      </c>
      <c r="C829" s="109" t="s">
        <v>1120</v>
      </c>
      <c r="D829" s="111" t="s">
        <v>686</v>
      </c>
      <c r="E829" s="110">
        <v>1049.9999999999998</v>
      </c>
    </row>
    <row r="830" spans="1:5" x14ac:dyDescent="0.25">
      <c r="A830" s="109" t="s">
        <v>1152</v>
      </c>
      <c r="B830" s="111" t="s">
        <v>684</v>
      </c>
      <c r="C830" s="109" t="s">
        <v>1011</v>
      </c>
      <c r="D830" s="111" t="s">
        <v>686</v>
      </c>
      <c r="E830" s="110">
        <v>1999.9999999999998</v>
      </c>
    </row>
    <row r="831" spans="1:5" x14ac:dyDescent="0.25">
      <c r="A831" s="107" t="s">
        <v>1153</v>
      </c>
      <c r="B831" s="107" t="s">
        <v>684</v>
      </c>
      <c r="C831" s="107" t="s">
        <v>685</v>
      </c>
      <c r="D831" s="107" t="s">
        <v>686</v>
      </c>
      <c r="E831" s="108">
        <v>2050</v>
      </c>
    </row>
    <row r="832" spans="1:5" x14ac:dyDescent="0.25">
      <c r="A832" s="107" t="s">
        <v>1153</v>
      </c>
      <c r="B832" s="107" t="s">
        <v>684</v>
      </c>
      <c r="C832" s="107" t="s">
        <v>689</v>
      </c>
      <c r="D832" s="107" t="s">
        <v>686</v>
      </c>
      <c r="E832" s="108">
        <v>250</v>
      </c>
    </row>
    <row r="833" spans="1:5" x14ac:dyDescent="0.25">
      <c r="A833" s="107" t="s">
        <v>1153</v>
      </c>
      <c r="B833" s="107" t="s">
        <v>684</v>
      </c>
      <c r="C833" s="107" t="s">
        <v>692</v>
      </c>
      <c r="D833" s="107" t="s">
        <v>686</v>
      </c>
      <c r="E833" s="108">
        <v>300</v>
      </c>
    </row>
    <row r="834" spans="1:5" x14ac:dyDescent="0.25">
      <c r="A834" s="107" t="s">
        <v>1153</v>
      </c>
      <c r="B834" s="107" t="s">
        <v>684</v>
      </c>
      <c r="C834" s="107" t="s">
        <v>696</v>
      </c>
      <c r="D834" s="107" t="s">
        <v>686</v>
      </c>
      <c r="E834" s="108">
        <v>25</v>
      </c>
    </row>
    <row r="835" spans="1:5" x14ac:dyDescent="0.25">
      <c r="A835" s="107" t="s">
        <v>1153</v>
      </c>
      <c r="B835" s="107" t="s">
        <v>684</v>
      </c>
      <c r="C835" s="107" t="s">
        <v>699</v>
      </c>
      <c r="D835" s="107" t="s">
        <v>686</v>
      </c>
      <c r="E835" s="108">
        <v>225</v>
      </c>
    </row>
    <row r="836" spans="1:5" x14ac:dyDescent="0.25">
      <c r="A836" s="107" t="s">
        <v>1153</v>
      </c>
      <c r="B836" s="107" t="s">
        <v>684</v>
      </c>
      <c r="C836" s="107" t="s">
        <v>701</v>
      </c>
      <c r="D836" s="107" t="s">
        <v>686</v>
      </c>
      <c r="E836" s="108">
        <v>150</v>
      </c>
    </row>
    <row r="837" spans="1:5" x14ac:dyDescent="0.25">
      <c r="A837" s="107" t="s">
        <v>1153</v>
      </c>
      <c r="B837" s="107" t="s">
        <v>684</v>
      </c>
      <c r="C837" s="107" t="s">
        <v>638</v>
      </c>
      <c r="D837" s="107" t="s">
        <v>686</v>
      </c>
      <c r="E837" s="108">
        <v>1000</v>
      </c>
    </row>
    <row r="838" spans="1:5" x14ac:dyDescent="0.25">
      <c r="A838" s="107" t="s">
        <v>1153</v>
      </c>
      <c r="B838" s="107" t="s">
        <v>684</v>
      </c>
      <c r="C838" s="107" t="s">
        <v>162</v>
      </c>
      <c r="D838" s="107" t="s">
        <v>686</v>
      </c>
      <c r="E838" s="108">
        <v>1000</v>
      </c>
    </row>
    <row r="839" spans="1:5" x14ac:dyDescent="0.25">
      <c r="A839" s="107" t="s">
        <v>1153</v>
      </c>
      <c r="B839" s="107" t="s">
        <v>684</v>
      </c>
      <c r="C839" s="107" t="s">
        <v>125</v>
      </c>
      <c r="D839" s="107" t="s">
        <v>686</v>
      </c>
      <c r="E839" s="108">
        <v>500</v>
      </c>
    </row>
    <row r="840" spans="1:5" x14ac:dyDescent="0.25">
      <c r="A840" s="109" t="s">
        <v>1154</v>
      </c>
      <c r="B840" s="111" t="s">
        <v>684</v>
      </c>
      <c r="C840" s="109" t="s">
        <v>685</v>
      </c>
      <c r="D840" s="111" t="s">
        <v>686</v>
      </c>
      <c r="E840" s="110">
        <v>3895.161290322581</v>
      </c>
    </row>
    <row r="841" spans="1:5" x14ac:dyDescent="0.25">
      <c r="A841" s="109" t="s">
        <v>1154</v>
      </c>
      <c r="B841" s="111" t="s">
        <v>684</v>
      </c>
      <c r="C841" s="109" t="s">
        <v>689</v>
      </c>
      <c r="D841" s="111" t="s">
        <v>686</v>
      </c>
      <c r="E841" s="110">
        <v>451.61290322580646</v>
      </c>
    </row>
    <row r="842" spans="1:5" x14ac:dyDescent="0.25">
      <c r="A842" s="109" t="s">
        <v>1154</v>
      </c>
      <c r="B842" s="111" t="s">
        <v>684</v>
      </c>
      <c r="C842" s="109" t="s">
        <v>692</v>
      </c>
      <c r="D842" s="111" t="s">
        <v>686</v>
      </c>
      <c r="E842" s="110">
        <v>677.41935483870975</v>
      </c>
    </row>
    <row r="843" spans="1:5" x14ac:dyDescent="0.25">
      <c r="A843" s="109" t="s">
        <v>1154</v>
      </c>
      <c r="B843" s="111" t="s">
        <v>684</v>
      </c>
      <c r="C843" s="109" t="s">
        <v>85</v>
      </c>
      <c r="D843" s="111" t="s">
        <v>686</v>
      </c>
      <c r="E843" s="110">
        <v>169.35483870967744</v>
      </c>
    </row>
    <row r="844" spans="1:5" x14ac:dyDescent="0.25">
      <c r="A844" s="109" t="s">
        <v>1154</v>
      </c>
      <c r="B844" s="111" t="s">
        <v>684</v>
      </c>
      <c r="C844" s="109" t="s">
        <v>696</v>
      </c>
      <c r="D844" s="111" t="s">
        <v>686</v>
      </c>
      <c r="E844" s="110">
        <v>28.225806451612904</v>
      </c>
    </row>
    <row r="845" spans="1:5" x14ac:dyDescent="0.25">
      <c r="A845" s="109" t="s">
        <v>1154</v>
      </c>
      <c r="B845" s="111" t="s">
        <v>684</v>
      </c>
      <c r="C845" s="109" t="s">
        <v>699</v>
      </c>
      <c r="D845" s="111" t="s">
        <v>686</v>
      </c>
      <c r="E845" s="110">
        <v>254.03225806451616</v>
      </c>
    </row>
    <row r="846" spans="1:5" x14ac:dyDescent="0.25">
      <c r="A846" s="109" t="s">
        <v>1154</v>
      </c>
      <c r="B846" s="111" t="s">
        <v>684</v>
      </c>
      <c r="C846" s="109" t="s">
        <v>701</v>
      </c>
      <c r="D846" s="111" t="s">
        <v>686</v>
      </c>
      <c r="E846" s="110">
        <v>169.35483870967744</v>
      </c>
    </row>
    <row r="847" spans="1:5" x14ac:dyDescent="0.25">
      <c r="A847" s="109" t="s">
        <v>1154</v>
      </c>
      <c r="B847" s="111" t="s">
        <v>684</v>
      </c>
      <c r="C847" s="109" t="s">
        <v>1154</v>
      </c>
      <c r="D847" s="111" t="s">
        <v>686</v>
      </c>
      <c r="E847" s="110">
        <v>1354.8387096774195</v>
      </c>
    </row>
    <row r="848" spans="1:5" x14ac:dyDescent="0.25">
      <c r="A848" s="107" t="s">
        <v>1155</v>
      </c>
      <c r="B848" s="107" t="s">
        <v>684</v>
      </c>
      <c r="C848" s="107" t="s">
        <v>685</v>
      </c>
      <c r="D848" s="107" t="s">
        <v>686</v>
      </c>
      <c r="E848" s="108">
        <v>2655.0715714945359</v>
      </c>
    </row>
    <row r="849" spans="1:5" x14ac:dyDescent="0.25">
      <c r="A849" s="107" t="s">
        <v>1155</v>
      </c>
      <c r="B849" s="107" t="s">
        <v>684</v>
      </c>
      <c r="C849" s="107" t="s">
        <v>689</v>
      </c>
      <c r="D849" s="107" t="s">
        <v>686</v>
      </c>
      <c r="E849" s="108">
        <v>307.83438510081578</v>
      </c>
    </row>
    <row r="850" spans="1:5" x14ac:dyDescent="0.25">
      <c r="A850" s="107" t="s">
        <v>1155</v>
      </c>
      <c r="B850" s="107" t="s">
        <v>684</v>
      </c>
      <c r="C850" s="107" t="s">
        <v>692</v>
      </c>
      <c r="D850" s="107" t="s">
        <v>686</v>
      </c>
      <c r="E850" s="108">
        <v>461.75157765122367</v>
      </c>
    </row>
    <row r="851" spans="1:5" x14ac:dyDescent="0.25">
      <c r="A851" s="107" t="s">
        <v>1155</v>
      </c>
      <c r="B851" s="107" t="s">
        <v>684</v>
      </c>
      <c r="C851" s="107" t="s">
        <v>85</v>
      </c>
      <c r="D851" s="107" t="s">
        <v>686</v>
      </c>
      <c r="E851" s="108">
        <v>115.43789441280592</v>
      </c>
    </row>
    <row r="852" spans="1:5" x14ac:dyDescent="0.25">
      <c r="A852" s="107" t="s">
        <v>1155</v>
      </c>
      <c r="B852" s="107" t="s">
        <v>684</v>
      </c>
      <c r="C852" s="107" t="s">
        <v>696</v>
      </c>
      <c r="D852" s="107" t="s">
        <v>686</v>
      </c>
      <c r="E852" s="108">
        <v>19.239649068800986</v>
      </c>
    </row>
    <row r="853" spans="1:5" x14ac:dyDescent="0.25">
      <c r="A853" s="107" t="s">
        <v>1155</v>
      </c>
      <c r="B853" s="107" t="s">
        <v>684</v>
      </c>
      <c r="C853" s="107" t="s">
        <v>699</v>
      </c>
      <c r="D853" s="107" t="s">
        <v>686</v>
      </c>
      <c r="E853" s="108">
        <v>173.1568416192089</v>
      </c>
    </row>
    <row r="854" spans="1:5" x14ac:dyDescent="0.25">
      <c r="A854" s="107" t="s">
        <v>1155</v>
      </c>
      <c r="B854" s="107" t="s">
        <v>684</v>
      </c>
      <c r="C854" s="107" t="s">
        <v>701</v>
      </c>
      <c r="D854" s="107" t="s">
        <v>686</v>
      </c>
      <c r="E854" s="108">
        <v>115.43789441280592</v>
      </c>
    </row>
    <row r="855" spans="1:5" x14ac:dyDescent="0.25">
      <c r="A855" s="107" t="s">
        <v>1155</v>
      </c>
      <c r="B855" s="107" t="s">
        <v>684</v>
      </c>
      <c r="C855" s="107" t="s">
        <v>1156</v>
      </c>
      <c r="D855" s="107" t="s">
        <v>686</v>
      </c>
      <c r="E855" s="108">
        <v>152.07018623980298</v>
      </c>
    </row>
    <row r="856" spans="1:5" x14ac:dyDescent="0.25">
      <c r="A856" s="107" t="s">
        <v>1155</v>
      </c>
      <c r="B856" s="107" t="s">
        <v>684</v>
      </c>
      <c r="C856" s="107" t="s">
        <v>154</v>
      </c>
      <c r="D856" s="107" t="s">
        <v>686</v>
      </c>
      <c r="E856" s="108">
        <v>300</v>
      </c>
    </row>
    <row r="857" spans="1:5" x14ac:dyDescent="0.25">
      <c r="A857" s="109" t="s">
        <v>1157</v>
      </c>
      <c r="B857" s="111" t="s">
        <v>684</v>
      </c>
      <c r="C857" s="109" t="s">
        <v>685</v>
      </c>
      <c r="D857" s="111" t="s">
        <v>686</v>
      </c>
      <c r="E857" s="110">
        <v>2655.0715714945359</v>
      </c>
    </row>
    <row r="858" spans="1:5" x14ac:dyDescent="0.25">
      <c r="A858" s="109" t="s">
        <v>1157</v>
      </c>
      <c r="B858" s="111" t="s">
        <v>684</v>
      </c>
      <c r="C858" s="109" t="s">
        <v>689</v>
      </c>
      <c r="D858" s="111" t="s">
        <v>686</v>
      </c>
      <c r="E858" s="110">
        <v>307.83438510081578</v>
      </c>
    </row>
    <row r="859" spans="1:5" x14ac:dyDescent="0.25">
      <c r="A859" s="109" t="s">
        <v>1157</v>
      </c>
      <c r="B859" s="111" t="s">
        <v>684</v>
      </c>
      <c r="C859" s="109" t="s">
        <v>692</v>
      </c>
      <c r="D859" s="111" t="s">
        <v>686</v>
      </c>
      <c r="E859" s="110">
        <v>461.75157765122367</v>
      </c>
    </row>
    <row r="860" spans="1:5" x14ac:dyDescent="0.25">
      <c r="A860" s="109" t="s">
        <v>1157</v>
      </c>
      <c r="B860" s="111" t="s">
        <v>684</v>
      </c>
      <c r="C860" s="109" t="s">
        <v>85</v>
      </c>
      <c r="D860" s="111" t="s">
        <v>686</v>
      </c>
      <c r="E860" s="110">
        <v>115.43789441280592</v>
      </c>
    </row>
    <row r="861" spans="1:5" x14ac:dyDescent="0.25">
      <c r="A861" s="109" t="s">
        <v>1157</v>
      </c>
      <c r="B861" s="111" t="s">
        <v>684</v>
      </c>
      <c r="C861" s="109" t="s">
        <v>696</v>
      </c>
      <c r="D861" s="111" t="s">
        <v>686</v>
      </c>
      <c r="E861" s="110">
        <v>19.239649068800986</v>
      </c>
    </row>
    <row r="862" spans="1:5" x14ac:dyDescent="0.25">
      <c r="A862" s="109" t="s">
        <v>1157</v>
      </c>
      <c r="B862" s="111" t="s">
        <v>684</v>
      </c>
      <c r="C862" s="109" t="s">
        <v>699</v>
      </c>
      <c r="D862" s="111" t="s">
        <v>686</v>
      </c>
      <c r="E862" s="110">
        <v>173.1568416192089</v>
      </c>
    </row>
    <row r="863" spans="1:5" x14ac:dyDescent="0.25">
      <c r="A863" s="109" t="s">
        <v>1157</v>
      </c>
      <c r="B863" s="111" t="s">
        <v>684</v>
      </c>
      <c r="C863" s="109" t="s">
        <v>701</v>
      </c>
      <c r="D863" s="111" t="s">
        <v>686</v>
      </c>
      <c r="E863" s="110">
        <v>115.43789441280592</v>
      </c>
    </row>
    <row r="864" spans="1:5" x14ac:dyDescent="0.25">
      <c r="A864" s="109" t="s">
        <v>1157</v>
      </c>
      <c r="B864" s="111" t="s">
        <v>684</v>
      </c>
      <c r="C864" s="109" t="s">
        <v>1156</v>
      </c>
      <c r="D864" s="111" t="s">
        <v>686</v>
      </c>
      <c r="E864" s="110">
        <v>152.07018623980298</v>
      </c>
    </row>
    <row r="865" spans="1:5" x14ac:dyDescent="0.25">
      <c r="A865" s="109" t="s">
        <v>1157</v>
      </c>
      <c r="B865" s="111" t="s">
        <v>684</v>
      </c>
      <c r="C865" s="109" t="s">
        <v>1008</v>
      </c>
      <c r="D865" s="111" t="s">
        <v>686</v>
      </c>
      <c r="E865" s="110">
        <v>400</v>
      </c>
    </row>
    <row r="866" spans="1:5" x14ac:dyDescent="0.25">
      <c r="A866" s="107" t="s">
        <v>1158</v>
      </c>
      <c r="B866" s="107" t="s">
        <v>684</v>
      </c>
      <c r="C866" s="107" t="s">
        <v>685</v>
      </c>
      <c r="D866" s="107" t="s">
        <v>686</v>
      </c>
      <c r="E866" s="108">
        <v>2655.0715714945359</v>
      </c>
    </row>
    <row r="867" spans="1:5" x14ac:dyDescent="0.25">
      <c r="A867" s="107" t="s">
        <v>1158</v>
      </c>
      <c r="B867" s="107" t="s">
        <v>684</v>
      </c>
      <c r="C867" s="107" t="s">
        <v>689</v>
      </c>
      <c r="D867" s="107" t="s">
        <v>686</v>
      </c>
      <c r="E867" s="108">
        <v>307.83438510081578</v>
      </c>
    </row>
    <row r="868" spans="1:5" x14ac:dyDescent="0.25">
      <c r="A868" s="107" t="s">
        <v>1158</v>
      </c>
      <c r="B868" s="107" t="s">
        <v>684</v>
      </c>
      <c r="C868" s="107" t="s">
        <v>692</v>
      </c>
      <c r="D868" s="107" t="s">
        <v>686</v>
      </c>
      <c r="E868" s="108">
        <v>461.75157765122367</v>
      </c>
    </row>
    <row r="869" spans="1:5" x14ac:dyDescent="0.25">
      <c r="A869" s="107" t="s">
        <v>1158</v>
      </c>
      <c r="B869" s="107" t="s">
        <v>684</v>
      </c>
      <c r="C869" s="107" t="s">
        <v>85</v>
      </c>
      <c r="D869" s="107" t="s">
        <v>686</v>
      </c>
      <c r="E869" s="108">
        <v>115.43789441280592</v>
      </c>
    </row>
    <row r="870" spans="1:5" x14ac:dyDescent="0.25">
      <c r="A870" s="107" t="s">
        <v>1158</v>
      </c>
      <c r="B870" s="107" t="s">
        <v>684</v>
      </c>
      <c r="C870" s="107" t="s">
        <v>696</v>
      </c>
      <c r="D870" s="107" t="s">
        <v>686</v>
      </c>
      <c r="E870" s="108">
        <v>19.239649068800986</v>
      </c>
    </row>
    <row r="871" spans="1:5" x14ac:dyDescent="0.25">
      <c r="A871" s="107" t="s">
        <v>1158</v>
      </c>
      <c r="B871" s="107" t="s">
        <v>684</v>
      </c>
      <c r="C871" s="107" t="s">
        <v>699</v>
      </c>
      <c r="D871" s="107" t="s">
        <v>686</v>
      </c>
      <c r="E871" s="108">
        <v>173.1568416192089</v>
      </c>
    </row>
    <row r="872" spans="1:5" x14ac:dyDescent="0.25">
      <c r="A872" s="107" t="s">
        <v>1158</v>
      </c>
      <c r="B872" s="107" t="s">
        <v>684</v>
      </c>
      <c r="C872" s="107" t="s">
        <v>701</v>
      </c>
      <c r="D872" s="107" t="s">
        <v>686</v>
      </c>
      <c r="E872" s="108">
        <v>115.43789441280592</v>
      </c>
    </row>
    <row r="873" spans="1:5" x14ac:dyDescent="0.25">
      <c r="A873" s="107" t="s">
        <v>1158</v>
      </c>
      <c r="B873" s="107" t="s">
        <v>684</v>
      </c>
      <c r="C873" s="107" t="s">
        <v>1156</v>
      </c>
      <c r="D873" s="107" t="s">
        <v>686</v>
      </c>
      <c r="E873" s="108">
        <v>152.07018623980298</v>
      </c>
    </row>
    <row r="874" spans="1:5" x14ac:dyDescent="0.25">
      <c r="A874" s="107" t="s">
        <v>1158</v>
      </c>
      <c r="B874" s="107" t="s">
        <v>684</v>
      </c>
      <c r="C874" s="107" t="s">
        <v>155</v>
      </c>
      <c r="D874" s="107" t="s">
        <v>686</v>
      </c>
      <c r="E874" s="108">
        <v>300</v>
      </c>
    </row>
    <row r="875" spans="1:5" x14ac:dyDescent="0.25">
      <c r="A875" s="107" t="s">
        <v>1158</v>
      </c>
      <c r="B875" s="107" t="s">
        <v>684</v>
      </c>
      <c r="C875" s="107" t="s">
        <v>708</v>
      </c>
      <c r="D875" s="107" t="s">
        <v>686</v>
      </c>
      <c r="E875" s="108">
        <v>80</v>
      </c>
    </row>
    <row r="876" spans="1:5" x14ac:dyDescent="0.25">
      <c r="A876" s="109" t="s">
        <v>1159</v>
      </c>
      <c r="B876" s="111" t="s">
        <v>684</v>
      </c>
      <c r="C876" s="109" t="s">
        <v>685</v>
      </c>
      <c r="D876" s="111" t="s">
        <v>686</v>
      </c>
      <c r="E876" s="110">
        <v>2884.2105263157891</v>
      </c>
    </row>
    <row r="877" spans="1:5" x14ac:dyDescent="0.25">
      <c r="A877" s="109" t="s">
        <v>1159</v>
      </c>
      <c r="B877" s="111" t="s">
        <v>684</v>
      </c>
      <c r="C877" s="109" t="s">
        <v>689</v>
      </c>
      <c r="D877" s="111" t="s">
        <v>686</v>
      </c>
      <c r="E877" s="110">
        <v>294.73684210526312</v>
      </c>
    </row>
    <row r="878" spans="1:5" x14ac:dyDescent="0.25">
      <c r="A878" s="109" t="s">
        <v>1159</v>
      </c>
      <c r="B878" s="111" t="s">
        <v>684</v>
      </c>
      <c r="C878" s="109" t="s">
        <v>604</v>
      </c>
      <c r="D878" s="111" t="s">
        <v>686</v>
      </c>
      <c r="E878" s="110">
        <v>421.05263157894734</v>
      </c>
    </row>
    <row r="879" spans="1:5" x14ac:dyDescent="0.25">
      <c r="A879" s="109" t="s">
        <v>1159</v>
      </c>
      <c r="B879" s="111" t="s">
        <v>684</v>
      </c>
      <c r="C879" s="109" t="s">
        <v>696</v>
      </c>
      <c r="D879" s="111" t="s">
        <v>686</v>
      </c>
      <c r="E879" s="110">
        <v>21.052631578947366</v>
      </c>
    </row>
    <row r="880" spans="1:5" x14ac:dyDescent="0.25">
      <c r="A880" s="109" t="s">
        <v>1159</v>
      </c>
      <c r="B880" s="111" t="s">
        <v>684</v>
      </c>
      <c r="C880" s="109" t="s">
        <v>699</v>
      </c>
      <c r="D880" s="111" t="s">
        <v>686</v>
      </c>
      <c r="E880" s="110">
        <v>189.4736842105263</v>
      </c>
    </row>
    <row r="881" spans="1:5" x14ac:dyDescent="0.25">
      <c r="A881" s="109" t="s">
        <v>1159</v>
      </c>
      <c r="B881" s="111" t="s">
        <v>684</v>
      </c>
      <c r="C881" s="109" t="s">
        <v>701</v>
      </c>
      <c r="D881" s="111" t="s">
        <v>686</v>
      </c>
      <c r="E881" s="110">
        <v>126.31578947368421</v>
      </c>
    </row>
    <row r="882" spans="1:5" x14ac:dyDescent="0.25">
      <c r="A882" s="109" t="s">
        <v>1159</v>
      </c>
      <c r="B882" s="111" t="s">
        <v>684</v>
      </c>
      <c r="C882" s="109" t="s">
        <v>1160</v>
      </c>
      <c r="D882" s="111" t="s">
        <v>686</v>
      </c>
      <c r="E882" s="110">
        <v>63.157894736842103</v>
      </c>
    </row>
    <row r="883" spans="1:5" x14ac:dyDescent="0.25">
      <c r="A883" s="107" t="s">
        <v>1161</v>
      </c>
      <c r="B883" s="107" t="s">
        <v>684</v>
      </c>
      <c r="C883" s="107" t="s">
        <v>685</v>
      </c>
      <c r="D883" s="107" t="s">
        <v>686</v>
      </c>
      <c r="E883" s="108">
        <v>2760</v>
      </c>
    </row>
    <row r="884" spans="1:5" x14ac:dyDescent="0.25">
      <c r="A884" s="107" t="s">
        <v>1161</v>
      </c>
      <c r="B884" s="107" t="s">
        <v>684</v>
      </c>
      <c r="C884" s="107" t="s">
        <v>689</v>
      </c>
      <c r="D884" s="107" t="s">
        <v>686</v>
      </c>
      <c r="E884" s="108">
        <v>280</v>
      </c>
    </row>
    <row r="885" spans="1:5" x14ac:dyDescent="0.25">
      <c r="A885" s="107" t="s">
        <v>1161</v>
      </c>
      <c r="B885" s="107" t="s">
        <v>684</v>
      </c>
      <c r="C885" s="107" t="s">
        <v>692</v>
      </c>
      <c r="D885" s="107" t="s">
        <v>686</v>
      </c>
      <c r="E885" s="108">
        <v>400</v>
      </c>
    </row>
    <row r="886" spans="1:5" x14ac:dyDescent="0.25">
      <c r="A886" s="107" t="s">
        <v>1161</v>
      </c>
      <c r="B886" s="107" t="s">
        <v>684</v>
      </c>
      <c r="C886" s="107" t="s">
        <v>85</v>
      </c>
      <c r="D886" s="107" t="s">
        <v>686</v>
      </c>
      <c r="E886" s="108">
        <v>100</v>
      </c>
    </row>
    <row r="887" spans="1:5" x14ac:dyDescent="0.25">
      <c r="A887" s="107" t="s">
        <v>1161</v>
      </c>
      <c r="B887" s="107" t="s">
        <v>684</v>
      </c>
      <c r="C887" s="107" t="s">
        <v>696</v>
      </c>
      <c r="D887" s="107" t="s">
        <v>686</v>
      </c>
      <c r="E887" s="108">
        <v>20</v>
      </c>
    </row>
    <row r="888" spans="1:5" x14ac:dyDescent="0.25">
      <c r="A888" s="107" t="s">
        <v>1161</v>
      </c>
      <c r="B888" s="107" t="s">
        <v>684</v>
      </c>
      <c r="C888" s="107" t="s">
        <v>699</v>
      </c>
      <c r="D888" s="107" t="s">
        <v>686</v>
      </c>
      <c r="E888" s="108">
        <v>180</v>
      </c>
    </row>
    <row r="889" spans="1:5" x14ac:dyDescent="0.25">
      <c r="A889" s="107" t="s">
        <v>1161</v>
      </c>
      <c r="B889" s="107" t="s">
        <v>684</v>
      </c>
      <c r="C889" s="107" t="s">
        <v>701</v>
      </c>
      <c r="D889" s="107" t="s">
        <v>686</v>
      </c>
      <c r="E889" s="108">
        <v>120</v>
      </c>
    </row>
    <row r="890" spans="1:5" x14ac:dyDescent="0.25">
      <c r="A890" s="107" t="s">
        <v>1161</v>
      </c>
      <c r="B890" s="107" t="s">
        <v>684</v>
      </c>
      <c r="C890" s="107" t="s">
        <v>1162</v>
      </c>
      <c r="D890" s="107" t="s">
        <v>686</v>
      </c>
      <c r="E890" s="108">
        <v>140</v>
      </c>
    </row>
    <row r="891" spans="1:5" x14ac:dyDescent="0.25">
      <c r="A891" s="107" t="s">
        <v>1161</v>
      </c>
      <c r="B891" s="107" t="s">
        <v>684</v>
      </c>
      <c r="C891" s="107" t="s">
        <v>1055</v>
      </c>
      <c r="D891" s="107" t="s">
        <v>686</v>
      </c>
      <c r="E891" s="108">
        <v>400</v>
      </c>
    </row>
    <row r="892" spans="1:5" x14ac:dyDescent="0.25">
      <c r="A892" s="109" t="s">
        <v>1163</v>
      </c>
      <c r="B892" s="111" t="s">
        <v>684</v>
      </c>
      <c r="C892" s="109" t="s">
        <v>737</v>
      </c>
      <c r="D892" s="111" t="s">
        <v>686</v>
      </c>
      <c r="E892" s="110">
        <v>1200</v>
      </c>
    </row>
    <row r="893" spans="1:5" x14ac:dyDescent="0.25">
      <c r="A893" s="109" t="s">
        <v>1163</v>
      </c>
      <c r="B893" s="111" t="s">
        <v>684</v>
      </c>
      <c r="C893" s="109" t="s">
        <v>1120</v>
      </c>
      <c r="D893" s="111" t="s">
        <v>686</v>
      </c>
      <c r="E893" s="110">
        <v>1050</v>
      </c>
    </row>
    <row r="894" spans="1:5" x14ac:dyDescent="0.25">
      <c r="A894" s="109" t="s">
        <v>1163</v>
      </c>
      <c r="B894" s="111" t="s">
        <v>684</v>
      </c>
      <c r="C894" s="109" t="s">
        <v>297</v>
      </c>
      <c r="D894" s="111" t="s">
        <v>686</v>
      </c>
      <c r="E894" s="110">
        <v>1000</v>
      </c>
    </row>
    <row r="895" spans="1:5" x14ac:dyDescent="0.25">
      <c r="A895" s="109" t="s">
        <v>1163</v>
      </c>
      <c r="B895" s="111" t="s">
        <v>684</v>
      </c>
      <c r="C895" s="109" t="s">
        <v>638</v>
      </c>
      <c r="D895" s="111" t="s">
        <v>686</v>
      </c>
      <c r="E895" s="110">
        <v>1000</v>
      </c>
    </row>
    <row r="896" spans="1:5" x14ac:dyDescent="0.25">
      <c r="A896" s="107" t="s">
        <v>1164</v>
      </c>
      <c r="B896" s="107" t="s">
        <v>684</v>
      </c>
      <c r="C896" s="107" t="s">
        <v>685</v>
      </c>
      <c r="D896" s="107" t="s">
        <v>686</v>
      </c>
      <c r="E896" s="108">
        <v>312.5</v>
      </c>
    </row>
    <row r="897" spans="1:5" x14ac:dyDescent="0.25">
      <c r="A897" s="107" t="s">
        <v>1164</v>
      </c>
      <c r="B897" s="107" t="s">
        <v>684</v>
      </c>
      <c r="C897" s="107" t="s">
        <v>689</v>
      </c>
      <c r="D897" s="107" t="s">
        <v>686</v>
      </c>
      <c r="E897" s="108">
        <v>112.5</v>
      </c>
    </row>
    <row r="898" spans="1:5" x14ac:dyDescent="0.25">
      <c r="A898" s="107" t="s">
        <v>1164</v>
      </c>
      <c r="B898" s="107" t="s">
        <v>684</v>
      </c>
      <c r="C898" s="107" t="s">
        <v>692</v>
      </c>
      <c r="D898" s="107" t="s">
        <v>686</v>
      </c>
      <c r="E898" s="108">
        <v>150</v>
      </c>
    </row>
    <row r="899" spans="1:5" x14ac:dyDescent="0.25">
      <c r="A899" s="107" t="s">
        <v>1164</v>
      </c>
      <c r="B899" s="107" t="s">
        <v>684</v>
      </c>
      <c r="C899" s="107" t="s">
        <v>85</v>
      </c>
      <c r="D899" s="107" t="s">
        <v>686</v>
      </c>
      <c r="E899" s="108">
        <v>75</v>
      </c>
    </row>
    <row r="900" spans="1:5" x14ac:dyDescent="0.25">
      <c r="A900" s="107" t="s">
        <v>1164</v>
      </c>
      <c r="B900" s="107" t="s">
        <v>684</v>
      </c>
      <c r="C900" s="107" t="s">
        <v>696</v>
      </c>
      <c r="D900" s="107" t="s">
        <v>686</v>
      </c>
      <c r="E900" s="108">
        <v>6.25</v>
      </c>
    </row>
    <row r="901" spans="1:5" x14ac:dyDescent="0.25">
      <c r="A901" s="107" t="s">
        <v>1164</v>
      </c>
      <c r="B901" s="107" t="s">
        <v>684</v>
      </c>
      <c r="C901" s="107" t="s">
        <v>699</v>
      </c>
      <c r="D901" s="107" t="s">
        <v>686</v>
      </c>
      <c r="E901" s="108">
        <v>56.25</v>
      </c>
    </row>
    <row r="902" spans="1:5" x14ac:dyDescent="0.25">
      <c r="A902" s="107" t="s">
        <v>1164</v>
      </c>
      <c r="B902" s="107" t="s">
        <v>684</v>
      </c>
      <c r="C902" s="107" t="s">
        <v>701</v>
      </c>
      <c r="D902" s="107" t="s">
        <v>686</v>
      </c>
      <c r="E902" s="108">
        <v>37.5</v>
      </c>
    </row>
    <row r="903" spans="1:5" x14ac:dyDescent="0.25">
      <c r="A903" s="107" t="s">
        <v>1164</v>
      </c>
      <c r="B903" s="107" t="s">
        <v>684</v>
      </c>
      <c r="C903" s="107" t="s">
        <v>1165</v>
      </c>
      <c r="D903" s="107" t="s">
        <v>686</v>
      </c>
      <c r="E903" s="108">
        <v>500</v>
      </c>
    </row>
    <row r="904" spans="1:5" x14ac:dyDescent="0.25">
      <c r="A904" s="109" t="s">
        <v>1166</v>
      </c>
      <c r="B904" s="111" t="s">
        <v>684</v>
      </c>
      <c r="C904" s="109" t="s">
        <v>685</v>
      </c>
      <c r="D904" s="111" t="s">
        <v>686</v>
      </c>
      <c r="E904" s="110">
        <v>2545.6310679611652</v>
      </c>
    </row>
    <row r="905" spans="1:5" x14ac:dyDescent="0.25">
      <c r="A905" s="109" t="s">
        <v>1166</v>
      </c>
      <c r="B905" s="111" t="s">
        <v>684</v>
      </c>
      <c r="C905" s="109" t="s">
        <v>689</v>
      </c>
      <c r="D905" s="111" t="s">
        <v>686</v>
      </c>
      <c r="E905" s="110">
        <v>295.14563106796118</v>
      </c>
    </row>
    <row r="906" spans="1:5" x14ac:dyDescent="0.25">
      <c r="A906" s="109" t="s">
        <v>1166</v>
      </c>
      <c r="B906" s="111" t="s">
        <v>684</v>
      </c>
      <c r="C906" s="109" t="s">
        <v>692</v>
      </c>
      <c r="D906" s="111" t="s">
        <v>686</v>
      </c>
      <c r="E906" s="110">
        <v>442.71844660194176</v>
      </c>
    </row>
    <row r="907" spans="1:5" x14ac:dyDescent="0.25">
      <c r="A907" s="109" t="s">
        <v>1166</v>
      </c>
      <c r="B907" s="111" t="s">
        <v>684</v>
      </c>
      <c r="C907" s="109" t="s">
        <v>85</v>
      </c>
      <c r="D907" s="111" t="s">
        <v>686</v>
      </c>
      <c r="E907" s="110">
        <v>110.67961165048544</v>
      </c>
    </row>
    <row r="908" spans="1:5" x14ac:dyDescent="0.25">
      <c r="A908" s="109" t="s">
        <v>1166</v>
      </c>
      <c r="B908" s="111" t="s">
        <v>684</v>
      </c>
      <c r="C908" s="109" t="s">
        <v>696</v>
      </c>
      <c r="D908" s="111" t="s">
        <v>686</v>
      </c>
      <c r="E908" s="110">
        <v>18.446601941747574</v>
      </c>
    </row>
    <row r="909" spans="1:5" x14ac:dyDescent="0.25">
      <c r="A909" s="109" t="s">
        <v>1166</v>
      </c>
      <c r="B909" s="111" t="s">
        <v>684</v>
      </c>
      <c r="C909" s="109" t="s">
        <v>699</v>
      </c>
      <c r="D909" s="111" t="s">
        <v>686</v>
      </c>
      <c r="E909" s="110">
        <v>166.01941747572818</v>
      </c>
    </row>
    <row r="910" spans="1:5" x14ac:dyDescent="0.25">
      <c r="A910" s="109" t="s">
        <v>1166</v>
      </c>
      <c r="B910" s="111" t="s">
        <v>684</v>
      </c>
      <c r="C910" s="109" t="s">
        <v>701</v>
      </c>
      <c r="D910" s="111" t="s">
        <v>686</v>
      </c>
      <c r="E910" s="110">
        <v>110.67961165048544</v>
      </c>
    </row>
    <row r="911" spans="1:5" x14ac:dyDescent="0.25">
      <c r="A911" s="109" t="s">
        <v>1166</v>
      </c>
      <c r="B911" s="111" t="s">
        <v>684</v>
      </c>
      <c r="C911" s="109" t="s">
        <v>1167</v>
      </c>
      <c r="D911" s="111" t="s">
        <v>686</v>
      </c>
      <c r="E911" s="110">
        <v>110.67961165048544</v>
      </c>
    </row>
    <row r="912" spans="1:5" x14ac:dyDescent="0.25">
      <c r="A912" s="109" t="s">
        <v>1166</v>
      </c>
      <c r="B912" s="111" t="s">
        <v>684</v>
      </c>
      <c r="C912" s="109" t="s">
        <v>1168</v>
      </c>
      <c r="D912" s="111" t="s">
        <v>686</v>
      </c>
      <c r="E912" s="110">
        <v>380</v>
      </c>
    </row>
    <row r="913" spans="1:5" x14ac:dyDescent="0.25">
      <c r="A913" s="107" t="s">
        <v>1169</v>
      </c>
      <c r="B913" s="107" t="s">
        <v>684</v>
      </c>
      <c r="C913" s="107" t="s">
        <v>685</v>
      </c>
      <c r="D913" s="107" t="s">
        <v>686</v>
      </c>
      <c r="E913" s="108">
        <v>3014.5631067961162</v>
      </c>
    </row>
    <row r="914" spans="1:5" x14ac:dyDescent="0.25">
      <c r="A914" s="107" t="s">
        <v>1169</v>
      </c>
      <c r="B914" s="107" t="s">
        <v>684</v>
      </c>
      <c r="C914" s="107" t="s">
        <v>689</v>
      </c>
      <c r="D914" s="107" t="s">
        <v>686</v>
      </c>
      <c r="E914" s="108">
        <v>349.51456310679612</v>
      </c>
    </row>
    <row r="915" spans="1:5" x14ac:dyDescent="0.25">
      <c r="A915" s="107" t="s">
        <v>1169</v>
      </c>
      <c r="B915" s="107" t="s">
        <v>684</v>
      </c>
      <c r="C915" s="107" t="s">
        <v>692</v>
      </c>
      <c r="D915" s="107" t="s">
        <v>686</v>
      </c>
      <c r="E915" s="108">
        <v>524.27184466019412</v>
      </c>
    </row>
    <row r="916" spans="1:5" x14ac:dyDescent="0.25">
      <c r="A916" s="107" t="s">
        <v>1169</v>
      </c>
      <c r="B916" s="107" t="s">
        <v>684</v>
      </c>
      <c r="C916" s="107" t="s">
        <v>85</v>
      </c>
      <c r="D916" s="107" t="s">
        <v>686</v>
      </c>
      <c r="E916" s="108">
        <v>131.06796116504853</v>
      </c>
    </row>
    <row r="917" spans="1:5" x14ac:dyDescent="0.25">
      <c r="A917" s="107" t="s">
        <v>1169</v>
      </c>
      <c r="B917" s="107" t="s">
        <v>684</v>
      </c>
      <c r="C917" s="107" t="s">
        <v>696</v>
      </c>
      <c r="D917" s="107" t="s">
        <v>686</v>
      </c>
      <c r="E917" s="108">
        <v>21.844660194174757</v>
      </c>
    </row>
    <row r="918" spans="1:5" x14ac:dyDescent="0.25">
      <c r="A918" s="107" t="s">
        <v>1169</v>
      </c>
      <c r="B918" s="107" t="s">
        <v>684</v>
      </c>
      <c r="C918" s="107" t="s">
        <v>699</v>
      </c>
      <c r="D918" s="107" t="s">
        <v>686</v>
      </c>
      <c r="E918" s="108">
        <v>196.60194174757279</v>
      </c>
    </row>
    <row r="919" spans="1:5" x14ac:dyDescent="0.25">
      <c r="A919" s="107" t="s">
        <v>1169</v>
      </c>
      <c r="B919" s="107" t="s">
        <v>684</v>
      </c>
      <c r="C919" s="107" t="s">
        <v>701</v>
      </c>
      <c r="D919" s="107" t="s">
        <v>686</v>
      </c>
      <c r="E919" s="108">
        <v>131.06796116504853</v>
      </c>
    </row>
    <row r="920" spans="1:5" x14ac:dyDescent="0.25">
      <c r="A920" s="107" t="s">
        <v>1169</v>
      </c>
      <c r="B920" s="107" t="s">
        <v>684</v>
      </c>
      <c r="C920" s="107" t="s">
        <v>1167</v>
      </c>
      <c r="D920" s="107" t="s">
        <v>686</v>
      </c>
      <c r="E920" s="108">
        <v>131.06796116504853</v>
      </c>
    </row>
    <row r="921" spans="1:5" x14ac:dyDescent="0.25">
      <c r="A921" s="107" t="s">
        <v>1169</v>
      </c>
      <c r="B921" s="107" t="s">
        <v>684</v>
      </c>
      <c r="C921" s="107" t="s">
        <v>125</v>
      </c>
      <c r="D921" s="107" t="s">
        <v>686</v>
      </c>
      <c r="E921" s="108">
        <v>450</v>
      </c>
    </row>
    <row r="922" spans="1:5" x14ac:dyDescent="0.25">
      <c r="A922" s="109" t="s">
        <v>1170</v>
      </c>
      <c r="B922" s="111" t="s">
        <v>684</v>
      </c>
      <c r="C922" s="109" t="s">
        <v>737</v>
      </c>
      <c r="D922" s="111" t="s">
        <v>686</v>
      </c>
      <c r="E922" s="110">
        <v>2333.3266667333328</v>
      </c>
    </row>
    <row r="923" spans="1:5" x14ac:dyDescent="0.25">
      <c r="A923" s="109" t="s">
        <v>1170</v>
      </c>
      <c r="B923" s="111" t="s">
        <v>684</v>
      </c>
      <c r="C923" s="109" t="s">
        <v>692</v>
      </c>
      <c r="D923" s="111" t="s">
        <v>686</v>
      </c>
      <c r="E923" s="110">
        <v>1333.3366666333338</v>
      </c>
    </row>
    <row r="924" spans="1:5" x14ac:dyDescent="0.25">
      <c r="A924" s="109" t="s">
        <v>1170</v>
      </c>
      <c r="B924" s="111" t="s">
        <v>684</v>
      </c>
      <c r="C924" s="109" t="s">
        <v>1002</v>
      </c>
      <c r="D924" s="111" t="s">
        <v>686</v>
      </c>
      <c r="E924" s="110">
        <v>333.34666653333471</v>
      </c>
    </row>
    <row r="925" spans="1:5" x14ac:dyDescent="0.25">
      <c r="A925" s="109" t="s">
        <v>1170</v>
      </c>
      <c r="B925" s="111" t="s">
        <v>684</v>
      </c>
      <c r="C925" s="109" t="s">
        <v>85</v>
      </c>
      <c r="D925" s="111" t="s">
        <v>686</v>
      </c>
      <c r="E925" s="110">
        <v>199.99800001999978</v>
      </c>
    </row>
    <row r="926" spans="1:5" x14ac:dyDescent="0.25">
      <c r="A926" s="109" t="s">
        <v>1170</v>
      </c>
      <c r="B926" s="111" t="s">
        <v>684</v>
      </c>
      <c r="C926" s="109" t="s">
        <v>699</v>
      </c>
      <c r="D926" s="111" t="s">
        <v>686</v>
      </c>
      <c r="E926" s="110">
        <v>799.99200007999912</v>
      </c>
    </row>
    <row r="927" spans="1:5" x14ac:dyDescent="0.25">
      <c r="A927" s="109" t="s">
        <v>1170</v>
      </c>
      <c r="B927" s="111" t="s">
        <v>684</v>
      </c>
      <c r="C927" s="109" t="s">
        <v>297</v>
      </c>
      <c r="D927" s="111" t="s">
        <v>686</v>
      </c>
      <c r="E927" s="110">
        <v>5000</v>
      </c>
    </row>
    <row r="928" spans="1:5" x14ac:dyDescent="0.25">
      <c r="A928" s="107" t="s">
        <v>1171</v>
      </c>
      <c r="B928" s="107" t="s">
        <v>684</v>
      </c>
      <c r="C928" s="107" t="s">
        <v>737</v>
      </c>
      <c r="D928" s="107" t="s">
        <v>686</v>
      </c>
      <c r="E928" s="108">
        <v>1200</v>
      </c>
    </row>
    <row r="929" spans="1:5" x14ac:dyDescent="0.25">
      <c r="A929" s="107" t="s">
        <v>1171</v>
      </c>
      <c r="B929" s="107" t="s">
        <v>684</v>
      </c>
      <c r="C929" s="107" t="s">
        <v>1120</v>
      </c>
      <c r="D929" s="107" t="s">
        <v>686</v>
      </c>
      <c r="E929" s="108">
        <v>1050</v>
      </c>
    </row>
    <row r="930" spans="1:5" x14ac:dyDescent="0.25">
      <c r="A930" s="107" t="s">
        <v>1171</v>
      </c>
      <c r="B930" s="107" t="s">
        <v>684</v>
      </c>
      <c r="C930" s="107" t="s">
        <v>297</v>
      </c>
      <c r="D930" s="107" t="s">
        <v>686</v>
      </c>
      <c r="E930" s="108">
        <v>2000</v>
      </c>
    </row>
    <row r="931" spans="1:5" x14ac:dyDescent="0.25">
      <c r="A931" s="109" t="s">
        <v>1172</v>
      </c>
      <c r="B931" s="111" t="s">
        <v>684</v>
      </c>
      <c r="C931" s="109" t="s">
        <v>685</v>
      </c>
      <c r="D931" s="111" t="s">
        <v>686</v>
      </c>
      <c r="E931" s="110">
        <v>2344.6601941747572</v>
      </c>
    </row>
    <row r="932" spans="1:5" x14ac:dyDescent="0.25">
      <c r="A932" s="109" t="s">
        <v>1172</v>
      </c>
      <c r="B932" s="111" t="s">
        <v>684</v>
      </c>
      <c r="C932" s="109" t="s">
        <v>689</v>
      </c>
      <c r="D932" s="111" t="s">
        <v>686</v>
      </c>
      <c r="E932" s="110">
        <v>271.84466019417476</v>
      </c>
    </row>
    <row r="933" spans="1:5" x14ac:dyDescent="0.25">
      <c r="A933" s="109" t="s">
        <v>1172</v>
      </c>
      <c r="B933" s="111" t="s">
        <v>684</v>
      </c>
      <c r="C933" s="109" t="s">
        <v>692</v>
      </c>
      <c r="D933" s="111" t="s">
        <v>686</v>
      </c>
      <c r="E933" s="110">
        <v>407.76699029126212</v>
      </c>
    </row>
    <row r="934" spans="1:5" x14ac:dyDescent="0.25">
      <c r="A934" s="109" t="s">
        <v>1172</v>
      </c>
      <c r="B934" s="111" t="s">
        <v>684</v>
      </c>
      <c r="C934" s="109" t="s">
        <v>85</v>
      </c>
      <c r="D934" s="111" t="s">
        <v>686</v>
      </c>
      <c r="E934" s="110">
        <v>101.94174757281553</v>
      </c>
    </row>
    <row r="935" spans="1:5" x14ac:dyDescent="0.25">
      <c r="A935" s="109" t="s">
        <v>1172</v>
      </c>
      <c r="B935" s="111" t="s">
        <v>684</v>
      </c>
      <c r="C935" s="109" t="s">
        <v>696</v>
      </c>
      <c r="D935" s="111" t="s">
        <v>686</v>
      </c>
      <c r="E935" s="110">
        <v>16.990291262135923</v>
      </c>
    </row>
    <row r="936" spans="1:5" x14ac:dyDescent="0.25">
      <c r="A936" s="109" t="s">
        <v>1172</v>
      </c>
      <c r="B936" s="111" t="s">
        <v>684</v>
      </c>
      <c r="C936" s="109" t="s">
        <v>699</v>
      </c>
      <c r="D936" s="111" t="s">
        <v>686</v>
      </c>
      <c r="E936" s="110">
        <v>152.91262135922329</v>
      </c>
    </row>
    <row r="937" spans="1:5" x14ac:dyDescent="0.25">
      <c r="A937" s="109" t="s">
        <v>1172</v>
      </c>
      <c r="B937" s="111" t="s">
        <v>684</v>
      </c>
      <c r="C937" s="109" t="s">
        <v>701</v>
      </c>
      <c r="D937" s="111" t="s">
        <v>686</v>
      </c>
      <c r="E937" s="110">
        <v>101.94174757281553</v>
      </c>
    </row>
    <row r="938" spans="1:5" x14ac:dyDescent="0.25">
      <c r="A938" s="109" t="s">
        <v>1172</v>
      </c>
      <c r="B938" s="111" t="s">
        <v>684</v>
      </c>
      <c r="C938" s="109" t="s">
        <v>1173</v>
      </c>
      <c r="D938" s="111" t="s">
        <v>686</v>
      </c>
      <c r="E938" s="110">
        <v>101.94174757281553</v>
      </c>
    </row>
    <row r="939" spans="1:5" x14ac:dyDescent="0.25">
      <c r="A939" s="109" t="s">
        <v>1172</v>
      </c>
      <c r="B939" s="111" t="s">
        <v>684</v>
      </c>
      <c r="C939" s="109" t="s">
        <v>1076</v>
      </c>
      <c r="D939" s="111" t="s">
        <v>686</v>
      </c>
      <c r="E939" s="110">
        <v>420</v>
      </c>
    </row>
    <row r="940" spans="1:5" x14ac:dyDescent="0.25">
      <c r="A940" s="107" t="s">
        <v>1174</v>
      </c>
      <c r="B940" s="107" t="s">
        <v>684</v>
      </c>
      <c r="C940" s="107" t="s">
        <v>685</v>
      </c>
      <c r="D940" s="107" t="s">
        <v>686</v>
      </c>
      <c r="E940" s="108">
        <v>9439.0243902439033</v>
      </c>
    </row>
    <row r="941" spans="1:5" x14ac:dyDescent="0.25">
      <c r="A941" s="107" t="s">
        <v>1174</v>
      </c>
      <c r="B941" s="107" t="s">
        <v>684</v>
      </c>
      <c r="C941" s="107" t="s">
        <v>689</v>
      </c>
      <c r="D941" s="107" t="s">
        <v>686</v>
      </c>
      <c r="E941" s="108">
        <v>1097.5609756097563</v>
      </c>
    </row>
    <row r="942" spans="1:5" x14ac:dyDescent="0.25">
      <c r="A942" s="107" t="s">
        <v>1174</v>
      </c>
      <c r="B942" s="107" t="s">
        <v>684</v>
      </c>
      <c r="C942" s="107" t="s">
        <v>692</v>
      </c>
      <c r="D942" s="107" t="s">
        <v>686</v>
      </c>
      <c r="E942" s="108">
        <v>878.04878048780495</v>
      </c>
    </row>
    <row r="943" spans="1:5" x14ac:dyDescent="0.25">
      <c r="A943" s="107" t="s">
        <v>1174</v>
      </c>
      <c r="B943" s="107" t="s">
        <v>684</v>
      </c>
      <c r="C943" s="107" t="s">
        <v>696</v>
      </c>
      <c r="D943" s="107" t="s">
        <v>686</v>
      </c>
      <c r="E943" s="108">
        <v>109.75609756097562</v>
      </c>
    </row>
    <row r="944" spans="1:5" x14ac:dyDescent="0.25">
      <c r="A944" s="107" t="s">
        <v>1174</v>
      </c>
      <c r="B944" s="107" t="s">
        <v>684</v>
      </c>
      <c r="C944" s="107" t="s">
        <v>699</v>
      </c>
      <c r="D944" s="107" t="s">
        <v>686</v>
      </c>
      <c r="E944" s="108">
        <v>987.80487804878055</v>
      </c>
    </row>
    <row r="945" spans="1:5" x14ac:dyDescent="0.25">
      <c r="A945" s="107" t="s">
        <v>1174</v>
      </c>
      <c r="B945" s="107" t="s">
        <v>684</v>
      </c>
      <c r="C945" s="107" t="s">
        <v>701</v>
      </c>
      <c r="D945" s="107" t="s">
        <v>686</v>
      </c>
      <c r="E945" s="108">
        <v>658.53658536585374</v>
      </c>
    </row>
    <row r="946" spans="1:5" x14ac:dyDescent="0.25">
      <c r="A946" s="107" t="s">
        <v>1174</v>
      </c>
      <c r="B946" s="107" t="s">
        <v>684</v>
      </c>
      <c r="C946" s="107" t="s">
        <v>638</v>
      </c>
      <c r="D946" s="107" t="s">
        <v>686</v>
      </c>
      <c r="E946" s="108">
        <v>4390.2439024390251</v>
      </c>
    </row>
    <row r="947" spans="1:5" x14ac:dyDescent="0.25">
      <c r="A947" s="107" t="s">
        <v>1174</v>
      </c>
      <c r="B947" s="107" t="s">
        <v>684</v>
      </c>
      <c r="C947" s="107" t="s">
        <v>162</v>
      </c>
      <c r="D947" s="107" t="s">
        <v>686</v>
      </c>
      <c r="E947" s="108">
        <v>4390.2439024390251</v>
      </c>
    </row>
    <row r="948" spans="1:5" x14ac:dyDescent="0.25">
      <c r="A948" s="107" t="s">
        <v>1174</v>
      </c>
      <c r="B948" s="107" t="s">
        <v>684</v>
      </c>
      <c r="C948" s="107" t="s">
        <v>85</v>
      </c>
      <c r="D948" s="107" t="s">
        <v>686</v>
      </c>
      <c r="E948" s="108">
        <v>548.78048780487813</v>
      </c>
    </row>
    <row r="949" spans="1:5" x14ac:dyDescent="0.25">
      <c r="A949" s="109" t="s">
        <v>1175</v>
      </c>
      <c r="B949" s="111" t="s">
        <v>684</v>
      </c>
      <c r="C949" s="109" t="s">
        <v>685</v>
      </c>
      <c r="D949" s="111" t="s">
        <v>686</v>
      </c>
      <c r="E949" s="110">
        <v>1678.0487804878048</v>
      </c>
    </row>
    <row r="950" spans="1:5" x14ac:dyDescent="0.25">
      <c r="A950" s="109" t="s">
        <v>1175</v>
      </c>
      <c r="B950" s="111" t="s">
        <v>684</v>
      </c>
      <c r="C950" s="109" t="s">
        <v>689</v>
      </c>
      <c r="D950" s="111" t="s">
        <v>686</v>
      </c>
      <c r="E950" s="110">
        <v>195.1219512195122</v>
      </c>
    </row>
    <row r="951" spans="1:5" x14ac:dyDescent="0.25">
      <c r="A951" s="109" t="s">
        <v>1175</v>
      </c>
      <c r="B951" s="111" t="s">
        <v>684</v>
      </c>
      <c r="C951" s="109" t="s">
        <v>692</v>
      </c>
      <c r="D951" s="111" t="s">
        <v>686</v>
      </c>
      <c r="E951" s="110">
        <v>156.09756097560975</v>
      </c>
    </row>
    <row r="952" spans="1:5" x14ac:dyDescent="0.25">
      <c r="A952" s="109" t="s">
        <v>1175</v>
      </c>
      <c r="B952" s="111" t="s">
        <v>684</v>
      </c>
      <c r="C952" s="109" t="s">
        <v>696</v>
      </c>
      <c r="D952" s="111" t="s">
        <v>686</v>
      </c>
      <c r="E952" s="110">
        <v>19.512195121951219</v>
      </c>
    </row>
    <row r="953" spans="1:5" x14ac:dyDescent="0.25">
      <c r="A953" s="109" t="s">
        <v>1175</v>
      </c>
      <c r="B953" s="111" t="s">
        <v>684</v>
      </c>
      <c r="C953" s="109" t="s">
        <v>699</v>
      </c>
      <c r="D953" s="111" t="s">
        <v>686</v>
      </c>
      <c r="E953" s="110">
        <v>175.60975609756096</v>
      </c>
    </row>
    <row r="954" spans="1:5" x14ac:dyDescent="0.25">
      <c r="A954" s="109" t="s">
        <v>1175</v>
      </c>
      <c r="B954" s="111" t="s">
        <v>684</v>
      </c>
      <c r="C954" s="109" t="s">
        <v>701</v>
      </c>
      <c r="D954" s="111" t="s">
        <v>686</v>
      </c>
      <c r="E954" s="110">
        <v>117.07317073170731</v>
      </c>
    </row>
    <row r="955" spans="1:5" x14ac:dyDescent="0.25">
      <c r="A955" s="109" t="s">
        <v>1175</v>
      </c>
      <c r="B955" s="111" t="s">
        <v>684</v>
      </c>
      <c r="C955" s="109" t="s">
        <v>638</v>
      </c>
      <c r="D955" s="111" t="s">
        <v>686</v>
      </c>
      <c r="E955" s="110">
        <v>780.48780487804879</v>
      </c>
    </row>
    <row r="956" spans="1:5" x14ac:dyDescent="0.25">
      <c r="A956" s="109" t="s">
        <v>1175</v>
      </c>
      <c r="B956" s="111" t="s">
        <v>684</v>
      </c>
      <c r="C956" s="109" t="s">
        <v>162</v>
      </c>
      <c r="D956" s="111" t="s">
        <v>686</v>
      </c>
      <c r="E956" s="110">
        <v>780.48780487804879</v>
      </c>
    </row>
    <row r="957" spans="1:5" x14ac:dyDescent="0.25">
      <c r="A957" s="109" t="s">
        <v>1175</v>
      </c>
      <c r="B957" s="111" t="s">
        <v>684</v>
      </c>
      <c r="C957" s="109" t="s">
        <v>85</v>
      </c>
      <c r="D957" s="111" t="s">
        <v>686</v>
      </c>
      <c r="E957" s="110">
        <v>97.560975609756099</v>
      </c>
    </row>
    <row r="958" spans="1:5" x14ac:dyDescent="0.25">
      <c r="A958" s="109" t="s">
        <v>1175</v>
      </c>
      <c r="B958" s="111" t="s">
        <v>684</v>
      </c>
      <c r="C958" s="109" t="s">
        <v>125</v>
      </c>
      <c r="D958" s="111" t="s">
        <v>686</v>
      </c>
      <c r="E958" s="110">
        <v>400</v>
      </c>
    </row>
    <row r="959" spans="1:5" x14ac:dyDescent="0.25">
      <c r="A959" s="107" t="s">
        <v>1176</v>
      </c>
      <c r="B959" s="107" t="s">
        <v>684</v>
      </c>
      <c r="C959" s="107" t="s">
        <v>685</v>
      </c>
      <c r="D959" s="107" t="s">
        <v>686</v>
      </c>
      <c r="E959" s="108">
        <v>2500</v>
      </c>
    </row>
    <row r="960" spans="1:5" x14ac:dyDescent="0.25">
      <c r="A960" s="107" t="s">
        <v>1176</v>
      </c>
      <c r="B960" s="107" t="s">
        <v>684</v>
      </c>
      <c r="C960" s="107" t="s">
        <v>701</v>
      </c>
      <c r="D960" s="107" t="s">
        <v>686</v>
      </c>
      <c r="E960" s="108">
        <v>400</v>
      </c>
    </row>
    <row r="961" spans="1:5" x14ac:dyDescent="0.25">
      <c r="A961" s="107" t="s">
        <v>1176</v>
      </c>
      <c r="B961" s="107" t="s">
        <v>684</v>
      </c>
      <c r="C961" s="107" t="s">
        <v>1086</v>
      </c>
      <c r="D961" s="107" t="s">
        <v>686</v>
      </c>
      <c r="E961" s="108">
        <v>900</v>
      </c>
    </row>
    <row r="962" spans="1:5" x14ac:dyDescent="0.25">
      <c r="A962" s="107" t="s">
        <v>1176</v>
      </c>
      <c r="B962" s="107" t="s">
        <v>684</v>
      </c>
      <c r="C962" s="107" t="s">
        <v>638</v>
      </c>
      <c r="D962" s="107" t="s">
        <v>686</v>
      </c>
      <c r="E962" s="108">
        <v>1000</v>
      </c>
    </row>
    <row r="963" spans="1:5" x14ac:dyDescent="0.25">
      <c r="A963" s="107" t="s">
        <v>1176</v>
      </c>
      <c r="B963" s="107" t="s">
        <v>684</v>
      </c>
      <c r="C963" s="107" t="s">
        <v>1177</v>
      </c>
      <c r="D963" s="107" t="s">
        <v>686</v>
      </c>
      <c r="E963" s="108">
        <v>388.8</v>
      </c>
    </row>
    <row r="964" spans="1:5" x14ac:dyDescent="0.25">
      <c r="A964" s="109" t="s">
        <v>1178</v>
      </c>
      <c r="B964" s="111" t="s">
        <v>684</v>
      </c>
      <c r="C964" s="109" t="s">
        <v>685</v>
      </c>
      <c r="D964" s="111" t="s">
        <v>686</v>
      </c>
      <c r="E964" s="110">
        <v>2500</v>
      </c>
    </row>
    <row r="965" spans="1:5" x14ac:dyDescent="0.25">
      <c r="A965" s="109" t="s">
        <v>1178</v>
      </c>
      <c r="B965" s="111" t="s">
        <v>684</v>
      </c>
      <c r="C965" s="109" t="s">
        <v>701</v>
      </c>
      <c r="D965" s="111" t="s">
        <v>686</v>
      </c>
      <c r="E965" s="110">
        <v>400</v>
      </c>
    </row>
    <row r="966" spans="1:5" x14ac:dyDescent="0.25">
      <c r="A966" s="109" t="s">
        <v>1178</v>
      </c>
      <c r="B966" s="111" t="s">
        <v>684</v>
      </c>
      <c r="C966" s="109" t="s">
        <v>1086</v>
      </c>
      <c r="D966" s="111" t="s">
        <v>686</v>
      </c>
      <c r="E966" s="110">
        <v>900</v>
      </c>
    </row>
    <row r="967" spans="1:5" x14ac:dyDescent="0.25">
      <c r="A967" s="109" t="s">
        <v>1178</v>
      </c>
      <c r="B967" s="111" t="s">
        <v>684</v>
      </c>
      <c r="C967" s="109" t="s">
        <v>297</v>
      </c>
      <c r="D967" s="111" t="s">
        <v>686</v>
      </c>
      <c r="E967" s="110">
        <v>1000</v>
      </c>
    </row>
    <row r="968" spans="1:5" x14ac:dyDescent="0.25">
      <c r="A968" s="109" t="s">
        <v>1178</v>
      </c>
      <c r="B968" s="111" t="s">
        <v>684</v>
      </c>
      <c r="C968" s="109" t="s">
        <v>1179</v>
      </c>
      <c r="D968" s="111" t="s">
        <v>686</v>
      </c>
      <c r="E968" s="110">
        <v>480</v>
      </c>
    </row>
    <row r="969" spans="1:5" x14ac:dyDescent="0.25">
      <c r="A969" s="107" t="s">
        <v>1180</v>
      </c>
      <c r="B969" s="107" t="s">
        <v>684</v>
      </c>
      <c r="C969" s="107" t="s">
        <v>685</v>
      </c>
      <c r="D969" s="107" t="s">
        <v>686</v>
      </c>
      <c r="E969" s="108">
        <v>2757.2254335260109</v>
      </c>
    </row>
    <row r="970" spans="1:5" x14ac:dyDescent="0.25">
      <c r="A970" s="107" t="s">
        <v>1180</v>
      </c>
      <c r="B970" s="107" t="s">
        <v>684</v>
      </c>
      <c r="C970" s="107" t="s">
        <v>689</v>
      </c>
      <c r="D970" s="107" t="s">
        <v>686</v>
      </c>
      <c r="E970" s="108">
        <v>220.09782125389057</v>
      </c>
    </row>
    <row r="971" spans="1:5" x14ac:dyDescent="0.25">
      <c r="A971" s="107" t="s">
        <v>1180</v>
      </c>
      <c r="B971" s="107" t="s">
        <v>684</v>
      </c>
      <c r="C971" s="107" t="s">
        <v>692</v>
      </c>
      <c r="D971" s="107" t="s">
        <v>686</v>
      </c>
      <c r="E971" s="108">
        <v>360.16007114273003</v>
      </c>
    </row>
    <row r="972" spans="1:5" x14ac:dyDescent="0.25">
      <c r="A972" s="107" t="s">
        <v>1180</v>
      </c>
      <c r="B972" s="107" t="s">
        <v>684</v>
      </c>
      <c r="C972" s="107" t="s">
        <v>85</v>
      </c>
      <c r="D972" s="107" t="s">
        <v>686</v>
      </c>
      <c r="E972" s="108">
        <v>140.06224988883946</v>
      </c>
    </row>
    <row r="973" spans="1:5" x14ac:dyDescent="0.25">
      <c r="A973" s="107" t="s">
        <v>1180</v>
      </c>
      <c r="B973" s="107" t="s">
        <v>684</v>
      </c>
      <c r="C973" s="107" t="s">
        <v>696</v>
      </c>
      <c r="D973" s="107" t="s">
        <v>686</v>
      </c>
      <c r="E973" s="108">
        <v>20.008892841262778</v>
      </c>
    </row>
    <row r="974" spans="1:5" x14ac:dyDescent="0.25">
      <c r="A974" s="107" t="s">
        <v>1180</v>
      </c>
      <c r="B974" s="107" t="s">
        <v>684</v>
      </c>
      <c r="C974" s="107" t="s">
        <v>699</v>
      </c>
      <c r="D974" s="107" t="s">
        <v>686</v>
      </c>
      <c r="E974" s="108">
        <v>111.16051578479322</v>
      </c>
    </row>
    <row r="975" spans="1:5" x14ac:dyDescent="0.25">
      <c r="A975" s="107" t="s">
        <v>1180</v>
      </c>
      <c r="B975" s="107" t="s">
        <v>684</v>
      </c>
      <c r="C975" s="107" t="s">
        <v>701</v>
      </c>
      <c r="D975" s="107" t="s">
        <v>686</v>
      </c>
      <c r="E975" s="108">
        <v>111.16051578479322</v>
      </c>
    </row>
    <row r="976" spans="1:5" x14ac:dyDescent="0.25">
      <c r="A976" s="107" t="s">
        <v>1180</v>
      </c>
      <c r="B976" s="107" t="s">
        <v>684</v>
      </c>
      <c r="C976" s="107" t="s">
        <v>1181</v>
      </c>
      <c r="D976" s="107" t="s">
        <v>686</v>
      </c>
      <c r="E976" s="108">
        <v>280.12449977767892</v>
      </c>
    </row>
    <row r="977" spans="1:5" x14ac:dyDescent="0.25">
      <c r="A977" s="107" t="s">
        <v>1180</v>
      </c>
      <c r="B977" s="107" t="s">
        <v>684</v>
      </c>
      <c r="C977" s="107" t="s">
        <v>720</v>
      </c>
      <c r="D977" s="107" t="s">
        <v>686</v>
      </c>
      <c r="E977" s="108">
        <v>600</v>
      </c>
    </row>
    <row r="978" spans="1:5" x14ac:dyDescent="0.25">
      <c r="A978" s="107" t="s">
        <v>1180</v>
      </c>
      <c r="B978" s="107" t="s">
        <v>684</v>
      </c>
      <c r="C978" s="107" t="s">
        <v>168</v>
      </c>
      <c r="D978" s="107" t="s">
        <v>686</v>
      </c>
      <c r="E978" s="108">
        <v>300</v>
      </c>
    </row>
    <row r="979" spans="1:5" x14ac:dyDescent="0.25">
      <c r="A979" s="109" t="s">
        <v>1182</v>
      </c>
      <c r="B979" s="111" t="s">
        <v>684</v>
      </c>
      <c r="C979" s="109" t="s">
        <v>685</v>
      </c>
      <c r="D979" s="111" t="s">
        <v>686</v>
      </c>
      <c r="E979" s="110">
        <v>2897.2876834148506</v>
      </c>
    </row>
    <row r="980" spans="1:5" x14ac:dyDescent="0.25">
      <c r="A980" s="109" t="s">
        <v>1182</v>
      </c>
      <c r="B980" s="111" t="s">
        <v>684</v>
      </c>
      <c r="C980" s="109" t="s">
        <v>689</v>
      </c>
      <c r="D980" s="111" t="s">
        <v>686</v>
      </c>
      <c r="E980" s="110">
        <v>220.09782125389057</v>
      </c>
    </row>
    <row r="981" spans="1:5" x14ac:dyDescent="0.25">
      <c r="A981" s="109" t="s">
        <v>1182</v>
      </c>
      <c r="B981" s="111" t="s">
        <v>684</v>
      </c>
      <c r="C981" s="109" t="s">
        <v>692</v>
      </c>
      <c r="D981" s="111" t="s">
        <v>686</v>
      </c>
      <c r="E981" s="110">
        <v>360.16007114273003</v>
      </c>
    </row>
    <row r="982" spans="1:5" x14ac:dyDescent="0.25">
      <c r="A982" s="109" t="s">
        <v>1182</v>
      </c>
      <c r="B982" s="111" t="s">
        <v>684</v>
      </c>
      <c r="C982" s="109" t="s">
        <v>85</v>
      </c>
      <c r="D982" s="111" t="s">
        <v>686</v>
      </c>
      <c r="E982" s="110">
        <v>140.06224988883946</v>
      </c>
    </row>
    <row r="983" spans="1:5" x14ac:dyDescent="0.25">
      <c r="A983" s="109" t="s">
        <v>1182</v>
      </c>
      <c r="B983" s="111" t="s">
        <v>684</v>
      </c>
      <c r="C983" s="109" t="s">
        <v>696</v>
      </c>
      <c r="D983" s="111" t="s">
        <v>686</v>
      </c>
      <c r="E983" s="110">
        <v>20.008892841262778</v>
      </c>
    </row>
    <row r="984" spans="1:5" x14ac:dyDescent="0.25">
      <c r="A984" s="109" t="s">
        <v>1182</v>
      </c>
      <c r="B984" s="111" t="s">
        <v>684</v>
      </c>
      <c r="C984" s="109" t="s">
        <v>699</v>
      </c>
      <c r="D984" s="111" t="s">
        <v>686</v>
      </c>
      <c r="E984" s="110">
        <v>111.16051578479322</v>
      </c>
    </row>
    <row r="985" spans="1:5" x14ac:dyDescent="0.25">
      <c r="A985" s="109" t="s">
        <v>1182</v>
      </c>
      <c r="B985" s="111" t="s">
        <v>684</v>
      </c>
      <c r="C985" s="109" t="s">
        <v>701</v>
      </c>
      <c r="D985" s="111" t="s">
        <v>686</v>
      </c>
      <c r="E985" s="110">
        <v>111.16051578479322</v>
      </c>
    </row>
    <row r="986" spans="1:5" x14ac:dyDescent="0.25">
      <c r="A986" s="109" t="s">
        <v>1182</v>
      </c>
      <c r="B986" s="111" t="s">
        <v>684</v>
      </c>
      <c r="C986" s="109" t="s">
        <v>1181</v>
      </c>
      <c r="D986" s="111" t="s">
        <v>686</v>
      </c>
      <c r="E986" s="110">
        <v>140.06224988883946</v>
      </c>
    </row>
    <row r="987" spans="1:5" x14ac:dyDescent="0.25">
      <c r="A987" s="109" t="s">
        <v>1182</v>
      </c>
      <c r="B987" s="111" t="s">
        <v>684</v>
      </c>
      <c r="C987" s="109" t="s">
        <v>154</v>
      </c>
      <c r="D987" s="111" t="s">
        <v>686</v>
      </c>
      <c r="E987" s="110">
        <v>300</v>
      </c>
    </row>
    <row r="988" spans="1:5" x14ac:dyDescent="0.25">
      <c r="A988" s="109" t="s">
        <v>1182</v>
      </c>
      <c r="B988" s="111" t="s">
        <v>684</v>
      </c>
      <c r="C988" s="109" t="s">
        <v>168</v>
      </c>
      <c r="D988" s="111" t="s">
        <v>686</v>
      </c>
      <c r="E988" s="110">
        <v>300</v>
      </c>
    </row>
    <row r="989" spans="1:5" x14ac:dyDescent="0.25">
      <c r="A989" s="107" t="s">
        <v>125</v>
      </c>
      <c r="B989" s="107" t="s">
        <v>684</v>
      </c>
      <c r="C989" s="107" t="s">
        <v>685</v>
      </c>
      <c r="D989" s="107" t="s">
        <v>686</v>
      </c>
      <c r="E989" s="108">
        <v>2110.0550275137566</v>
      </c>
    </row>
    <row r="990" spans="1:5" x14ac:dyDescent="0.25">
      <c r="A990" s="107" t="s">
        <v>125</v>
      </c>
      <c r="B990" s="107" t="s">
        <v>684</v>
      </c>
      <c r="C990" s="107" t="s">
        <v>689</v>
      </c>
      <c r="D990" s="107" t="s">
        <v>686</v>
      </c>
      <c r="E990" s="108">
        <v>0</v>
      </c>
    </row>
    <row r="991" spans="1:5" x14ac:dyDescent="0.25">
      <c r="A991" s="107" t="s">
        <v>125</v>
      </c>
      <c r="B991" s="107" t="s">
        <v>684</v>
      </c>
      <c r="C991" s="107" t="s">
        <v>692</v>
      </c>
      <c r="D991" s="107" t="s">
        <v>686</v>
      </c>
      <c r="E991" s="108">
        <v>150.07503751875936</v>
      </c>
    </row>
    <row r="992" spans="1:5" x14ac:dyDescent="0.25">
      <c r="A992" s="107" t="s">
        <v>125</v>
      </c>
      <c r="B992" s="107" t="s">
        <v>684</v>
      </c>
      <c r="C992" s="107" t="s">
        <v>85</v>
      </c>
      <c r="D992" s="107" t="s">
        <v>686</v>
      </c>
      <c r="E992" s="108">
        <v>270.13506753376686</v>
      </c>
    </row>
    <row r="993" spans="1:5" x14ac:dyDescent="0.25">
      <c r="A993" s="107" t="s">
        <v>125</v>
      </c>
      <c r="B993" s="107" t="s">
        <v>684</v>
      </c>
      <c r="C993" s="107" t="s">
        <v>696</v>
      </c>
      <c r="D993" s="107" t="s">
        <v>686</v>
      </c>
      <c r="E993" s="108">
        <v>15.007503751875937</v>
      </c>
    </row>
    <row r="994" spans="1:5" x14ac:dyDescent="0.25">
      <c r="A994" s="107" t="s">
        <v>125</v>
      </c>
      <c r="B994" s="107" t="s">
        <v>684</v>
      </c>
      <c r="C994" s="107" t="s">
        <v>699</v>
      </c>
      <c r="D994" s="107" t="s">
        <v>686</v>
      </c>
      <c r="E994" s="108">
        <v>120.0600300150075</v>
      </c>
    </row>
    <row r="995" spans="1:5" x14ac:dyDescent="0.25">
      <c r="A995" s="107" t="s">
        <v>125</v>
      </c>
      <c r="B995" s="107" t="s">
        <v>684</v>
      </c>
      <c r="C995" s="107" t="s">
        <v>701</v>
      </c>
      <c r="D995" s="107" t="s">
        <v>686</v>
      </c>
      <c r="E995" s="108">
        <v>90.045022511255624</v>
      </c>
    </row>
    <row r="996" spans="1:5" x14ac:dyDescent="0.25">
      <c r="A996" s="107" t="s">
        <v>125</v>
      </c>
      <c r="B996" s="107" t="s">
        <v>684</v>
      </c>
      <c r="C996" s="107" t="s">
        <v>715</v>
      </c>
      <c r="D996" s="107" t="s">
        <v>686</v>
      </c>
      <c r="E996" s="108">
        <v>150.07503751875936</v>
      </c>
    </row>
    <row r="997" spans="1:5" x14ac:dyDescent="0.25">
      <c r="A997" s="107" t="s">
        <v>125</v>
      </c>
      <c r="B997" s="107" t="s">
        <v>684</v>
      </c>
      <c r="C997" s="107" t="s">
        <v>115</v>
      </c>
      <c r="D997" s="107" t="s">
        <v>686</v>
      </c>
      <c r="E997" s="108">
        <v>4.5022511255627808</v>
      </c>
    </row>
    <row r="998" spans="1:5" x14ac:dyDescent="0.25">
      <c r="A998" s="107" t="s">
        <v>125</v>
      </c>
      <c r="B998" s="107" t="s">
        <v>684</v>
      </c>
      <c r="C998" s="107" t="s">
        <v>1051</v>
      </c>
      <c r="D998" s="107" t="s">
        <v>686</v>
      </c>
      <c r="E998" s="108">
        <v>90.045022511255624</v>
      </c>
    </row>
    <row r="999" spans="1:5" x14ac:dyDescent="0.25">
      <c r="A999" s="107" t="s">
        <v>125</v>
      </c>
      <c r="B999" s="107" t="s">
        <v>684</v>
      </c>
      <c r="C999" s="107" t="s">
        <v>125</v>
      </c>
      <c r="D999" s="107" t="s">
        <v>686</v>
      </c>
      <c r="E999" s="108">
        <v>300</v>
      </c>
    </row>
    <row r="1000" spans="1:5" x14ac:dyDescent="0.25">
      <c r="A1000" s="109" t="s">
        <v>741</v>
      </c>
      <c r="B1000" s="111" t="s">
        <v>684</v>
      </c>
      <c r="C1000" s="109" t="s">
        <v>685</v>
      </c>
      <c r="D1000" s="111" t="s">
        <v>686</v>
      </c>
      <c r="E1000" s="110">
        <v>7037.9999999999991</v>
      </c>
    </row>
    <row r="1001" spans="1:5" x14ac:dyDescent="0.25">
      <c r="A1001" s="109" t="s">
        <v>741</v>
      </c>
      <c r="B1001" s="111" t="s">
        <v>684</v>
      </c>
      <c r="C1001" s="109" t="s">
        <v>689</v>
      </c>
      <c r="D1001" s="111" t="s">
        <v>686</v>
      </c>
      <c r="E1001" s="110">
        <v>816</v>
      </c>
    </row>
    <row r="1002" spans="1:5" x14ac:dyDescent="0.25">
      <c r="A1002" s="109" t="s">
        <v>741</v>
      </c>
      <c r="B1002" s="111" t="s">
        <v>684</v>
      </c>
      <c r="C1002" s="109" t="s">
        <v>692</v>
      </c>
      <c r="D1002" s="111" t="s">
        <v>686</v>
      </c>
      <c r="E1002" s="110">
        <v>1224</v>
      </c>
    </row>
    <row r="1003" spans="1:5" x14ac:dyDescent="0.25">
      <c r="A1003" s="109" t="s">
        <v>741</v>
      </c>
      <c r="B1003" s="111" t="s">
        <v>684</v>
      </c>
      <c r="C1003" s="109" t="s">
        <v>85</v>
      </c>
      <c r="D1003" s="111" t="s">
        <v>686</v>
      </c>
      <c r="E1003" s="110">
        <v>306</v>
      </c>
    </row>
    <row r="1004" spans="1:5" x14ac:dyDescent="0.25">
      <c r="A1004" s="109" t="s">
        <v>741</v>
      </c>
      <c r="B1004" s="111" t="s">
        <v>684</v>
      </c>
      <c r="C1004" s="109" t="s">
        <v>696</v>
      </c>
      <c r="D1004" s="111" t="s">
        <v>686</v>
      </c>
      <c r="E1004" s="110">
        <v>51</v>
      </c>
    </row>
    <row r="1005" spans="1:5" x14ac:dyDescent="0.25">
      <c r="A1005" s="109" t="s">
        <v>741</v>
      </c>
      <c r="B1005" s="111" t="s">
        <v>684</v>
      </c>
      <c r="C1005" s="109" t="s">
        <v>699</v>
      </c>
      <c r="D1005" s="111" t="s">
        <v>686</v>
      </c>
      <c r="E1005" s="110">
        <v>458.99999999999994</v>
      </c>
    </row>
    <row r="1006" spans="1:5" x14ac:dyDescent="0.25">
      <c r="A1006" s="109" t="s">
        <v>741</v>
      </c>
      <c r="B1006" s="111" t="s">
        <v>684</v>
      </c>
      <c r="C1006" s="109" t="s">
        <v>701</v>
      </c>
      <c r="D1006" s="111" t="s">
        <v>686</v>
      </c>
      <c r="E1006" s="110">
        <v>306</v>
      </c>
    </row>
    <row r="1007" spans="1:5" x14ac:dyDescent="0.25">
      <c r="A1007" s="109" t="s">
        <v>741</v>
      </c>
      <c r="B1007" s="111" t="s">
        <v>684</v>
      </c>
      <c r="C1007" s="109" t="s">
        <v>125</v>
      </c>
      <c r="D1007" s="111" t="s">
        <v>686</v>
      </c>
      <c r="E1007" s="110">
        <v>1020</v>
      </c>
    </row>
    <row r="1008" spans="1:5" x14ac:dyDescent="0.25">
      <c r="A1008" s="107" t="s">
        <v>1183</v>
      </c>
      <c r="B1008" s="107" t="s">
        <v>684</v>
      </c>
      <c r="C1008" s="107" t="s">
        <v>685</v>
      </c>
      <c r="D1008" s="107" t="s">
        <v>686</v>
      </c>
      <c r="E1008" s="108">
        <v>2760</v>
      </c>
    </row>
    <row r="1009" spans="1:5" x14ac:dyDescent="0.25">
      <c r="A1009" s="107" t="s">
        <v>1183</v>
      </c>
      <c r="B1009" s="107" t="s">
        <v>684</v>
      </c>
      <c r="C1009" s="107" t="s">
        <v>689</v>
      </c>
      <c r="D1009" s="107" t="s">
        <v>686</v>
      </c>
      <c r="E1009" s="108">
        <v>260</v>
      </c>
    </row>
    <row r="1010" spans="1:5" x14ac:dyDescent="0.25">
      <c r="A1010" s="107" t="s">
        <v>1183</v>
      </c>
      <c r="B1010" s="107" t="s">
        <v>684</v>
      </c>
      <c r="C1010" s="107" t="s">
        <v>692</v>
      </c>
      <c r="D1010" s="107" t="s">
        <v>686</v>
      </c>
      <c r="E1010" s="108">
        <v>440</v>
      </c>
    </row>
    <row r="1011" spans="1:5" x14ac:dyDescent="0.25">
      <c r="A1011" s="107" t="s">
        <v>1183</v>
      </c>
      <c r="B1011" s="107" t="s">
        <v>684</v>
      </c>
      <c r="C1011" s="107" t="s">
        <v>85</v>
      </c>
      <c r="D1011" s="107" t="s">
        <v>686</v>
      </c>
      <c r="E1011" s="108">
        <v>120</v>
      </c>
    </row>
    <row r="1012" spans="1:5" x14ac:dyDescent="0.25">
      <c r="A1012" s="107" t="s">
        <v>1183</v>
      </c>
      <c r="B1012" s="107" t="s">
        <v>684</v>
      </c>
      <c r="C1012" s="107" t="s">
        <v>696</v>
      </c>
      <c r="D1012" s="107" t="s">
        <v>686</v>
      </c>
      <c r="E1012" s="108">
        <v>20</v>
      </c>
    </row>
    <row r="1013" spans="1:5" x14ac:dyDescent="0.25">
      <c r="A1013" s="107" t="s">
        <v>1183</v>
      </c>
      <c r="B1013" s="107" t="s">
        <v>684</v>
      </c>
      <c r="C1013" s="107" t="s">
        <v>699</v>
      </c>
      <c r="D1013" s="107" t="s">
        <v>686</v>
      </c>
      <c r="E1013" s="108">
        <v>180</v>
      </c>
    </row>
    <row r="1014" spans="1:5" x14ac:dyDescent="0.25">
      <c r="A1014" s="107" t="s">
        <v>1183</v>
      </c>
      <c r="B1014" s="107" t="s">
        <v>684</v>
      </c>
      <c r="C1014" s="107" t="s">
        <v>701</v>
      </c>
      <c r="D1014" s="107" t="s">
        <v>686</v>
      </c>
      <c r="E1014" s="108">
        <v>120</v>
      </c>
    </row>
    <row r="1015" spans="1:5" x14ac:dyDescent="0.25">
      <c r="A1015" s="107" t="s">
        <v>1183</v>
      </c>
      <c r="B1015" s="107" t="s">
        <v>684</v>
      </c>
      <c r="C1015" s="107" t="s">
        <v>1040</v>
      </c>
      <c r="D1015" s="107" t="s">
        <v>686</v>
      </c>
      <c r="E1015" s="108">
        <v>100</v>
      </c>
    </row>
    <row r="1016" spans="1:5" x14ac:dyDescent="0.25">
      <c r="A1016" s="107" t="s">
        <v>1183</v>
      </c>
      <c r="B1016" s="107" t="s">
        <v>684</v>
      </c>
      <c r="C1016" s="107" t="s">
        <v>1184</v>
      </c>
      <c r="D1016" s="107" t="s">
        <v>686</v>
      </c>
      <c r="E1016" s="108">
        <v>320</v>
      </c>
    </row>
    <row r="1017" spans="1:5" x14ac:dyDescent="0.25">
      <c r="A1017" s="109" t="s">
        <v>1044</v>
      </c>
      <c r="B1017" s="111" t="s">
        <v>684</v>
      </c>
      <c r="C1017" s="109" t="s">
        <v>685</v>
      </c>
      <c r="D1017" s="111" t="s">
        <v>686</v>
      </c>
      <c r="E1017" s="110">
        <v>2628.5714285714284</v>
      </c>
    </row>
    <row r="1018" spans="1:5" x14ac:dyDescent="0.25">
      <c r="A1018" s="109" t="s">
        <v>1044</v>
      </c>
      <c r="B1018" s="111" t="s">
        <v>684</v>
      </c>
      <c r="C1018" s="109" t="s">
        <v>689</v>
      </c>
      <c r="D1018" s="111" t="s">
        <v>686</v>
      </c>
      <c r="E1018" s="110">
        <v>304.76190476190476</v>
      </c>
    </row>
    <row r="1019" spans="1:5" x14ac:dyDescent="0.25">
      <c r="A1019" s="109" t="s">
        <v>1044</v>
      </c>
      <c r="B1019" s="111" t="s">
        <v>684</v>
      </c>
      <c r="C1019" s="109" t="s">
        <v>692</v>
      </c>
      <c r="D1019" s="111" t="s">
        <v>686</v>
      </c>
      <c r="E1019" s="110">
        <v>457.14285714285711</v>
      </c>
    </row>
    <row r="1020" spans="1:5" x14ac:dyDescent="0.25">
      <c r="A1020" s="109" t="s">
        <v>1044</v>
      </c>
      <c r="B1020" s="111" t="s">
        <v>684</v>
      </c>
      <c r="C1020" s="109" t="s">
        <v>85</v>
      </c>
      <c r="D1020" s="111" t="s">
        <v>686</v>
      </c>
      <c r="E1020" s="110">
        <v>114.28571428571428</v>
      </c>
    </row>
    <row r="1021" spans="1:5" x14ac:dyDescent="0.25">
      <c r="A1021" s="109" t="s">
        <v>1044</v>
      </c>
      <c r="B1021" s="111" t="s">
        <v>684</v>
      </c>
      <c r="C1021" s="109" t="s">
        <v>696</v>
      </c>
      <c r="D1021" s="111" t="s">
        <v>686</v>
      </c>
      <c r="E1021" s="110">
        <v>19.047619047619047</v>
      </c>
    </row>
    <row r="1022" spans="1:5" x14ac:dyDescent="0.25">
      <c r="A1022" s="109" t="s">
        <v>1044</v>
      </c>
      <c r="B1022" s="111" t="s">
        <v>684</v>
      </c>
      <c r="C1022" s="109" t="s">
        <v>699</v>
      </c>
      <c r="D1022" s="111" t="s">
        <v>686</v>
      </c>
      <c r="E1022" s="110">
        <v>171.42857142857142</v>
      </c>
    </row>
    <row r="1023" spans="1:5" x14ac:dyDescent="0.25">
      <c r="A1023" s="109" t="s">
        <v>1044</v>
      </c>
      <c r="B1023" s="111" t="s">
        <v>684</v>
      </c>
      <c r="C1023" s="109" t="s">
        <v>701</v>
      </c>
      <c r="D1023" s="111" t="s">
        <v>686</v>
      </c>
      <c r="E1023" s="110">
        <v>114.28571428571428</v>
      </c>
    </row>
    <row r="1024" spans="1:5" x14ac:dyDescent="0.25">
      <c r="A1024" s="109" t="s">
        <v>1044</v>
      </c>
      <c r="B1024" s="111" t="s">
        <v>684</v>
      </c>
      <c r="C1024" s="109" t="s">
        <v>1185</v>
      </c>
      <c r="D1024" s="111" t="s">
        <v>686</v>
      </c>
      <c r="E1024" s="110">
        <v>190.47619047619045</v>
      </c>
    </row>
    <row r="1025" spans="1:5" x14ac:dyDescent="0.25">
      <c r="A1025" s="109" t="s">
        <v>1044</v>
      </c>
      <c r="B1025" s="111" t="s">
        <v>684</v>
      </c>
      <c r="C1025" s="109" t="s">
        <v>716</v>
      </c>
      <c r="D1025" s="111" t="s">
        <v>686</v>
      </c>
      <c r="E1025" s="110">
        <v>300</v>
      </c>
    </row>
    <row r="1026" spans="1:5" x14ac:dyDescent="0.25">
      <c r="A1026" s="109" t="s">
        <v>1044</v>
      </c>
      <c r="B1026" s="111" t="s">
        <v>684</v>
      </c>
      <c r="C1026" s="109" t="s">
        <v>1044</v>
      </c>
      <c r="D1026" s="111" t="s">
        <v>686</v>
      </c>
      <c r="E1026" s="110">
        <v>160</v>
      </c>
    </row>
    <row r="1027" spans="1:5" x14ac:dyDescent="0.25">
      <c r="A1027" s="107" t="s">
        <v>1186</v>
      </c>
      <c r="B1027" s="107" t="s">
        <v>684</v>
      </c>
      <c r="C1027" s="107" t="s">
        <v>685</v>
      </c>
      <c r="D1027" s="107" t="s">
        <v>686</v>
      </c>
      <c r="E1027" s="108">
        <v>3103.3295063145811</v>
      </c>
    </row>
    <row r="1028" spans="1:5" x14ac:dyDescent="0.25">
      <c r="A1028" s="107" t="s">
        <v>1186</v>
      </c>
      <c r="B1028" s="107" t="s">
        <v>684</v>
      </c>
      <c r="C1028" s="107" t="s">
        <v>1187</v>
      </c>
      <c r="D1028" s="107" t="s">
        <v>686</v>
      </c>
      <c r="E1028" s="108">
        <v>103.4443168771527</v>
      </c>
    </row>
    <row r="1029" spans="1:5" x14ac:dyDescent="0.25">
      <c r="A1029" s="107" t="s">
        <v>1186</v>
      </c>
      <c r="B1029" s="107" t="s">
        <v>684</v>
      </c>
      <c r="C1029" s="107" t="s">
        <v>1188</v>
      </c>
      <c r="D1029" s="107" t="s">
        <v>686</v>
      </c>
      <c r="E1029" s="108">
        <v>362.05510907003446</v>
      </c>
    </row>
    <row r="1030" spans="1:5" x14ac:dyDescent="0.25">
      <c r="A1030" s="107" t="s">
        <v>1186</v>
      </c>
      <c r="B1030" s="107" t="s">
        <v>684</v>
      </c>
      <c r="C1030" s="107" t="s">
        <v>1086</v>
      </c>
      <c r="D1030" s="107" t="s">
        <v>686</v>
      </c>
      <c r="E1030" s="108">
        <v>930.9988518943743</v>
      </c>
    </row>
    <row r="1031" spans="1:5" x14ac:dyDescent="0.25">
      <c r="A1031" s="107" t="s">
        <v>1186</v>
      </c>
      <c r="B1031" s="107" t="s">
        <v>684</v>
      </c>
      <c r="C1031" s="107" t="s">
        <v>115</v>
      </c>
      <c r="D1031" s="107" t="s">
        <v>686</v>
      </c>
      <c r="E1031" s="108">
        <v>5.1722158438576349</v>
      </c>
    </row>
    <row r="1032" spans="1:5" x14ac:dyDescent="0.25">
      <c r="A1032" s="109" t="s">
        <v>1189</v>
      </c>
      <c r="B1032" s="111" t="s">
        <v>684</v>
      </c>
      <c r="C1032" s="109" t="s">
        <v>685</v>
      </c>
      <c r="D1032" s="111" t="s">
        <v>686</v>
      </c>
      <c r="E1032" s="110">
        <v>2394</v>
      </c>
    </row>
    <row r="1033" spans="1:5" x14ac:dyDescent="0.25">
      <c r="A1033" s="109" t="s">
        <v>1189</v>
      </c>
      <c r="B1033" s="111" t="s">
        <v>684</v>
      </c>
      <c r="C1033" s="109" t="s">
        <v>689</v>
      </c>
      <c r="D1033" s="111" t="s">
        <v>686</v>
      </c>
      <c r="E1033" s="110">
        <v>0</v>
      </c>
    </row>
    <row r="1034" spans="1:5" x14ac:dyDescent="0.25">
      <c r="A1034" s="109" t="s">
        <v>1189</v>
      </c>
      <c r="B1034" s="111" t="s">
        <v>684</v>
      </c>
      <c r="C1034" s="109" t="s">
        <v>692</v>
      </c>
      <c r="D1034" s="111" t="s">
        <v>686</v>
      </c>
      <c r="E1034" s="110">
        <v>342</v>
      </c>
    </row>
    <row r="1035" spans="1:5" x14ac:dyDescent="0.25">
      <c r="A1035" s="109" t="s">
        <v>1189</v>
      </c>
      <c r="B1035" s="111" t="s">
        <v>684</v>
      </c>
      <c r="C1035" s="109" t="s">
        <v>85</v>
      </c>
      <c r="D1035" s="111" t="s">
        <v>686</v>
      </c>
      <c r="E1035" s="110">
        <v>38</v>
      </c>
    </row>
    <row r="1036" spans="1:5" x14ac:dyDescent="0.25">
      <c r="A1036" s="109" t="s">
        <v>1189</v>
      </c>
      <c r="B1036" s="111" t="s">
        <v>684</v>
      </c>
      <c r="C1036" s="109" t="s">
        <v>696</v>
      </c>
      <c r="D1036" s="111" t="s">
        <v>686</v>
      </c>
      <c r="E1036" s="110">
        <v>19</v>
      </c>
    </row>
    <row r="1037" spans="1:5" x14ac:dyDescent="0.25">
      <c r="A1037" s="109" t="s">
        <v>1189</v>
      </c>
      <c r="B1037" s="111" t="s">
        <v>684</v>
      </c>
      <c r="C1037" s="109" t="s">
        <v>699</v>
      </c>
      <c r="D1037" s="111" t="s">
        <v>686</v>
      </c>
      <c r="E1037" s="110">
        <v>171</v>
      </c>
    </row>
    <row r="1038" spans="1:5" x14ac:dyDescent="0.25">
      <c r="A1038" s="109" t="s">
        <v>1189</v>
      </c>
      <c r="B1038" s="111" t="s">
        <v>684</v>
      </c>
      <c r="C1038" s="109" t="s">
        <v>701</v>
      </c>
      <c r="D1038" s="111" t="s">
        <v>686</v>
      </c>
      <c r="E1038" s="110">
        <v>114</v>
      </c>
    </row>
    <row r="1039" spans="1:5" x14ac:dyDescent="0.25">
      <c r="A1039" s="109" t="s">
        <v>1189</v>
      </c>
      <c r="B1039" s="111" t="s">
        <v>684</v>
      </c>
      <c r="C1039" s="109" t="s">
        <v>1189</v>
      </c>
      <c r="D1039" s="111" t="s">
        <v>686</v>
      </c>
      <c r="E1039" s="110">
        <v>494</v>
      </c>
    </row>
    <row r="1040" spans="1:5" x14ac:dyDescent="0.25">
      <c r="A1040" s="109" t="s">
        <v>1189</v>
      </c>
      <c r="B1040" s="111" t="s">
        <v>684</v>
      </c>
      <c r="C1040" s="109" t="s">
        <v>1188</v>
      </c>
      <c r="D1040" s="111" t="s">
        <v>686</v>
      </c>
      <c r="E1040" s="110">
        <v>228</v>
      </c>
    </row>
    <row r="1041" spans="1:5" x14ac:dyDescent="0.25">
      <c r="A1041" s="109" t="s">
        <v>1189</v>
      </c>
      <c r="B1041" s="111" t="s">
        <v>684</v>
      </c>
      <c r="C1041" s="109" t="s">
        <v>1189</v>
      </c>
      <c r="D1041" s="111" t="s">
        <v>686</v>
      </c>
      <c r="E1041" s="110">
        <v>114</v>
      </c>
    </row>
    <row r="1042" spans="1:5" x14ac:dyDescent="0.25">
      <c r="A1042" s="107" t="s">
        <v>1190</v>
      </c>
      <c r="B1042" s="107" t="s">
        <v>684</v>
      </c>
      <c r="C1042" s="107" t="s">
        <v>685</v>
      </c>
      <c r="D1042" s="107" t="s">
        <v>686</v>
      </c>
      <c r="E1042" s="108">
        <v>2683.8966202783299</v>
      </c>
    </row>
    <row r="1043" spans="1:5" x14ac:dyDescent="0.25">
      <c r="A1043" s="107" t="s">
        <v>1190</v>
      </c>
      <c r="B1043" s="107" t="s">
        <v>684</v>
      </c>
      <c r="C1043" s="107" t="s">
        <v>689</v>
      </c>
      <c r="D1043" s="107" t="s">
        <v>686</v>
      </c>
      <c r="E1043" s="108">
        <v>198.80715705765408</v>
      </c>
    </row>
    <row r="1044" spans="1:5" x14ac:dyDescent="0.25">
      <c r="A1044" s="107" t="s">
        <v>1190</v>
      </c>
      <c r="B1044" s="107" t="s">
        <v>684</v>
      </c>
      <c r="C1044" s="107" t="s">
        <v>692</v>
      </c>
      <c r="D1044" s="107" t="s">
        <v>686</v>
      </c>
      <c r="E1044" s="108">
        <v>79.522862823061629</v>
      </c>
    </row>
    <row r="1045" spans="1:5" x14ac:dyDescent="0.25">
      <c r="A1045" s="107" t="s">
        <v>1190</v>
      </c>
      <c r="B1045" s="107" t="s">
        <v>684</v>
      </c>
      <c r="C1045" s="107" t="s">
        <v>696</v>
      </c>
      <c r="D1045" s="107" t="s">
        <v>686</v>
      </c>
      <c r="E1045" s="108">
        <v>19.880715705765407</v>
      </c>
    </row>
    <row r="1046" spans="1:5" x14ac:dyDescent="0.25">
      <c r="A1046" s="107" t="s">
        <v>1190</v>
      </c>
      <c r="B1046" s="107" t="s">
        <v>684</v>
      </c>
      <c r="C1046" s="107" t="s">
        <v>699</v>
      </c>
      <c r="D1046" s="107" t="s">
        <v>686</v>
      </c>
      <c r="E1046" s="108">
        <v>178.92644135188868</v>
      </c>
    </row>
    <row r="1047" spans="1:5" x14ac:dyDescent="0.25">
      <c r="A1047" s="107" t="s">
        <v>1190</v>
      </c>
      <c r="B1047" s="107" t="s">
        <v>684</v>
      </c>
      <c r="C1047" s="107" t="s">
        <v>701</v>
      </c>
      <c r="D1047" s="107" t="s">
        <v>686</v>
      </c>
      <c r="E1047" s="108">
        <v>139.16500994035786</v>
      </c>
    </row>
    <row r="1048" spans="1:5" x14ac:dyDescent="0.25">
      <c r="A1048" s="107" t="s">
        <v>1190</v>
      </c>
      <c r="B1048" s="107" t="s">
        <v>684</v>
      </c>
      <c r="C1048" s="107" t="s">
        <v>604</v>
      </c>
      <c r="D1048" s="107" t="s">
        <v>686</v>
      </c>
      <c r="E1048" s="108">
        <v>477.13717693836981</v>
      </c>
    </row>
    <row r="1049" spans="1:5" x14ac:dyDescent="0.25">
      <c r="A1049" s="107" t="s">
        <v>1190</v>
      </c>
      <c r="B1049" s="107" t="s">
        <v>684</v>
      </c>
      <c r="C1049" s="107" t="s">
        <v>1017</v>
      </c>
      <c r="D1049" s="107" t="s">
        <v>686</v>
      </c>
      <c r="E1049" s="108">
        <v>198.80715705765408</v>
      </c>
    </row>
    <row r="1050" spans="1:5" x14ac:dyDescent="0.25">
      <c r="A1050" s="107" t="s">
        <v>1190</v>
      </c>
      <c r="B1050" s="107" t="s">
        <v>684</v>
      </c>
      <c r="C1050" s="107" t="s">
        <v>1191</v>
      </c>
      <c r="D1050" s="107" t="s">
        <v>686</v>
      </c>
      <c r="E1050" s="108">
        <v>15.904572564612327</v>
      </c>
    </row>
    <row r="1051" spans="1:5" x14ac:dyDescent="0.25">
      <c r="A1051" s="107" t="s">
        <v>1190</v>
      </c>
      <c r="B1051" s="107" t="s">
        <v>684</v>
      </c>
      <c r="C1051" s="107" t="s">
        <v>1192</v>
      </c>
      <c r="D1051" s="107" t="s">
        <v>686</v>
      </c>
      <c r="E1051" s="108">
        <v>7.9522862823061633</v>
      </c>
    </row>
    <row r="1052" spans="1:5" x14ac:dyDescent="0.25">
      <c r="A1052" s="107" t="s">
        <v>1190</v>
      </c>
      <c r="B1052" s="107" t="s">
        <v>684</v>
      </c>
      <c r="C1052" s="107" t="s">
        <v>151</v>
      </c>
      <c r="D1052" s="107" t="s">
        <v>686</v>
      </c>
      <c r="E1052" s="108">
        <v>500</v>
      </c>
    </row>
    <row r="1053" spans="1:5" x14ac:dyDescent="0.25">
      <c r="A1053" s="109" t="s">
        <v>1193</v>
      </c>
      <c r="B1053" s="111" t="s">
        <v>684</v>
      </c>
      <c r="C1053" s="109" t="s">
        <v>685</v>
      </c>
      <c r="D1053" s="111" t="s">
        <v>686</v>
      </c>
      <c r="E1053" s="110">
        <v>2657.1428571428573</v>
      </c>
    </row>
    <row r="1054" spans="1:5" x14ac:dyDescent="0.25">
      <c r="A1054" s="109" t="s">
        <v>1193</v>
      </c>
      <c r="B1054" s="111" t="s">
        <v>684</v>
      </c>
      <c r="C1054" s="109" t="s">
        <v>689</v>
      </c>
      <c r="D1054" s="111" t="s">
        <v>686</v>
      </c>
      <c r="E1054" s="110">
        <v>285.71428571428572</v>
      </c>
    </row>
    <row r="1055" spans="1:5" x14ac:dyDescent="0.25">
      <c r="A1055" s="109" t="s">
        <v>1193</v>
      </c>
      <c r="B1055" s="111" t="s">
        <v>684</v>
      </c>
      <c r="C1055" s="109" t="s">
        <v>692</v>
      </c>
      <c r="D1055" s="111" t="s">
        <v>686</v>
      </c>
      <c r="E1055" s="110">
        <v>410.71428571428572</v>
      </c>
    </row>
    <row r="1056" spans="1:5" x14ac:dyDescent="0.25">
      <c r="A1056" s="109" t="s">
        <v>1193</v>
      </c>
      <c r="B1056" s="111" t="s">
        <v>684</v>
      </c>
      <c r="C1056" s="109" t="s">
        <v>696</v>
      </c>
      <c r="D1056" s="111" t="s">
        <v>686</v>
      </c>
      <c r="E1056" s="110">
        <v>17.857142857142858</v>
      </c>
    </row>
    <row r="1057" spans="1:5" x14ac:dyDescent="0.25">
      <c r="A1057" s="109" t="s">
        <v>1193</v>
      </c>
      <c r="B1057" s="111" t="s">
        <v>684</v>
      </c>
      <c r="C1057" s="109" t="s">
        <v>699</v>
      </c>
      <c r="D1057" s="111" t="s">
        <v>686</v>
      </c>
      <c r="E1057" s="110">
        <v>92.857142857142861</v>
      </c>
    </row>
    <row r="1058" spans="1:5" x14ac:dyDescent="0.25">
      <c r="A1058" s="109" t="s">
        <v>1193</v>
      </c>
      <c r="B1058" s="111" t="s">
        <v>684</v>
      </c>
      <c r="C1058" s="109" t="s">
        <v>701</v>
      </c>
      <c r="D1058" s="111" t="s">
        <v>686</v>
      </c>
      <c r="E1058" s="110">
        <v>107.14285714285715</v>
      </c>
    </row>
    <row r="1059" spans="1:5" x14ac:dyDescent="0.25">
      <c r="A1059" s="109" t="s">
        <v>1193</v>
      </c>
      <c r="B1059" s="111" t="s">
        <v>684</v>
      </c>
      <c r="C1059" s="109" t="s">
        <v>1093</v>
      </c>
      <c r="D1059" s="111" t="s">
        <v>686</v>
      </c>
      <c r="E1059" s="110">
        <v>428.57142857142861</v>
      </c>
    </row>
    <row r="1060" spans="1:5" x14ac:dyDescent="0.25">
      <c r="A1060" s="109" t="s">
        <v>1193</v>
      </c>
      <c r="B1060" s="111" t="s">
        <v>684</v>
      </c>
      <c r="C1060" s="109" t="s">
        <v>1194</v>
      </c>
      <c r="D1060" s="111" t="s">
        <v>686</v>
      </c>
      <c r="E1060" s="110">
        <v>400</v>
      </c>
    </row>
    <row r="1061" spans="1:5" x14ac:dyDescent="0.25">
      <c r="A1061" s="107" t="s">
        <v>1195</v>
      </c>
      <c r="B1061" s="107" t="s">
        <v>684</v>
      </c>
      <c r="C1061" s="107" t="s">
        <v>685</v>
      </c>
      <c r="D1061" s="107" t="s">
        <v>686</v>
      </c>
      <c r="E1061" s="108">
        <v>2220</v>
      </c>
    </row>
    <row r="1062" spans="1:5" x14ac:dyDescent="0.25">
      <c r="A1062" s="107" t="s">
        <v>1195</v>
      </c>
      <c r="B1062" s="107" t="s">
        <v>684</v>
      </c>
      <c r="C1062" s="107" t="s">
        <v>689</v>
      </c>
      <c r="D1062" s="107" t="s">
        <v>686</v>
      </c>
      <c r="E1062" s="108">
        <v>0</v>
      </c>
    </row>
    <row r="1063" spans="1:5" x14ac:dyDescent="0.25">
      <c r="A1063" s="107" t="s">
        <v>1195</v>
      </c>
      <c r="B1063" s="107" t="s">
        <v>684</v>
      </c>
      <c r="C1063" s="107" t="s">
        <v>692</v>
      </c>
      <c r="D1063" s="107" t="s">
        <v>686</v>
      </c>
      <c r="E1063" s="108">
        <v>200</v>
      </c>
    </row>
    <row r="1064" spans="1:5" x14ac:dyDescent="0.25">
      <c r="A1064" s="107" t="s">
        <v>1195</v>
      </c>
      <c r="B1064" s="107" t="s">
        <v>684</v>
      </c>
      <c r="C1064" s="107" t="s">
        <v>85</v>
      </c>
      <c r="D1064" s="107" t="s">
        <v>686</v>
      </c>
      <c r="E1064" s="108">
        <v>240</v>
      </c>
    </row>
    <row r="1065" spans="1:5" x14ac:dyDescent="0.25">
      <c r="A1065" s="107" t="s">
        <v>1195</v>
      </c>
      <c r="B1065" s="107" t="s">
        <v>684</v>
      </c>
      <c r="C1065" s="107" t="s">
        <v>696</v>
      </c>
      <c r="D1065" s="107" t="s">
        <v>686</v>
      </c>
      <c r="E1065" s="108">
        <v>20</v>
      </c>
    </row>
    <row r="1066" spans="1:5" x14ac:dyDescent="0.25">
      <c r="A1066" s="107" t="s">
        <v>1195</v>
      </c>
      <c r="B1066" s="107" t="s">
        <v>684</v>
      </c>
      <c r="C1066" s="107" t="s">
        <v>699</v>
      </c>
      <c r="D1066" s="107" t="s">
        <v>686</v>
      </c>
      <c r="E1066" s="108">
        <v>200</v>
      </c>
    </row>
    <row r="1067" spans="1:5" x14ac:dyDescent="0.25">
      <c r="A1067" s="107" t="s">
        <v>1195</v>
      </c>
      <c r="B1067" s="107" t="s">
        <v>684</v>
      </c>
      <c r="C1067" s="107" t="s">
        <v>701</v>
      </c>
      <c r="D1067" s="107" t="s">
        <v>686</v>
      </c>
      <c r="E1067" s="108">
        <v>120</v>
      </c>
    </row>
    <row r="1068" spans="1:5" x14ac:dyDescent="0.25">
      <c r="A1068" s="107" t="s">
        <v>1195</v>
      </c>
      <c r="B1068" s="107" t="s">
        <v>684</v>
      </c>
      <c r="C1068" s="107" t="s">
        <v>1195</v>
      </c>
      <c r="D1068" s="107" t="s">
        <v>686</v>
      </c>
      <c r="E1068" s="108">
        <v>1000</v>
      </c>
    </row>
    <row r="1069" spans="1:5" x14ac:dyDescent="0.25">
      <c r="A1069" s="109" t="s">
        <v>1196</v>
      </c>
      <c r="B1069" s="111" t="s">
        <v>684</v>
      </c>
      <c r="C1069" s="109" t="s">
        <v>685</v>
      </c>
      <c r="D1069" s="111" t="s">
        <v>686</v>
      </c>
      <c r="E1069" s="110">
        <v>1048.780487804878</v>
      </c>
    </row>
    <row r="1070" spans="1:5" x14ac:dyDescent="0.25">
      <c r="A1070" s="109" t="s">
        <v>1196</v>
      </c>
      <c r="B1070" s="111" t="s">
        <v>684</v>
      </c>
      <c r="C1070" s="109" t="s">
        <v>689</v>
      </c>
      <c r="D1070" s="111" t="s">
        <v>686</v>
      </c>
      <c r="E1070" s="110">
        <v>121.95121951219512</v>
      </c>
    </row>
    <row r="1071" spans="1:5" x14ac:dyDescent="0.25">
      <c r="A1071" s="109" t="s">
        <v>1196</v>
      </c>
      <c r="B1071" s="111" t="s">
        <v>684</v>
      </c>
      <c r="C1071" s="109" t="s">
        <v>692</v>
      </c>
      <c r="D1071" s="111" t="s">
        <v>686</v>
      </c>
      <c r="E1071" s="110">
        <v>97.560975609756099</v>
      </c>
    </row>
    <row r="1072" spans="1:5" x14ac:dyDescent="0.25">
      <c r="A1072" s="109" t="s">
        <v>1196</v>
      </c>
      <c r="B1072" s="111" t="s">
        <v>684</v>
      </c>
      <c r="C1072" s="109" t="s">
        <v>696</v>
      </c>
      <c r="D1072" s="111" t="s">
        <v>686</v>
      </c>
      <c r="E1072" s="110">
        <v>12.195121951219512</v>
      </c>
    </row>
    <row r="1073" spans="1:5" x14ac:dyDescent="0.25">
      <c r="A1073" s="109" t="s">
        <v>1196</v>
      </c>
      <c r="B1073" s="111" t="s">
        <v>684</v>
      </c>
      <c r="C1073" s="109" t="s">
        <v>699</v>
      </c>
      <c r="D1073" s="111" t="s">
        <v>686</v>
      </c>
      <c r="E1073" s="110">
        <v>109.7560975609756</v>
      </c>
    </row>
    <row r="1074" spans="1:5" x14ac:dyDescent="0.25">
      <c r="A1074" s="109" t="s">
        <v>1196</v>
      </c>
      <c r="B1074" s="111" t="s">
        <v>684</v>
      </c>
      <c r="C1074" s="109" t="s">
        <v>701</v>
      </c>
      <c r="D1074" s="111" t="s">
        <v>686</v>
      </c>
      <c r="E1074" s="110">
        <v>73.170731707317074</v>
      </c>
    </row>
    <row r="1075" spans="1:5" x14ac:dyDescent="0.25">
      <c r="A1075" s="109" t="s">
        <v>1196</v>
      </c>
      <c r="B1075" s="111" t="s">
        <v>684</v>
      </c>
      <c r="C1075" s="109" t="s">
        <v>638</v>
      </c>
      <c r="D1075" s="111" t="s">
        <v>686</v>
      </c>
      <c r="E1075" s="110">
        <v>487.80487804878049</v>
      </c>
    </row>
    <row r="1076" spans="1:5" x14ac:dyDescent="0.25">
      <c r="A1076" s="109" t="s">
        <v>1196</v>
      </c>
      <c r="B1076" s="111" t="s">
        <v>684</v>
      </c>
      <c r="C1076" s="109" t="s">
        <v>162</v>
      </c>
      <c r="D1076" s="111" t="s">
        <v>686</v>
      </c>
      <c r="E1076" s="110">
        <v>487.80487804878049</v>
      </c>
    </row>
    <row r="1077" spans="1:5" x14ac:dyDescent="0.25">
      <c r="A1077" s="109" t="s">
        <v>1196</v>
      </c>
      <c r="B1077" s="111" t="s">
        <v>684</v>
      </c>
      <c r="C1077" s="109" t="s">
        <v>85</v>
      </c>
      <c r="D1077" s="111" t="s">
        <v>686</v>
      </c>
      <c r="E1077" s="110">
        <v>60.975609756097562</v>
      </c>
    </row>
    <row r="1078" spans="1:5" x14ac:dyDescent="0.25">
      <c r="A1078" s="109" t="s">
        <v>1196</v>
      </c>
      <c r="B1078" s="111" t="s">
        <v>684</v>
      </c>
      <c r="C1078" s="109" t="s">
        <v>1197</v>
      </c>
      <c r="D1078" s="111" t="s">
        <v>686</v>
      </c>
      <c r="E1078" s="110">
        <v>187.5</v>
      </c>
    </row>
    <row r="1079" spans="1:5" x14ac:dyDescent="0.25">
      <c r="A1079" s="109" t="s">
        <v>1196</v>
      </c>
      <c r="B1079" s="111" t="s">
        <v>684</v>
      </c>
      <c r="C1079" s="109" t="s">
        <v>1198</v>
      </c>
      <c r="D1079" s="111" t="s">
        <v>686</v>
      </c>
      <c r="E1079" s="110">
        <v>125</v>
      </c>
    </row>
    <row r="1080" spans="1:5" x14ac:dyDescent="0.25">
      <c r="A1080" s="107" t="s">
        <v>1199</v>
      </c>
      <c r="B1080" s="107" t="s">
        <v>684</v>
      </c>
      <c r="C1080" s="107" t="s">
        <v>685</v>
      </c>
      <c r="D1080" s="107" t="s">
        <v>686</v>
      </c>
      <c r="E1080" s="108">
        <v>2640</v>
      </c>
    </row>
    <row r="1081" spans="1:5" x14ac:dyDescent="0.25">
      <c r="A1081" s="107" t="s">
        <v>1199</v>
      </c>
      <c r="B1081" s="107" t="s">
        <v>684</v>
      </c>
      <c r="C1081" s="107" t="s">
        <v>689</v>
      </c>
      <c r="D1081" s="107" t="s">
        <v>686</v>
      </c>
      <c r="E1081" s="108">
        <v>240</v>
      </c>
    </row>
    <row r="1082" spans="1:5" x14ac:dyDescent="0.25">
      <c r="A1082" s="107" t="s">
        <v>1199</v>
      </c>
      <c r="B1082" s="107" t="s">
        <v>684</v>
      </c>
      <c r="C1082" s="107" t="s">
        <v>692</v>
      </c>
      <c r="D1082" s="107" t="s">
        <v>686</v>
      </c>
      <c r="E1082" s="108">
        <v>200</v>
      </c>
    </row>
    <row r="1083" spans="1:5" x14ac:dyDescent="0.25">
      <c r="A1083" s="107" t="s">
        <v>1199</v>
      </c>
      <c r="B1083" s="107" t="s">
        <v>684</v>
      </c>
      <c r="C1083" s="107" t="s">
        <v>85</v>
      </c>
      <c r="D1083" s="107" t="s">
        <v>686</v>
      </c>
      <c r="E1083" s="108">
        <v>80</v>
      </c>
    </row>
    <row r="1084" spans="1:5" x14ac:dyDescent="0.25">
      <c r="A1084" s="107" t="s">
        <v>1199</v>
      </c>
      <c r="B1084" s="107" t="s">
        <v>684</v>
      </c>
      <c r="C1084" s="107" t="s">
        <v>696</v>
      </c>
      <c r="D1084" s="107" t="s">
        <v>686</v>
      </c>
      <c r="E1084" s="108">
        <v>20</v>
      </c>
    </row>
    <row r="1085" spans="1:5" x14ac:dyDescent="0.25">
      <c r="A1085" s="107" t="s">
        <v>1199</v>
      </c>
      <c r="B1085" s="107" t="s">
        <v>684</v>
      </c>
      <c r="C1085" s="107" t="s">
        <v>699</v>
      </c>
      <c r="D1085" s="107" t="s">
        <v>686</v>
      </c>
      <c r="E1085" s="108">
        <v>180</v>
      </c>
    </row>
    <row r="1086" spans="1:5" x14ac:dyDescent="0.25">
      <c r="A1086" s="107" t="s">
        <v>1199</v>
      </c>
      <c r="B1086" s="107" t="s">
        <v>684</v>
      </c>
      <c r="C1086" s="107" t="s">
        <v>701</v>
      </c>
      <c r="D1086" s="107" t="s">
        <v>686</v>
      </c>
      <c r="E1086" s="108">
        <v>120</v>
      </c>
    </row>
    <row r="1087" spans="1:5" x14ac:dyDescent="0.25">
      <c r="A1087" s="107" t="s">
        <v>1199</v>
      </c>
      <c r="B1087" s="107" t="s">
        <v>684</v>
      </c>
      <c r="C1087" s="107" t="s">
        <v>1040</v>
      </c>
      <c r="D1087" s="107" t="s">
        <v>686</v>
      </c>
      <c r="E1087" s="108">
        <v>40</v>
      </c>
    </row>
    <row r="1088" spans="1:5" x14ac:dyDescent="0.25">
      <c r="A1088" s="107" t="s">
        <v>1199</v>
      </c>
      <c r="B1088" s="107" t="s">
        <v>684</v>
      </c>
      <c r="C1088" s="107" t="s">
        <v>162</v>
      </c>
      <c r="D1088" s="107" t="s">
        <v>686</v>
      </c>
      <c r="E1088" s="108">
        <v>400</v>
      </c>
    </row>
    <row r="1089" spans="1:5" x14ac:dyDescent="0.25">
      <c r="A1089" s="107" t="s">
        <v>1199</v>
      </c>
      <c r="B1089" s="107" t="s">
        <v>684</v>
      </c>
      <c r="C1089" s="107" t="s">
        <v>1093</v>
      </c>
      <c r="D1089" s="107" t="s">
        <v>686</v>
      </c>
      <c r="E1089" s="108">
        <v>80</v>
      </c>
    </row>
    <row r="1090" spans="1:5" x14ac:dyDescent="0.25">
      <c r="A1090" s="107" t="s">
        <v>1199</v>
      </c>
      <c r="B1090" s="107" t="s">
        <v>684</v>
      </c>
      <c r="C1090" s="107" t="s">
        <v>1200</v>
      </c>
      <c r="D1090" s="107" t="s">
        <v>686</v>
      </c>
      <c r="E1090" s="108">
        <v>476</v>
      </c>
    </row>
    <row r="1091" spans="1:5" x14ac:dyDescent="0.25">
      <c r="A1091" s="109" t="s">
        <v>265</v>
      </c>
      <c r="B1091" s="111" t="s">
        <v>684</v>
      </c>
      <c r="C1091" s="109" t="s">
        <v>685</v>
      </c>
      <c r="D1091" s="111" t="s">
        <v>686</v>
      </c>
      <c r="E1091" s="110">
        <v>2697.2477064220184</v>
      </c>
    </row>
    <row r="1092" spans="1:5" x14ac:dyDescent="0.25">
      <c r="A1092" s="109" t="s">
        <v>265</v>
      </c>
      <c r="B1092" s="111" t="s">
        <v>684</v>
      </c>
      <c r="C1092" s="109" t="s">
        <v>689</v>
      </c>
      <c r="D1092" s="111" t="s">
        <v>686</v>
      </c>
      <c r="E1092" s="110">
        <v>115.59633027522936</v>
      </c>
    </row>
    <row r="1093" spans="1:5" x14ac:dyDescent="0.25">
      <c r="A1093" s="109" t="s">
        <v>265</v>
      </c>
      <c r="B1093" s="111" t="s">
        <v>684</v>
      </c>
      <c r="C1093" s="109" t="s">
        <v>692</v>
      </c>
      <c r="D1093" s="111" t="s">
        <v>686</v>
      </c>
      <c r="E1093" s="110">
        <v>732.11009174311926</v>
      </c>
    </row>
    <row r="1094" spans="1:5" x14ac:dyDescent="0.25">
      <c r="A1094" s="109" t="s">
        <v>265</v>
      </c>
      <c r="B1094" s="111" t="s">
        <v>684</v>
      </c>
      <c r="C1094" s="109" t="s">
        <v>696</v>
      </c>
      <c r="D1094" s="111" t="s">
        <v>686</v>
      </c>
      <c r="E1094" s="110">
        <v>19.26605504587156</v>
      </c>
    </row>
    <row r="1095" spans="1:5" x14ac:dyDescent="0.25">
      <c r="A1095" s="109" t="s">
        <v>265</v>
      </c>
      <c r="B1095" s="111" t="s">
        <v>684</v>
      </c>
      <c r="C1095" s="109" t="s">
        <v>699</v>
      </c>
      <c r="D1095" s="111" t="s">
        <v>686</v>
      </c>
      <c r="E1095" s="110">
        <v>173.39449541284404</v>
      </c>
    </row>
    <row r="1096" spans="1:5" x14ac:dyDescent="0.25">
      <c r="A1096" s="109" t="s">
        <v>265</v>
      </c>
      <c r="B1096" s="111" t="s">
        <v>684</v>
      </c>
      <c r="C1096" s="109" t="s">
        <v>701</v>
      </c>
      <c r="D1096" s="111" t="s">
        <v>686</v>
      </c>
      <c r="E1096" s="110">
        <v>115.59633027522936</v>
      </c>
    </row>
    <row r="1097" spans="1:5" x14ac:dyDescent="0.25">
      <c r="A1097" s="109" t="s">
        <v>265</v>
      </c>
      <c r="B1097" s="111" t="s">
        <v>684</v>
      </c>
      <c r="C1097" s="109" t="s">
        <v>1030</v>
      </c>
      <c r="D1097" s="111" t="s">
        <v>686</v>
      </c>
      <c r="E1097" s="110">
        <v>346.78899082568807</v>
      </c>
    </row>
    <row r="1098" spans="1:5" x14ac:dyDescent="0.25">
      <c r="A1098" s="107" t="s">
        <v>985</v>
      </c>
      <c r="B1098" s="107" t="s">
        <v>684</v>
      </c>
      <c r="C1098" s="107" t="s">
        <v>685</v>
      </c>
      <c r="D1098" s="107" t="s">
        <v>686</v>
      </c>
      <c r="E1098" s="108">
        <v>3780</v>
      </c>
    </row>
    <row r="1099" spans="1:5" x14ac:dyDescent="0.25">
      <c r="A1099" s="107" t="s">
        <v>985</v>
      </c>
      <c r="B1099" s="107" t="s">
        <v>684</v>
      </c>
      <c r="C1099" s="107" t="s">
        <v>689</v>
      </c>
      <c r="D1099" s="107" t="s">
        <v>686</v>
      </c>
      <c r="E1099" s="108">
        <v>240</v>
      </c>
    </row>
    <row r="1100" spans="1:5" x14ac:dyDescent="0.25">
      <c r="A1100" s="107" t="s">
        <v>985</v>
      </c>
      <c r="B1100" s="107" t="s">
        <v>684</v>
      </c>
      <c r="C1100" s="107" t="s">
        <v>692</v>
      </c>
      <c r="D1100" s="107" t="s">
        <v>686</v>
      </c>
      <c r="E1100" s="108">
        <v>0</v>
      </c>
    </row>
    <row r="1101" spans="1:5" x14ac:dyDescent="0.25">
      <c r="A1101" s="107" t="s">
        <v>985</v>
      </c>
      <c r="B1101" s="107" t="s">
        <v>684</v>
      </c>
      <c r="C1101" s="107" t="s">
        <v>85</v>
      </c>
      <c r="D1101" s="107" t="s">
        <v>686</v>
      </c>
      <c r="E1101" s="108">
        <v>1122</v>
      </c>
    </row>
    <row r="1102" spans="1:5" x14ac:dyDescent="0.25">
      <c r="A1102" s="107" t="s">
        <v>985</v>
      </c>
      <c r="B1102" s="107" t="s">
        <v>684</v>
      </c>
      <c r="C1102" s="107" t="s">
        <v>696</v>
      </c>
      <c r="D1102" s="107" t="s">
        <v>686</v>
      </c>
      <c r="E1102" s="108">
        <v>30</v>
      </c>
    </row>
    <row r="1103" spans="1:5" x14ac:dyDescent="0.25">
      <c r="A1103" s="107" t="s">
        <v>985</v>
      </c>
      <c r="B1103" s="107" t="s">
        <v>684</v>
      </c>
      <c r="C1103" s="107" t="s">
        <v>699</v>
      </c>
      <c r="D1103" s="107" t="s">
        <v>686</v>
      </c>
      <c r="E1103" s="108">
        <v>270</v>
      </c>
    </row>
    <row r="1104" spans="1:5" x14ac:dyDescent="0.25">
      <c r="A1104" s="107" t="s">
        <v>985</v>
      </c>
      <c r="B1104" s="107" t="s">
        <v>684</v>
      </c>
      <c r="C1104" s="107" t="s">
        <v>701</v>
      </c>
      <c r="D1104" s="107" t="s">
        <v>686</v>
      </c>
      <c r="E1104" s="108">
        <v>108</v>
      </c>
    </row>
    <row r="1105" spans="1:5" x14ac:dyDescent="0.25">
      <c r="A1105" s="107" t="s">
        <v>985</v>
      </c>
      <c r="B1105" s="107" t="s">
        <v>684</v>
      </c>
      <c r="C1105" s="107" t="s">
        <v>1017</v>
      </c>
      <c r="D1105" s="107" t="s">
        <v>686</v>
      </c>
      <c r="E1105" s="108">
        <v>450</v>
      </c>
    </row>
    <row r="1106" spans="1:5" x14ac:dyDescent="0.25">
      <c r="A1106" s="107" t="s">
        <v>985</v>
      </c>
      <c r="B1106" s="107" t="s">
        <v>684</v>
      </c>
      <c r="C1106" s="107" t="s">
        <v>1055</v>
      </c>
      <c r="D1106" s="107" t="s">
        <v>686</v>
      </c>
      <c r="E1106" s="108">
        <v>480</v>
      </c>
    </row>
    <row r="1107" spans="1:5" x14ac:dyDescent="0.25">
      <c r="A1107" s="107" t="s">
        <v>985</v>
      </c>
      <c r="B1107" s="107" t="s">
        <v>684</v>
      </c>
      <c r="C1107" s="107" t="s">
        <v>139</v>
      </c>
      <c r="D1107" s="107" t="s">
        <v>686</v>
      </c>
      <c r="E1107" s="108">
        <v>480</v>
      </c>
    </row>
    <row r="1108" spans="1:5" x14ac:dyDescent="0.25">
      <c r="A1108" s="109" t="s">
        <v>883</v>
      </c>
      <c r="B1108" s="111" t="s">
        <v>684</v>
      </c>
      <c r="C1108" s="109" t="s">
        <v>685</v>
      </c>
      <c r="D1108" s="111" t="s">
        <v>686</v>
      </c>
      <c r="E1108" s="110">
        <v>2639.4454946439823</v>
      </c>
    </row>
    <row r="1109" spans="1:5" x14ac:dyDescent="0.25">
      <c r="A1109" s="109" t="s">
        <v>883</v>
      </c>
      <c r="B1109" s="111" t="s">
        <v>684</v>
      </c>
      <c r="C1109" s="109" t="s">
        <v>692</v>
      </c>
      <c r="D1109" s="111" t="s">
        <v>686</v>
      </c>
      <c r="E1109" s="110">
        <v>199.95799201848351</v>
      </c>
    </row>
    <row r="1110" spans="1:5" x14ac:dyDescent="0.25">
      <c r="A1110" s="109" t="s">
        <v>883</v>
      </c>
      <c r="B1110" s="111" t="s">
        <v>684</v>
      </c>
      <c r="C1110" s="109" t="s">
        <v>696</v>
      </c>
      <c r="D1110" s="111" t="s">
        <v>686</v>
      </c>
      <c r="E1110" s="110">
        <v>19.995799201848349</v>
      </c>
    </row>
    <row r="1111" spans="1:5" x14ac:dyDescent="0.25">
      <c r="A1111" s="109" t="s">
        <v>883</v>
      </c>
      <c r="B1111" s="111" t="s">
        <v>684</v>
      </c>
      <c r="C1111" s="109" t="s">
        <v>699</v>
      </c>
      <c r="D1111" s="111" t="s">
        <v>686</v>
      </c>
      <c r="E1111" s="110">
        <v>159.9663936147868</v>
      </c>
    </row>
    <row r="1112" spans="1:5" x14ac:dyDescent="0.25">
      <c r="A1112" s="109" t="s">
        <v>883</v>
      </c>
      <c r="B1112" s="111" t="s">
        <v>684</v>
      </c>
      <c r="C1112" s="109" t="s">
        <v>701</v>
      </c>
      <c r="D1112" s="111" t="s">
        <v>686</v>
      </c>
      <c r="E1112" s="110">
        <v>100.81915563957151</v>
      </c>
    </row>
    <row r="1113" spans="1:5" x14ac:dyDescent="0.25">
      <c r="A1113" s="109" t="s">
        <v>883</v>
      </c>
      <c r="B1113" s="111" t="s">
        <v>684</v>
      </c>
      <c r="C1113" s="109" t="s">
        <v>1076</v>
      </c>
      <c r="D1113" s="111" t="s">
        <v>686</v>
      </c>
      <c r="E1113" s="110">
        <v>879.81516488132741</v>
      </c>
    </row>
    <row r="1114" spans="1:5" x14ac:dyDescent="0.25">
      <c r="A1114" s="109" t="s">
        <v>883</v>
      </c>
      <c r="B1114" s="111" t="s">
        <v>684</v>
      </c>
      <c r="C1114" s="109" t="s">
        <v>139</v>
      </c>
      <c r="D1114" s="111" t="s">
        <v>686</v>
      </c>
      <c r="E1114" s="110">
        <v>300</v>
      </c>
    </row>
    <row r="1115" spans="1:5" x14ac:dyDescent="0.25">
      <c r="A1115" s="109" t="s">
        <v>883</v>
      </c>
      <c r="B1115" s="111" t="s">
        <v>684</v>
      </c>
      <c r="C1115" s="109" t="s">
        <v>1112</v>
      </c>
      <c r="D1115" s="111" t="s">
        <v>686</v>
      </c>
      <c r="E1115" s="110">
        <v>200</v>
      </c>
    </row>
    <row r="1116" spans="1:5" x14ac:dyDescent="0.25">
      <c r="A1116" s="107" t="s">
        <v>683</v>
      </c>
      <c r="B1116" s="107" t="s">
        <v>684</v>
      </c>
      <c r="C1116" s="107" t="s">
        <v>685</v>
      </c>
      <c r="D1116" s="107" t="s">
        <v>686</v>
      </c>
      <c r="E1116" s="108">
        <v>3079.5397698849429</v>
      </c>
    </row>
    <row r="1117" spans="1:5" x14ac:dyDescent="0.25">
      <c r="A1117" s="107" t="s">
        <v>683</v>
      </c>
      <c r="B1117" s="107" t="s">
        <v>684</v>
      </c>
      <c r="C1117" s="107" t="s">
        <v>689</v>
      </c>
      <c r="D1117" s="107" t="s">
        <v>686</v>
      </c>
      <c r="E1117" s="108">
        <v>126.06303151575788</v>
      </c>
    </row>
    <row r="1118" spans="1:5" x14ac:dyDescent="0.25">
      <c r="A1118" s="107" t="s">
        <v>683</v>
      </c>
      <c r="B1118" s="107" t="s">
        <v>684</v>
      </c>
      <c r="C1118" s="107" t="s">
        <v>692</v>
      </c>
      <c r="D1118" s="107" t="s">
        <v>686</v>
      </c>
      <c r="E1118" s="108">
        <v>405.20260130065037</v>
      </c>
    </row>
    <row r="1119" spans="1:5" x14ac:dyDescent="0.25">
      <c r="A1119" s="107" t="s">
        <v>683</v>
      </c>
      <c r="B1119" s="107" t="s">
        <v>684</v>
      </c>
      <c r="C1119" s="107" t="s">
        <v>85</v>
      </c>
      <c r="D1119" s="107" t="s">
        <v>686</v>
      </c>
      <c r="E1119" s="108">
        <v>90.045022511255638</v>
      </c>
    </row>
    <row r="1120" spans="1:5" x14ac:dyDescent="0.25">
      <c r="A1120" s="107" t="s">
        <v>683</v>
      </c>
      <c r="B1120" s="107" t="s">
        <v>684</v>
      </c>
      <c r="C1120" s="107" t="s">
        <v>696</v>
      </c>
      <c r="D1120" s="107" t="s">
        <v>686</v>
      </c>
      <c r="E1120" s="108">
        <v>22.51125562781391</v>
      </c>
    </row>
    <row r="1121" spans="1:5" x14ac:dyDescent="0.25">
      <c r="A1121" s="107" t="s">
        <v>683</v>
      </c>
      <c r="B1121" s="107" t="s">
        <v>684</v>
      </c>
      <c r="C1121" s="107" t="s">
        <v>699</v>
      </c>
      <c r="D1121" s="107" t="s">
        <v>686</v>
      </c>
      <c r="E1121" s="108">
        <v>225.1125562781391</v>
      </c>
    </row>
    <row r="1122" spans="1:5" x14ac:dyDescent="0.25">
      <c r="A1122" s="107" t="s">
        <v>683</v>
      </c>
      <c r="B1122" s="107" t="s">
        <v>684</v>
      </c>
      <c r="C1122" s="107" t="s">
        <v>701</v>
      </c>
      <c r="D1122" s="107" t="s">
        <v>686</v>
      </c>
      <c r="E1122" s="108">
        <v>135.06753376688346</v>
      </c>
    </row>
    <row r="1123" spans="1:5" x14ac:dyDescent="0.25">
      <c r="A1123" s="107" t="s">
        <v>683</v>
      </c>
      <c r="B1123" s="107" t="s">
        <v>684</v>
      </c>
      <c r="C1123" s="107" t="s">
        <v>704</v>
      </c>
      <c r="D1123" s="107" t="s">
        <v>686</v>
      </c>
      <c r="E1123" s="108">
        <v>283.64182091045524</v>
      </c>
    </row>
    <row r="1124" spans="1:5" x14ac:dyDescent="0.25">
      <c r="A1124" s="107" t="s">
        <v>683</v>
      </c>
      <c r="B1124" s="107" t="s">
        <v>684</v>
      </c>
      <c r="C1124" s="107" t="s">
        <v>115</v>
      </c>
      <c r="D1124" s="107" t="s">
        <v>686</v>
      </c>
      <c r="E1124" s="108">
        <v>11.255627813906955</v>
      </c>
    </row>
    <row r="1125" spans="1:5" x14ac:dyDescent="0.25">
      <c r="A1125" s="107" t="s">
        <v>683</v>
      </c>
      <c r="B1125" s="107" t="s">
        <v>684</v>
      </c>
      <c r="C1125" s="107" t="s">
        <v>707</v>
      </c>
      <c r="D1125" s="107" t="s">
        <v>686</v>
      </c>
      <c r="E1125" s="108">
        <v>121.56078039019511</v>
      </c>
    </row>
    <row r="1126" spans="1:5" x14ac:dyDescent="0.25">
      <c r="A1126" s="107" t="s">
        <v>683</v>
      </c>
      <c r="B1126" s="107" t="s">
        <v>684</v>
      </c>
      <c r="C1126" s="107" t="s">
        <v>708</v>
      </c>
      <c r="D1126" s="107" t="s">
        <v>686</v>
      </c>
      <c r="E1126" s="108">
        <v>67.5</v>
      </c>
    </row>
    <row r="1127" spans="1:5" x14ac:dyDescent="0.25">
      <c r="A1127" s="109" t="s">
        <v>1201</v>
      </c>
      <c r="B1127" s="111" t="s">
        <v>684</v>
      </c>
      <c r="C1127" s="109" t="s">
        <v>685</v>
      </c>
      <c r="D1127" s="111" t="s">
        <v>686</v>
      </c>
      <c r="E1127" s="110">
        <v>3000</v>
      </c>
    </row>
    <row r="1128" spans="1:5" x14ac:dyDescent="0.25">
      <c r="A1128" s="109" t="s">
        <v>1201</v>
      </c>
      <c r="B1128" s="111" t="s">
        <v>684</v>
      </c>
      <c r="C1128" s="109" t="s">
        <v>704</v>
      </c>
      <c r="D1128" s="111" t="s">
        <v>686</v>
      </c>
      <c r="E1128" s="110">
        <v>300</v>
      </c>
    </row>
    <row r="1129" spans="1:5" x14ac:dyDescent="0.25">
      <c r="A1129" s="109" t="s">
        <v>1201</v>
      </c>
      <c r="B1129" s="111" t="s">
        <v>684</v>
      </c>
      <c r="C1129" s="109" t="s">
        <v>1086</v>
      </c>
      <c r="D1129" s="111" t="s">
        <v>686</v>
      </c>
      <c r="E1129" s="110">
        <v>900</v>
      </c>
    </row>
    <row r="1130" spans="1:5" x14ac:dyDescent="0.25">
      <c r="A1130" s="107" t="s">
        <v>1202</v>
      </c>
      <c r="B1130" s="107" t="s">
        <v>684</v>
      </c>
      <c r="C1130" s="107" t="s">
        <v>685</v>
      </c>
      <c r="D1130" s="107" t="s">
        <v>686</v>
      </c>
      <c r="E1130" s="108">
        <v>2620</v>
      </c>
    </row>
    <row r="1131" spans="1:5" x14ac:dyDescent="0.25">
      <c r="A1131" s="107" t="s">
        <v>1202</v>
      </c>
      <c r="B1131" s="107" t="s">
        <v>684</v>
      </c>
      <c r="C1131" s="107" t="s">
        <v>689</v>
      </c>
      <c r="D1131" s="107" t="s">
        <v>686</v>
      </c>
      <c r="E1131" s="108">
        <v>80</v>
      </c>
    </row>
    <row r="1132" spans="1:5" x14ac:dyDescent="0.25">
      <c r="A1132" s="107" t="s">
        <v>1202</v>
      </c>
      <c r="B1132" s="107" t="s">
        <v>684</v>
      </c>
      <c r="C1132" s="107" t="s">
        <v>692</v>
      </c>
      <c r="D1132" s="107" t="s">
        <v>686</v>
      </c>
      <c r="E1132" s="108">
        <v>0</v>
      </c>
    </row>
    <row r="1133" spans="1:5" x14ac:dyDescent="0.25">
      <c r="A1133" s="107" t="s">
        <v>1202</v>
      </c>
      <c r="B1133" s="107" t="s">
        <v>684</v>
      </c>
      <c r="C1133" s="107" t="s">
        <v>85</v>
      </c>
      <c r="D1133" s="107" t="s">
        <v>686</v>
      </c>
      <c r="E1133" s="108">
        <v>160</v>
      </c>
    </row>
    <row r="1134" spans="1:5" x14ac:dyDescent="0.25">
      <c r="A1134" s="107" t="s">
        <v>1202</v>
      </c>
      <c r="B1134" s="107" t="s">
        <v>684</v>
      </c>
      <c r="C1134" s="107" t="s">
        <v>696</v>
      </c>
      <c r="D1134" s="107" t="s">
        <v>686</v>
      </c>
      <c r="E1134" s="108">
        <v>20</v>
      </c>
    </row>
    <row r="1135" spans="1:5" x14ac:dyDescent="0.25">
      <c r="A1135" s="107" t="s">
        <v>1202</v>
      </c>
      <c r="B1135" s="107" t="s">
        <v>684</v>
      </c>
      <c r="C1135" s="107" t="s">
        <v>699</v>
      </c>
      <c r="D1135" s="107" t="s">
        <v>686</v>
      </c>
      <c r="E1135" s="108">
        <v>140</v>
      </c>
    </row>
    <row r="1136" spans="1:5" x14ac:dyDescent="0.25">
      <c r="A1136" s="107" t="s">
        <v>1202</v>
      </c>
      <c r="B1136" s="107" t="s">
        <v>684</v>
      </c>
      <c r="C1136" s="107" t="s">
        <v>701</v>
      </c>
      <c r="D1136" s="107" t="s">
        <v>686</v>
      </c>
      <c r="E1136" s="108">
        <v>100</v>
      </c>
    </row>
    <row r="1137" spans="1:5" x14ac:dyDescent="0.25">
      <c r="A1137" s="107" t="s">
        <v>1202</v>
      </c>
      <c r="B1137" s="107" t="s">
        <v>684</v>
      </c>
      <c r="C1137" s="107" t="s">
        <v>722</v>
      </c>
      <c r="D1137" s="107" t="s">
        <v>686</v>
      </c>
      <c r="E1137" s="108">
        <v>800</v>
      </c>
    </row>
    <row r="1138" spans="1:5" x14ac:dyDescent="0.25">
      <c r="A1138" s="107" t="s">
        <v>1202</v>
      </c>
      <c r="B1138" s="107" t="s">
        <v>684</v>
      </c>
      <c r="C1138" s="107" t="s">
        <v>1017</v>
      </c>
      <c r="D1138" s="107" t="s">
        <v>686</v>
      </c>
      <c r="E1138" s="108">
        <v>80</v>
      </c>
    </row>
    <row r="1139" spans="1:5" x14ac:dyDescent="0.25">
      <c r="A1139" s="107" t="s">
        <v>1202</v>
      </c>
      <c r="B1139" s="107" t="s">
        <v>684</v>
      </c>
      <c r="C1139" s="107" t="s">
        <v>162</v>
      </c>
      <c r="D1139" s="107" t="s">
        <v>686</v>
      </c>
      <c r="E1139" s="108">
        <v>800</v>
      </c>
    </row>
    <row r="1140" spans="1:5" x14ac:dyDescent="0.25">
      <c r="A1140" s="107" t="s">
        <v>1202</v>
      </c>
      <c r="B1140" s="107" t="s">
        <v>684</v>
      </c>
      <c r="C1140" s="107" t="s">
        <v>104</v>
      </c>
      <c r="D1140" s="107" t="s">
        <v>686</v>
      </c>
      <c r="E1140" s="108">
        <v>200</v>
      </c>
    </row>
    <row r="1141" spans="1:5" x14ac:dyDescent="0.25">
      <c r="A1141" s="107" t="s">
        <v>1202</v>
      </c>
      <c r="B1141" s="107" t="s">
        <v>684</v>
      </c>
      <c r="C1141" s="107" t="s">
        <v>1047</v>
      </c>
      <c r="D1141" s="107" t="s">
        <v>686</v>
      </c>
      <c r="E1141" s="108">
        <v>300</v>
      </c>
    </row>
    <row r="1142" spans="1:5" x14ac:dyDescent="0.25">
      <c r="A1142" s="109" t="s">
        <v>1203</v>
      </c>
      <c r="B1142" s="111" t="s">
        <v>684</v>
      </c>
      <c r="C1142" s="109" t="s">
        <v>685</v>
      </c>
      <c r="D1142" s="111" t="s">
        <v>686</v>
      </c>
      <c r="E1142" s="110">
        <v>2849.0245122561282</v>
      </c>
    </row>
    <row r="1143" spans="1:5" x14ac:dyDescent="0.25">
      <c r="A1143" s="109" t="s">
        <v>1203</v>
      </c>
      <c r="B1143" s="111" t="s">
        <v>684</v>
      </c>
      <c r="C1143" s="109" t="s">
        <v>689</v>
      </c>
      <c r="D1143" s="111" t="s">
        <v>686</v>
      </c>
      <c r="E1143" s="110">
        <v>168.08404202101053</v>
      </c>
    </row>
    <row r="1144" spans="1:5" x14ac:dyDescent="0.25">
      <c r="A1144" s="109" t="s">
        <v>1203</v>
      </c>
      <c r="B1144" s="111" t="s">
        <v>684</v>
      </c>
      <c r="C1144" s="109" t="s">
        <v>692</v>
      </c>
      <c r="D1144" s="111" t="s">
        <v>686</v>
      </c>
      <c r="E1144" s="110">
        <v>315.15757878939473</v>
      </c>
    </row>
    <row r="1145" spans="1:5" x14ac:dyDescent="0.25">
      <c r="A1145" s="109" t="s">
        <v>1203</v>
      </c>
      <c r="B1145" s="111" t="s">
        <v>684</v>
      </c>
      <c r="C1145" s="109" t="s">
        <v>85</v>
      </c>
      <c r="D1145" s="111" t="s">
        <v>686</v>
      </c>
      <c r="E1145" s="110">
        <v>252.12606303151577</v>
      </c>
    </row>
    <row r="1146" spans="1:5" x14ac:dyDescent="0.25">
      <c r="A1146" s="109" t="s">
        <v>1203</v>
      </c>
      <c r="B1146" s="111" t="s">
        <v>684</v>
      </c>
      <c r="C1146" s="109" t="s">
        <v>696</v>
      </c>
      <c r="D1146" s="111" t="s">
        <v>686</v>
      </c>
      <c r="E1146" s="110">
        <v>21.010505252626317</v>
      </c>
    </row>
    <row r="1147" spans="1:5" x14ac:dyDescent="0.25">
      <c r="A1147" s="109" t="s">
        <v>1203</v>
      </c>
      <c r="B1147" s="111" t="s">
        <v>684</v>
      </c>
      <c r="C1147" s="109" t="s">
        <v>699</v>
      </c>
      <c r="D1147" s="111" t="s">
        <v>686</v>
      </c>
      <c r="E1147" s="110">
        <v>168.08404202101053</v>
      </c>
    </row>
    <row r="1148" spans="1:5" x14ac:dyDescent="0.25">
      <c r="A1148" s="109" t="s">
        <v>1203</v>
      </c>
      <c r="B1148" s="111" t="s">
        <v>684</v>
      </c>
      <c r="C1148" s="109" t="s">
        <v>701</v>
      </c>
      <c r="D1148" s="111" t="s">
        <v>686</v>
      </c>
      <c r="E1148" s="110">
        <v>126.06303151575788</v>
      </c>
    </row>
    <row r="1149" spans="1:5" x14ac:dyDescent="0.25">
      <c r="A1149" s="109" t="s">
        <v>1203</v>
      </c>
      <c r="B1149" s="111" t="s">
        <v>684</v>
      </c>
      <c r="C1149" s="109" t="s">
        <v>1027</v>
      </c>
      <c r="D1149" s="111" t="s">
        <v>686</v>
      </c>
      <c r="E1149" s="110">
        <v>294.1470735367684</v>
      </c>
    </row>
    <row r="1150" spans="1:5" x14ac:dyDescent="0.25">
      <c r="A1150" s="109" t="s">
        <v>1203</v>
      </c>
      <c r="B1150" s="111" t="s">
        <v>684</v>
      </c>
      <c r="C1150" s="109" t="s">
        <v>115</v>
      </c>
      <c r="D1150" s="111" t="s">
        <v>686</v>
      </c>
      <c r="E1150" s="110">
        <v>6.3031515757878944</v>
      </c>
    </row>
    <row r="1151" spans="1:5" x14ac:dyDescent="0.25">
      <c r="A1151" s="109" t="s">
        <v>1203</v>
      </c>
      <c r="B1151" s="111" t="s">
        <v>684</v>
      </c>
      <c r="C1151" s="109" t="s">
        <v>185</v>
      </c>
      <c r="D1151" s="111" t="s">
        <v>686</v>
      </c>
      <c r="E1151" s="110">
        <v>315</v>
      </c>
    </row>
    <row r="1152" spans="1:5" x14ac:dyDescent="0.25">
      <c r="A1152" s="109" t="s">
        <v>1203</v>
      </c>
      <c r="B1152" s="111" t="s">
        <v>684</v>
      </c>
      <c r="C1152" s="109" t="s">
        <v>1204</v>
      </c>
      <c r="D1152" s="111" t="s">
        <v>686</v>
      </c>
      <c r="E1152" s="110">
        <v>105</v>
      </c>
    </row>
    <row r="1153" spans="1:5" x14ac:dyDescent="0.25">
      <c r="A1153" s="109" t="s">
        <v>1203</v>
      </c>
      <c r="B1153" s="111" t="s">
        <v>684</v>
      </c>
      <c r="C1153" s="109" t="s">
        <v>1047</v>
      </c>
      <c r="D1153" s="111" t="s">
        <v>686</v>
      </c>
      <c r="E1153" s="110">
        <v>210</v>
      </c>
    </row>
    <row r="1154" spans="1:5" x14ac:dyDescent="0.25">
      <c r="A1154" s="107" t="s">
        <v>759</v>
      </c>
      <c r="B1154" s="107" t="s">
        <v>684</v>
      </c>
      <c r="C1154" s="107" t="s">
        <v>685</v>
      </c>
      <c r="D1154" s="107" t="s">
        <v>686</v>
      </c>
      <c r="E1154" s="108">
        <v>2731.7898623182841</v>
      </c>
    </row>
    <row r="1155" spans="1:5" x14ac:dyDescent="0.25">
      <c r="A1155" s="107" t="s">
        <v>759</v>
      </c>
      <c r="B1155" s="107" t="s">
        <v>684</v>
      </c>
      <c r="C1155" s="107" t="s">
        <v>689</v>
      </c>
      <c r="D1155" s="107" t="s">
        <v>686</v>
      </c>
      <c r="E1155" s="108">
        <v>307.668640873779</v>
      </c>
    </row>
    <row r="1156" spans="1:5" x14ac:dyDescent="0.25">
      <c r="A1156" s="107" t="s">
        <v>759</v>
      </c>
      <c r="B1156" s="107" t="s">
        <v>684</v>
      </c>
      <c r="C1156" s="107" t="s">
        <v>692</v>
      </c>
      <c r="D1156" s="107" t="s">
        <v>686</v>
      </c>
      <c r="E1156" s="108">
        <v>461.50296131066852</v>
      </c>
    </row>
    <row r="1157" spans="1:5" x14ac:dyDescent="0.25">
      <c r="A1157" s="107" t="s">
        <v>759</v>
      </c>
      <c r="B1157" s="107" t="s">
        <v>684</v>
      </c>
      <c r="C1157" s="107" t="s">
        <v>85</v>
      </c>
      <c r="D1157" s="107" t="s">
        <v>686</v>
      </c>
      <c r="E1157" s="108">
        <v>115.37574032766713</v>
      </c>
    </row>
    <row r="1158" spans="1:5" x14ac:dyDescent="0.25">
      <c r="A1158" s="107" t="s">
        <v>759</v>
      </c>
      <c r="B1158" s="107" t="s">
        <v>684</v>
      </c>
      <c r="C1158" s="107" t="s">
        <v>696</v>
      </c>
      <c r="D1158" s="107" t="s">
        <v>686</v>
      </c>
      <c r="E1158" s="108">
        <v>19.229290054611187</v>
      </c>
    </row>
    <row r="1159" spans="1:5" x14ac:dyDescent="0.25">
      <c r="A1159" s="107" t="s">
        <v>759</v>
      </c>
      <c r="B1159" s="107" t="s">
        <v>684</v>
      </c>
      <c r="C1159" s="107" t="s">
        <v>699</v>
      </c>
      <c r="D1159" s="107" t="s">
        <v>686</v>
      </c>
      <c r="E1159" s="108">
        <v>173.06361049150073</v>
      </c>
    </row>
    <row r="1160" spans="1:5" x14ac:dyDescent="0.25">
      <c r="A1160" s="107" t="s">
        <v>759</v>
      </c>
      <c r="B1160" s="107" t="s">
        <v>684</v>
      </c>
      <c r="C1160" s="107" t="s">
        <v>701</v>
      </c>
      <c r="D1160" s="107" t="s">
        <v>686</v>
      </c>
      <c r="E1160" s="108">
        <v>115.37574032766713</v>
      </c>
    </row>
    <row r="1161" spans="1:5" x14ac:dyDescent="0.25">
      <c r="A1161" s="107" t="s">
        <v>759</v>
      </c>
      <c r="B1161" s="107" t="s">
        <v>684</v>
      </c>
      <c r="C1161" s="107" t="s">
        <v>1156</v>
      </c>
      <c r="D1161" s="107" t="s">
        <v>686</v>
      </c>
      <c r="E1161" s="108">
        <v>75.994154295823421</v>
      </c>
    </row>
    <row r="1162" spans="1:5" x14ac:dyDescent="0.25">
      <c r="A1162" s="107" t="s">
        <v>759</v>
      </c>
      <c r="B1162" s="107" t="s">
        <v>684</v>
      </c>
      <c r="C1162" s="107" t="s">
        <v>1205</v>
      </c>
      <c r="D1162" s="107" t="s">
        <v>686</v>
      </c>
      <c r="E1162" s="108">
        <v>400</v>
      </c>
    </row>
    <row r="1163" spans="1:5" x14ac:dyDescent="0.25">
      <c r="A1163" s="109" t="s">
        <v>1206</v>
      </c>
      <c r="B1163" s="111" t="s">
        <v>684</v>
      </c>
      <c r="C1163" s="109" t="s">
        <v>685</v>
      </c>
      <c r="D1163" s="111" t="s">
        <v>686</v>
      </c>
      <c r="E1163" s="110">
        <v>3010</v>
      </c>
    </row>
    <row r="1164" spans="1:5" x14ac:dyDescent="0.25">
      <c r="A1164" s="109" t="s">
        <v>1206</v>
      </c>
      <c r="B1164" s="111" t="s">
        <v>684</v>
      </c>
      <c r="C1164" s="109" t="s">
        <v>689</v>
      </c>
      <c r="D1164" s="111" t="s">
        <v>686</v>
      </c>
      <c r="E1164" s="110">
        <v>86</v>
      </c>
    </row>
    <row r="1165" spans="1:5" x14ac:dyDescent="0.25">
      <c r="A1165" s="109" t="s">
        <v>1206</v>
      </c>
      <c r="B1165" s="111" t="s">
        <v>684</v>
      </c>
      <c r="C1165" s="109" t="s">
        <v>692</v>
      </c>
      <c r="D1165" s="111" t="s">
        <v>686</v>
      </c>
      <c r="E1165" s="110">
        <v>344</v>
      </c>
    </row>
    <row r="1166" spans="1:5" x14ac:dyDescent="0.25">
      <c r="A1166" s="109" t="s">
        <v>1206</v>
      </c>
      <c r="B1166" s="111" t="s">
        <v>684</v>
      </c>
      <c r="C1166" s="109" t="s">
        <v>85</v>
      </c>
      <c r="D1166" s="111" t="s">
        <v>686</v>
      </c>
      <c r="E1166" s="110">
        <v>365.5</v>
      </c>
    </row>
    <row r="1167" spans="1:5" x14ac:dyDescent="0.25">
      <c r="A1167" s="109" t="s">
        <v>1206</v>
      </c>
      <c r="B1167" s="111" t="s">
        <v>684</v>
      </c>
      <c r="C1167" s="109" t="s">
        <v>696</v>
      </c>
      <c r="D1167" s="111" t="s">
        <v>686</v>
      </c>
      <c r="E1167" s="110">
        <v>21.5</v>
      </c>
    </row>
    <row r="1168" spans="1:5" x14ac:dyDescent="0.25">
      <c r="A1168" s="109" t="s">
        <v>1206</v>
      </c>
      <c r="B1168" s="111" t="s">
        <v>684</v>
      </c>
      <c r="C1168" s="109" t="s">
        <v>699</v>
      </c>
      <c r="D1168" s="111" t="s">
        <v>686</v>
      </c>
      <c r="E1168" s="110">
        <v>150.5</v>
      </c>
    </row>
    <row r="1169" spans="1:5" x14ac:dyDescent="0.25">
      <c r="A1169" s="109" t="s">
        <v>1206</v>
      </c>
      <c r="B1169" s="111" t="s">
        <v>684</v>
      </c>
      <c r="C1169" s="109" t="s">
        <v>701</v>
      </c>
      <c r="D1169" s="111" t="s">
        <v>686</v>
      </c>
      <c r="E1169" s="110">
        <v>107.5</v>
      </c>
    </row>
    <row r="1170" spans="1:5" x14ac:dyDescent="0.25">
      <c r="A1170" s="109" t="s">
        <v>1206</v>
      </c>
      <c r="B1170" s="111" t="s">
        <v>684</v>
      </c>
      <c r="C1170" s="109" t="s">
        <v>1017</v>
      </c>
      <c r="D1170" s="111" t="s">
        <v>686</v>
      </c>
      <c r="E1170" s="110">
        <v>215</v>
      </c>
    </row>
    <row r="1171" spans="1:5" x14ac:dyDescent="0.25">
      <c r="A1171" s="107" t="s">
        <v>183</v>
      </c>
      <c r="B1171" s="107" t="s">
        <v>684</v>
      </c>
      <c r="C1171" s="107" t="s">
        <v>685</v>
      </c>
      <c r="D1171" s="107" t="s">
        <v>686</v>
      </c>
      <c r="E1171" s="108">
        <v>2926.3157894736842</v>
      </c>
    </row>
    <row r="1172" spans="1:5" x14ac:dyDescent="0.25">
      <c r="A1172" s="107" t="s">
        <v>183</v>
      </c>
      <c r="B1172" s="107" t="s">
        <v>684</v>
      </c>
      <c r="C1172" s="107" t="s">
        <v>689</v>
      </c>
      <c r="D1172" s="107" t="s">
        <v>686</v>
      </c>
      <c r="E1172" s="108">
        <v>42.105263157894733</v>
      </c>
    </row>
    <row r="1173" spans="1:5" x14ac:dyDescent="0.25">
      <c r="A1173" s="107" t="s">
        <v>183</v>
      </c>
      <c r="B1173" s="107" t="s">
        <v>684</v>
      </c>
      <c r="C1173" s="107" t="s">
        <v>692</v>
      </c>
      <c r="D1173" s="107" t="s">
        <v>686</v>
      </c>
      <c r="E1173" s="108">
        <v>336.84210526315786</v>
      </c>
    </row>
    <row r="1174" spans="1:5" x14ac:dyDescent="0.25">
      <c r="A1174" s="107" t="s">
        <v>183</v>
      </c>
      <c r="B1174" s="107" t="s">
        <v>684</v>
      </c>
      <c r="C1174" s="107" t="s">
        <v>85</v>
      </c>
      <c r="D1174" s="107" t="s">
        <v>686</v>
      </c>
      <c r="E1174" s="108">
        <v>210.52631578947367</v>
      </c>
    </row>
    <row r="1175" spans="1:5" x14ac:dyDescent="0.25">
      <c r="A1175" s="107" t="s">
        <v>183</v>
      </c>
      <c r="B1175" s="107" t="s">
        <v>684</v>
      </c>
      <c r="C1175" s="107" t="s">
        <v>696</v>
      </c>
      <c r="D1175" s="107" t="s">
        <v>686</v>
      </c>
      <c r="E1175" s="108">
        <v>21.052631578947366</v>
      </c>
    </row>
    <row r="1176" spans="1:5" x14ac:dyDescent="0.25">
      <c r="A1176" s="107" t="s">
        <v>183</v>
      </c>
      <c r="B1176" s="107" t="s">
        <v>684</v>
      </c>
      <c r="C1176" s="107" t="s">
        <v>699</v>
      </c>
      <c r="D1176" s="107" t="s">
        <v>686</v>
      </c>
      <c r="E1176" s="108">
        <v>126.31578947368421</v>
      </c>
    </row>
    <row r="1177" spans="1:5" x14ac:dyDescent="0.25">
      <c r="A1177" s="107" t="s">
        <v>183</v>
      </c>
      <c r="B1177" s="107" t="s">
        <v>684</v>
      </c>
      <c r="C1177" s="107" t="s">
        <v>701</v>
      </c>
      <c r="D1177" s="107" t="s">
        <v>686</v>
      </c>
      <c r="E1177" s="108">
        <v>126.31578947368421</v>
      </c>
    </row>
    <row r="1178" spans="1:5" x14ac:dyDescent="0.25">
      <c r="A1178" s="107" t="s">
        <v>183</v>
      </c>
      <c r="B1178" s="107" t="s">
        <v>684</v>
      </c>
      <c r="C1178" s="107" t="s">
        <v>1030</v>
      </c>
      <c r="D1178" s="107" t="s">
        <v>686</v>
      </c>
      <c r="E1178" s="108">
        <v>210.52631578947367</v>
      </c>
    </row>
    <row r="1179" spans="1:5" x14ac:dyDescent="0.25">
      <c r="A1179" s="107" t="s">
        <v>183</v>
      </c>
      <c r="B1179" s="107" t="s">
        <v>684</v>
      </c>
      <c r="C1179" s="107" t="s">
        <v>716</v>
      </c>
      <c r="D1179" s="107" t="s">
        <v>686</v>
      </c>
      <c r="E1179" s="108">
        <v>320</v>
      </c>
    </row>
    <row r="1180" spans="1:5" x14ac:dyDescent="0.25">
      <c r="A1180" s="107" t="s">
        <v>183</v>
      </c>
      <c r="B1180" s="107" t="s">
        <v>684</v>
      </c>
      <c r="C1180" s="107" t="s">
        <v>183</v>
      </c>
      <c r="D1180" s="107" t="s">
        <v>686</v>
      </c>
      <c r="E1180" s="108">
        <v>500</v>
      </c>
    </row>
    <row r="1181" spans="1:5" x14ac:dyDescent="0.25">
      <c r="A1181" s="109" t="s">
        <v>1207</v>
      </c>
      <c r="B1181" s="111" t="s">
        <v>684</v>
      </c>
      <c r="C1181" s="109" t="s">
        <v>685</v>
      </c>
      <c r="D1181" s="111" t="s">
        <v>686</v>
      </c>
      <c r="E1181" s="110">
        <v>1990.6542056074766</v>
      </c>
    </row>
    <row r="1182" spans="1:5" x14ac:dyDescent="0.25">
      <c r="A1182" s="109" t="s">
        <v>1207</v>
      </c>
      <c r="B1182" s="111" t="s">
        <v>684</v>
      </c>
      <c r="C1182" s="109" t="s">
        <v>689</v>
      </c>
      <c r="D1182" s="111" t="s">
        <v>686</v>
      </c>
      <c r="E1182" s="110">
        <v>224.29906542056074</v>
      </c>
    </row>
    <row r="1183" spans="1:5" x14ac:dyDescent="0.25">
      <c r="A1183" s="109" t="s">
        <v>1207</v>
      </c>
      <c r="B1183" s="111" t="s">
        <v>684</v>
      </c>
      <c r="C1183" s="109" t="s">
        <v>692</v>
      </c>
      <c r="D1183" s="111" t="s">
        <v>686</v>
      </c>
      <c r="E1183" s="110">
        <v>336.44859813084111</v>
      </c>
    </row>
    <row r="1184" spans="1:5" x14ac:dyDescent="0.25">
      <c r="A1184" s="109" t="s">
        <v>1207</v>
      </c>
      <c r="B1184" s="111" t="s">
        <v>684</v>
      </c>
      <c r="C1184" s="109" t="s">
        <v>85</v>
      </c>
      <c r="D1184" s="111" t="s">
        <v>686</v>
      </c>
      <c r="E1184" s="110">
        <v>28.037383177570092</v>
      </c>
    </row>
    <row r="1185" spans="1:5" x14ac:dyDescent="0.25">
      <c r="A1185" s="109" t="s">
        <v>1207</v>
      </c>
      <c r="B1185" s="111" t="s">
        <v>684</v>
      </c>
      <c r="C1185" s="109" t="s">
        <v>696</v>
      </c>
      <c r="D1185" s="111" t="s">
        <v>686</v>
      </c>
      <c r="E1185" s="110">
        <v>14.018691588785046</v>
      </c>
    </row>
    <row r="1186" spans="1:5" x14ac:dyDescent="0.25">
      <c r="A1186" s="109" t="s">
        <v>1207</v>
      </c>
      <c r="B1186" s="111" t="s">
        <v>684</v>
      </c>
      <c r="C1186" s="109" t="s">
        <v>699</v>
      </c>
      <c r="D1186" s="111" t="s">
        <v>686</v>
      </c>
      <c r="E1186" s="110">
        <v>126.16822429906541</v>
      </c>
    </row>
    <row r="1187" spans="1:5" x14ac:dyDescent="0.25">
      <c r="A1187" s="109" t="s">
        <v>1207</v>
      </c>
      <c r="B1187" s="111" t="s">
        <v>684</v>
      </c>
      <c r="C1187" s="109" t="s">
        <v>701</v>
      </c>
      <c r="D1187" s="111" t="s">
        <v>686</v>
      </c>
      <c r="E1187" s="110">
        <v>84.112149532710276</v>
      </c>
    </row>
    <row r="1188" spans="1:5" x14ac:dyDescent="0.25">
      <c r="A1188" s="109" t="s">
        <v>1207</v>
      </c>
      <c r="B1188" s="111" t="s">
        <v>684</v>
      </c>
      <c r="C1188" s="109" t="s">
        <v>1208</v>
      </c>
      <c r="D1188" s="111" t="s">
        <v>686</v>
      </c>
      <c r="E1188" s="110">
        <v>196.26168224299064</v>
      </c>
    </row>
    <row r="1189" spans="1:5" x14ac:dyDescent="0.25">
      <c r="A1189" s="109" t="s">
        <v>1207</v>
      </c>
      <c r="B1189" s="111" t="s">
        <v>684</v>
      </c>
      <c r="C1189" s="109" t="s">
        <v>1208</v>
      </c>
      <c r="D1189" s="111" t="s">
        <v>686</v>
      </c>
      <c r="E1189" s="110">
        <v>225</v>
      </c>
    </row>
    <row r="1190" spans="1:5" x14ac:dyDescent="0.25">
      <c r="A1190" s="107" t="s">
        <v>1209</v>
      </c>
      <c r="B1190" s="107" t="s">
        <v>684</v>
      </c>
      <c r="C1190" s="107" t="s">
        <v>685</v>
      </c>
      <c r="D1190" s="107" t="s">
        <v>686</v>
      </c>
      <c r="E1190" s="108">
        <v>5216</v>
      </c>
    </row>
    <row r="1191" spans="1:5" x14ac:dyDescent="0.25">
      <c r="A1191" s="107" t="s">
        <v>1209</v>
      </c>
      <c r="B1191" s="107" t="s">
        <v>684</v>
      </c>
      <c r="C1191" s="107" t="s">
        <v>689</v>
      </c>
      <c r="D1191" s="107" t="s">
        <v>686</v>
      </c>
      <c r="E1191" s="108">
        <v>320</v>
      </c>
    </row>
    <row r="1192" spans="1:5" x14ac:dyDescent="0.25">
      <c r="A1192" s="107" t="s">
        <v>1209</v>
      </c>
      <c r="B1192" s="107" t="s">
        <v>684</v>
      </c>
      <c r="C1192" s="107" t="s">
        <v>692</v>
      </c>
      <c r="D1192" s="107" t="s">
        <v>686</v>
      </c>
      <c r="E1192" s="108">
        <v>80</v>
      </c>
    </row>
    <row r="1193" spans="1:5" x14ac:dyDescent="0.25">
      <c r="A1193" s="107" t="s">
        <v>1209</v>
      </c>
      <c r="B1193" s="107" t="s">
        <v>684</v>
      </c>
      <c r="C1193" s="107" t="s">
        <v>85</v>
      </c>
      <c r="D1193" s="107" t="s">
        <v>686</v>
      </c>
      <c r="E1193" s="108">
        <v>1240</v>
      </c>
    </row>
    <row r="1194" spans="1:5" x14ac:dyDescent="0.25">
      <c r="A1194" s="107" t="s">
        <v>1209</v>
      </c>
      <c r="B1194" s="107" t="s">
        <v>684</v>
      </c>
      <c r="C1194" s="107" t="s">
        <v>696</v>
      </c>
      <c r="D1194" s="107" t="s">
        <v>686</v>
      </c>
      <c r="E1194" s="108">
        <v>40</v>
      </c>
    </row>
    <row r="1195" spans="1:5" x14ac:dyDescent="0.25">
      <c r="A1195" s="107" t="s">
        <v>1209</v>
      </c>
      <c r="B1195" s="107" t="s">
        <v>684</v>
      </c>
      <c r="C1195" s="107" t="s">
        <v>699</v>
      </c>
      <c r="D1195" s="107" t="s">
        <v>686</v>
      </c>
      <c r="E1195" s="108">
        <v>360</v>
      </c>
    </row>
    <row r="1196" spans="1:5" x14ac:dyDescent="0.25">
      <c r="A1196" s="107" t="s">
        <v>1209</v>
      </c>
      <c r="B1196" s="107" t="s">
        <v>684</v>
      </c>
      <c r="C1196" s="107" t="s">
        <v>701</v>
      </c>
      <c r="D1196" s="107" t="s">
        <v>686</v>
      </c>
      <c r="E1196" s="108">
        <v>144</v>
      </c>
    </row>
    <row r="1197" spans="1:5" x14ac:dyDescent="0.25">
      <c r="A1197" s="107" t="s">
        <v>1209</v>
      </c>
      <c r="B1197" s="107" t="s">
        <v>684</v>
      </c>
      <c r="C1197" s="107" t="s">
        <v>1210</v>
      </c>
      <c r="D1197" s="107" t="s">
        <v>686</v>
      </c>
      <c r="E1197" s="108">
        <v>600</v>
      </c>
    </row>
    <row r="1198" spans="1:5" x14ac:dyDescent="0.25">
      <c r="A1198" s="107" t="s">
        <v>1209</v>
      </c>
      <c r="B1198" s="107" t="s">
        <v>684</v>
      </c>
      <c r="C1198" s="107" t="s">
        <v>1082</v>
      </c>
      <c r="D1198" s="107" t="s">
        <v>686</v>
      </c>
      <c r="E1198" s="108">
        <v>640</v>
      </c>
    </row>
    <row r="1199" spans="1:5" x14ac:dyDescent="0.25">
      <c r="A1199" s="107" t="s">
        <v>1209</v>
      </c>
      <c r="B1199" s="107" t="s">
        <v>684</v>
      </c>
      <c r="C1199" s="107" t="s">
        <v>1026</v>
      </c>
      <c r="D1199" s="107" t="s">
        <v>686</v>
      </c>
      <c r="E1199" s="108">
        <v>640</v>
      </c>
    </row>
    <row r="1200" spans="1:5" x14ac:dyDescent="0.25">
      <c r="A1200" s="109" t="s">
        <v>928</v>
      </c>
      <c r="B1200" s="111" t="s">
        <v>684</v>
      </c>
      <c r="C1200" s="109" t="s">
        <v>685</v>
      </c>
      <c r="D1200" s="111" t="s">
        <v>686</v>
      </c>
      <c r="E1200" s="110">
        <v>1926.605504587156</v>
      </c>
    </row>
    <row r="1201" spans="1:5" x14ac:dyDescent="0.25">
      <c r="A1201" s="109" t="s">
        <v>928</v>
      </c>
      <c r="B1201" s="111" t="s">
        <v>684</v>
      </c>
      <c r="C1201" s="109" t="s">
        <v>689</v>
      </c>
      <c r="D1201" s="111" t="s">
        <v>686</v>
      </c>
      <c r="E1201" s="110">
        <v>205.50458715596332</v>
      </c>
    </row>
    <row r="1202" spans="1:5" x14ac:dyDescent="0.25">
      <c r="A1202" s="109" t="s">
        <v>928</v>
      </c>
      <c r="B1202" s="111" t="s">
        <v>684</v>
      </c>
      <c r="C1202" s="109" t="s">
        <v>692</v>
      </c>
      <c r="D1202" s="111" t="s">
        <v>686</v>
      </c>
      <c r="E1202" s="110">
        <v>231.19266055045873</v>
      </c>
    </row>
    <row r="1203" spans="1:5" x14ac:dyDescent="0.25">
      <c r="A1203" s="109" t="s">
        <v>928</v>
      </c>
      <c r="B1203" s="111" t="s">
        <v>684</v>
      </c>
      <c r="C1203" s="109" t="s">
        <v>85</v>
      </c>
      <c r="D1203" s="111" t="s">
        <v>686</v>
      </c>
      <c r="E1203" s="110">
        <v>0</v>
      </c>
    </row>
    <row r="1204" spans="1:5" x14ac:dyDescent="0.25">
      <c r="A1204" s="109" t="s">
        <v>928</v>
      </c>
      <c r="B1204" s="111" t="s">
        <v>684</v>
      </c>
      <c r="C1204" s="109" t="s">
        <v>696</v>
      </c>
      <c r="D1204" s="111" t="s">
        <v>686</v>
      </c>
      <c r="E1204" s="110">
        <v>12.844036697247708</v>
      </c>
    </row>
    <row r="1205" spans="1:5" x14ac:dyDescent="0.25">
      <c r="A1205" s="109" t="s">
        <v>928</v>
      </c>
      <c r="B1205" s="111" t="s">
        <v>684</v>
      </c>
      <c r="C1205" s="109" t="s">
        <v>699</v>
      </c>
      <c r="D1205" s="111" t="s">
        <v>686</v>
      </c>
      <c r="E1205" s="110">
        <v>115.59633027522936</v>
      </c>
    </row>
    <row r="1206" spans="1:5" x14ac:dyDescent="0.25">
      <c r="A1206" s="109" t="s">
        <v>928</v>
      </c>
      <c r="B1206" s="111" t="s">
        <v>684</v>
      </c>
      <c r="C1206" s="109" t="s">
        <v>701</v>
      </c>
      <c r="D1206" s="111" t="s">
        <v>686</v>
      </c>
      <c r="E1206" s="110">
        <v>77.064220183486242</v>
      </c>
    </row>
    <row r="1207" spans="1:5" x14ac:dyDescent="0.25">
      <c r="A1207" s="109" t="s">
        <v>928</v>
      </c>
      <c r="B1207" s="111" t="s">
        <v>684</v>
      </c>
      <c r="C1207" s="109" t="s">
        <v>1167</v>
      </c>
      <c r="D1207" s="111" t="s">
        <v>686</v>
      </c>
      <c r="E1207" s="110">
        <v>231.19266055045873</v>
      </c>
    </row>
    <row r="1208" spans="1:5" x14ac:dyDescent="0.25">
      <c r="A1208" s="109" t="s">
        <v>928</v>
      </c>
      <c r="B1208" s="111" t="s">
        <v>684</v>
      </c>
      <c r="C1208" s="109" t="s">
        <v>716</v>
      </c>
      <c r="D1208" s="111" t="s">
        <v>686</v>
      </c>
      <c r="E1208" s="110">
        <v>210</v>
      </c>
    </row>
    <row r="1209" spans="1:5" x14ac:dyDescent="0.25">
      <c r="A1209" s="107" t="s">
        <v>942</v>
      </c>
      <c r="B1209" s="107" t="s">
        <v>684</v>
      </c>
      <c r="C1209" s="107" t="s">
        <v>685</v>
      </c>
      <c r="D1209" s="107" t="s">
        <v>686</v>
      </c>
      <c r="E1209" s="108">
        <v>2587.3873873873872</v>
      </c>
    </row>
    <row r="1210" spans="1:5" x14ac:dyDescent="0.25">
      <c r="A1210" s="107" t="s">
        <v>942</v>
      </c>
      <c r="B1210" s="107" t="s">
        <v>684</v>
      </c>
      <c r="C1210" s="107" t="s">
        <v>689</v>
      </c>
      <c r="D1210" s="107" t="s">
        <v>686</v>
      </c>
      <c r="E1210" s="108">
        <v>295.4954954954955</v>
      </c>
    </row>
    <row r="1211" spans="1:5" x14ac:dyDescent="0.25">
      <c r="A1211" s="107" t="s">
        <v>942</v>
      </c>
      <c r="B1211" s="107" t="s">
        <v>684</v>
      </c>
      <c r="C1211" s="107" t="s">
        <v>692</v>
      </c>
      <c r="D1211" s="107" t="s">
        <v>686</v>
      </c>
      <c r="E1211" s="108">
        <v>414.41441441441441</v>
      </c>
    </row>
    <row r="1212" spans="1:5" x14ac:dyDescent="0.25">
      <c r="A1212" s="107" t="s">
        <v>942</v>
      </c>
      <c r="B1212" s="107" t="s">
        <v>684</v>
      </c>
      <c r="C1212" s="107" t="s">
        <v>85</v>
      </c>
      <c r="D1212" s="107" t="s">
        <v>686</v>
      </c>
      <c r="E1212" s="108">
        <v>108.10810810810811</v>
      </c>
    </row>
    <row r="1213" spans="1:5" x14ac:dyDescent="0.25">
      <c r="A1213" s="107" t="s">
        <v>942</v>
      </c>
      <c r="B1213" s="107" t="s">
        <v>684</v>
      </c>
      <c r="C1213" s="107" t="s">
        <v>696</v>
      </c>
      <c r="D1213" s="107" t="s">
        <v>686</v>
      </c>
      <c r="E1213" s="108">
        <v>18.018018018018019</v>
      </c>
    </row>
    <row r="1214" spans="1:5" x14ac:dyDescent="0.25">
      <c r="A1214" s="107" t="s">
        <v>942</v>
      </c>
      <c r="B1214" s="107" t="s">
        <v>684</v>
      </c>
      <c r="C1214" s="107" t="s">
        <v>699</v>
      </c>
      <c r="D1214" s="107" t="s">
        <v>686</v>
      </c>
      <c r="E1214" s="108">
        <v>180.18018018018017</v>
      </c>
    </row>
    <row r="1215" spans="1:5" x14ac:dyDescent="0.25">
      <c r="A1215" s="107" t="s">
        <v>942</v>
      </c>
      <c r="B1215" s="107" t="s">
        <v>684</v>
      </c>
      <c r="C1215" s="107" t="s">
        <v>701</v>
      </c>
      <c r="D1215" s="107" t="s">
        <v>686</v>
      </c>
      <c r="E1215" s="108">
        <v>108.10810810810811</v>
      </c>
    </row>
    <row r="1216" spans="1:5" x14ac:dyDescent="0.25">
      <c r="A1216" s="107" t="s">
        <v>942</v>
      </c>
      <c r="B1216" s="107" t="s">
        <v>684</v>
      </c>
      <c r="C1216" s="107" t="s">
        <v>1211</v>
      </c>
      <c r="D1216" s="107" t="s">
        <v>686</v>
      </c>
      <c r="E1216" s="108">
        <v>288.2882882882883</v>
      </c>
    </row>
    <row r="1217" spans="1:5" x14ac:dyDescent="0.25">
      <c r="A1217" s="109" t="s">
        <v>1212</v>
      </c>
      <c r="B1217" s="111" t="s">
        <v>684</v>
      </c>
      <c r="C1217" s="109" t="s">
        <v>685</v>
      </c>
      <c r="D1217" s="111" t="s">
        <v>686</v>
      </c>
      <c r="E1217" s="110">
        <v>2679.6116504854367</v>
      </c>
    </row>
    <row r="1218" spans="1:5" x14ac:dyDescent="0.25">
      <c r="A1218" s="109" t="s">
        <v>1212</v>
      </c>
      <c r="B1218" s="111" t="s">
        <v>684</v>
      </c>
      <c r="C1218" s="109" t="s">
        <v>689</v>
      </c>
      <c r="D1218" s="111" t="s">
        <v>686</v>
      </c>
      <c r="E1218" s="110">
        <v>310.67961165048541</v>
      </c>
    </row>
    <row r="1219" spans="1:5" x14ac:dyDescent="0.25">
      <c r="A1219" s="109" t="s">
        <v>1212</v>
      </c>
      <c r="B1219" s="111" t="s">
        <v>684</v>
      </c>
      <c r="C1219" s="109" t="s">
        <v>692</v>
      </c>
      <c r="D1219" s="111" t="s">
        <v>686</v>
      </c>
      <c r="E1219" s="110">
        <v>466.01941747572818</v>
      </c>
    </row>
    <row r="1220" spans="1:5" x14ac:dyDescent="0.25">
      <c r="A1220" s="109" t="s">
        <v>1212</v>
      </c>
      <c r="B1220" s="111" t="s">
        <v>684</v>
      </c>
      <c r="C1220" s="109" t="s">
        <v>85</v>
      </c>
      <c r="D1220" s="111" t="s">
        <v>686</v>
      </c>
      <c r="E1220" s="110">
        <v>116.50485436893204</v>
      </c>
    </row>
    <row r="1221" spans="1:5" x14ac:dyDescent="0.25">
      <c r="A1221" s="109" t="s">
        <v>1212</v>
      </c>
      <c r="B1221" s="111" t="s">
        <v>684</v>
      </c>
      <c r="C1221" s="109" t="s">
        <v>696</v>
      </c>
      <c r="D1221" s="111" t="s">
        <v>686</v>
      </c>
      <c r="E1221" s="110">
        <v>19.417475728155338</v>
      </c>
    </row>
    <row r="1222" spans="1:5" x14ac:dyDescent="0.25">
      <c r="A1222" s="109" t="s">
        <v>1212</v>
      </c>
      <c r="B1222" s="111" t="s">
        <v>684</v>
      </c>
      <c r="C1222" s="109" t="s">
        <v>699</v>
      </c>
      <c r="D1222" s="111" t="s">
        <v>686</v>
      </c>
      <c r="E1222" s="110">
        <v>174.75728155339806</v>
      </c>
    </row>
    <row r="1223" spans="1:5" x14ac:dyDescent="0.25">
      <c r="A1223" s="109" t="s">
        <v>1212</v>
      </c>
      <c r="B1223" s="111" t="s">
        <v>684</v>
      </c>
      <c r="C1223" s="109" t="s">
        <v>701</v>
      </c>
      <c r="D1223" s="111" t="s">
        <v>686</v>
      </c>
      <c r="E1223" s="110">
        <v>116.50485436893204</v>
      </c>
    </row>
    <row r="1224" spans="1:5" x14ac:dyDescent="0.25">
      <c r="A1224" s="109" t="s">
        <v>1212</v>
      </c>
      <c r="B1224" s="111" t="s">
        <v>684</v>
      </c>
      <c r="C1224" s="109" t="s">
        <v>1173</v>
      </c>
      <c r="D1224" s="111" t="s">
        <v>686</v>
      </c>
      <c r="E1224" s="110">
        <v>116.50485436893204</v>
      </c>
    </row>
    <row r="1225" spans="1:5" x14ac:dyDescent="0.25">
      <c r="A1225" s="109" t="s">
        <v>1212</v>
      </c>
      <c r="B1225" s="111" t="s">
        <v>684</v>
      </c>
      <c r="C1225" s="109" t="s">
        <v>1213</v>
      </c>
      <c r="D1225" s="111" t="s">
        <v>686</v>
      </c>
      <c r="E1225" s="110">
        <v>300</v>
      </c>
    </row>
    <row r="1226" spans="1:5" x14ac:dyDescent="0.25">
      <c r="A1226" s="107" t="s">
        <v>1214</v>
      </c>
      <c r="B1226" s="107" t="s">
        <v>684</v>
      </c>
      <c r="C1226" s="107" t="s">
        <v>685</v>
      </c>
      <c r="D1226" s="107" t="s">
        <v>686</v>
      </c>
      <c r="E1226" s="108">
        <v>2895.238095238095</v>
      </c>
    </row>
    <row r="1227" spans="1:5" x14ac:dyDescent="0.25">
      <c r="A1227" s="107" t="s">
        <v>1214</v>
      </c>
      <c r="B1227" s="107" t="s">
        <v>684</v>
      </c>
      <c r="C1227" s="107" t="s">
        <v>689</v>
      </c>
      <c r="D1227" s="107" t="s">
        <v>686</v>
      </c>
      <c r="E1227" s="108">
        <v>266.66666666666663</v>
      </c>
    </row>
    <row r="1228" spans="1:5" x14ac:dyDescent="0.25">
      <c r="A1228" s="107" t="s">
        <v>1214</v>
      </c>
      <c r="B1228" s="107" t="s">
        <v>684</v>
      </c>
      <c r="C1228" s="107" t="s">
        <v>692</v>
      </c>
      <c r="D1228" s="107" t="s">
        <v>686</v>
      </c>
      <c r="E1228" s="108">
        <v>266.66666666666663</v>
      </c>
    </row>
    <row r="1229" spans="1:5" x14ac:dyDescent="0.25">
      <c r="A1229" s="107" t="s">
        <v>1214</v>
      </c>
      <c r="B1229" s="107" t="s">
        <v>684</v>
      </c>
      <c r="C1229" s="107" t="s">
        <v>85</v>
      </c>
      <c r="D1229" s="107" t="s">
        <v>686</v>
      </c>
      <c r="E1229" s="108">
        <v>76.19047619047619</v>
      </c>
    </row>
    <row r="1230" spans="1:5" x14ac:dyDescent="0.25">
      <c r="A1230" s="107" t="s">
        <v>1214</v>
      </c>
      <c r="B1230" s="107" t="s">
        <v>684</v>
      </c>
      <c r="C1230" s="107" t="s">
        <v>696</v>
      </c>
      <c r="D1230" s="107" t="s">
        <v>686</v>
      </c>
      <c r="E1230" s="108">
        <v>19.047619047619047</v>
      </c>
    </row>
    <row r="1231" spans="1:5" x14ac:dyDescent="0.25">
      <c r="A1231" s="107" t="s">
        <v>1214</v>
      </c>
      <c r="B1231" s="107" t="s">
        <v>684</v>
      </c>
      <c r="C1231" s="107" t="s">
        <v>699</v>
      </c>
      <c r="D1231" s="107" t="s">
        <v>686</v>
      </c>
      <c r="E1231" s="108">
        <v>171.42857142857142</v>
      </c>
    </row>
    <row r="1232" spans="1:5" x14ac:dyDescent="0.25">
      <c r="A1232" s="107" t="s">
        <v>1214</v>
      </c>
      <c r="B1232" s="107" t="s">
        <v>684</v>
      </c>
      <c r="C1232" s="107" t="s">
        <v>701</v>
      </c>
      <c r="D1232" s="107" t="s">
        <v>686</v>
      </c>
      <c r="E1232" s="108">
        <v>114.28571428571428</v>
      </c>
    </row>
    <row r="1233" spans="1:5" x14ac:dyDescent="0.25">
      <c r="A1233" s="107" t="s">
        <v>1214</v>
      </c>
      <c r="B1233" s="107" t="s">
        <v>684</v>
      </c>
      <c r="C1233" s="107" t="s">
        <v>1215</v>
      </c>
      <c r="D1233" s="107" t="s">
        <v>686</v>
      </c>
      <c r="E1233" s="108">
        <v>190.47619047619045</v>
      </c>
    </row>
    <row r="1234" spans="1:5" x14ac:dyDescent="0.25">
      <c r="A1234" s="109" t="s">
        <v>1216</v>
      </c>
      <c r="B1234" s="111" t="s">
        <v>684</v>
      </c>
      <c r="C1234" s="109" t="s">
        <v>685</v>
      </c>
      <c r="D1234" s="111" t="s">
        <v>686</v>
      </c>
      <c r="E1234" s="110">
        <v>2520</v>
      </c>
    </row>
    <row r="1235" spans="1:5" x14ac:dyDescent="0.25">
      <c r="A1235" s="109" t="s">
        <v>1216</v>
      </c>
      <c r="B1235" s="111" t="s">
        <v>684</v>
      </c>
      <c r="C1235" s="109" t="s">
        <v>689</v>
      </c>
      <c r="D1235" s="111" t="s">
        <v>686</v>
      </c>
      <c r="E1235" s="110">
        <v>240</v>
      </c>
    </row>
    <row r="1236" spans="1:5" x14ac:dyDescent="0.25">
      <c r="A1236" s="109" t="s">
        <v>1216</v>
      </c>
      <c r="B1236" s="111" t="s">
        <v>684</v>
      </c>
      <c r="C1236" s="109" t="s">
        <v>692</v>
      </c>
      <c r="D1236" s="111" t="s">
        <v>686</v>
      </c>
      <c r="E1236" s="110">
        <v>480</v>
      </c>
    </row>
    <row r="1237" spans="1:5" x14ac:dyDescent="0.25">
      <c r="A1237" s="109" t="s">
        <v>1216</v>
      </c>
      <c r="B1237" s="111" t="s">
        <v>684</v>
      </c>
      <c r="C1237" s="109" t="s">
        <v>696</v>
      </c>
      <c r="D1237" s="111" t="s">
        <v>686</v>
      </c>
      <c r="E1237" s="110">
        <v>20</v>
      </c>
    </row>
    <row r="1238" spans="1:5" x14ac:dyDescent="0.25">
      <c r="A1238" s="109" t="s">
        <v>1216</v>
      </c>
      <c r="B1238" s="111" t="s">
        <v>684</v>
      </c>
      <c r="C1238" s="109" t="s">
        <v>699</v>
      </c>
      <c r="D1238" s="111" t="s">
        <v>686</v>
      </c>
      <c r="E1238" s="110">
        <v>180</v>
      </c>
    </row>
    <row r="1239" spans="1:5" x14ac:dyDescent="0.25">
      <c r="A1239" s="109" t="s">
        <v>1216</v>
      </c>
      <c r="B1239" s="111" t="s">
        <v>684</v>
      </c>
      <c r="C1239" s="109" t="s">
        <v>701</v>
      </c>
      <c r="D1239" s="111" t="s">
        <v>686</v>
      </c>
      <c r="E1239" s="110">
        <v>120</v>
      </c>
    </row>
    <row r="1240" spans="1:5" x14ac:dyDescent="0.25">
      <c r="A1240" s="109" t="s">
        <v>1216</v>
      </c>
      <c r="B1240" s="111" t="s">
        <v>684</v>
      </c>
      <c r="C1240" s="109" t="s">
        <v>1217</v>
      </c>
      <c r="D1240" s="111" t="s">
        <v>686</v>
      </c>
      <c r="E1240" s="110">
        <v>160</v>
      </c>
    </row>
    <row r="1241" spans="1:5" x14ac:dyDescent="0.25">
      <c r="A1241" s="109" t="s">
        <v>1216</v>
      </c>
      <c r="B1241" s="111" t="s">
        <v>684</v>
      </c>
      <c r="C1241" s="109" t="s">
        <v>1017</v>
      </c>
      <c r="D1241" s="111" t="s">
        <v>686</v>
      </c>
      <c r="E1241" s="110">
        <v>280</v>
      </c>
    </row>
    <row r="1242" spans="1:5" x14ac:dyDescent="0.25">
      <c r="A1242" s="107" t="s">
        <v>1093</v>
      </c>
      <c r="B1242" s="107" t="s">
        <v>684</v>
      </c>
      <c r="C1242" s="107" t="s">
        <v>685</v>
      </c>
      <c r="D1242" s="107" t="s">
        <v>686</v>
      </c>
      <c r="E1242" s="108">
        <v>2657.1428571428573</v>
      </c>
    </row>
    <row r="1243" spans="1:5" x14ac:dyDescent="0.25">
      <c r="A1243" s="107" t="s">
        <v>1093</v>
      </c>
      <c r="B1243" s="107" t="s">
        <v>684</v>
      </c>
      <c r="C1243" s="107" t="s">
        <v>689</v>
      </c>
      <c r="D1243" s="107" t="s">
        <v>686</v>
      </c>
      <c r="E1243" s="108">
        <v>285.71428571428572</v>
      </c>
    </row>
    <row r="1244" spans="1:5" x14ac:dyDescent="0.25">
      <c r="A1244" s="107" t="s">
        <v>1093</v>
      </c>
      <c r="B1244" s="107" t="s">
        <v>684</v>
      </c>
      <c r="C1244" s="107" t="s">
        <v>692</v>
      </c>
      <c r="D1244" s="107" t="s">
        <v>686</v>
      </c>
      <c r="E1244" s="108">
        <v>410.71428571428572</v>
      </c>
    </row>
    <row r="1245" spans="1:5" x14ac:dyDescent="0.25">
      <c r="A1245" s="107" t="s">
        <v>1093</v>
      </c>
      <c r="B1245" s="107" t="s">
        <v>684</v>
      </c>
      <c r="C1245" s="107" t="s">
        <v>696</v>
      </c>
      <c r="D1245" s="107" t="s">
        <v>686</v>
      </c>
      <c r="E1245" s="108">
        <v>17.857142857142858</v>
      </c>
    </row>
    <row r="1246" spans="1:5" x14ac:dyDescent="0.25">
      <c r="A1246" s="107" t="s">
        <v>1093</v>
      </c>
      <c r="B1246" s="107" t="s">
        <v>684</v>
      </c>
      <c r="C1246" s="107" t="s">
        <v>699</v>
      </c>
      <c r="D1246" s="107" t="s">
        <v>686</v>
      </c>
      <c r="E1246" s="108">
        <v>92.857142857142861</v>
      </c>
    </row>
    <row r="1247" spans="1:5" x14ac:dyDescent="0.25">
      <c r="A1247" s="107" t="s">
        <v>1093</v>
      </c>
      <c r="B1247" s="107" t="s">
        <v>684</v>
      </c>
      <c r="C1247" s="107" t="s">
        <v>701</v>
      </c>
      <c r="D1247" s="107" t="s">
        <v>686</v>
      </c>
      <c r="E1247" s="108">
        <v>107.14285714285715</v>
      </c>
    </row>
    <row r="1248" spans="1:5" x14ac:dyDescent="0.25">
      <c r="A1248" s="107" t="s">
        <v>1093</v>
      </c>
      <c r="B1248" s="107" t="s">
        <v>684</v>
      </c>
      <c r="C1248" s="107" t="s">
        <v>1093</v>
      </c>
      <c r="D1248" s="107" t="s">
        <v>686</v>
      </c>
      <c r="E1248" s="108">
        <v>428.57142857142861</v>
      </c>
    </row>
    <row r="1249" spans="1:5" x14ac:dyDescent="0.25">
      <c r="A1249" s="112" t="s">
        <v>1218</v>
      </c>
      <c r="B1249" s="112" t="s">
        <v>1219</v>
      </c>
      <c r="C1249" s="112" t="s">
        <v>1000</v>
      </c>
      <c r="D1249" s="112" t="s">
        <v>686</v>
      </c>
      <c r="E1249" s="113">
        <v>2999.5502248875564</v>
      </c>
    </row>
    <row r="1250" spans="1:5" x14ac:dyDescent="0.25">
      <c r="A1250" s="112" t="s">
        <v>1218</v>
      </c>
      <c r="B1250" s="112" t="s">
        <v>1219</v>
      </c>
      <c r="C1250" s="112" t="s">
        <v>1120</v>
      </c>
      <c r="D1250" s="112" t="s">
        <v>686</v>
      </c>
      <c r="E1250" s="113">
        <v>1050.4497751124438</v>
      </c>
    </row>
    <row r="1251" spans="1:5" x14ac:dyDescent="0.25">
      <c r="A1251" s="114" t="s">
        <v>1220</v>
      </c>
      <c r="B1251" s="114" t="s">
        <v>1219</v>
      </c>
      <c r="C1251" s="114" t="s">
        <v>1000</v>
      </c>
      <c r="D1251" s="114" t="s">
        <v>686</v>
      </c>
      <c r="E1251" s="115">
        <v>2000.0000000000002</v>
      </c>
    </row>
    <row r="1252" spans="1:5" x14ac:dyDescent="0.25">
      <c r="A1252" s="114" t="s">
        <v>1220</v>
      </c>
      <c r="B1252" s="114" t="s">
        <v>1219</v>
      </c>
      <c r="C1252" s="114" t="s">
        <v>297</v>
      </c>
      <c r="D1252" s="114" t="s">
        <v>686</v>
      </c>
      <c r="E1252" s="115">
        <v>1000.0000000000001</v>
      </c>
    </row>
    <row r="1253" spans="1:5" x14ac:dyDescent="0.25">
      <c r="A1253" s="114" t="s">
        <v>1220</v>
      </c>
      <c r="B1253" s="114" t="s">
        <v>1219</v>
      </c>
      <c r="C1253" s="114" t="s">
        <v>1120</v>
      </c>
      <c r="D1253" s="114" t="s">
        <v>686</v>
      </c>
      <c r="E1253" s="115">
        <v>1050</v>
      </c>
    </row>
    <row r="1254" spans="1:5" x14ac:dyDescent="0.25">
      <c r="A1254" s="116" t="s">
        <v>1221</v>
      </c>
      <c r="B1254" s="112" t="s">
        <v>1219</v>
      </c>
      <c r="C1254" s="116" t="s">
        <v>1099</v>
      </c>
      <c r="D1254" s="112" t="s">
        <v>686</v>
      </c>
      <c r="E1254" s="113">
        <v>3000</v>
      </c>
    </row>
    <row r="1255" spans="1:5" x14ac:dyDescent="0.25">
      <c r="A1255" s="116" t="s">
        <v>1221</v>
      </c>
      <c r="B1255" s="112" t="s">
        <v>1219</v>
      </c>
      <c r="C1255" s="116" t="s">
        <v>1222</v>
      </c>
      <c r="D1255" s="112" t="s">
        <v>686</v>
      </c>
      <c r="E1255" s="113">
        <v>600</v>
      </c>
    </row>
    <row r="1256" spans="1:5" x14ac:dyDescent="0.25">
      <c r="A1256" s="116" t="s">
        <v>1221</v>
      </c>
      <c r="B1256" s="112" t="s">
        <v>1219</v>
      </c>
      <c r="C1256" s="116" t="s">
        <v>1086</v>
      </c>
      <c r="D1256" s="112" t="s">
        <v>686</v>
      </c>
      <c r="E1256" s="113">
        <v>900</v>
      </c>
    </row>
    <row r="1257" spans="1:5" x14ac:dyDescent="0.25">
      <c r="A1257" s="114" t="s">
        <v>1223</v>
      </c>
      <c r="B1257" s="114" t="s">
        <v>1219</v>
      </c>
      <c r="C1257" s="114" t="s">
        <v>685</v>
      </c>
      <c r="D1257" s="114" t="s">
        <v>686</v>
      </c>
      <c r="E1257" s="115">
        <v>3000</v>
      </c>
    </row>
    <row r="1258" spans="1:5" x14ac:dyDescent="0.25">
      <c r="A1258" s="114" t="s">
        <v>1223</v>
      </c>
      <c r="B1258" s="114" t="s">
        <v>1219</v>
      </c>
      <c r="C1258" s="114" t="s">
        <v>1030</v>
      </c>
      <c r="D1258" s="114" t="s">
        <v>686</v>
      </c>
      <c r="E1258" s="115">
        <v>400</v>
      </c>
    </row>
    <row r="1259" spans="1:5" x14ac:dyDescent="0.25">
      <c r="A1259" s="114" t="s">
        <v>1223</v>
      </c>
      <c r="B1259" s="114" t="s">
        <v>1219</v>
      </c>
      <c r="C1259" s="114" t="s">
        <v>1086</v>
      </c>
      <c r="D1259" s="114" t="s">
        <v>686</v>
      </c>
      <c r="E1259" s="115">
        <v>900</v>
      </c>
    </row>
    <row r="1260" spans="1:5" x14ac:dyDescent="0.25">
      <c r="A1260" s="116" t="s">
        <v>1224</v>
      </c>
      <c r="B1260" s="112" t="s">
        <v>1219</v>
      </c>
      <c r="C1260" s="116" t="s">
        <v>685</v>
      </c>
      <c r="D1260" s="112" t="s">
        <v>686</v>
      </c>
      <c r="E1260" s="113">
        <v>3000</v>
      </c>
    </row>
    <row r="1261" spans="1:5" x14ac:dyDescent="0.25">
      <c r="A1261" s="116" t="s">
        <v>1224</v>
      </c>
      <c r="B1261" s="112" t="s">
        <v>1219</v>
      </c>
      <c r="C1261" s="116" t="s">
        <v>715</v>
      </c>
      <c r="D1261" s="112" t="s">
        <v>686</v>
      </c>
      <c r="E1261" s="113">
        <v>250</v>
      </c>
    </row>
    <row r="1262" spans="1:5" x14ac:dyDescent="0.25">
      <c r="A1262" s="116" t="s">
        <v>1224</v>
      </c>
      <c r="B1262" s="112" t="s">
        <v>1219</v>
      </c>
      <c r="C1262" s="116" t="s">
        <v>1086</v>
      </c>
      <c r="D1262" s="112" t="s">
        <v>686</v>
      </c>
      <c r="E1262" s="113">
        <v>900</v>
      </c>
    </row>
    <row r="1263" spans="1:5" x14ac:dyDescent="0.25">
      <c r="A1263" s="116" t="s">
        <v>1224</v>
      </c>
      <c r="B1263" s="112" t="s">
        <v>1219</v>
      </c>
      <c r="C1263" s="116" t="s">
        <v>711</v>
      </c>
      <c r="D1263" s="112" t="s">
        <v>686</v>
      </c>
      <c r="E1263" s="113">
        <v>62.325000000000003</v>
      </c>
    </row>
    <row r="1264" spans="1:5" x14ac:dyDescent="0.25">
      <c r="A1264" s="114" t="s">
        <v>1136</v>
      </c>
      <c r="B1264" s="114" t="s">
        <v>1219</v>
      </c>
      <c r="C1264" s="114" t="s">
        <v>685</v>
      </c>
      <c r="D1264" s="114" t="s">
        <v>686</v>
      </c>
      <c r="E1264" s="115">
        <v>2500</v>
      </c>
    </row>
    <row r="1265" spans="1:5" x14ac:dyDescent="0.25">
      <c r="A1265" s="114" t="s">
        <v>1136</v>
      </c>
      <c r="B1265" s="114" t="s">
        <v>1219</v>
      </c>
      <c r="C1265" s="114" t="s">
        <v>701</v>
      </c>
      <c r="D1265" s="114" t="s">
        <v>686</v>
      </c>
      <c r="E1265" s="115">
        <v>400</v>
      </c>
    </row>
    <row r="1266" spans="1:5" x14ac:dyDescent="0.25">
      <c r="A1266" s="114" t="s">
        <v>1136</v>
      </c>
      <c r="B1266" s="114" t="s">
        <v>1219</v>
      </c>
      <c r="C1266" s="114" t="s">
        <v>1086</v>
      </c>
      <c r="D1266" s="114" t="s">
        <v>686</v>
      </c>
      <c r="E1266" s="115">
        <v>900</v>
      </c>
    </row>
    <row r="1267" spans="1:5" x14ac:dyDescent="0.25">
      <c r="A1267" s="114" t="s">
        <v>1136</v>
      </c>
      <c r="B1267" s="114" t="s">
        <v>1219</v>
      </c>
      <c r="C1267" s="114" t="s">
        <v>1031</v>
      </c>
      <c r="D1267" s="114" t="s">
        <v>686</v>
      </c>
      <c r="E1267" s="115">
        <v>500</v>
      </c>
    </row>
    <row r="1268" spans="1:5" x14ac:dyDescent="0.25">
      <c r="A1268" s="116" t="s">
        <v>1144</v>
      </c>
      <c r="B1268" s="112" t="s">
        <v>1219</v>
      </c>
      <c r="C1268" s="116" t="s">
        <v>685</v>
      </c>
      <c r="D1268" s="112" t="s">
        <v>686</v>
      </c>
      <c r="E1268" s="113">
        <v>2500</v>
      </c>
    </row>
    <row r="1269" spans="1:5" x14ac:dyDescent="0.25">
      <c r="A1269" s="116" t="s">
        <v>1144</v>
      </c>
      <c r="B1269" s="112" t="s">
        <v>1219</v>
      </c>
      <c r="C1269" s="116" t="s">
        <v>701</v>
      </c>
      <c r="D1269" s="112" t="s">
        <v>686</v>
      </c>
      <c r="E1269" s="113">
        <v>400</v>
      </c>
    </row>
    <row r="1270" spans="1:5" x14ac:dyDescent="0.25">
      <c r="A1270" s="116" t="s">
        <v>1144</v>
      </c>
      <c r="B1270" s="112" t="s">
        <v>1219</v>
      </c>
      <c r="C1270" s="116" t="s">
        <v>1086</v>
      </c>
      <c r="D1270" s="112" t="s">
        <v>686</v>
      </c>
      <c r="E1270" s="113">
        <v>900</v>
      </c>
    </row>
    <row r="1271" spans="1:5" x14ac:dyDescent="0.25">
      <c r="A1271" s="116" t="s">
        <v>1144</v>
      </c>
      <c r="B1271" s="112" t="s">
        <v>1219</v>
      </c>
      <c r="C1271" s="116" t="s">
        <v>1031</v>
      </c>
      <c r="D1271" s="112" t="s">
        <v>686</v>
      </c>
      <c r="E1271" s="113">
        <v>500</v>
      </c>
    </row>
    <row r="1272" spans="1:5" x14ac:dyDescent="0.25">
      <c r="A1272" s="114" t="s">
        <v>1085</v>
      </c>
      <c r="B1272" s="114" t="s">
        <v>1219</v>
      </c>
      <c r="C1272" s="114" t="s">
        <v>685</v>
      </c>
      <c r="D1272" s="114" t="s">
        <v>686</v>
      </c>
      <c r="E1272" s="115">
        <v>3000</v>
      </c>
    </row>
    <row r="1273" spans="1:5" x14ac:dyDescent="0.25">
      <c r="A1273" s="114" t="s">
        <v>1085</v>
      </c>
      <c r="B1273" s="114" t="s">
        <v>1219</v>
      </c>
      <c r="C1273" s="114" t="s">
        <v>1017</v>
      </c>
      <c r="D1273" s="114" t="s">
        <v>686</v>
      </c>
      <c r="E1273" s="115">
        <v>150</v>
      </c>
    </row>
    <row r="1274" spans="1:5" x14ac:dyDescent="0.25">
      <c r="A1274" s="114" t="s">
        <v>1085</v>
      </c>
      <c r="B1274" s="114" t="s">
        <v>1219</v>
      </c>
      <c r="C1274" s="114" t="s">
        <v>1086</v>
      </c>
      <c r="D1274" s="114" t="s">
        <v>686</v>
      </c>
      <c r="E1274" s="115">
        <v>900</v>
      </c>
    </row>
    <row r="1275" spans="1:5" x14ac:dyDescent="0.25">
      <c r="A1275" s="114" t="s">
        <v>1085</v>
      </c>
      <c r="B1275" s="114" t="s">
        <v>1219</v>
      </c>
      <c r="C1275" s="114" t="s">
        <v>1087</v>
      </c>
      <c r="D1275" s="114" t="s">
        <v>686</v>
      </c>
      <c r="E1275" s="115">
        <v>405.5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677</v>
      </c>
      <c r="B1" t="s">
        <v>3</v>
      </c>
      <c r="C1" t="s">
        <v>81</v>
      </c>
      <c r="D1" t="s">
        <v>678</v>
      </c>
      <c r="E1" t="s">
        <v>679</v>
      </c>
      <c r="F1" t="s">
        <v>680</v>
      </c>
      <c r="G1" t="s">
        <v>681</v>
      </c>
      <c r="K1" t="s">
        <v>682</v>
      </c>
    </row>
    <row r="2" spans="1:17" x14ac:dyDescent="0.25">
      <c r="A2" t="s">
        <v>683</v>
      </c>
      <c r="B2" t="s">
        <v>684</v>
      </c>
      <c r="C2" t="s">
        <v>685</v>
      </c>
      <c r="D2" t="s">
        <v>686</v>
      </c>
      <c r="E2">
        <v>2736</v>
      </c>
      <c r="F2">
        <v>68.400000000000006</v>
      </c>
      <c r="G2">
        <v>12.8592</v>
      </c>
      <c r="K2" t="s">
        <v>681</v>
      </c>
      <c r="L2" t="s">
        <v>687</v>
      </c>
      <c r="M2" t="s">
        <v>688</v>
      </c>
      <c r="P2" t="s">
        <v>686</v>
      </c>
      <c r="Q2" t="s">
        <v>7</v>
      </c>
    </row>
    <row r="3" spans="1:17" x14ac:dyDescent="0.25">
      <c r="A3" t="s">
        <v>683</v>
      </c>
      <c r="B3" t="s">
        <v>684</v>
      </c>
      <c r="C3" t="s">
        <v>689</v>
      </c>
      <c r="D3" t="s">
        <v>686</v>
      </c>
      <c r="E3">
        <v>112</v>
      </c>
      <c r="F3">
        <v>2.8</v>
      </c>
      <c r="G3">
        <v>2.8</v>
      </c>
      <c r="J3" t="s">
        <v>685</v>
      </c>
      <c r="K3">
        <v>4.7</v>
      </c>
      <c r="L3" t="s">
        <v>690</v>
      </c>
      <c r="M3">
        <v>4.7</v>
      </c>
      <c r="O3" t="s">
        <v>691</v>
      </c>
      <c r="P3">
        <v>150</v>
      </c>
      <c r="Q3">
        <v>21</v>
      </c>
    </row>
    <row r="4" spans="1:17" x14ac:dyDescent="0.25">
      <c r="A4" t="s">
        <v>683</v>
      </c>
      <c r="B4" t="s">
        <v>684</v>
      </c>
      <c r="C4" t="s">
        <v>692</v>
      </c>
      <c r="D4" t="s">
        <v>686</v>
      </c>
      <c r="E4">
        <v>360</v>
      </c>
      <c r="F4">
        <v>9</v>
      </c>
      <c r="G4">
        <v>1.008</v>
      </c>
      <c r="J4" t="s">
        <v>689</v>
      </c>
      <c r="K4">
        <v>25</v>
      </c>
      <c r="L4" t="s">
        <v>690</v>
      </c>
      <c r="M4">
        <v>25</v>
      </c>
      <c r="O4" t="s">
        <v>693</v>
      </c>
      <c r="P4">
        <v>210</v>
      </c>
      <c r="Q4">
        <v>25</v>
      </c>
    </row>
    <row r="5" spans="1:17" x14ac:dyDescent="0.25">
      <c r="A5" t="s">
        <v>683</v>
      </c>
      <c r="B5" t="s">
        <v>684</v>
      </c>
      <c r="C5" t="s">
        <v>85</v>
      </c>
      <c r="D5" t="s">
        <v>686</v>
      </c>
      <c r="E5">
        <v>80</v>
      </c>
      <c r="F5">
        <v>2</v>
      </c>
      <c r="G5">
        <v>0.47997138666666672</v>
      </c>
      <c r="J5" t="s">
        <v>692</v>
      </c>
      <c r="K5">
        <v>14</v>
      </c>
      <c r="L5" t="s">
        <v>694</v>
      </c>
      <c r="M5">
        <v>2.8</v>
      </c>
      <c r="O5" t="s">
        <v>695</v>
      </c>
      <c r="P5">
        <v>300</v>
      </c>
      <c r="Q5">
        <v>33</v>
      </c>
    </row>
    <row r="6" spans="1:17" x14ac:dyDescent="0.25">
      <c r="A6" t="s">
        <v>683</v>
      </c>
      <c r="B6" t="s">
        <v>684</v>
      </c>
      <c r="C6" t="s">
        <v>696</v>
      </c>
      <c r="D6" t="s">
        <v>686</v>
      </c>
      <c r="E6">
        <v>20</v>
      </c>
      <c r="F6">
        <v>0.5</v>
      </c>
      <c r="G6">
        <v>4.5580800000000004</v>
      </c>
      <c r="J6" t="s">
        <v>697</v>
      </c>
      <c r="K6">
        <v>4.4000000000000004</v>
      </c>
      <c r="L6" t="s">
        <v>690</v>
      </c>
      <c r="M6">
        <v>4.4000000000000004</v>
      </c>
      <c r="O6" t="s">
        <v>698</v>
      </c>
      <c r="P6">
        <v>150</v>
      </c>
      <c r="Q6">
        <v>21</v>
      </c>
    </row>
    <row r="7" spans="1:17" x14ac:dyDescent="0.25">
      <c r="A7" t="s">
        <v>683</v>
      </c>
      <c r="B7" t="s">
        <v>684</v>
      </c>
      <c r="C7" t="s">
        <v>699</v>
      </c>
      <c r="D7" t="s">
        <v>686</v>
      </c>
      <c r="E7">
        <v>200</v>
      </c>
      <c r="F7">
        <v>5</v>
      </c>
      <c r="G7">
        <v>1.5999198400000001</v>
      </c>
      <c r="J7" t="s">
        <v>115</v>
      </c>
      <c r="K7">
        <v>2.2000000000000002</v>
      </c>
      <c r="L7" t="s">
        <v>690</v>
      </c>
      <c r="M7">
        <v>2.2000000000000002</v>
      </c>
      <c r="O7" t="s">
        <v>700</v>
      </c>
      <c r="P7">
        <v>250</v>
      </c>
      <c r="Q7">
        <v>33</v>
      </c>
    </row>
    <row r="8" spans="1:17" x14ac:dyDescent="0.25">
      <c r="A8" t="s">
        <v>683</v>
      </c>
      <c r="B8" t="s">
        <v>684</v>
      </c>
      <c r="C8" t="s">
        <v>701</v>
      </c>
      <c r="D8" t="s">
        <v>686</v>
      </c>
      <c r="E8">
        <v>120</v>
      </c>
      <c r="F8">
        <v>3</v>
      </c>
      <c r="G8">
        <v>3.12</v>
      </c>
      <c r="J8" t="s">
        <v>85</v>
      </c>
      <c r="K8">
        <v>179.98927</v>
      </c>
      <c r="L8" t="s">
        <v>702</v>
      </c>
      <c r="M8">
        <v>5.9996423333333331</v>
      </c>
      <c r="O8" t="s">
        <v>703</v>
      </c>
      <c r="P8">
        <v>160</v>
      </c>
      <c r="Q8">
        <v>22</v>
      </c>
    </row>
    <row r="9" spans="1:17" x14ac:dyDescent="0.25">
      <c r="A9" t="s">
        <v>683</v>
      </c>
      <c r="B9" t="s">
        <v>684</v>
      </c>
      <c r="C9" t="s">
        <v>704</v>
      </c>
      <c r="D9" t="s">
        <v>686</v>
      </c>
      <c r="E9">
        <v>252</v>
      </c>
      <c r="F9">
        <v>6.3</v>
      </c>
      <c r="G9">
        <v>80.904196800000008</v>
      </c>
      <c r="J9" t="s">
        <v>699</v>
      </c>
      <c r="K9">
        <v>199.98998</v>
      </c>
      <c r="L9" t="s">
        <v>705</v>
      </c>
      <c r="M9">
        <v>7.9995991999999996</v>
      </c>
      <c r="O9" t="s">
        <v>706</v>
      </c>
      <c r="P9">
        <v>250</v>
      </c>
      <c r="Q9">
        <v>28</v>
      </c>
    </row>
    <row r="10" spans="1:17" x14ac:dyDescent="0.25">
      <c r="A10" t="s">
        <v>683</v>
      </c>
      <c r="B10" t="s">
        <v>684</v>
      </c>
      <c r="C10" t="s">
        <v>115</v>
      </c>
      <c r="D10" t="s">
        <v>686</v>
      </c>
      <c r="E10">
        <v>12</v>
      </c>
      <c r="F10">
        <v>0.3</v>
      </c>
      <c r="G10">
        <v>2.64E-2</v>
      </c>
      <c r="J10" t="s">
        <v>701</v>
      </c>
      <c r="K10">
        <v>650</v>
      </c>
      <c r="L10" t="s">
        <v>705</v>
      </c>
      <c r="M10">
        <v>26</v>
      </c>
    </row>
    <row r="11" spans="1:17" x14ac:dyDescent="0.25">
      <c r="A11" t="s">
        <v>683</v>
      </c>
      <c r="B11" t="s">
        <v>684</v>
      </c>
      <c r="C11" t="s">
        <v>707</v>
      </c>
      <c r="D11" t="s">
        <v>686</v>
      </c>
      <c r="E11">
        <v>108</v>
      </c>
      <c r="F11">
        <v>2.7</v>
      </c>
      <c r="G11">
        <v>38.478857142857137</v>
      </c>
      <c r="J11" t="s">
        <v>139</v>
      </c>
    </row>
    <row r="12" spans="1:17" x14ac:dyDescent="0.25">
      <c r="A12" t="s">
        <v>683</v>
      </c>
      <c r="B12" t="s">
        <v>684</v>
      </c>
      <c r="C12" t="s">
        <v>708</v>
      </c>
      <c r="D12" t="s">
        <v>686</v>
      </c>
      <c r="E12">
        <v>60</v>
      </c>
      <c r="F12" t="s">
        <v>709</v>
      </c>
      <c r="G12">
        <v>12.246600000000001</v>
      </c>
      <c r="J12" t="s">
        <v>710</v>
      </c>
      <c r="K12">
        <v>2351.02</v>
      </c>
      <c r="L12" t="s">
        <v>705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711</v>
      </c>
      <c r="K13">
        <v>127.95</v>
      </c>
      <c r="L13" t="s">
        <v>690</v>
      </c>
      <c r="M13">
        <v>127.95</v>
      </c>
    </row>
    <row r="14" spans="1:17" x14ac:dyDescent="0.25">
      <c r="J14" t="s">
        <v>708</v>
      </c>
      <c r="K14">
        <v>204.11</v>
      </c>
      <c r="L14" t="s">
        <v>690</v>
      </c>
      <c r="M14">
        <v>204.11</v>
      </c>
    </row>
    <row r="15" spans="1:17" x14ac:dyDescent="0.25">
      <c r="A15" t="s">
        <v>677</v>
      </c>
      <c r="B15" t="s">
        <v>3</v>
      </c>
      <c r="C15" t="s">
        <v>81</v>
      </c>
      <c r="D15" t="s">
        <v>678</v>
      </c>
      <c r="E15" t="s">
        <v>679</v>
      </c>
      <c r="F15" t="s">
        <v>680</v>
      </c>
      <c r="G15" t="s">
        <v>681</v>
      </c>
      <c r="J15" t="s">
        <v>696</v>
      </c>
      <c r="K15">
        <v>569.76</v>
      </c>
      <c r="L15" t="s">
        <v>712</v>
      </c>
      <c r="M15">
        <v>227.904</v>
      </c>
    </row>
    <row r="16" spans="1:17" x14ac:dyDescent="0.25">
      <c r="A16" t="s">
        <v>713</v>
      </c>
      <c r="B16" t="s">
        <v>684</v>
      </c>
      <c r="C16" t="s">
        <v>685</v>
      </c>
      <c r="D16" t="s">
        <v>686</v>
      </c>
      <c r="E16">
        <v>2716</v>
      </c>
      <c r="F16">
        <v>67.900000000000006</v>
      </c>
      <c r="G16">
        <v>12.7652</v>
      </c>
      <c r="J16" t="s">
        <v>704</v>
      </c>
      <c r="K16">
        <v>8026.21</v>
      </c>
      <c r="L16" t="s">
        <v>705</v>
      </c>
      <c r="M16">
        <v>321.04840000000002</v>
      </c>
    </row>
    <row r="17" spans="1:13" x14ac:dyDescent="0.25">
      <c r="A17" t="s">
        <v>713</v>
      </c>
      <c r="B17" t="s">
        <v>684</v>
      </c>
      <c r="C17" t="s">
        <v>689</v>
      </c>
      <c r="D17" t="s">
        <v>686</v>
      </c>
      <c r="E17">
        <v>120</v>
      </c>
      <c r="F17">
        <v>3</v>
      </c>
      <c r="G17">
        <v>3</v>
      </c>
      <c r="J17" t="s">
        <v>707</v>
      </c>
      <c r="K17">
        <v>1247</v>
      </c>
      <c r="L17" t="s">
        <v>714</v>
      </c>
      <c r="M17">
        <v>356.28571428571428</v>
      </c>
    </row>
    <row r="18" spans="1:13" x14ac:dyDescent="0.25">
      <c r="A18" t="s">
        <v>713</v>
      </c>
      <c r="B18" t="s">
        <v>684</v>
      </c>
      <c r="C18" t="s">
        <v>692</v>
      </c>
      <c r="D18" t="s">
        <v>686</v>
      </c>
      <c r="E18">
        <v>360</v>
      </c>
      <c r="F18">
        <v>9</v>
      </c>
      <c r="G18">
        <v>1.008</v>
      </c>
      <c r="J18" t="s">
        <v>715</v>
      </c>
      <c r="K18">
        <v>2645.99</v>
      </c>
      <c r="L18" t="s">
        <v>705</v>
      </c>
      <c r="M18">
        <v>105.8396</v>
      </c>
    </row>
    <row r="19" spans="1:13" x14ac:dyDescent="0.25">
      <c r="A19" t="s">
        <v>713</v>
      </c>
      <c r="B19" t="s">
        <v>684</v>
      </c>
      <c r="C19" t="s">
        <v>85</v>
      </c>
      <c r="D19" t="s">
        <v>686</v>
      </c>
      <c r="E19">
        <v>160</v>
      </c>
      <c r="F19">
        <v>4</v>
      </c>
      <c r="G19">
        <v>0.95994277333333333</v>
      </c>
      <c r="J19" t="s">
        <v>716</v>
      </c>
      <c r="K19">
        <v>171.08</v>
      </c>
      <c r="L19" t="s">
        <v>717</v>
      </c>
      <c r="M19">
        <v>57.026666666666671</v>
      </c>
    </row>
    <row r="20" spans="1:13" x14ac:dyDescent="0.25">
      <c r="A20" t="s">
        <v>713</v>
      </c>
      <c r="B20" t="s">
        <v>684</v>
      </c>
      <c r="C20" t="s">
        <v>696</v>
      </c>
      <c r="D20" t="s">
        <v>686</v>
      </c>
      <c r="E20">
        <v>20</v>
      </c>
      <c r="F20">
        <v>0.5</v>
      </c>
      <c r="G20">
        <v>4.5580800000000004</v>
      </c>
      <c r="J20" t="s">
        <v>718</v>
      </c>
    </row>
    <row r="21" spans="1:13" x14ac:dyDescent="0.25">
      <c r="A21" t="s">
        <v>713</v>
      </c>
      <c r="B21" t="s">
        <v>684</v>
      </c>
      <c r="C21" t="s">
        <v>699</v>
      </c>
      <c r="D21" t="s">
        <v>686</v>
      </c>
      <c r="E21">
        <v>240</v>
      </c>
      <c r="F21">
        <v>6</v>
      </c>
      <c r="G21">
        <v>1.9199038079999999</v>
      </c>
      <c r="J21" t="s">
        <v>719</v>
      </c>
    </row>
    <row r="22" spans="1:13" x14ac:dyDescent="0.25">
      <c r="A22" t="s">
        <v>713</v>
      </c>
      <c r="B22" t="s">
        <v>684</v>
      </c>
      <c r="C22" t="s">
        <v>701</v>
      </c>
      <c r="D22" t="s">
        <v>686</v>
      </c>
      <c r="E22">
        <v>120</v>
      </c>
      <c r="F22">
        <v>3</v>
      </c>
      <c r="G22">
        <v>3.12</v>
      </c>
      <c r="J22" t="s">
        <v>720</v>
      </c>
      <c r="K22">
        <v>211</v>
      </c>
      <c r="L22" t="s">
        <v>721</v>
      </c>
      <c r="M22">
        <v>21.530612244897959</v>
      </c>
    </row>
    <row r="23" spans="1:13" x14ac:dyDescent="0.25">
      <c r="A23" t="s">
        <v>713</v>
      </c>
      <c r="B23" t="s">
        <v>684</v>
      </c>
      <c r="C23" t="s">
        <v>715</v>
      </c>
      <c r="D23" t="s">
        <v>686</v>
      </c>
      <c r="E23">
        <v>260</v>
      </c>
      <c r="F23">
        <v>6.5</v>
      </c>
      <c r="G23">
        <v>27.518295999999999</v>
      </c>
      <c r="J23" t="s">
        <v>722</v>
      </c>
      <c r="K23">
        <v>151.19999999999999</v>
      </c>
      <c r="L23" t="s">
        <v>723</v>
      </c>
      <c r="M23">
        <v>71.999999999999986</v>
      </c>
    </row>
    <row r="24" spans="1:13" x14ac:dyDescent="0.25">
      <c r="A24" t="s">
        <v>713</v>
      </c>
      <c r="B24" t="s">
        <v>684</v>
      </c>
      <c r="C24" t="s">
        <v>115</v>
      </c>
      <c r="D24" t="s">
        <v>686</v>
      </c>
      <c r="E24">
        <v>8</v>
      </c>
      <c r="F24">
        <v>0.2</v>
      </c>
      <c r="G24">
        <v>1.7600000000000001E-2</v>
      </c>
      <c r="J24" t="s">
        <v>724</v>
      </c>
      <c r="K24">
        <v>195.02</v>
      </c>
      <c r="L24" t="s">
        <v>725</v>
      </c>
      <c r="M24">
        <v>97.51</v>
      </c>
    </row>
    <row r="25" spans="1:13" x14ac:dyDescent="0.25">
      <c r="A25" t="s">
        <v>713</v>
      </c>
      <c r="B25" t="s">
        <v>684</v>
      </c>
      <c r="C25" t="s">
        <v>716</v>
      </c>
      <c r="D25" t="s">
        <v>686</v>
      </c>
      <c r="E25">
        <v>300</v>
      </c>
      <c r="F25" t="s">
        <v>709</v>
      </c>
      <c r="G25">
        <v>17.108000000000001</v>
      </c>
      <c r="J25" t="s">
        <v>93</v>
      </c>
      <c r="K25">
        <v>416.99</v>
      </c>
      <c r="L25" t="s">
        <v>690</v>
      </c>
      <c r="M25">
        <v>416.99</v>
      </c>
    </row>
    <row r="26" spans="1:13" x14ac:dyDescent="0.25">
      <c r="A26" t="s">
        <v>713</v>
      </c>
      <c r="B26" t="s">
        <v>684</v>
      </c>
      <c r="C26" t="s">
        <v>711</v>
      </c>
      <c r="D26" t="s">
        <v>686</v>
      </c>
      <c r="E26">
        <v>52</v>
      </c>
      <c r="F26" t="s">
        <v>709</v>
      </c>
      <c r="G26">
        <v>6.6534000000000004</v>
      </c>
      <c r="J26" t="s">
        <v>125</v>
      </c>
      <c r="K26">
        <v>184</v>
      </c>
      <c r="L26" t="s">
        <v>717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726</v>
      </c>
      <c r="K28">
        <v>145.43</v>
      </c>
      <c r="L28" t="s">
        <v>727</v>
      </c>
      <c r="M28">
        <v>44.747692307692311</v>
      </c>
    </row>
    <row r="29" spans="1:13" x14ac:dyDescent="0.25">
      <c r="A29" t="s">
        <v>677</v>
      </c>
      <c r="B29" t="s">
        <v>3</v>
      </c>
      <c r="C29" t="s">
        <v>81</v>
      </c>
      <c r="D29" t="s">
        <v>678</v>
      </c>
      <c r="E29" t="s">
        <v>679</v>
      </c>
      <c r="F29" t="s">
        <v>680</v>
      </c>
      <c r="G29" t="s">
        <v>681</v>
      </c>
      <c r="J29" t="s">
        <v>728</v>
      </c>
      <c r="K29">
        <v>94.07</v>
      </c>
      <c r="L29" t="s">
        <v>694</v>
      </c>
      <c r="M29">
        <v>18.814</v>
      </c>
    </row>
    <row r="30" spans="1:13" x14ac:dyDescent="0.25">
      <c r="A30" t="s">
        <v>729</v>
      </c>
      <c r="B30" t="s">
        <v>684</v>
      </c>
      <c r="C30" t="s">
        <v>685</v>
      </c>
      <c r="D30" t="s">
        <v>686</v>
      </c>
      <c r="E30">
        <v>2860</v>
      </c>
      <c r="F30">
        <v>71.5</v>
      </c>
      <c r="J30" t="s">
        <v>730</v>
      </c>
      <c r="K30">
        <v>89.99</v>
      </c>
      <c r="L30" t="s">
        <v>731</v>
      </c>
      <c r="M30">
        <v>89.99</v>
      </c>
    </row>
    <row r="31" spans="1:13" x14ac:dyDescent="0.25">
      <c r="A31" t="s">
        <v>729</v>
      </c>
      <c r="B31" t="s">
        <v>684</v>
      </c>
      <c r="C31" t="s">
        <v>689</v>
      </c>
      <c r="D31" t="s">
        <v>686</v>
      </c>
      <c r="E31">
        <v>152</v>
      </c>
      <c r="F31">
        <v>3.8</v>
      </c>
      <c r="J31" t="s">
        <v>732</v>
      </c>
      <c r="K31">
        <v>143.52099999999999</v>
      </c>
      <c r="L31" t="s">
        <v>714</v>
      </c>
      <c r="M31">
        <v>41.005999999999993</v>
      </c>
    </row>
    <row r="32" spans="1:13" x14ac:dyDescent="0.25">
      <c r="A32" t="s">
        <v>729</v>
      </c>
      <c r="B32" t="s">
        <v>684</v>
      </c>
      <c r="C32" t="s">
        <v>692</v>
      </c>
      <c r="D32" t="s">
        <v>686</v>
      </c>
      <c r="E32">
        <v>380</v>
      </c>
      <c r="F32">
        <v>9.5</v>
      </c>
      <c r="J32" t="s">
        <v>733</v>
      </c>
      <c r="K32">
        <v>2175</v>
      </c>
      <c r="L32" t="s">
        <v>705</v>
      </c>
      <c r="M32">
        <v>87</v>
      </c>
    </row>
    <row r="33" spans="1:13" x14ac:dyDescent="0.25">
      <c r="A33" t="s">
        <v>729</v>
      </c>
      <c r="B33" t="s">
        <v>684</v>
      </c>
      <c r="C33" t="s">
        <v>85</v>
      </c>
      <c r="D33" t="s">
        <v>686</v>
      </c>
      <c r="E33">
        <v>116</v>
      </c>
      <c r="F33">
        <v>2.9</v>
      </c>
      <c r="J33" t="s">
        <v>734</v>
      </c>
      <c r="K33">
        <v>120.54</v>
      </c>
      <c r="L33" t="s">
        <v>735</v>
      </c>
      <c r="M33">
        <v>24.108000000000001</v>
      </c>
    </row>
    <row r="34" spans="1:13" x14ac:dyDescent="0.25">
      <c r="A34" t="s">
        <v>729</v>
      </c>
      <c r="B34" t="s">
        <v>684</v>
      </c>
      <c r="C34" t="s">
        <v>696</v>
      </c>
      <c r="D34" t="s">
        <v>686</v>
      </c>
      <c r="E34">
        <v>20</v>
      </c>
      <c r="F34">
        <v>0.5</v>
      </c>
    </row>
    <row r="35" spans="1:13" x14ac:dyDescent="0.25">
      <c r="A35" t="s">
        <v>729</v>
      </c>
      <c r="B35" t="s">
        <v>684</v>
      </c>
      <c r="C35" t="s">
        <v>699</v>
      </c>
      <c r="D35" t="s">
        <v>686</v>
      </c>
      <c r="E35">
        <v>172</v>
      </c>
      <c r="F35">
        <v>4.3</v>
      </c>
    </row>
    <row r="36" spans="1:13" x14ac:dyDescent="0.25">
      <c r="A36" t="s">
        <v>729</v>
      </c>
      <c r="B36" t="s">
        <v>684</v>
      </c>
      <c r="C36" t="s">
        <v>701</v>
      </c>
      <c r="D36" t="s">
        <v>686</v>
      </c>
      <c r="E36">
        <v>116</v>
      </c>
      <c r="F36">
        <v>2.9</v>
      </c>
    </row>
    <row r="37" spans="1:13" x14ac:dyDescent="0.25">
      <c r="A37" t="s">
        <v>729</v>
      </c>
      <c r="B37" t="s">
        <v>684</v>
      </c>
      <c r="C37" t="s">
        <v>718</v>
      </c>
      <c r="D37" t="s">
        <v>686</v>
      </c>
      <c r="E37">
        <v>188</v>
      </c>
      <c r="F37">
        <v>4.7</v>
      </c>
    </row>
    <row r="38" spans="1:13" x14ac:dyDescent="0.25">
      <c r="A38" t="s">
        <v>729</v>
      </c>
      <c r="B38" t="s">
        <v>684</v>
      </c>
      <c r="C38" t="s">
        <v>719</v>
      </c>
      <c r="D38" t="s">
        <v>686</v>
      </c>
      <c r="E38">
        <v>300</v>
      </c>
      <c r="F38" t="s">
        <v>709</v>
      </c>
    </row>
    <row r="39" spans="1:13" x14ac:dyDescent="0.25">
      <c r="A39" t="s">
        <v>729</v>
      </c>
      <c r="B39" t="s">
        <v>684</v>
      </c>
      <c r="C39" t="s">
        <v>139</v>
      </c>
      <c r="D39" t="s">
        <v>686</v>
      </c>
      <c r="E39">
        <v>100</v>
      </c>
      <c r="F39" t="s">
        <v>709</v>
      </c>
    </row>
    <row r="42" spans="1:13" x14ac:dyDescent="0.25">
      <c r="A42" t="s">
        <v>677</v>
      </c>
      <c r="B42" t="s">
        <v>3</v>
      </c>
      <c r="C42" t="s">
        <v>81</v>
      </c>
      <c r="D42" t="s">
        <v>678</v>
      </c>
      <c r="E42" t="s">
        <v>679</v>
      </c>
      <c r="F42" t="s">
        <v>680</v>
      </c>
      <c r="G42" t="s">
        <v>681</v>
      </c>
    </row>
    <row r="43" spans="1:13" x14ac:dyDescent="0.25">
      <c r="A43" t="s">
        <v>720</v>
      </c>
      <c r="B43" t="s">
        <v>684</v>
      </c>
      <c r="C43" t="s">
        <v>685</v>
      </c>
      <c r="D43" t="s">
        <v>686</v>
      </c>
      <c r="E43">
        <v>576</v>
      </c>
      <c r="F43">
        <v>14.4</v>
      </c>
    </row>
    <row r="44" spans="1:13" x14ac:dyDescent="0.25">
      <c r="A44" t="s">
        <v>720</v>
      </c>
      <c r="B44" t="s">
        <v>684</v>
      </c>
      <c r="C44" t="s">
        <v>689</v>
      </c>
      <c r="D44" t="s">
        <v>686</v>
      </c>
      <c r="E44">
        <v>180</v>
      </c>
      <c r="F44">
        <v>4.5</v>
      </c>
    </row>
    <row r="45" spans="1:13" x14ac:dyDescent="0.25">
      <c r="A45" t="s">
        <v>720</v>
      </c>
      <c r="B45" t="s">
        <v>684</v>
      </c>
      <c r="C45" t="s">
        <v>692</v>
      </c>
      <c r="D45" t="s">
        <v>686</v>
      </c>
      <c r="E45">
        <v>0</v>
      </c>
      <c r="F45">
        <v>0</v>
      </c>
    </row>
    <row r="46" spans="1:13" x14ac:dyDescent="0.25">
      <c r="A46" t="s">
        <v>720</v>
      </c>
      <c r="B46" t="s">
        <v>684</v>
      </c>
      <c r="C46" t="s">
        <v>85</v>
      </c>
      <c r="D46" t="s">
        <v>686</v>
      </c>
      <c r="E46">
        <v>18</v>
      </c>
      <c r="F46">
        <v>0.45</v>
      </c>
    </row>
    <row r="47" spans="1:13" x14ac:dyDescent="0.25">
      <c r="A47" t="s">
        <v>720</v>
      </c>
      <c r="B47" t="s">
        <v>684</v>
      </c>
      <c r="C47" t="s">
        <v>699</v>
      </c>
      <c r="D47" t="s">
        <v>686</v>
      </c>
      <c r="E47">
        <v>160</v>
      </c>
      <c r="F47">
        <v>4</v>
      </c>
    </row>
    <row r="48" spans="1:13" x14ac:dyDescent="0.25">
      <c r="A48" t="s">
        <v>720</v>
      </c>
      <c r="B48" t="s">
        <v>684</v>
      </c>
      <c r="C48" t="s">
        <v>736</v>
      </c>
      <c r="D48" t="s">
        <v>686</v>
      </c>
      <c r="E48">
        <v>240</v>
      </c>
      <c r="F48">
        <v>6</v>
      </c>
    </row>
    <row r="49" spans="1:7" x14ac:dyDescent="0.25">
      <c r="A49" t="s">
        <v>720</v>
      </c>
      <c r="B49" t="s">
        <v>684</v>
      </c>
      <c r="C49" t="s">
        <v>696</v>
      </c>
      <c r="D49" t="s">
        <v>686</v>
      </c>
      <c r="E49">
        <v>20</v>
      </c>
      <c r="F49">
        <v>0.5</v>
      </c>
    </row>
    <row r="50" spans="1:7" x14ac:dyDescent="0.25">
      <c r="A50" t="s">
        <v>720</v>
      </c>
      <c r="B50" t="s">
        <v>684</v>
      </c>
      <c r="C50" t="s">
        <v>720</v>
      </c>
      <c r="D50" t="s">
        <v>686</v>
      </c>
      <c r="E50">
        <v>1400</v>
      </c>
      <c r="F50">
        <v>35</v>
      </c>
    </row>
    <row r="51" spans="1:7" x14ac:dyDescent="0.25">
      <c r="A51" t="s">
        <v>720</v>
      </c>
      <c r="B51" t="s">
        <v>684</v>
      </c>
      <c r="C51" t="s">
        <v>737</v>
      </c>
      <c r="D51" t="s">
        <v>686</v>
      </c>
      <c r="E51">
        <v>1400</v>
      </c>
      <c r="F51">
        <v>35</v>
      </c>
    </row>
    <row r="52" spans="1:7" x14ac:dyDescent="0.25">
      <c r="A52" t="s">
        <v>720</v>
      </c>
      <c r="B52" t="s">
        <v>684</v>
      </c>
      <c r="C52" t="s">
        <v>115</v>
      </c>
      <c r="D52" t="s">
        <v>686</v>
      </c>
      <c r="E52">
        <v>6</v>
      </c>
      <c r="F52">
        <v>0.15</v>
      </c>
    </row>
    <row r="53" spans="1:7" x14ac:dyDescent="0.25">
      <c r="A53" t="s">
        <v>720</v>
      </c>
      <c r="B53" t="s">
        <v>684</v>
      </c>
      <c r="C53" t="s">
        <v>151</v>
      </c>
      <c r="D53" t="s">
        <v>686</v>
      </c>
      <c r="E53">
        <v>200</v>
      </c>
      <c r="F53" t="s">
        <v>709</v>
      </c>
    </row>
    <row r="56" spans="1:7" x14ac:dyDescent="0.25">
      <c r="A56" t="s">
        <v>677</v>
      </c>
      <c r="B56" t="s">
        <v>3</v>
      </c>
      <c r="C56" t="s">
        <v>81</v>
      </c>
      <c r="D56" t="s">
        <v>678</v>
      </c>
      <c r="E56" t="s">
        <v>679</v>
      </c>
      <c r="F56" t="s">
        <v>680</v>
      </c>
      <c r="G56" t="s">
        <v>681</v>
      </c>
    </row>
    <row r="57" spans="1:7" x14ac:dyDescent="0.25">
      <c r="A57" t="s">
        <v>738</v>
      </c>
      <c r="B57" t="s">
        <v>684</v>
      </c>
      <c r="C57" t="s">
        <v>685</v>
      </c>
      <c r="D57" t="s">
        <v>686</v>
      </c>
      <c r="E57">
        <v>2620</v>
      </c>
      <c r="F57">
        <v>65.5</v>
      </c>
    </row>
    <row r="58" spans="1:7" x14ac:dyDescent="0.25">
      <c r="A58" t="s">
        <v>738</v>
      </c>
      <c r="B58" t="s">
        <v>684</v>
      </c>
      <c r="C58" t="s">
        <v>689</v>
      </c>
      <c r="D58" t="s">
        <v>686</v>
      </c>
      <c r="E58">
        <v>80</v>
      </c>
      <c r="F58">
        <v>2</v>
      </c>
    </row>
    <row r="59" spans="1:7" x14ac:dyDescent="0.25">
      <c r="A59" t="s">
        <v>738</v>
      </c>
      <c r="B59" t="s">
        <v>684</v>
      </c>
      <c r="C59" t="s">
        <v>692</v>
      </c>
      <c r="D59" t="s">
        <v>686</v>
      </c>
      <c r="E59">
        <v>0</v>
      </c>
      <c r="F59">
        <v>0</v>
      </c>
    </row>
    <row r="60" spans="1:7" x14ac:dyDescent="0.25">
      <c r="A60" t="s">
        <v>738</v>
      </c>
      <c r="B60" t="s">
        <v>684</v>
      </c>
      <c r="C60" t="s">
        <v>85</v>
      </c>
      <c r="D60" t="s">
        <v>686</v>
      </c>
      <c r="E60">
        <v>80</v>
      </c>
      <c r="F60">
        <v>2</v>
      </c>
    </row>
    <row r="61" spans="1:7" x14ac:dyDescent="0.25">
      <c r="A61" t="s">
        <v>738</v>
      </c>
      <c r="B61" t="s">
        <v>684</v>
      </c>
      <c r="C61" t="s">
        <v>696</v>
      </c>
      <c r="D61" t="s">
        <v>686</v>
      </c>
      <c r="E61">
        <v>20</v>
      </c>
      <c r="F61">
        <v>0.5</v>
      </c>
    </row>
    <row r="62" spans="1:7" x14ac:dyDescent="0.25">
      <c r="A62" t="s">
        <v>738</v>
      </c>
      <c r="B62" t="s">
        <v>684</v>
      </c>
      <c r="C62" t="s">
        <v>699</v>
      </c>
      <c r="D62" t="s">
        <v>686</v>
      </c>
      <c r="E62">
        <v>140</v>
      </c>
      <c r="F62">
        <v>3.5</v>
      </c>
    </row>
    <row r="63" spans="1:7" x14ac:dyDescent="0.25">
      <c r="A63" t="s">
        <v>738</v>
      </c>
      <c r="B63" t="s">
        <v>684</v>
      </c>
      <c r="C63" t="s">
        <v>701</v>
      </c>
      <c r="D63" t="s">
        <v>686</v>
      </c>
      <c r="E63">
        <v>100</v>
      </c>
      <c r="F63">
        <v>2.5</v>
      </c>
    </row>
    <row r="64" spans="1:7" x14ac:dyDescent="0.25">
      <c r="A64" t="s">
        <v>738</v>
      </c>
      <c r="B64" t="s">
        <v>684</v>
      </c>
      <c r="C64" t="s">
        <v>722</v>
      </c>
      <c r="D64" t="s">
        <v>686</v>
      </c>
      <c r="E64">
        <v>800</v>
      </c>
      <c r="F64">
        <v>20</v>
      </c>
    </row>
    <row r="65" spans="1:7" x14ac:dyDescent="0.25">
      <c r="A65" t="s">
        <v>738</v>
      </c>
      <c r="B65" t="s">
        <v>684</v>
      </c>
      <c r="C65" t="s">
        <v>710</v>
      </c>
      <c r="D65" t="s">
        <v>686</v>
      </c>
      <c r="E65">
        <v>160</v>
      </c>
      <c r="F65">
        <v>4</v>
      </c>
    </row>
    <row r="66" spans="1:7" x14ac:dyDescent="0.25">
      <c r="A66" t="s">
        <v>738</v>
      </c>
      <c r="B66" t="s">
        <v>684</v>
      </c>
      <c r="C66" t="s">
        <v>722</v>
      </c>
      <c r="D66" t="s">
        <v>686</v>
      </c>
      <c r="E66">
        <v>40</v>
      </c>
      <c r="F66" t="s">
        <v>709</v>
      </c>
    </row>
    <row r="68" spans="1:7" x14ac:dyDescent="0.25">
      <c r="A68" t="s">
        <v>677</v>
      </c>
      <c r="B68" t="s">
        <v>3</v>
      </c>
      <c r="C68" t="s">
        <v>81</v>
      </c>
      <c r="D68" t="s">
        <v>678</v>
      </c>
      <c r="E68" t="s">
        <v>679</v>
      </c>
      <c r="F68" t="s">
        <v>680</v>
      </c>
      <c r="G68" t="s">
        <v>681</v>
      </c>
    </row>
    <row r="69" spans="1:7" x14ac:dyDescent="0.25">
      <c r="A69" t="s">
        <v>739</v>
      </c>
      <c r="B69" t="s">
        <v>684</v>
      </c>
      <c r="C69" t="s">
        <v>685</v>
      </c>
      <c r="D69" t="s">
        <v>686</v>
      </c>
      <c r="E69">
        <v>2760</v>
      </c>
      <c r="F69">
        <v>69</v>
      </c>
    </row>
    <row r="70" spans="1:7" x14ac:dyDescent="0.25">
      <c r="A70" t="s">
        <v>739</v>
      </c>
      <c r="B70" t="s">
        <v>684</v>
      </c>
      <c r="C70" t="s">
        <v>689</v>
      </c>
      <c r="D70" t="s">
        <v>686</v>
      </c>
      <c r="E70">
        <v>320</v>
      </c>
      <c r="F70">
        <v>8</v>
      </c>
    </row>
    <row r="71" spans="1:7" x14ac:dyDescent="0.25">
      <c r="A71" t="s">
        <v>739</v>
      </c>
      <c r="B71" t="s">
        <v>684</v>
      </c>
      <c r="C71" t="s">
        <v>692</v>
      </c>
      <c r="D71" t="s">
        <v>686</v>
      </c>
      <c r="E71">
        <v>480</v>
      </c>
      <c r="F71">
        <v>12</v>
      </c>
    </row>
    <row r="72" spans="1:7" x14ac:dyDescent="0.25">
      <c r="A72" t="s">
        <v>739</v>
      </c>
      <c r="B72" t="s">
        <v>684</v>
      </c>
      <c r="C72" t="s">
        <v>85</v>
      </c>
      <c r="D72" t="s">
        <v>686</v>
      </c>
      <c r="E72">
        <v>120</v>
      </c>
      <c r="F72">
        <v>3</v>
      </c>
    </row>
    <row r="73" spans="1:7" x14ac:dyDescent="0.25">
      <c r="A73" t="s">
        <v>739</v>
      </c>
      <c r="B73" t="s">
        <v>684</v>
      </c>
      <c r="C73" t="s">
        <v>696</v>
      </c>
      <c r="D73" t="s">
        <v>686</v>
      </c>
      <c r="E73">
        <v>20</v>
      </c>
      <c r="F73">
        <v>0.5</v>
      </c>
    </row>
    <row r="74" spans="1:7" x14ac:dyDescent="0.25">
      <c r="A74" t="s">
        <v>739</v>
      </c>
      <c r="B74" t="s">
        <v>684</v>
      </c>
      <c r="C74" t="s">
        <v>699</v>
      </c>
      <c r="D74" t="s">
        <v>686</v>
      </c>
      <c r="E74">
        <v>180</v>
      </c>
      <c r="F74">
        <v>4.5</v>
      </c>
    </row>
    <row r="75" spans="1:7" x14ac:dyDescent="0.25">
      <c r="A75" t="s">
        <v>739</v>
      </c>
      <c r="B75" t="s">
        <v>684</v>
      </c>
      <c r="C75" t="s">
        <v>701</v>
      </c>
      <c r="D75" t="s">
        <v>686</v>
      </c>
      <c r="E75">
        <v>120</v>
      </c>
      <c r="F75">
        <v>3</v>
      </c>
    </row>
    <row r="78" spans="1:7" x14ac:dyDescent="0.25">
      <c r="A78" t="s">
        <v>677</v>
      </c>
      <c r="B78" t="s">
        <v>3</v>
      </c>
      <c r="C78" t="s">
        <v>81</v>
      </c>
      <c r="D78" t="s">
        <v>678</v>
      </c>
      <c r="E78" t="s">
        <v>679</v>
      </c>
      <c r="F78" t="s">
        <v>680</v>
      </c>
      <c r="G78" t="s">
        <v>681</v>
      </c>
    </row>
    <row r="79" spans="1:7" x14ac:dyDescent="0.25">
      <c r="A79" t="s">
        <v>740</v>
      </c>
      <c r="B79" t="s">
        <v>684</v>
      </c>
      <c r="C79" t="s">
        <v>685</v>
      </c>
      <c r="D79" t="s">
        <v>686</v>
      </c>
      <c r="E79">
        <v>2660</v>
      </c>
      <c r="F79">
        <v>66.5</v>
      </c>
    </row>
    <row r="80" spans="1:7" x14ac:dyDescent="0.25">
      <c r="A80" t="s">
        <v>740</v>
      </c>
      <c r="B80" t="s">
        <v>684</v>
      </c>
      <c r="C80" t="s">
        <v>689</v>
      </c>
      <c r="D80" t="s">
        <v>686</v>
      </c>
      <c r="E80">
        <v>240</v>
      </c>
      <c r="F80">
        <v>6</v>
      </c>
    </row>
    <row r="81" spans="1:7" x14ac:dyDescent="0.25">
      <c r="A81" t="s">
        <v>740</v>
      </c>
      <c r="B81" t="s">
        <v>684</v>
      </c>
      <c r="C81" t="s">
        <v>692</v>
      </c>
      <c r="D81" t="s">
        <v>686</v>
      </c>
      <c r="E81">
        <v>440</v>
      </c>
      <c r="F81">
        <v>11</v>
      </c>
    </row>
    <row r="82" spans="1:7" x14ac:dyDescent="0.25">
      <c r="A82" t="s">
        <v>740</v>
      </c>
      <c r="B82" t="s">
        <v>684</v>
      </c>
      <c r="C82" t="s">
        <v>85</v>
      </c>
      <c r="D82" t="s">
        <v>686</v>
      </c>
      <c r="E82">
        <v>200</v>
      </c>
      <c r="F82">
        <v>5</v>
      </c>
    </row>
    <row r="83" spans="1:7" x14ac:dyDescent="0.25">
      <c r="A83" t="s">
        <v>740</v>
      </c>
      <c r="B83" t="s">
        <v>684</v>
      </c>
      <c r="C83" t="s">
        <v>696</v>
      </c>
      <c r="D83" t="s">
        <v>686</v>
      </c>
      <c r="E83">
        <v>20</v>
      </c>
      <c r="F83">
        <v>0.5</v>
      </c>
    </row>
    <row r="84" spans="1:7" x14ac:dyDescent="0.25">
      <c r="A84" t="s">
        <v>740</v>
      </c>
      <c r="B84" t="s">
        <v>684</v>
      </c>
      <c r="C84" t="s">
        <v>699</v>
      </c>
      <c r="D84" t="s">
        <v>686</v>
      </c>
      <c r="E84">
        <v>160</v>
      </c>
      <c r="F84">
        <v>4</v>
      </c>
    </row>
    <row r="85" spans="1:7" x14ac:dyDescent="0.25">
      <c r="A85" t="s">
        <v>740</v>
      </c>
      <c r="B85" t="s">
        <v>684</v>
      </c>
      <c r="C85" t="s">
        <v>701</v>
      </c>
      <c r="D85" t="s">
        <v>686</v>
      </c>
      <c r="E85">
        <v>80</v>
      </c>
      <c r="F85">
        <v>2</v>
      </c>
    </row>
    <row r="86" spans="1:7" x14ac:dyDescent="0.25">
      <c r="A86" t="s">
        <v>740</v>
      </c>
      <c r="B86" t="s">
        <v>684</v>
      </c>
      <c r="C86" t="s">
        <v>724</v>
      </c>
      <c r="D86" t="s">
        <v>686</v>
      </c>
      <c r="E86">
        <v>200</v>
      </c>
      <c r="F86">
        <v>5</v>
      </c>
    </row>
    <row r="87" spans="1:7" x14ac:dyDescent="0.25">
      <c r="A87" t="s">
        <v>740</v>
      </c>
      <c r="B87" t="s">
        <v>684</v>
      </c>
      <c r="C87" t="s">
        <v>93</v>
      </c>
      <c r="D87" t="s">
        <v>686</v>
      </c>
      <c r="E87">
        <v>300</v>
      </c>
      <c r="F87" t="s">
        <v>709</v>
      </c>
    </row>
    <row r="90" spans="1:7" x14ac:dyDescent="0.25">
      <c r="A90" t="s">
        <v>677</v>
      </c>
      <c r="B90" t="s">
        <v>3</v>
      </c>
      <c r="C90" t="s">
        <v>81</v>
      </c>
      <c r="D90" t="s">
        <v>678</v>
      </c>
      <c r="E90" t="s">
        <v>679</v>
      </c>
      <c r="F90" t="s">
        <v>680</v>
      </c>
      <c r="G90" t="s">
        <v>681</v>
      </c>
    </row>
    <row r="91" spans="1:7" x14ac:dyDescent="0.25">
      <c r="A91" t="s">
        <v>741</v>
      </c>
      <c r="B91" t="s">
        <v>684</v>
      </c>
      <c r="C91" t="s">
        <v>685</v>
      </c>
      <c r="D91" t="s">
        <v>686</v>
      </c>
      <c r="E91">
        <v>2760</v>
      </c>
      <c r="F91">
        <v>69</v>
      </c>
    </row>
    <row r="92" spans="1:7" x14ac:dyDescent="0.25">
      <c r="A92" t="s">
        <v>741</v>
      </c>
      <c r="B92" t="s">
        <v>684</v>
      </c>
      <c r="C92" t="s">
        <v>689</v>
      </c>
      <c r="D92" t="s">
        <v>686</v>
      </c>
      <c r="E92">
        <v>320</v>
      </c>
      <c r="F92">
        <v>8</v>
      </c>
    </row>
    <row r="93" spans="1:7" x14ac:dyDescent="0.25">
      <c r="A93" t="s">
        <v>741</v>
      </c>
      <c r="B93" t="s">
        <v>684</v>
      </c>
      <c r="C93" t="s">
        <v>692</v>
      </c>
      <c r="D93" t="s">
        <v>686</v>
      </c>
      <c r="E93">
        <v>480</v>
      </c>
      <c r="F93">
        <v>12</v>
      </c>
    </row>
    <row r="94" spans="1:7" x14ac:dyDescent="0.25">
      <c r="A94" t="s">
        <v>741</v>
      </c>
      <c r="B94" t="s">
        <v>684</v>
      </c>
      <c r="C94" t="s">
        <v>85</v>
      </c>
      <c r="D94" t="s">
        <v>686</v>
      </c>
      <c r="E94">
        <v>120</v>
      </c>
      <c r="F94">
        <v>3</v>
      </c>
    </row>
    <row r="95" spans="1:7" x14ac:dyDescent="0.25">
      <c r="A95" t="s">
        <v>741</v>
      </c>
      <c r="B95" t="s">
        <v>684</v>
      </c>
      <c r="C95" t="s">
        <v>696</v>
      </c>
      <c r="D95" t="s">
        <v>686</v>
      </c>
      <c r="E95">
        <v>20</v>
      </c>
      <c r="F95">
        <v>0.5</v>
      </c>
    </row>
    <row r="96" spans="1:7" x14ac:dyDescent="0.25">
      <c r="A96" t="s">
        <v>741</v>
      </c>
      <c r="B96" t="s">
        <v>684</v>
      </c>
      <c r="C96" t="s">
        <v>699</v>
      </c>
      <c r="D96" t="s">
        <v>686</v>
      </c>
      <c r="E96">
        <v>180</v>
      </c>
      <c r="F96">
        <v>4.5</v>
      </c>
    </row>
    <row r="97" spans="1:6" x14ac:dyDescent="0.25">
      <c r="A97" t="s">
        <v>741</v>
      </c>
      <c r="B97" t="s">
        <v>684</v>
      </c>
      <c r="C97" t="s">
        <v>701</v>
      </c>
      <c r="D97" t="s">
        <v>686</v>
      </c>
      <c r="E97">
        <v>120</v>
      </c>
      <c r="F97">
        <v>3</v>
      </c>
    </row>
    <row r="98" spans="1:6" x14ac:dyDescent="0.25">
      <c r="A98" t="s">
        <v>741</v>
      </c>
      <c r="B98" t="s">
        <v>684</v>
      </c>
      <c r="C98" t="s">
        <v>125</v>
      </c>
      <c r="D98" t="s">
        <v>686</v>
      </c>
      <c r="E98">
        <v>400</v>
      </c>
      <c r="F98" t="s">
        <v>709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677</v>
      </c>
      <c r="C1" t="s">
        <v>742</v>
      </c>
      <c r="D1" t="s">
        <v>743</v>
      </c>
    </row>
    <row r="2" spans="1:4" x14ac:dyDescent="0.25">
      <c r="A2" s="89">
        <v>45962</v>
      </c>
      <c r="B2" t="s">
        <v>744</v>
      </c>
      <c r="C2" t="s">
        <v>745</v>
      </c>
      <c r="D2">
        <v>11</v>
      </c>
    </row>
    <row r="3" spans="1:4" x14ac:dyDescent="0.25">
      <c r="A3" s="89">
        <v>45962</v>
      </c>
      <c r="B3" t="s">
        <v>713</v>
      </c>
      <c r="C3" t="s">
        <v>745</v>
      </c>
      <c r="D3">
        <v>11</v>
      </c>
    </row>
    <row r="4" spans="1:4" x14ac:dyDescent="0.25">
      <c r="A4" s="89">
        <v>45962</v>
      </c>
      <c r="B4" t="s">
        <v>746</v>
      </c>
      <c r="C4" t="s">
        <v>745</v>
      </c>
      <c r="D4">
        <v>1</v>
      </c>
    </row>
    <row r="5" spans="1:4" x14ac:dyDescent="0.25">
      <c r="A5" s="89">
        <v>45963</v>
      </c>
      <c r="B5" t="s">
        <v>683</v>
      </c>
      <c r="C5" t="s">
        <v>745</v>
      </c>
      <c r="D5">
        <v>9</v>
      </c>
    </row>
    <row r="6" spans="1:4" x14ac:dyDescent="0.25">
      <c r="A6" s="89">
        <v>45963</v>
      </c>
      <c r="B6" t="s">
        <v>747</v>
      </c>
      <c r="C6" t="s">
        <v>745</v>
      </c>
      <c r="D6">
        <v>7</v>
      </c>
    </row>
    <row r="7" spans="1:4" x14ac:dyDescent="0.25">
      <c r="A7" s="89">
        <v>45963</v>
      </c>
      <c r="B7" t="s">
        <v>748</v>
      </c>
      <c r="C7" t="s">
        <v>745</v>
      </c>
      <c r="D7">
        <v>7</v>
      </c>
    </row>
    <row r="8" spans="1:4" x14ac:dyDescent="0.25">
      <c r="A8" s="89">
        <v>45963</v>
      </c>
      <c r="B8" t="s">
        <v>749</v>
      </c>
      <c r="C8" t="s">
        <v>745</v>
      </c>
      <c r="D8">
        <v>7</v>
      </c>
    </row>
    <row r="9" spans="1:4" x14ac:dyDescent="0.25">
      <c r="A9" s="89">
        <v>45963</v>
      </c>
      <c r="B9" t="s">
        <v>750</v>
      </c>
      <c r="C9" t="s">
        <v>745</v>
      </c>
      <c r="D9">
        <v>1</v>
      </c>
    </row>
    <row r="10" spans="1:4" x14ac:dyDescent="0.25">
      <c r="A10" s="89">
        <v>45963</v>
      </c>
      <c r="B10" t="s">
        <v>751</v>
      </c>
      <c r="C10" t="s">
        <v>745</v>
      </c>
      <c r="D10">
        <v>9</v>
      </c>
    </row>
    <row r="11" spans="1:4" x14ac:dyDescent="0.25">
      <c r="A11" s="89">
        <v>45963</v>
      </c>
      <c r="B11" t="s">
        <v>752</v>
      </c>
      <c r="C11" t="s">
        <v>745</v>
      </c>
      <c r="D11">
        <v>1</v>
      </c>
    </row>
    <row r="12" spans="1:4" x14ac:dyDescent="0.25">
      <c r="A12" s="89">
        <v>45963</v>
      </c>
      <c r="B12" t="s">
        <v>753</v>
      </c>
      <c r="C12" t="s">
        <v>745</v>
      </c>
      <c r="D12">
        <v>1</v>
      </c>
    </row>
    <row r="13" spans="1:4" x14ac:dyDescent="0.25">
      <c r="A13" s="89">
        <v>45967</v>
      </c>
      <c r="B13" t="s">
        <v>754</v>
      </c>
      <c r="C13" t="s">
        <v>745</v>
      </c>
      <c r="D13">
        <v>1</v>
      </c>
    </row>
    <row r="14" spans="1:4" x14ac:dyDescent="0.25">
      <c r="A14" s="89">
        <v>45968</v>
      </c>
      <c r="B14" t="s">
        <v>755</v>
      </c>
      <c r="C14" t="s">
        <v>745</v>
      </c>
      <c r="D14">
        <v>4</v>
      </c>
    </row>
    <row r="15" spans="1:4" x14ac:dyDescent="0.25">
      <c r="A15" s="89">
        <v>45968</v>
      </c>
      <c r="B15" t="s">
        <v>756</v>
      </c>
      <c r="C15" t="s">
        <v>745</v>
      </c>
      <c r="D15">
        <v>6</v>
      </c>
    </row>
    <row r="16" spans="1:4" x14ac:dyDescent="0.25">
      <c r="A16" s="89">
        <v>45968</v>
      </c>
      <c r="B16" t="s">
        <v>757</v>
      </c>
      <c r="C16" t="s">
        <v>745</v>
      </c>
      <c r="D16">
        <v>1</v>
      </c>
    </row>
    <row r="17" spans="1:4" x14ac:dyDescent="0.25">
      <c r="A17" s="89">
        <v>45968</v>
      </c>
      <c r="B17" t="s">
        <v>758</v>
      </c>
      <c r="C17" t="s">
        <v>745</v>
      </c>
      <c r="D17">
        <v>4</v>
      </c>
    </row>
    <row r="18" spans="1:4" x14ac:dyDescent="0.25">
      <c r="A18" s="89">
        <v>45968</v>
      </c>
      <c r="B18" t="s">
        <v>759</v>
      </c>
      <c r="C18" t="s">
        <v>745</v>
      </c>
      <c r="D18">
        <v>2</v>
      </c>
    </row>
    <row r="19" spans="1:4" x14ac:dyDescent="0.25">
      <c r="A19" s="89">
        <v>45968</v>
      </c>
      <c r="B19" t="s">
        <v>760</v>
      </c>
      <c r="C19" t="s">
        <v>745</v>
      </c>
      <c r="D19">
        <v>2</v>
      </c>
    </row>
    <row r="20" spans="1:4" x14ac:dyDescent="0.25">
      <c r="A20" s="89">
        <v>45968</v>
      </c>
      <c r="B20" t="s">
        <v>761</v>
      </c>
      <c r="C20" t="s">
        <v>745</v>
      </c>
      <c r="D20">
        <v>8</v>
      </c>
    </row>
    <row r="21" spans="1:4" x14ac:dyDescent="0.25">
      <c r="A21" s="89">
        <v>45968</v>
      </c>
      <c r="B21" t="s">
        <v>762</v>
      </c>
      <c r="C21" t="s">
        <v>745</v>
      </c>
      <c r="D21">
        <v>5</v>
      </c>
    </row>
    <row r="22" spans="1:4" x14ac:dyDescent="0.25">
      <c r="A22" s="89">
        <v>45968</v>
      </c>
      <c r="B22" t="s">
        <v>763</v>
      </c>
      <c r="C22" t="s">
        <v>745</v>
      </c>
      <c r="D22">
        <v>1</v>
      </c>
    </row>
    <row r="23" spans="1:4" x14ac:dyDescent="0.25">
      <c r="A23" s="89">
        <v>45971</v>
      </c>
      <c r="B23" t="s">
        <v>764</v>
      </c>
      <c r="C23" t="s">
        <v>765</v>
      </c>
      <c r="D23">
        <v>1</v>
      </c>
    </row>
    <row r="24" spans="1:4" x14ac:dyDescent="0.25">
      <c r="A24" s="89">
        <v>45971</v>
      </c>
      <c r="B24" t="s">
        <v>759</v>
      </c>
      <c r="C24" t="s">
        <v>765</v>
      </c>
      <c r="D24">
        <v>1</v>
      </c>
    </row>
    <row r="25" spans="1:4" x14ac:dyDescent="0.25">
      <c r="A25" s="89">
        <v>45973</v>
      </c>
      <c r="B25" t="s">
        <v>766</v>
      </c>
      <c r="C25" t="s">
        <v>767</v>
      </c>
      <c r="D25">
        <v>1</v>
      </c>
    </row>
    <row r="26" spans="1:4" x14ac:dyDescent="0.25">
      <c r="A26" s="89">
        <v>45974</v>
      </c>
      <c r="B26" t="s">
        <v>768</v>
      </c>
      <c r="C26" t="s">
        <v>745</v>
      </c>
      <c r="D26">
        <v>1</v>
      </c>
    </row>
    <row r="27" spans="1:4" x14ac:dyDescent="0.25">
      <c r="A27" s="89">
        <v>45974</v>
      </c>
      <c r="B27" t="s">
        <v>769</v>
      </c>
      <c r="C27" t="s">
        <v>745</v>
      </c>
      <c r="D27">
        <v>1</v>
      </c>
    </row>
    <row r="28" spans="1:4" x14ac:dyDescent="0.25">
      <c r="A28" s="89">
        <v>45974</v>
      </c>
      <c r="B28" t="s">
        <v>158</v>
      </c>
      <c r="C28" t="s">
        <v>745</v>
      </c>
      <c r="D28">
        <v>1</v>
      </c>
    </row>
    <row r="29" spans="1:4" x14ac:dyDescent="0.25">
      <c r="A29" s="89">
        <v>45974</v>
      </c>
      <c r="B29" t="s">
        <v>770</v>
      </c>
      <c r="C29" t="s">
        <v>745</v>
      </c>
      <c r="D29">
        <v>1</v>
      </c>
    </row>
    <row r="30" spans="1:4" x14ac:dyDescent="0.25">
      <c r="A30" s="89">
        <v>45974</v>
      </c>
      <c r="B30" t="s">
        <v>771</v>
      </c>
      <c r="C30" t="s">
        <v>745</v>
      </c>
      <c r="D30">
        <v>1</v>
      </c>
    </row>
    <row r="31" spans="1:4" x14ac:dyDescent="0.25">
      <c r="A31" s="89">
        <v>45974</v>
      </c>
      <c r="B31" t="s">
        <v>772</v>
      </c>
      <c r="C31" t="s">
        <v>745</v>
      </c>
      <c r="D31">
        <v>1</v>
      </c>
    </row>
    <row r="32" spans="1:4" x14ac:dyDescent="0.25">
      <c r="A32" s="89">
        <v>45974</v>
      </c>
      <c r="B32" t="s">
        <v>773</v>
      </c>
      <c r="C32" t="s">
        <v>745</v>
      </c>
      <c r="D32">
        <v>1</v>
      </c>
    </row>
    <row r="33" spans="1:4" x14ac:dyDescent="0.25">
      <c r="A33" s="89">
        <v>45974</v>
      </c>
      <c r="B33" t="s">
        <v>774</v>
      </c>
      <c r="C33" t="s">
        <v>745</v>
      </c>
      <c r="D33">
        <v>1</v>
      </c>
    </row>
    <row r="34" spans="1:4" x14ac:dyDescent="0.25">
      <c r="A34" s="89">
        <v>45979</v>
      </c>
      <c r="B34" t="s">
        <v>739</v>
      </c>
      <c r="C34" t="s">
        <v>765</v>
      </c>
      <c r="D34">
        <v>1</v>
      </c>
    </row>
    <row r="35" spans="1:4" x14ac:dyDescent="0.25">
      <c r="A35" s="89">
        <v>45979</v>
      </c>
      <c r="B35" t="s">
        <v>738</v>
      </c>
      <c r="C35" t="s">
        <v>765</v>
      </c>
      <c r="D35">
        <v>1</v>
      </c>
    </row>
    <row r="36" spans="1:4" x14ac:dyDescent="0.25">
      <c r="A36" s="89">
        <v>45981</v>
      </c>
      <c r="B36" t="s">
        <v>775</v>
      </c>
      <c r="C36" t="s">
        <v>767</v>
      </c>
      <c r="D36">
        <v>1</v>
      </c>
    </row>
    <row r="37" spans="1:4" x14ac:dyDescent="0.25">
      <c r="A37" s="89">
        <v>45981</v>
      </c>
      <c r="B37" t="s">
        <v>776</v>
      </c>
      <c r="C37" t="s">
        <v>767</v>
      </c>
      <c r="D37">
        <v>1</v>
      </c>
    </row>
    <row r="38" spans="1:4" x14ac:dyDescent="0.25">
      <c r="A38" s="89">
        <v>45981</v>
      </c>
      <c r="B38" t="s">
        <v>777</v>
      </c>
      <c r="C38" t="s">
        <v>767</v>
      </c>
      <c r="D38">
        <v>1</v>
      </c>
    </row>
    <row r="39" spans="1:4" x14ac:dyDescent="0.25">
      <c r="A39" s="89">
        <v>45981</v>
      </c>
      <c r="B39" t="s">
        <v>778</v>
      </c>
      <c r="C39" t="s">
        <v>745</v>
      </c>
      <c r="D39">
        <v>5</v>
      </c>
    </row>
    <row r="40" spans="1:4" x14ac:dyDescent="0.25">
      <c r="A40" s="89">
        <v>45981</v>
      </c>
      <c r="B40" t="s">
        <v>779</v>
      </c>
      <c r="C40" t="s">
        <v>745</v>
      </c>
      <c r="D40">
        <v>5</v>
      </c>
    </row>
    <row r="41" spans="1:4" x14ac:dyDescent="0.25">
      <c r="A41" s="89">
        <v>45981</v>
      </c>
      <c r="B41" t="s">
        <v>780</v>
      </c>
      <c r="C41" t="s">
        <v>745</v>
      </c>
      <c r="D41">
        <v>6</v>
      </c>
    </row>
    <row r="42" spans="1:4" x14ac:dyDescent="0.25">
      <c r="A42" s="89">
        <v>45981</v>
      </c>
      <c r="B42" t="s">
        <v>781</v>
      </c>
      <c r="C42" t="s">
        <v>745</v>
      </c>
      <c r="D42">
        <v>6</v>
      </c>
    </row>
    <row r="43" spans="1:4" x14ac:dyDescent="0.25">
      <c r="A43" s="89">
        <v>45981</v>
      </c>
      <c r="B43" t="s">
        <v>782</v>
      </c>
      <c r="C43" t="s">
        <v>745</v>
      </c>
      <c r="D43">
        <v>6</v>
      </c>
    </row>
    <row r="44" spans="1:4" x14ac:dyDescent="0.25">
      <c r="A44" s="89">
        <v>45981</v>
      </c>
      <c r="B44" t="s">
        <v>783</v>
      </c>
      <c r="C44" t="s">
        <v>745</v>
      </c>
      <c r="D44">
        <v>1</v>
      </c>
    </row>
    <row r="45" spans="1:4" x14ac:dyDescent="0.25">
      <c r="A45" s="89">
        <v>45981</v>
      </c>
      <c r="B45" t="s">
        <v>784</v>
      </c>
      <c r="C45" t="s">
        <v>745</v>
      </c>
      <c r="D45">
        <v>2</v>
      </c>
    </row>
    <row r="46" spans="1:4" x14ac:dyDescent="0.25">
      <c r="A46" s="89">
        <v>45982</v>
      </c>
      <c r="B46" t="s">
        <v>776</v>
      </c>
      <c r="C46" t="s">
        <v>767</v>
      </c>
      <c r="D46">
        <v>1</v>
      </c>
    </row>
    <row r="47" spans="1:4" x14ac:dyDescent="0.25">
      <c r="A47" s="89">
        <v>45982</v>
      </c>
      <c r="B47" t="s">
        <v>785</v>
      </c>
      <c r="C47" t="s">
        <v>767</v>
      </c>
      <c r="D47">
        <v>1</v>
      </c>
    </row>
    <row r="48" spans="1:4" x14ac:dyDescent="0.25">
      <c r="A48" s="89">
        <v>45982</v>
      </c>
      <c r="B48" t="s">
        <v>713</v>
      </c>
      <c r="C48" t="s">
        <v>767</v>
      </c>
      <c r="D48">
        <v>1</v>
      </c>
    </row>
    <row r="49" spans="1:4" x14ac:dyDescent="0.25">
      <c r="A49" s="89">
        <v>45982</v>
      </c>
      <c r="B49" t="s">
        <v>753</v>
      </c>
      <c r="C49" t="s">
        <v>745</v>
      </c>
      <c r="D49">
        <v>2</v>
      </c>
    </row>
    <row r="50" spans="1:4" x14ac:dyDescent="0.25">
      <c r="A50" s="89">
        <v>45984</v>
      </c>
      <c r="B50" t="s">
        <v>786</v>
      </c>
      <c r="C50" t="s">
        <v>767</v>
      </c>
      <c r="D50">
        <v>1</v>
      </c>
    </row>
    <row r="51" spans="1:4" x14ac:dyDescent="0.25">
      <c r="A51" s="89">
        <v>45985</v>
      </c>
      <c r="B51" t="s">
        <v>749</v>
      </c>
      <c r="C51" t="s">
        <v>765</v>
      </c>
      <c r="D51">
        <v>1</v>
      </c>
    </row>
    <row r="52" spans="1:4" x14ac:dyDescent="0.25">
      <c r="A52" s="89">
        <v>45985</v>
      </c>
      <c r="B52" t="s">
        <v>761</v>
      </c>
      <c r="C52" t="s">
        <v>765</v>
      </c>
      <c r="D52">
        <v>1</v>
      </c>
    </row>
    <row r="53" spans="1:4" x14ac:dyDescent="0.25">
      <c r="A53" s="89">
        <v>45986</v>
      </c>
      <c r="B53" t="s">
        <v>787</v>
      </c>
      <c r="C53" t="s">
        <v>767</v>
      </c>
      <c r="D53">
        <v>1</v>
      </c>
    </row>
    <row r="54" spans="1:4" x14ac:dyDescent="0.25">
      <c r="A54" s="89">
        <v>45986</v>
      </c>
      <c r="B54" t="s">
        <v>788</v>
      </c>
      <c r="C54" t="s">
        <v>767</v>
      </c>
      <c r="D54">
        <v>1</v>
      </c>
    </row>
    <row r="55" spans="1:4" x14ac:dyDescent="0.25">
      <c r="A55" s="89">
        <v>45987</v>
      </c>
      <c r="B55" t="s">
        <v>789</v>
      </c>
      <c r="C55" t="s">
        <v>767</v>
      </c>
      <c r="D55">
        <v>1</v>
      </c>
    </row>
    <row r="56" spans="1:4" x14ac:dyDescent="0.25">
      <c r="A56" s="89">
        <v>45987</v>
      </c>
      <c r="B56" t="s">
        <v>790</v>
      </c>
      <c r="C56" t="s">
        <v>767</v>
      </c>
      <c r="D56">
        <v>1</v>
      </c>
    </row>
    <row r="57" spans="1:4" x14ac:dyDescent="0.25">
      <c r="A57" s="89">
        <v>45988</v>
      </c>
      <c r="B57" t="s">
        <v>762</v>
      </c>
      <c r="C57" t="s">
        <v>745</v>
      </c>
      <c r="D57">
        <v>1</v>
      </c>
    </row>
    <row r="58" spans="1:4" x14ac:dyDescent="0.25">
      <c r="A58" s="89">
        <v>45988</v>
      </c>
      <c r="B58" t="s">
        <v>791</v>
      </c>
      <c r="C58" t="s">
        <v>745</v>
      </c>
      <c r="D58">
        <v>1</v>
      </c>
    </row>
    <row r="59" spans="1:4" x14ac:dyDescent="0.25">
      <c r="A59" s="89">
        <v>45988</v>
      </c>
      <c r="B59" t="s">
        <v>792</v>
      </c>
      <c r="C59" t="s">
        <v>745</v>
      </c>
      <c r="D59">
        <v>1</v>
      </c>
    </row>
    <row r="60" spans="1:4" x14ac:dyDescent="0.25">
      <c r="A60" s="89">
        <v>45988</v>
      </c>
      <c r="B60" t="s">
        <v>793</v>
      </c>
      <c r="C60" t="s">
        <v>745</v>
      </c>
      <c r="D60">
        <v>1</v>
      </c>
    </row>
    <row r="61" spans="1:4" x14ac:dyDescent="0.25">
      <c r="A61" s="89">
        <v>45989</v>
      </c>
      <c r="B61" t="s">
        <v>794</v>
      </c>
      <c r="C61" t="s">
        <v>745</v>
      </c>
      <c r="D61">
        <v>1</v>
      </c>
    </row>
    <row r="62" spans="1:4" x14ac:dyDescent="0.25">
      <c r="A62" s="89">
        <v>45989</v>
      </c>
      <c r="B62" t="s">
        <v>791</v>
      </c>
      <c r="C62" t="s">
        <v>745</v>
      </c>
      <c r="D62">
        <v>1</v>
      </c>
    </row>
    <row r="63" spans="1:4" x14ac:dyDescent="0.25">
      <c r="A63" s="89">
        <v>45989</v>
      </c>
      <c r="B63" t="s">
        <v>792</v>
      </c>
      <c r="C63" t="s">
        <v>745</v>
      </c>
      <c r="D63">
        <v>1</v>
      </c>
    </row>
    <row r="64" spans="1:4" x14ac:dyDescent="0.25">
      <c r="A64" s="89">
        <v>45989</v>
      </c>
      <c r="B64" t="s">
        <v>793</v>
      </c>
      <c r="C64" t="s">
        <v>745</v>
      </c>
      <c r="D64">
        <v>1</v>
      </c>
    </row>
    <row r="65" spans="1:4" x14ac:dyDescent="0.25">
      <c r="A65" s="89">
        <v>45989</v>
      </c>
      <c r="B65" t="s">
        <v>795</v>
      </c>
      <c r="C65" t="s">
        <v>745</v>
      </c>
      <c r="D65">
        <v>1</v>
      </c>
    </row>
    <row r="66" spans="1:4" x14ac:dyDescent="0.25">
      <c r="A66" s="89">
        <v>45989</v>
      </c>
      <c r="B66" t="s">
        <v>796</v>
      </c>
      <c r="C66" t="s">
        <v>745</v>
      </c>
      <c r="D66">
        <v>1</v>
      </c>
    </row>
    <row r="67" spans="1:4" x14ac:dyDescent="0.25">
      <c r="A67" s="89">
        <v>45990</v>
      </c>
      <c r="B67" t="s">
        <v>776</v>
      </c>
      <c r="C67" t="s">
        <v>765</v>
      </c>
      <c r="D67">
        <v>1</v>
      </c>
    </row>
    <row r="68" spans="1:4" x14ac:dyDescent="0.25">
      <c r="A68" s="89">
        <v>45990</v>
      </c>
      <c r="B68" t="s">
        <v>785</v>
      </c>
      <c r="C68" t="s">
        <v>765</v>
      </c>
      <c r="D68">
        <v>1</v>
      </c>
    </row>
    <row r="69" spans="1:4" x14ac:dyDescent="0.25">
      <c r="A69" s="89">
        <v>45990</v>
      </c>
      <c r="B69" t="s">
        <v>797</v>
      </c>
      <c r="C69" t="s">
        <v>765</v>
      </c>
      <c r="D69">
        <v>1</v>
      </c>
    </row>
    <row r="70" spans="1:4" x14ac:dyDescent="0.25">
      <c r="A70" s="89">
        <v>45990</v>
      </c>
      <c r="B70" t="s">
        <v>744</v>
      </c>
      <c r="C70" t="s">
        <v>765</v>
      </c>
      <c r="D70">
        <v>2</v>
      </c>
    </row>
    <row r="71" spans="1:4" x14ac:dyDescent="0.25">
      <c r="A71" s="89">
        <v>45990</v>
      </c>
      <c r="B71" t="s">
        <v>713</v>
      </c>
      <c r="C71" t="s">
        <v>765</v>
      </c>
      <c r="D71">
        <v>1</v>
      </c>
    </row>
    <row r="72" spans="1:4" x14ac:dyDescent="0.25">
      <c r="A72" s="89">
        <v>45990</v>
      </c>
      <c r="B72" t="s">
        <v>798</v>
      </c>
      <c r="C72" t="s">
        <v>765</v>
      </c>
      <c r="D72">
        <v>2</v>
      </c>
    </row>
    <row r="73" spans="1:4" x14ac:dyDescent="0.25">
      <c r="A73" s="89">
        <v>45990</v>
      </c>
      <c r="B73" t="s">
        <v>741</v>
      </c>
      <c r="C73" t="s">
        <v>765</v>
      </c>
      <c r="D73">
        <v>1</v>
      </c>
    </row>
    <row r="74" spans="1:4" x14ac:dyDescent="0.25">
      <c r="A74" s="89">
        <v>45990</v>
      </c>
      <c r="B74" t="s">
        <v>799</v>
      </c>
      <c r="C74" t="s">
        <v>765</v>
      </c>
      <c r="D74">
        <v>2</v>
      </c>
    </row>
    <row r="75" spans="1:4" x14ac:dyDescent="0.25">
      <c r="A75" s="89">
        <v>45990</v>
      </c>
      <c r="B75" t="s">
        <v>800</v>
      </c>
      <c r="C75" t="s">
        <v>765</v>
      </c>
      <c r="D75">
        <v>1</v>
      </c>
    </row>
    <row r="76" spans="1:4" x14ac:dyDescent="0.25">
      <c r="A76" s="89">
        <v>45990</v>
      </c>
      <c r="B76" t="s">
        <v>713</v>
      </c>
      <c r="C76" t="s">
        <v>765</v>
      </c>
      <c r="D76">
        <v>1</v>
      </c>
    </row>
    <row r="77" spans="1:4" x14ac:dyDescent="0.25">
      <c r="A77" s="89">
        <v>45990</v>
      </c>
      <c r="B77" t="s">
        <v>738</v>
      </c>
      <c r="C77" t="s">
        <v>765</v>
      </c>
      <c r="D77">
        <v>1</v>
      </c>
    </row>
    <row r="78" spans="1:4" x14ac:dyDescent="0.25">
      <c r="A78" s="89">
        <v>45990</v>
      </c>
      <c r="B78" t="s">
        <v>683</v>
      </c>
      <c r="C78" t="s">
        <v>765</v>
      </c>
      <c r="D78">
        <v>1</v>
      </c>
    </row>
    <row r="79" spans="1:4" x14ac:dyDescent="0.25">
      <c r="A79" s="89">
        <v>45990</v>
      </c>
      <c r="B79" t="s">
        <v>151</v>
      </c>
      <c r="C79" t="s">
        <v>765</v>
      </c>
      <c r="D79">
        <v>1</v>
      </c>
    </row>
    <row r="80" spans="1:4" x14ac:dyDescent="0.25">
      <c r="A80" s="89">
        <v>45990</v>
      </c>
      <c r="B80" t="s">
        <v>265</v>
      </c>
      <c r="C80" t="s">
        <v>765</v>
      </c>
      <c r="D80">
        <v>1</v>
      </c>
    </row>
    <row r="81" spans="1:4" x14ac:dyDescent="0.25">
      <c r="A81" s="89">
        <v>45991</v>
      </c>
      <c r="B81" t="s">
        <v>801</v>
      </c>
      <c r="C81" t="s">
        <v>745</v>
      </c>
      <c r="D81">
        <v>1</v>
      </c>
    </row>
    <row r="82" spans="1:4" x14ac:dyDescent="0.25">
      <c r="A82" s="89">
        <v>45991</v>
      </c>
      <c r="B82" t="s">
        <v>802</v>
      </c>
      <c r="C82" t="s">
        <v>745</v>
      </c>
      <c r="D82">
        <v>1</v>
      </c>
    </row>
    <row r="83" spans="1:4" x14ac:dyDescent="0.25">
      <c r="A83" s="89">
        <v>45991</v>
      </c>
      <c r="B83" t="s">
        <v>803</v>
      </c>
      <c r="C83" t="s">
        <v>745</v>
      </c>
      <c r="D83">
        <v>1</v>
      </c>
    </row>
    <row r="84" spans="1:4" x14ac:dyDescent="0.25">
      <c r="A84" s="89">
        <v>45991</v>
      </c>
      <c r="B84" t="s">
        <v>683</v>
      </c>
      <c r="C84" t="s">
        <v>745</v>
      </c>
      <c r="D84">
        <v>1</v>
      </c>
    </row>
    <row r="85" spans="1:4" x14ac:dyDescent="0.25">
      <c r="A85" s="89">
        <v>45991</v>
      </c>
      <c r="B85" t="s">
        <v>804</v>
      </c>
      <c r="C85" t="s">
        <v>745</v>
      </c>
      <c r="D85">
        <v>1</v>
      </c>
    </row>
    <row r="86" spans="1:4" x14ac:dyDescent="0.25">
      <c r="A86" s="89">
        <v>45991</v>
      </c>
      <c r="B86" t="s">
        <v>805</v>
      </c>
      <c r="C86" t="s">
        <v>745</v>
      </c>
      <c r="D86">
        <v>2</v>
      </c>
    </row>
    <row r="87" spans="1:4" x14ac:dyDescent="0.25">
      <c r="A87" s="89">
        <v>45991</v>
      </c>
      <c r="B87" t="s">
        <v>806</v>
      </c>
      <c r="C87" t="s">
        <v>745</v>
      </c>
      <c r="D87">
        <v>2</v>
      </c>
    </row>
    <row r="88" spans="1:4" x14ac:dyDescent="0.25">
      <c r="A88" s="89">
        <v>45991</v>
      </c>
      <c r="B88" t="s">
        <v>807</v>
      </c>
      <c r="C88" t="s">
        <v>745</v>
      </c>
      <c r="D88">
        <v>1</v>
      </c>
    </row>
    <row r="89" spans="1:4" x14ac:dyDescent="0.25">
      <c r="A89" s="89">
        <v>45991</v>
      </c>
      <c r="B89" t="s">
        <v>741</v>
      </c>
      <c r="C89" t="s">
        <v>745</v>
      </c>
      <c r="D89">
        <v>1</v>
      </c>
    </row>
    <row r="90" spans="1:4" x14ac:dyDescent="0.25">
      <c r="A90" s="89">
        <v>45991</v>
      </c>
      <c r="B90" t="s">
        <v>808</v>
      </c>
      <c r="C90" t="s">
        <v>745</v>
      </c>
      <c r="D90">
        <v>1</v>
      </c>
    </row>
    <row r="91" spans="1:4" x14ac:dyDescent="0.25">
      <c r="A91" s="89">
        <v>45991</v>
      </c>
      <c r="B91" t="s">
        <v>809</v>
      </c>
      <c r="C91" t="s">
        <v>745</v>
      </c>
      <c r="D91">
        <v>1</v>
      </c>
    </row>
    <row r="92" spans="1:4" x14ac:dyDescent="0.25">
      <c r="A92" s="89">
        <v>45991</v>
      </c>
      <c r="B92" t="s">
        <v>683</v>
      </c>
      <c r="C92" t="s">
        <v>745</v>
      </c>
      <c r="D92">
        <v>1</v>
      </c>
    </row>
    <row r="93" spans="1:4" x14ac:dyDescent="0.25">
      <c r="A93" s="89">
        <v>45991</v>
      </c>
      <c r="B93" t="s">
        <v>738</v>
      </c>
      <c r="C93" t="s">
        <v>745</v>
      </c>
      <c r="D93">
        <v>1</v>
      </c>
    </row>
    <row r="94" spans="1:4" x14ac:dyDescent="0.25">
      <c r="A94" s="89">
        <v>45991</v>
      </c>
      <c r="B94" t="s">
        <v>297</v>
      </c>
      <c r="C94" t="s">
        <v>745</v>
      </c>
      <c r="D94">
        <v>1</v>
      </c>
    </row>
    <row r="95" spans="1:4" x14ac:dyDescent="0.25">
      <c r="A95" s="89">
        <v>45992</v>
      </c>
      <c r="B95" t="s">
        <v>810</v>
      </c>
      <c r="C95" t="s">
        <v>765</v>
      </c>
      <c r="D95">
        <v>1</v>
      </c>
    </row>
    <row r="96" spans="1:4" x14ac:dyDescent="0.25">
      <c r="A96" s="89">
        <v>45992</v>
      </c>
      <c r="B96" t="s">
        <v>740</v>
      </c>
      <c r="C96" t="s">
        <v>765</v>
      </c>
      <c r="D96">
        <v>1</v>
      </c>
    </row>
    <row r="97" spans="1:4" x14ac:dyDescent="0.25">
      <c r="A97" s="89">
        <v>45993</v>
      </c>
      <c r="B97" t="s">
        <v>751</v>
      </c>
      <c r="C97" t="s">
        <v>745</v>
      </c>
      <c r="D97">
        <v>1</v>
      </c>
    </row>
    <row r="98" spans="1:4" x14ac:dyDescent="0.25">
      <c r="A98" s="89">
        <v>45994</v>
      </c>
      <c r="B98" t="s">
        <v>811</v>
      </c>
      <c r="C98" t="s">
        <v>767</v>
      </c>
      <c r="D98">
        <v>1</v>
      </c>
    </row>
    <row r="99" spans="1:4" x14ac:dyDescent="0.25">
      <c r="A99" s="89">
        <v>45995</v>
      </c>
      <c r="B99" t="s">
        <v>812</v>
      </c>
      <c r="C99" t="s">
        <v>745</v>
      </c>
      <c r="D99">
        <v>1</v>
      </c>
    </row>
    <row r="100" spans="1:4" x14ac:dyDescent="0.25">
      <c r="A100" s="89">
        <v>45995</v>
      </c>
      <c r="B100" t="s">
        <v>813</v>
      </c>
      <c r="C100" t="s">
        <v>745</v>
      </c>
      <c r="D100">
        <v>1</v>
      </c>
    </row>
    <row r="101" spans="1:4" x14ac:dyDescent="0.25">
      <c r="A101" s="89">
        <v>45995</v>
      </c>
      <c r="B101" t="s">
        <v>814</v>
      </c>
      <c r="C101" t="s">
        <v>745</v>
      </c>
      <c r="D101">
        <v>1</v>
      </c>
    </row>
    <row r="102" spans="1:4" x14ac:dyDescent="0.25">
      <c r="A102" s="89">
        <v>45995</v>
      </c>
      <c r="B102" t="s">
        <v>809</v>
      </c>
      <c r="C102" t="s">
        <v>745</v>
      </c>
      <c r="D102">
        <v>1</v>
      </c>
    </row>
    <row r="103" spans="1:4" x14ac:dyDescent="0.25">
      <c r="A103" s="89">
        <v>45995</v>
      </c>
      <c r="B103" t="s">
        <v>815</v>
      </c>
      <c r="C103" t="s">
        <v>745</v>
      </c>
      <c r="D103">
        <v>1</v>
      </c>
    </row>
    <row r="104" spans="1:4" x14ac:dyDescent="0.25">
      <c r="A104" s="89">
        <v>45995</v>
      </c>
      <c r="B104" t="s">
        <v>816</v>
      </c>
      <c r="C104" t="s">
        <v>745</v>
      </c>
      <c r="D104">
        <v>1</v>
      </c>
    </row>
    <row r="105" spans="1:4" x14ac:dyDescent="0.25">
      <c r="A105" s="89">
        <v>45995</v>
      </c>
      <c r="B105" t="s">
        <v>748</v>
      </c>
      <c r="C105" t="s">
        <v>745</v>
      </c>
      <c r="D105">
        <v>1</v>
      </c>
    </row>
    <row r="106" spans="1:4" x14ac:dyDescent="0.25">
      <c r="A106" s="89">
        <v>45995</v>
      </c>
      <c r="B106" t="s">
        <v>817</v>
      </c>
      <c r="C106" t="s">
        <v>745</v>
      </c>
      <c r="D106">
        <v>2</v>
      </c>
    </row>
    <row r="107" spans="1:4" x14ac:dyDescent="0.25">
      <c r="A107" s="89">
        <v>45995</v>
      </c>
      <c r="B107" t="s">
        <v>818</v>
      </c>
      <c r="C107" t="s">
        <v>745</v>
      </c>
      <c r="D107">
        <v>1</v>
      </c>
    </row>
    <row r="108" spans="1:4" x14ac:dyDescent="0.25">
      <c r="A108" s="89">
        <v>45995</v>
      </c>
      <c r="B108" t="s">
        <v>762</v>
      </c>
      <c r="C108" t="s">
        <v>745</v>
      </c>
      <c r="D108">
        <v>1</v>
      </c>
    </row>
    <row r="109" spans="1:4" x14ac:dyDescent="0.25">
      <c r="A109" s="89">
        <v>45995</v>
      </c>
      <c r="B109" t="s">
        <v>819</v>
      </c>
      <c r="C109" t="s">
        <v>745</v>
      </c>
      <c r="D109">
        <v>1</v>
      </c>
    </row>
    <row r="110" spans="1:4" x14ac:dyDescent="0.25">
      <c r="A110" s="89">
        <v>45995</v>
      </c>
      <c r="B110" t="s">
        <v>783</v>
      </c>
      <c r="C110" t="s">
        <v>745</v>
      </c>
      <c r="D110">
        <v>1</v>
      </c>
    </row>
    <row r="111" spans="1:4" x14ac:dyDescent="0.25">
      <c r="A111" s="89">
        <v>45995</v>
      </c>
      <c r="B111" t="s">
        <v>761</v>
      </c>
      <c r="C111" t="s">
        <v>745</v>
      </c>
      <c r="D111">
        <v>1</v>
      </c>
    </row>
    <row r="112" spans="1:4" x14ac:dyDescent="0.25">
      <c r="A112" s="89">
        <v>45996</v>
      </c>
      <c r="B112" t="s">
        <v>761</v>
      </c>
      <c r="C112" t="s">
        <v>745</v>
      </c>
      <c r="D112">
        <v>1</v>
      </c>
    </row>
    <row r="113" spans="1:4" x14ac:dyDescent="0.25">
      <c r="A113" s="89">
        <v>45996</v>
      </c>
      <c r="B113" t="s">
        <v>816</v>
      </c>
      <c r="C113" t="s">
        <v>745</v>
      </c>
      <c r="D113">
        <v>1</v>
      </c>
    </row>
    <row r="114" spans="1:4" x14ac:dyDescent="0.25">
      <c r="A114" s="89">
        <v>45996</v>
      </c>
      <c r="B114" t="s">
        <v>817</v>
      </c>
      <c r="C114" t="s">
        <v>745</v>
      </c>
      <c r="D114">
        <v>2</v>
      </c>
    </row>
    <row r="115" spans="1:4" x14ac:dyDescent="0.25">
      <c r="A115" s="89">
        <v>45996</v>
      </c>
      <c r="B115" t="s">
        <v>809</v>
      </c>
      <c r="C115" t="s">
        <v>745</v>
      </c>
      <c r="D115">
        <v>1</v>
      </c>
    </row>
    <row r="116" spans="1:4" x14ac:dyDescent="0.25">
      <c r="A116" s="89">
        <v>45996</v>
      </c>
      <c r="B116" t="s">
        <v>776</v>
      </c>
      <c r="C116" t="s">
        <v>745</v>
      </c>
      <c r="D116">
        <v>1</v>
      </c>
    </row>
    <row r="117" spans="1:4" x14ac:dyDescent="0.25">
      <c r="A117" s="89">
        <v>45997</v>
      </c>
      <c r="B117" t="s">
        <v>809</v>
      </c>
      <c r="C117" t="s">
        <v>745</v>
      </c>
      <c r="D117">
        <v>1</v>
      </c>
    </row>
    <row r="118" spans="1:4" x14ac:dyDescent="0.25">
      <c r="A118" s="89">
        <v>45997</v>
      </c>
      <c r="B118" t="s">
        <v>815</v>
      </c>
      <c r="C118" t="s">
        <v>745</v>
      </c>
      <c r="D118">
        <v>1</v>
      </c>
    </row>
    <row r="119" spans="1:4" x14ac:dyDescent="0.25">
      <c r="A119" s="89">
        <v>45997</v>
      </c>
      <c r="B119" t="s">
        <v>817</v>
      </c>
      <c r="C119" t="s">
        <v>745</v>
      </c>
      <c r="D119">
        <v>1</v>
      </c>
    </row>
    <row r="120" spans="1:4" x14ac:dyDescent="0.25">
      <c r="A120" s="89">
        <v>45997</v>
      </c>
      <c r="B120" t="s">
        <v>818</v>
      </c>
      <c r="C120" t="s">
        <v>745</v>
      </c>
      <c r="D120">
        <v>1</v>
      </c>
    </row>
    <row r="121" spans="1:4" x14ac:dyDescent="0.25">
      <c r="A121" s="89">
        <v>45997</v>
      </c>
      <c r="B121" t="s">
        <v>751</v>
      </c>
      <c r="C121" t="s">
        <v>745</v>
      </c>
      <c r="D121">
        <v>1</v>
      </c>
    </row>
    <row r="122" spans="1:4" x14ac:dyDescent="0.25">
      <c r="A122" s="89">
        <v>45997</v>
      </c>
      <c r="B122" t="s">
        <v>819</v>
      </c>
      <c r="C122" t="s">
        <v>745</v>
      </c>
      <c r="D122">
        <v>1</v>
      </c>
    </row>
    <row r="123" spans="1:4" x14ac:dyDescent="0.25">
      <c r="A123" s="89">
        <v>45997</v>
      </c>
      <c r="B123" t="s">
        <v>820</v>
      </c>
      <c r="C123" t="s">
        <v>745</v>
      </c>
      <c r="D123">
        <v>1</v>
      </c>
    </row>
    <row r="124" spans="1:4" x14ac:dyDescent="0.25">
      <c r="A124" s="89">
        <v>45997</v>
      </c>
      <c r="B124" t="s">
        <v>740</v>
      </c>
      <c r="C124" t="s">
        <v>745</v>
      </c>
      <c r="D124">
        <v>1</v>
      </c>
    </row>
    <row r="125" spans="1:4" x14ac:dyDescent="0.25">
      <c r="A125" s="89">
        <v>45997</v>
      </c>
      <c r="B125" t="s">
        <v>713</v>
      </c>
      <c r="C125" t="s">
        <v>745</v>
      </c>
      <c r="D125">
        <v>1</v>
      </c>
    </row>
    <row r="126" spans="1:4" x14ac:dyDescent="0.25">
      <c r="A126" s="89">
        <v>45997</v>
      </c>
      <c r="B126" t="s">
        <v>818</v>
      </c>
      <c r="C126" t="s">
        <v>745</v>
      </c>
      <c r="D126">
        <v>1</v>
      </c>
    </row>
    <row r="127" spans="1:4" x14ac:dyDescent="0.25">
      <c r="A127" s="89">
        <v>45997</v>
      </c>
      <c r="B127" t="s">
        <v>751</v>
      </c>
      <c r="C127" t="s">
        <v>745</v>
      </c>
      <c r="D127">
        <v>1</v>
      </c>
    </row>
    <row r="128" spans="1:4" x14ac:dyDescent="0.25">
      <c r="A128" s="89">
        <v>45997</v>
      </c>
      <c r="B128" t="s">
        <v>756</v>
      </c>
      <c r="C128" t="s">
        <v>745</v>
      </c>
      <c r="D128">
        <v>1</v>
      </c>
    </row>
    <row r="129" spans="1:4" x14ac:dyDescent="0.25">
      <c r="A129" s="89">
        <v>45997</v>
      </c>
      <c r="B129" t="s">
        <v>762</v>
      </c>
      <c r="C129" t="s">
        <v>745</v>
      </c>
      <c r="D129">
        <v>1</v>
      </c>
    </row>
    <row r="130" spans="1:4" x14ac:dyDescent="0.25">
      <c r="A130" s="89">
        <v>45997</v>
      </c>
      <c r="B130" t="s">
        <v>757</v>
      </c>
      <c r="C130" t="s">
        <v>745</v>
      </c>
      <c r="D130">
        <v>1</v>
      </c>
    </row>
    <row r="131" spans="1:4" x14ac:dyDescent="0.25">
      <c r="A131" s="89">
        <v>45998</v>
      </c>
      <c r="B131" t="s">
        <v>762</v>
      </c>
      <c r="C131" t="s">
        <v>745</v>
      </c>
      <c r="D131">
        <v>1</v>
      </c>
    </row>
    <row r="132" spans="1:4" x14ac:dyDescent="0.25">
      <c r="A132" s="89">
        <v>45998</v>
      </c>
      <c r="B132" t="s">
        <v>821</v>
      </c>
      <c r="C132" t="s">
        <v>745</v>
      </c>
      <c r="D132">
        <v>1</v>
      </c>
    </row>
    <row r="133" spans="1:4" x14ac:dyDescent="0.25">
      <c r="A133" s="89">
        <v>45998</v>
      </c>
      <c r="B133" t="s">
        <v>817</v>
      </c>
      <c r="C133" t="s">
        <v>745</v>
      </c>
      <c r="D133">
        <v>2</v>
      </c>
    </row>
    <row r="134" spans="1:4" x14ac:dyDescent="0.25">
      <c r="A134" s="89">
        <v>45998</v>
      </c>
      <c r="B134" t="s">
        <v>814</v>
      </c>
      <c r="C134" t="s">
        <v>745</v>
      </c>
      <c r="D134">
        <v>1</v>
      </c>
    </row>
    <row r="135" spans="1:4" x14ac:dyDescent="0.25">
      <c r="A135" s="89">
        <v>45998</v>
      </c>
      <c r="B135" t="s">
        <v>809</v>
      </c>
      <c r="C135" t="s">
        <v>745</v>
      </c>
      <c r="D135">
        <v>1</v>
      </c>
    </row>
    <row r="136" spans="1:4" x14ac:dyDescent="0.25">
      <c r="A136" s="89">
        <v>45998</v>
      </c>
      <c r="B136" t="s">
        <v>776</v>
      </c>
      <c r="C136" t="s">
        <v>745</v>
      </c>
      <c r="D136">
        <v>1</v>
      </c>
    </row>
    <row r="137" spans="1:4" x14ac:dyDescent="0.25">
      <c r="A137" s="89">
        <v>46000</v>
      </c>
      <c r="B137" t="s">
        <v>785</v>
      </c>
      <c r="C137" t="s">
        <v>767</v>
      </c>
      <c r="D137">
        <v>1</v>
      </c>
    </row>
    <row r="138" spans="1:4" x14ac:dyDescent="0.25">
      <c r="A138" s="89">
        <v>46001</v>
      </c>
      <c r="B138" t="s">
        <v>822</v>
      </c>
      <c r="C138" t="s">
        <v>767</v>
      </c>
      <c r="D138">
        <v>1</v>
      </c>
    </row>
    <row r="139" spans="1:4" x14ac:dyDescent="0.25">
      <c r="A139" s="89">
        <v>46002</v>
      </c>
      <c r="B139" t="s">
        <v>823</v>
      </c>
      <c r="C139" t="s">
        <v>745</v>
      </c>
      <c r="D139">
        <v>3</v>
      </c>
    </row>
    <row r="140" spans="1:4" x14ac:dyDescent="0.25">
      <c r="A140" s="89">
        <v>46002</v>
      </c>
      <c r="B140" t="s">
        <v>824</v>
      </c>
      <c r="C140" t="s">
        <v>745</v>
      </c>
      <c r="D140">
        <v>1</v>
      </c>
    </row>
    <row r="141" spans="1:4" x14ac:dyDescent="0.25">
      <c r="A141" s="89">
        <v>46002</v>
      </c>
      <c r="B141" t="s">
        <v>825</v>
      </c>
      <c r="C141" t="s">
        <v>745</v>
      </c>
      <c r="D141">
        <v>3</v>
      </c>
    </row>
    <row r="142" spans="1:4" x14ac:dyDescent="0.25">
      <c r="A142" s="89">
        <v>46002</v>
      </c>
      <c r="B142" t="s">
        <v>826</v>
      </c>
      <c r="C142" t="s">
        <v>745</v>
      </c>
      <c r="D142">
        <v>2</v>
      </c>
    </row>
    <row r="143" spans="1:4" x14ac:dyDescent="0.25">
      <c r="A143" s="89">
        <v>46002</v>
      </c>
      <c r="B143" t="s">
        <v>774</v>
      </c>
      <c r="C143" t="s">
        <v>745</v>
      </c>
      <c r="D143">
        <v>2</v>
      </c>
    </row>
    <row r="144" spans="1:4" x14ac:dyDescent="0.25">
      <c r="A144" s="89">
        <v>46002</v>
      </c>
      <c r="B144" t="s">
        <v>762</v>
      </c>
      <c r="C144" t="s">
        <v>745</v>
      </c>
      <c r="D144">
        <v>1</v>
      </c>
    </row>
    <row r="145" spans="1:4" x14ac:dyDescent="0.25">
      <c r="A145" s="89">
        <v>46002</v>
      </c>
      <c r="B145" t="s">
        <v>756</v>
      </c>
      <c r="C145" t="s">
        <v>745</v>
      </c>
      <c r="D145">
        <v>1</v>
      </c>
    </row>
    <row r="146" spans="1:4" x14ac:dyDescent="0.25">
      <c r="A146" s="89">
        <v>46002</v>
      </c>
      <c r="B146" t="s">
        <v>827</v>
      </c>
      <c r="C146" t="s">
        <v>745</v>
      </c>
      <c r="D146">
        <v>1</v>
      </c>
    </row>
    <row r="147" spans="1:4" x14ac:dyDescent="0.25">
      <c r="A147" s="89">
        <v>46003</v>
      </c>
      <c r="B147" t="s">
        <v>713</v>
      </c>
      <c r="C147" t="s">
        <v>745</v>
      </c>
      <c r="D147">
        <v>1</v>
      </c>
    </row>
    <row r="148" spans="1:4" x14ac:dyDescent="0.25">
      <c r="A148" s="89">
        <v>46003</v>
      </c>
      <c r="B148" t="s">
        <v>776</v>
      </c>
      <c r="C148" t="s">
        <v>745</v>
      </c>
      <c r="D148">
        <v>1</v>
      </c>
    </row>
    <row r="149" spans="1:4" x14ac:dyDescent="0.25">
      <c r="A149" s="89">
        <v>46003</v>
      </c>
      <c r="B149" t="s">
        <v>785</v>
      </c>
      <c r="C149" t="s">
        <v>745</v>
      </c>
      <c r="D149">
        <v>1</v>
      </c>
    </row>
    <row r="150" spans="1:4" x14ac:dyDescent="0.25">
      <c r="A150" s="89">
        <v>46003</v>
      </c>
      <c r="B150" t="s">
        <v>828</v>
      </c>
      <c r="C150" t="s">
        <v>745</v>
      </c>
      <c r="D150">
        <v>1</v>
      </c>
    </row>
    <row r="151" spans="1:4" x14ac:dyDescent="0.25">
      <c r="A151" s="89">
        <v>46003</v>
      </c>
      <c r="B151" t="s">
        <v>829</v>
      </c>
      <c r="C151" t="s">
        <v>745</v>
      </c>
      <c r="D151">
        <v>1</v>
      </c>
    </row>
    <row r="152" spans="1:4" x14ac:dyDescent="0.25">
      <c r="A152" s="89">
        <v>46003</v>
      </c>
      <c r="B152" t="s">
        <v>827</v>
      </c>
      <c r="C152" t="s">
        <v>745</v>
      </c>
      <c r="D152">
        <v>1</v>
      </c>
    </row>
    <row r="153" spans="1:4" x14ac:dyDescent="0.25">
      <c r="A153" s="89">
        <v>46003</v>
      </c>
      <c r="B153" t="s">
        <v>828</v>
      </c>
      <c r="C153" t="s">
        <v>745</v>
      </c>
      <c r="D153">
        <v>1</v>
      </c>
    </row>
    <row r="154" spans="1:4" x14ac:dyDescent="0.25">
      <c r="A154" s="89">
        <v>46003</v>
      </c>
      <c r="B154" t="s">
        <v>830</v>
      </c>
      <c r="C154" t="s">
        <v>745</v>
      </c>
      <c r="D154">
        <v>1</v>
      </c>
    </row>
    <row r="155" spans="1:4" x14ac:dyDescent="0.25">
      <c r="A155" s="89">
        <v>46003</v>
      </c>
      <c r="B155" t="s">
        <v>831</v>
      </c>
      <c r="C155" t="s">
        <v>745</v>
      </c>
      <c r="D155">
        <v>1</v>
      </c>
    </row>
    <row r="156" spans="1:4" x14ac:dyDescent="0.25">
      <c r="A156" s="89">
        <v>46004</v>
      </c>
      <c r="B156" t="s">
        <v>748</v>
      </c>
      <c r="C156" t="s">
        <v>745</v>
      </c>
      <c r="D156">
        <v>1</v>
      </c>
    </row>
    <row r="157" spans="1:4" x14ac:dyDescent="0.25">
      <c r="A157" s="89">
        <v>46004</v>
      </c>
      <c r="B157" t="s">
        <v>809</v>
      </c>
      <c r="C157" t="s">
        <v>745</v>
      </c>
      <c r="D157">
        <v>1</v>
      </c>
    </row>
    <row r="158" spans="1:4" x14ac:dyDescent="0.25">
      <c r="A158" s="89">
        <v>46004</v>
      </c>
      <c r="B158" t="s">
        <v>751</v>
      </c>
      <c r="C158" t="s">
        <v>745</v>
      </c>
      <c r="D158">
        <v>1</v>
      </c>
    </row>
    <row r="159" spans="1:4" x14ac:dyDescent="0.25">
      <c r="A159" s="89">
        <v>46004</v>
      </c>
      <c r="B159" t="s">
        <v>776</v>
      </c>
      <c r="C159" t="s">
        <v>745</v>
      </c>
      <c r="D159">
        <v>1</v>
      </c>
    </row>
    <row r="160" spans="1:4" x14ac:dyDescent="0.25">
      <c r="A160" s="89">
        <v>46004</v>
      </c>
      <c r="B160" t="s">
        <v>785</v>
      </c>
      <c r="C160" t="s">
        <v>745</v>
      </c>
      <c r="D160">
        <v>1</v>
      </c>
    </row>
    <row r="161" spans="1:4" x14ac:dyDescent="0.25">
      <c r="A161" s="89">
        <v>46004</v>
      </c>
      <c r="B161" t="s">
        <v>832</v>
      </c>
      <c r="C161" t="s">
        <v>745</v>
      </c>
      <c r="D161">
        <v>2</v>
      </c>
    </row>
    <row r="162" spans="1:4" x14ac:dyDescent="0.25">
      <c r="A162" s="89">
        <v>46004</v>
      </c>
      <c r="B162" t="s">
        <v>833</v>
      </c>
      <c r="C162" t="s">
        <v>745</v>
      </c>
      <c r="D162">
        <v>1</v>
      </c>
    </row>
    <row r="163" spans="1:4" x14ac:dyDescent="0.25">
      <c r="A163" s="89">
        <v>46004</v>
      </c>
      <c r="B163" t="s">
        <v>744</v>
      </c>
      <c r="C163" t="s">
        <v>745</v>
      </c>
      <c r="D163">
        <v>1</v>
      </c>
    </row>
    <row r="164" spans="1:4" x14ac:dyDescent="0.25">
      <c r="A164" s="89">
        <v>46004</v>
      </c>
      <c r="B164" t="s">
        <v>814</v>
      </c>
      <c r="C164" t="s">
        <v>745</v>
      </c>
      <c r="D164">
        <v>1</v>
      </c>
    </row>
    <row r="165" spans="1:4" x14ac:dyDescent="0.25">
      <c r="A165" s="89">
        <v>46004</v>
      </c>
      <c r="B165" t="s">
        <v>815</v>
      </c>
      <c r="C165" t="s">
        <v>745</v>
      </c>
      <c r="D165">
        <v>1</v>
      </c>
    </row>
    <row r="166" spans="1:4" x14ac:dyDescent="0.25">
      <c r="A166" s="89">
        <v>46005</v>
      </c>
      <c r="B166" t="s">
        <v>831</v>
      </c>
      <c r="C166" t="s">
        <v>745</v>
      </c>
      <c r="D166">
        <v>1</v>
      </c>
    </row>
    <row r="167" spans="1:4" x14ac:dyDescent="0.25">
      <c r="A167" s="89">
        <v>46005</v>
      </c>
      <c r="B167" t="s">
        <v>833</v>
      </c>
      <c r="C167" t="s">
        <v>745</v>
      </c>
      <c r="D167">
        <v>1</v>
      </c>
    </row>
    <row r="168" spans="1:4" x14ac:dyDescent="0.25">
      <c r="A168" s="89">
        <v>46005</v>
      </c>
      <c r="B168" t="s">
        <v>785</v>
      </c>
      <c r="C168" t="s">
        <v>745</v>
      </c>
      <c r="D168">
        <v>1</v>
      </c>
    </row>
    <row r="169" spans="1:4" x14ac:dyDescent="0.25">
      <c r="A169" s="89">
        <v>46005</v>
      </c>
      <c r="B169" t="s">
        <v>776</v>
      </c>
      <c r="C169" t="s">
        <v>745</v>
      </c>
      <c r="D169">
        <v>1</v>
      </c>
    </row>
    <row r="170" spans="1:4" x14ac:dyDescent="0.25">
      <c r="A170" s="89">
        <v>46005</v>
      </c>
      <c r="B170" t="s">
        <v>814</v>
      </c>
      <c r="C170" t="s">
        <v>745</v>
      </c>
      <c r="D170">
        <v>1</v>
      </c>
    </row>
    <row r="171" spans="1:4" x14ac:dyDescent="0.25">
      <c r="A171" s="89">
        <v>46005</v>
      </c>
      <c r="B171" t="s">
        <v>821</v>
      </c>
      <c r="C171" t="s">
        <v>745</v>
      </c>
      <c r="D171">
        <v>1</v>
      </c>
    </row>
    <row r="172" spans="1:4" x14ac:dyDescent="0.25">
      <c r="A172" s="89">
        <v>46005</v>
      </c>
      <c r="B172" t="s">
        <v>832</v>
      </c>
      <c r="C172" t="s">
        <v>745</v>
      </c>
      <c r="D172">
        <v>2</v>
      </c>
    </row>
    <row r="173" spans="1:4" x14ac:dyDescent="0.25">
      <c r="A173" s="89">
        <v>46005</v>
      </c>
      <c r="B173" t="s">
        <v>744</v>
      </c>
      <c r="C173" t="s">
        <v>745</v>
      </c>
      <c r="D173">
        <v>1</v>
      </c>
    </row>
    <row r="174" spans="1:4" x14ac:dyDescent="0.25">
      <c r="A174" s="89">
        <v>46006</v>
      </c>
      <c r="B174" t="s">
        <v>740</v>
      </c>
      <c r="C174" t="s">
        <v>765</v>
      </c>
      <c r="D174">
        <v>1</v>
      </c>
    </row>
    <row r="175" spans="1:4" x14ac:dyDescent="0.25">
      <c r="A175" s="89">
        <v>46006</v>
      </c>
      <c r="B175" t="s">
        <v>810</v>
      </c>
      <c r="C175" t="s">
        <v>765</v>
      </c>
      <c r="D175">
        <v>1</v>
      </c>
    </row>
    <row r="176" spans="1:4" x14ac:dyDescent="0.25">
      <c r="A176" s="89">
        <v>46007</v>
      </c>
      <c r="B176" t="s">
        <v>821</v>
      </c>
      <c r="C176" t="s">
        <v>745</v>
      </c>
      <c r="D176">
        <v>1</v>
      </c>
    </row>
    <row r="177" spans="1:4" x14ac:dyDescent="0.25">
      <c r="A177" s="89">
        <v>46009</v>
      </c>
      <c r="B177" t="s">
        <v>744</v>
      </c>
      <c r="C177" t="s">
        <v>745</v>
      </c>
      <c r="D177">
        <v>1</v>
      </c>
    </row>
    <row r="178" spans="1:4" x14ac:dyDescent="0.25">
      <c r="A178" s="89">
        <v>46009</v>
      </c>
      <c r="B178" t="s">
        <v>815</v>
      </c>
      <c r="C178" t="s">
        <v>745</v>
      </c>
      <c r="D178">
        <v>1</v>
      </c>
    </row>
    <row r="179" spans="1:4" x14ac:dyDescent="0.25">
      <c r="A179" s="89">
        <v>46009</v>
      </c>
      <c r="B179" t="s">
        <v>834</v>
      </c>
      <c r="C179" t="s">
        <v>745</v>
      </c>
      <c r="D179">
        <v>1</v>
      </c>
    </row>
    <row r="180" spans="1:4" x14ac:dyDescent="0.25">
      <c r="A180" s="89">
        <v>46009</v>
      </c>
      <c r="B180" t="s">
        <v>835</v>
      </c>
      <c r="C180" t="s">
        <v>745</v>
      </c>
      <c r="D180">
        <v>1</v>
      </c>
    </row>
    <row r="181" spans="1:4" x14ac:dyDescent="0.25">
      <c r="A181" s="89">
        <v>46009</v>
      </c>
      <c r="B181" t="s">
        <v>809</v>
      </c>
      <c r="C181" t="s">
        <v>745</v>
      </c>
      <c r="D181">
        <v>1</v>
      </c>
    </row>
    <row r="182" spans="1:4" x14ac:dyDescent="0.25">
      <c r="A182" s="89">
        <v>46009</v>
      </c>
      <c r="B182" t="s">
        <v>751</v>
      </c>
      <c r="C182" t="s">
        <v>745</v>
      </c>
      <c r="D182">
        <v>1</v>
      </c>
    </row>
    <row r="183" spans="1:4" x14ac:dyDescent="0.25">
      <c r="A183" s="89">
        <v>46009</v>
      </c>
      <c r="B183" t="s">
        <v>836</v>
      </c>
      <c r="C183" t="s">
        <v>745</v>
      </c>
      <c r="D183">
        <v>1</v>
      </c>
    </row>
    <row r="184" spans="1:4" x14ac:dyDescent="0.25">
      <c r="A184" s="89">
        <v>46010</v>
      </c>
      <c r="B184" t="s">
        <v>837</v>
      </c>
      <c r="C184" t="s">
        <v>745</v>
      </c>
      <c r="D184">
        <v>1</v>
      </c>
    </row>
    <row r="185" spans="1:4" x14ac:dyDescent="0.25">
      <c r="A185" s="89">
        <v>46010</v>
      </c>
      <c r="B185" t="s">
        <v>834</v>
      </c>
      <c r="C185" t="s">
        <v>745</v>
      </c>
      <c r="D185">
        <v>1</v>
      </c>
    </row>
    <row r="186" spans="1:4" x14ac:dyDescent="0.25">
      <c r="A186" s="89">
        <v>46010</v>
      </c>
      <c r="B186" t="s">
        <v>744</v>
      </c>
      <c r="C186" t="s">
        <v>745</v>
      </c>
      <c r="D186">
        <v>1</v>
      </c>
    </row>
    <row r="187" spans="1:4" x14ac:dyDescent="0.25">
      <c r="A187" s="89">
        <v>46010</v>
      </c>
      <c r="B187" t="s">
        <v>748</v>
      </c>
      <c r="C187" t="s">
        <v>745</v>
      </c>
      <c r="D187">
        <v>1</v>
      </c>
    </row>
    <row r="188" spans="1:4" x14ac:dyDescent="0.25">
      <c r="A188" s="89">
        <v>46010</v>
      </c>
      <c r="B188" t="s">
        <v>809</v>
      </c>
      <c r="C188" t="s">
        <v>745</v>
      </c>
      <c r="D188">
        <v>1</v>
      </c>
    </row>
    <row r="189" spans="1:4" x14ac:dyDescent="0.25">
      <c r="A189" s="89">
        <v>46010</v>
      </c>
      <c r="B189" t="s">
        <v>751</v>
      </c>
      <c r="C189" t="s">
        <v>745</v>
      </c>
      <c r="D189">
        <v>1</v>
      </c>
    </row>
    <row r="190" spans="1:4" x14ac:dyDescent="0.25">
      <c r="A190" s="89">
        <v>46010</v>
      </c>
      <c r="B190" t="s">
        <v>776</v>
      </c>
      <c r="C190" t="s">
        <v>745</v>
      </c>
      <c r="D190">
        <v>1</v>
      </c>
    </row>
    <row r="191" spans="1:4" x14ac:dyDescent="0.25">
      <c r="A191" s="89">
        <v>46010</v>
      </c>
      <c r="B191" t="s">
        <v>761</v>
      </c>
      <c r="C191" t="s">
        <v>745</v>
      </c>
      <c r="D191">
        <v>1</v>
      </c>
    </row>
    <row r="192" spans="1:4" x14ac:dyDescent="0.25">
      <c r="A192" s="89">
        <v>46010</v>
      </c>
      <c r="B192" t="s">
        <v>753</v>
      </c>
      <c r="C192" t="s">
        <v>745</v>
      </c>
      <c r="D192">
        <v>1</v>
      </c>
    </row>
    <row r="193" spans="1:4" x14ac:dyDescent="0.25">
      <c r="A193" s="89">
        <v>46011</v>
      </c>
      <c r="B193" t="s">
        <v>829</v>
      </c>
      <c r="C193" t="s">
        <v>745</v>
      </c>
      <c r="D193">
        <v>1</v>
      </c>
    </row>
    <row r="194" spans="1:4" x14ac:dyDescent="0.25">
      <c r="A194" s="89">
        <v>46011</v>
      </c>
      <c r="B194" t="s">
        <v>837</v>
      </c>
      <c r="C194" t="s">
        <v>745</v>
      </c>
      <c r="D194">
        <v>1</v>
      </c>
    </row>
    <row r="195" spans="1:4" x14ac:dyDescent="0.25">
      <c r="A195" s="89">
        <v>46011</v>
      </c>
      <c r="B195" t="s">
        <v>834</v>
      </c>
      <c r="C195" t="s">
        <v>745</v>
      </c>
      <c r="D195">
        <v>1</v>
      </c>
    </row>
    <row r="196" spans="1:4" x14ac:dyDescent="0.25">
      <c r="A196" s="89">
        <v>46011</v>
      </c>
      <c r="B196" t="s">
        <v>744</v>
      </c>
      <c r="C196" t="s">
        <v>745</v>
      </c>
      <c r="D196">
        <v>1</v>
      </c>
    </row>
    <row r="197" spans="1:4" x14ac:dyDescent="0.25">
      <c r="A197" s="89">
        <v>46011</v>
      </c>
      <c r="B197" t="s">
        <v>815</v>
      </c>
      <c r="C197" t="s">
        <v>745</v>
      </c>
      <c r="D197">
        <v>1</v>
      </c>
    </row>
    <row r="198" spans="1:4" x14ac:dyDescent="0.25">
      <c r="A198" s="89">
        <v>46011</v>
      </c>
      <c r="B198" t="s">
        <v>835</v>
      </c>
      <c r="C198" t="s">
        <v>745</v>
      </c>
      <c r="D198">
        <v>2</v>
      </c>
    </row>
    <row r="199" spans="1:4" x14ac:dyDescent="0.25">
      <c r="A199" s="89">
        <v>46011</v>
      </c>
      <c r="B199" t="s">
        <v>761</v>
      </c>
      <c r="C199" t="s">
        <v>745</v>
      </c>
      <c r="D199">
        <v>1</v>
      </c>
    </row>
    <row r="200" spans="1:4" x14ac:dyDescent="0.25">
      <c r="A200" s="89">
        <v>46011</v>
      </c>
      <c r="B200" t="s">
        <v>762</v>
      </c>
      <c r="C200" t="s">
        <v>745</v>
      </c>
      <c r="D200">
        <v>1</v>
      </c>
    </row>
    <row r="201" spans="1:4" x14ac:dyDescent="0.25">
      <c r="A201" s="89">
        <v>46011</v>
      </c>
      <c r="B201" t="s">
        <v>776</v>
      </c>
      <c r="C201" t="s">
        <v>767</v>
      </c>
      <c r="D201">
        <v>1</v>
      </c>
    </row>
    <row r="202" spans="1:4" x14ac:dyDescent="0.25">
      <c r="A202" s="89">
        <v>46012</v>
      </c>
      <c r="B202" t="s">
        <v>821</v>
      </c>
      <c r="C202" t="s">
        <v>767</v>
      </c>
      <c r="D202">
        <v>1</v>
      </c>
    </row>
    <row r="203" spans="1:4" x14ac:dyDescent="0.25">
      <c r="A203" s="89">
        <v>46012</v>
      </c>
      <c r="B203" t="s">
        <v>748</v>
      </c>
      <c r="C203" t="s">
        <v>767</v>
      </c>
      <c r="D203">
        <v>1</v>
      </c>
    </row>
    <row r="204" spans="1:4" x14ac:dyDescent="0.25">
      <c r="A204" s="89">
        <v>46012</v>
      </c>
      <c r="B204" t="s">
        <v>751</v>
      </c>
      <c r="C204" t="s">
        <v>767</v>
      </c>
      <c r="D204">
        <v>1</v>
      </c>
    </row>
    <row r="205" spans="1:4" x14ac:dyDescent="0.25">
      <c r="A205" s="89">
        <v>46012</v>
      </c>
      <c r="B205" t="s">
        <v>761</v>
      </c>
      <c r="C205" t="s">
        <v>767</v>
      </c>
      <c r="D205">
        <v>1</v>
      </c>
    </row>
    <row r="206" spans="1:4" x14ac:dyDescent="0.25">
      <c r="A206" s="89">
        <v>46012</v>
      </c>
      <c r="B206" t="s">
        <v>837</v>
      </c>
      <c r="C206" t="s">
        <v>767</v>
      </c>
      <c r="D206">
        <v>1</v>
      </c>
    </row>
    <row r="207" spans="1:4" x14ac:dyDescent="0.25">
      <c r="A207" s="89">
        <v>46012</v>
      </c>
      <c r="B207" t="s">
        <v>829</v>
      </c>
      <c r="C207" t="s">
        <v>767</v>
      </c>
      <c r="D207">
        <v>1</v>
      </c>
    </row>
    <row r="208" spans="1:4" x14ac:dyDescent="0.25">
      <c r="A208" s="89">
        <v>46012</v>
      </c>
      <c r="B208" t="s">
        <v>835</v>
      </c>
      <c r="C208" t="s">
        <v>767</v>
      </c>
      <c r="D208">
        <v>2</v>
      </c>
    </row>
    <row r="209" spans="1:4" x14ac:dyDescent="0.25">
      <c r="A209" s="89">
        <v>46012</v>
      </c>
      <c r="B209" t="s">
        <v>834</v>
      </c>
      <c r="C209" t="s">
        <v>767</v>
      </c>
      <c r="D209">
        <v>1</v>
      </c>
    </row>
    <row r="210" spans="1:4" x14ac:dyDescent="0.25">
      <c r="A210" s="89">
        <v>46012</v>
      </c>
      <c r="B210" t="s">
        <v>832</v>
      </c>
      <c r="C210" t="s">
        <v>767</v>
      </c>
      <c r="D210">
        <v>1</v>
      </c>
    </row>
    <row r="211" spans="1:4" x14ac:dyDescent="0.25">
      <c r="A211" s="89">
        <v>46012</v>
      </c>
      <c r="B211" t="s">
        <v>744</v>
      </c>
      <c r="C211" t="s">
        <v>767</v>
      </c>
      <c r="D211">
        <v>1</v>
      </c>
    </row>
    <row r="212" spans="1:4" x14ac:dyDescent="0.25">
      <c r="A212" s="89">
        <v>46012</v>
      </c>
      <c r="B212" t="s">
        <v>838</v>
      </c>
      <c r="C212" t="s">
        <v>767</v>
      </c>
      <c r="D212">
        <v>1</v>
      </c>
    </row>
    <row r="213" spans="1:4" x14ac:dyDescent="0.25">
      <c r="A213" s="89">
        <v>46012</v>
      </c>
      <c r="B213" t="s">
        <v>809</v>
      </c>
      <c r="C213" t="s">
        <v>767</v>
      </c>
      <c r="D213">
        <v>1</v>
      </c>
    </row>
    <row r="214" spans="1:4" x14ac:dyDescent="0.25">
      <c r="A214" s="89">
        <v>46012</v>
      </c>
      <c r="B214" t="s">
        <v>776</v>
      </c>
      <c r="C214" t="s">
        <v>767</v>
      </c>
      <c r="D214">
        <v>1</v>
      </c>
    </row>
    <row r="215" spans="1:4" x14ac:dyDescent="0.25">
      <c r="A215" s="89">
        <v>46012</v>
      </c>
      <c r="B215" t="s">
        <v>762</v>
      </c>
      <c r="C215" t="s">
        <v>767</v>
      </c>
      <c r="D215">
        <v>1</v>
      </c>
    </row>
    <row r="216" spans="1:4" x14ac:dyDescent="0.25">
      <c r="A216" s="89">
        <v>46013</v>
      </c>
      <c r="B216" t="s">
        <v>713</v>
      </c>
      <c r="C216" t="s">
        <v>765</v>
      </c>
      <c r="D216">
        <v>1</v>
      </c>
    </row>
    <row r="217" spans="1:4" x14ac:dyDescent="0.25">
      <c r="A217" s="89">
        <v>46014</v>
      </c>
      <c r="B217" t="s">
        <v>835</v>
      </c>
      <c r="C217" t="s">
        <v>745</v>
      </c>
      <c r="D217">
        <v>2</v>
      </c>
    </row>
    <row r="218" spans="1:4" x14ac:dyDescent="0.25">
      <c r="A218" s="89">
        <v>46014</v>
      </c>
      <c r="B218" t="s">
        <v>761</v>
      </c>
      <c r="C218" t="s">
        <v>745</v>
      </c>
      <c r="D218">
        <v>1</v>
      </c>
    </row>
    <row r="219" spans="1:4" x14ac:dyDescent="0.25">
      <c r="A219" s="89">
        <v>46014</v>
      </c>
      <c r="B219" t="s">
        <v>776</v>
      </c>
      <c r="C219" t="s">
        <v>745</v>
      </c>
      <c r="D219">
        <v>1</v>
      </c>
    </row>
    <row r="220" spans="1:4" x14ac:dyDescent="0.25">
      <c r="A220" s="89">
        <v>46014</v>
      </c>
      <c r="B220" t="s">
        <v>744</v>
      </c>
      <c r="C220" t="s">
        <v>745</v>
      </c>
      <c r="D220">
        <v>1</v>
      </c>
    </row>
    <row r="221" spans="1:4" x14ac:dyDescent="0.25">
      <c r="A221" s="89">
        <v>46014</v>
      </c>
      <c r="B221" t="s">
        <v>748</v>
      </c>
      <c r="C221" t="s">
        <v>745</v>
      </c>
      <c r="D221">
        <v>1</v>
      </c>
    </row>
    <row r="222" spans="1:4" x14ac:dyDescent="0.25">
      <c r="A222" s="89">
        <v>46014</v>
      </c>
      <c r="B222" t="s">
        <v>809</v>
      </c>
      <c r="C222" t="s">
        <v>745</v>
      </c>
      <c r="D222">
        <v>1</v>
      </c>
    </row>
    <row r="223" spans="1:4" x14ac:dyDescent="0.25">
      <c r="A223" s="89">
        <v>46015</v>
      </c>
      <c r="B223" t="s">
        <v>744</v>
      </c>
      <c r="C223" t="s">
        <v>745</v>
      </c>
      <c r="D223">
        <v>1</v>
      </c>
    </row>
    <row r="224" spans="1:4" x14ac:dyDescent="0.25">
      <c r="A224" s="89">
        <v>46015</v>
      </c>
      <c r="B224" t="s">
        <v>740</v>
      </c>
      <c r="C224" t="s">
        <v>745</v>
      </c>
      <c r="D224">
        <v>2</v>
      </c>
    </row>
    <row r="225" spans="1:4" x14ac:dyDescent="0.25">
      <c r="A225" s="89">
        <v>46015</v>
      </c>
      <c r="B225" t="s">
        <v>748</v>
      </c>
      <c r="C225" t="s">
        <v>745</v>
      </c>
      <c r="D225">
        <v>1</v>
      </c>
    </row>
    <row r="226" spans="1:4" x14ac:dyDescent="0.25">
      <c r="A226" s="89">
        <v>46015</v>
      </c>
      <c r="B226" t="s">
        <v>823</v>
      </c>
      <c r="C226" t="s">
        <v>745</v>
      </c>
      <c r="D226">
        <v>1</v>
      </c>
    </row>
    <row r="227" spans="1:4" x14ac:dyDescent="0.25">
      <c r="A227" s="89">
        <v>46015</v>
      </c>
      <c r="B227" t="s">
        <v>835</v>
      </c>
      <c r="C227" t="s">
        <v>745</v>
      </c>
      <c r="D227">
        <v>1</v>
      </c>
    </row>
    <row r="228" spans="1:4" x14ac:dyDescent="0.25">
      <c r="A228" s="89">
        <v>46015</v>
      </c>
      <c r="B228" t="s">
        <v>800</v>
      </c>
      <c r="C228" t="s">
        <v>745</v>
      </c>
      <c r="D228">
        <v>1</v>
      </c>
    </row>
    <row r="229" spans="1:4" x14ac:dyDescent="0.25">
      <c r="A229" s="89">
        <v>46015</v>
      </c>
      <c r="B229" t="s">
        <v>713</v>
      </c>
      <c r="C229" t="s">
        <v>745</v>
      </c>
      <c r="D229">
        <v>1</v>
      </c>
    </row>
    <row r="230" spans="1:4" x14ac:dyDescent="0.25">
      <c r="A230" s="89">
        <v>46015</v>
      </c>
      <c r="B230" t="s">
        <v>751</v>
      </c>
      <c r="C230" t="s">
        <v>745</v>
      </c>
      <c r="D230">
        <v>1</v>
      </c>
    </row>
    <row r="231" spans="1:4" x14ac:dyDescent="0.25">
      <c r="A231" s="89">
        <v>46015</v>
      </c>
      <c r="B231" t="s">
        <v>776</v>
      </c>
      <c r="C231" t="s">
        <v>745</v>
      </c>
      <c r="D231">
        <v>2</v>
      </c>
    </row>
    <row r="232" spans="1:4" x14ac:dyDescent="0.25">
      <c r="A232" s="89">
        <v>46015</v>
      </c>
      <c r="B232" t="s">
        <v>785</v>
      </c>
      <c r="C232" t="s">
        <v>745</v>
      </c>
      <c r="D232">
        <v>1</v>
      </c>
    </row>
    <row r="233" spans="1:4" x14ac:dyDescent="0.25">
      <c r="A233" s="89">
        <v>46015</v>
      </c>
      <c r="B233" t="s">
        <v>753</v>
      </c>
      <c r="C233" t="s">
        <v>745</v>
      </c>
      <c r="D233">
        <v>2</v>
      </c>
    </row>
    <row r="234" spans="1:4" x14ac:dyDescent="0.25">
      <c r="A234" s="89">
        <v>46017</v>
      </c>
      <c r="B234" t="s">
        <v>839</v>
      </c>
      <c r="C234" t="s">
        <v>745</v>
      </c>
      <c r="D234">
        <v>4</v>
      </c>
    </row>
    <row r="235" spans="1:4" x14ac:dyDescent="0.25">
      <c r="A235" s="89">
        <v>46017</v>
      </c>
      <c r="B235" t="s">
        <v>807</v>
      </c>
      <c r="C235" t="s">
        <v>745</v>
      </c>
      <c r="D235">
        <v>2</v>
      </c>
    </row>
    <row r="236" spans="1:4" x14ac:dyDescent="0.25">
      <c r="A236" s="89">
        <v>46017</v>
      </c>
      <c r="B236" t="s">
        <v>840</v>
      </c>
      <c r="C236" t="s">
        <v>745</v>
      </c>
      <c r="D236">
        <v>5</v>
      </c>
    </row>
    <row r="237" spans="1:4" x14ac:dyDescent="0.25">
      <c r="A237" s="89">
        <v>46017</v>
      </c>
      <c r="B237" t="s">
        <v>800</v>
      </c>
      <c r="C237" t="s">
        <v>745</v>
      </c>
      <c r="D237">
        <v>2</v>
      </c>
    </row>
    <row r="238" spans="1:4" x14ac:dyDescent="0.25">
      <c r="A238" s="89">
        <v>46017</v>
      </c>
      <c r="B238" t="s">
        <v>829</v>
      </c>
      <c r="C238" t="s">
        <v>745</v>
      </c>
      <c r="D238">
        <v>3</v>
      </c>
    </row>
    <row r="239" spans="1:4" x14ac:dyDescent="0.25">
      <c r="A239" s="89">
        <v>46017</v>
      </c>
      <c r="B239" t="s">
        <v>751</v>
      </c>
      <c r="C239" t="s">
        <v>745</v>
      </c>
      <c r="D239">
        <v>2</v>
      </c>
    </row>
    <row r="240" spans="1:4" x14ac:dyDescent="0.25">
      <c r="A240" s="89">
        <v>46017</v>
      </c>
      <c r="B240" t="s">
        <v>776</v>
      </c>
      <c r="C240" t="s">
        <v>745</v>
      </c>
      <c r="D240">
        <v>1</v>
      </c>
    </row>
    <row r="241" spans="1:4" x14ac:dyDescent="0.25">
      <c r="A241" s="89">
        <v>46017</v>
      </c>
      <c r="B241" t="s">
        <v>785</v>
      </c>
      <c r="C241" t="s">
        <v>745</v>
      </c>
      <c r="D241">
        <v>4</v>
      </c>
    </row>
    <row r="242" spans="1:4" x14ac:dyDescent="0.25">
      <c r="A242" s="89">
        <v>46017</v>
      </c>
      <c r="B242" t="s">
        <v>841</v>
      </c>
      <c r="C242" t="s">
        <v>745</v>
      </c>
      <c r="D242">
        <v>2</v>
      </c>
    </row>
    <row r="243" spans="1:4" x14ac:dyDescent="0.25">
      <c r="A243" s="89">
        <v>46017</v>
      </c>
      <c r="B243" t="s">
        <v>842</v>
      </c>
      <c r="C243" t="s">
        <v>745</v>
      </c>
      <c r="D243">
        <v>2</v>
      </c>
    </row>
    <row r="244" spans="1:4" x14ac:dyDescent="0.25">
      <c r="A244" s="89">
        <v>46017</v>
      </c>
      <c r="B244" t="s">
        <v>762</v>
      </c>
      <c r="C244" t="s">
        <v>745</v>
      </c>
      <c r="D244">
        <v>3</v>
      </c>
    </row>
    <row r="245" spans="1:4" x14ac:dyDescent="0.25">
      <c r="A245" s="89">
        <v>46018</v>
      </c>
      <c r="B245" t="s">
        <v>843</v>
      </c>
      <c r="C245" t="s">
        <v>745</v>
      </c>
      <c r="D245">
        <v>3</v>
      </c>
    </row>
    <row r="246" spans="1:4" x14ac:dyDescent="0.25">
      <c r="A246" s="89">
        <v>46018</v>
      </c>
      <c r="B246" t="s">
        <v>744</v>
      </c>
      <c r="C246" t="s">
        <v>745</v>
      </c>
      <c r="D246">
        <v>2</v>
      </c>
    </row>
    <row r="247" spans="1:4" x14ac:dyDescent="0.25">
      <c r="A247" s="89">
        <v>46018</v>
      </c>
      <c r="B247" t="s">
        <v>749</v>
      </c>
      <c r="C247" t="s">
        <v>745</v>
      </c>
      <c r="D247">
        <v>2</v>
      </c>
    </row>
    <row r="248" spans="1:4" x14ac:dyDescent="0.25">
      <c r="A248" s="89">
        <v>46018</v>
      </c>
      <c r="B248" t="s">
        <v>748</v>
      </c>
      <c r="C248" t="s">
        <v>745</v>
      </c>
      <c r="D248">
        <v>3</v>
      </c>
    </row>
    <row r="249" spans="1:4" x14ac:dyDescent="0.25">
      <c r="A249" s="89">
        <v>46018</v>
      </c>
      <c r="B249" t="s">
        <v>713</v>
      </c>
      <c r="C249" t="s">
        <v>745</v>
      </c>
      <c r="D249">
        <v>3</v>
      </c>
    </row>
    <row r="250" spans="1:4" x14ac:dyDescent="0.25">
      <c r="A250" s="89">
        <v>46018</v>
      </c>
      <c r="B250" t="s">
        <v>776</v>
      </c>
      <c r="C250" t="s">
        <v>745</v>
      </c>
      <c r="D250">
        <v>3</v>
      </c>
    </row>
    <row r="251" spans="1:4" x14ac:dyDescent="0.25">
      <c r="A251" s="89">
        <v>46019</v>
      </c>
      <c r="B251" t="s">
        <v>747</v>
      </c>
      <c r="C251" t="s">
        <v>765</v>
      </c>
      <c r="D251">
        <v>1</v>
      </c>
    </row>
    <row r="252" spans="1:4" x14ac:dyDescent="0.25">
      <c r="A252" s="89">
        <v>46019</v>
      </c>
      <c r="B252" t="s">
        <v>744</v>
      </c>
      <c r="C252" t="s">
        <v>765</v>
      </c>
      <c r="D252">
        <v>2</v>
      </c>
    </row>
    <row r="253" spans="1:4" x14ac:dyDescent="0.25">
      <c r="A253" s="89">
        <v>46019</v>
      </c>
      <c r="B253" t="s">
        <v>748</v>
      </c>
      <c r="C253" t="s">
        <v>765</v>
      </c>
      <c r="D253">
        <v>1</v>
      </c>
    </row>
    <row r="254" spans="1:4" x14ac:dyDescent="0.25">
      <c r="A254" s="89">
        <v>46019</v>
      </c>
      <c r="B254" t="s">
        <v>844</v>
      </c>
      <c r="C254" t="s">
        <v>765</v>
      </c>
      <c r="D254">
        <v>1</v>
      </c>
    </row>
    <row r="255" spans="1:4" x14ac:dyDescent="0.25">
      <c r="A255" s="89">
        <v>46019</v>
      </c>
      <c r="B255" t="s">
        <v>845</v>
      </c>
      <c r="C255" t="s">
        <v>765</v>
      </c>
      <c r="D255">
        <v>3</v>
      </c>
    </row>
    <row r="256" spans="1:4" x14ac:dyDescent="0.25">
      <c r="A256" s="89">
        <v>46019</v>
      </c>
      <c r="B256" t="s">
        <v>756</v>
      </c>
      <c r="C256" t="s">
        <v>765</v>
      </c>
      <c r="D256">
        <v>2</v>
      </c>
    </row>
    <row r="257" spans="1:4" x14ac:dyDescent="0.25">
      <c r="A257" s="89">
        <v>46019</v>
      </c>
      <c r="B257" t="s">
        <v>842</v>
      </c>
      <c r="C257" t="s">
        <v>765</v>
      </c>
      <c r="D257">
        <v>2</v>
      </c>
    </row>
    <row r="258" spans="1:4" x14ac:dyDescent="0.25">
      <c r="A258" s="89">
        <v>46019</v>
      </c>
      <c r="B258" t="s">
        <v>762</v>
      </c>
      <c r="C258" t="s">
        <v>765</v>
      </c>
      <c r="D258">
        <v>2</v>
      </c>
    </row>
    <row r="259" spans="1:4" x14ac:dyDescent="0.25">
      <c r="A259" s="89">
        <v>46019</v>
      </c>
      <c r="B259" t="s">
        <v>713</v>
      </c>
      <c r="C259" t="s">
        <v>765</v>
      </c>
      <c r="D259">
        <v>2</v>
      </c>
    </row>
    <row r="260" spans="1:4" x14ac:dyDescent="0.25">
      <c r="A260" s="89">
        <v>46019</v>
      </c>
      <c r="B260" t="s">
        <v>751</v>
      </c>
      <c r="C260" t="s">
        <v>765</v>
      </c>
      <c r="D260">
        <v>2</v>
      </c>
    </row>
    <row r="261" spans="1:4" x14ac:dyDescent="0.25">
      <c r="A261" s="89">
        <v>46019</v>
      </c>
      <c r="B261" t="s">
        <v>846</v>
      </c>
      <c r="C261" t="s">
        <v>765</v>
      </c>
      <c r="D261">
        <v>2</v>
      </c>
    </row>
    <row r="262" spans="1:4" x14ac:dyDescent="0.25">
      <c r="A262" s="89">
        <v>46019</v>
      </c>
      <c r="B262" t="s">
        <v>776</v>
      </c>
      <c r="C262" t="s">
        <v>765</v>
      </c>
      <c r="D262">
        <v>3</v>
      </c>
    </row>
    <row r="263" spans="1:4" x14ac:dyDescent="0.25">
      <c r="A263" s="89">
        <v>46019</v>
      </c>
      <c r="B263" t="s">
        <v>738</v>
      </c>
      <c r="C263" t="s">
        <v>765</v>
      </c>
      <c r="D263">
        <v>2</v>
      </c>
    </row>
    <row r="264" spans="1:4" x14ac:dyDescent="0.25">
      <c r="A264" s="89">
        <v>46019</v>
      </c>
      <c r="B264" t="s">
        <v>800</v>
      </c>
      <c r="C264" t="s">
        <v>765</v>
      </c>
      <c r="D264">
        <v>1</v>
      </c>
    </row>
    <row r="265" spans="1:4" x14ac:dyDescent="0.25">
      <c r="A265" s="89">
        <v>46019</v>
      </c>
      <c r="B265" t="s">
        <v>847</v>
      </c>
      <c r="C265" t="s">
        <v>765</v>
      </c>
      <c r="D265">
        <v>1</v>
      </c>
    </row>
    <row r="266" spans="1:4" x14ac:dyDescent="0.25">
      <c r="A266" s="89">
        <v>46019</v>
      </c>
      <c r="B266" t="s">
        <v>848</v>
      </c>
      <c r="C266" t="s">
        <v>765</v>
      </c>
      <c r="D266">
        <v>2</v>
      </c>
    </row>
    <row r="267" spans="1:4" x14ac:dyDescent="0.25">
      <c r="A267" s="89">
        <v>46020</v>
      </c>
      <c r="B267" t="s">
        <v>747</v>
      </c>
      <c r="C267" t="s">
        <v>765</v>
      </c>
      <c r="D267">
        <v>1</v>
      </c>
    </row>
    <row r="268" spans="1:4" x14ac:dyDescent="0.25">
      <c r="A268" s="89">
        <v>46020</v>
      </c>
      <c r="B268" t="s">
        <v>744</v>
      </c>
      <c r="C268" t="s">
        <v>765</v>
      </c>
      <c r="D268">
        <v>2</v>
      </c>
    </row>
    <row r="269" spans="1:4" x14ac:dyDescent="0.25">
      <c r="A269" s="89">
        <v>46020</v>
      </c>
      <c r="B269" t="s">
        <v>713</v>
      </c>
      <c r="C269" t="s">
        <v>765</v>
      </c>
      <c r="D269">
        <v>1</v>
      </c>
    </row>
    <row r="270" spans="1:4" x14ac:dyDescent="0.25">
      <c r="A270" s="89">
        <v>46020</v>
      </c>
      <c r="B270" t="s">
        <v>840</v>
      </c>
      <c r="C270" t="s">
        <v>765</v>
      </c>
      <c r="D270">
        <v>1</v>
      </c>
    </row>
    <row r="271" spans="1:4" x14ac:dyDescent="0.25">
      <c r="A271" s="89">
        <v>46020</v>
      </c>
      <c r="B271" t="s">
        <v>776</v>
      </c>
      <c r="C271" t="s">
        <v>765</v>
      </c>
      <c r="D271">
        <v>2</v>
      </c>
    </row>
    <row r="272" spans="1:4" x14ac:dyDescent="0.25">
      <c r="A272" s="89">
        <v>46020</v>
      </c>
      <c r="B272" t="s">
        <v>785</v>
      </c>
      <c r="C272" t="s">
        <v>765</v>
      </c>
      <c r="D272">
        <v>1</v>
      </c>
    </row>
    <row r="273" spans="1:4" x14ac:dyDescent="0.25">
      <c r="A273" s="89">
        <v>46021</v>
      </c>
      <c r="B273" t="s">
        <v>711</v>
      </c>
      <c r="C273" t="s">
        <v>745</v>
      </c>
      <c r="D273">
        <v>1</v>
      </c>
    </row>
    <row r="274" spans="1:4" x14ac:dyDescent="0.25">
      <c r="A274" s="89">
        <v>46021</v>
      </c>
      <c r="B274" t="s">
        <v>774</v>
      </c>
      <c r="C274" t="s">
        <v>745</v>
      </c>
      <c r="D274">
        <v>1</v>
      </c>
    </row>
    <row r="275" spans="1:4" x14ac:dyDescent="0.25">
      <c r="A275" s="89">
        <v>46022</v>
      </c>
      <c r="B275" t="s">
        <v>815</v>
      </c>
      <c r="C275" t="s">
        <v>767</v>
      </c>
      <c r="D275">
        <v>1</v>
      </c>
    </row>
    <row r="276" spans="1:4" x14ac:dyDescent="0.25">
      <c r="A276" s="89">
        <v>46022</v>
      </c>
      <c r="B276" t="s">
        <v>744</v>
      </c>
      <c r="C276" t="s">
        <v>767</v>
      </c>
      <c r="D276">
        <v>1</v>
      </c>
    </row>
    <row r="277" spans="1:4" x14ac:dyDescent="0.25">
      <c r="A277" s="89">
        <v>46024</v>
      </c>
      <c r="B277" t="s">
        <v>815</v>
      </c>
      <c r="C277" t="s">
        <v>745</v>
      </c>
      <c r="D277">
        <v>2</v>
      </c>
    </row>
    <row r="278" spans="1:4" x14ac:dyDescent="0.25">
      <c r="A278" s="89">
        <v>46024</v>
      </c>
      <c r="B278" t="s">
        <v>816</v>
      </c>
      <c r="C278" t="s">
        <v>745</v>
      </c>
      <c r="D278">
        <v>2</v>
      </c>
    </row>
    <row r="279" spans="1:4" x14ac:dyDescent="0.25">
      <c r="A279" s="89">
        <v>46024</v>
      </c>
      <c r="B279" t="s">
        <v>849</v>
      </c>
      <c r="C279" t="s">
        <v>745</v>
      </c>
      <c r="D279">
        <v>2</v>
      </c>
    </row>
    <row r="280" spans="1:4" x14ac:dyDescent="0.25">
      <c r="A280" s="89">
        <v>46024</v>
      </c>
      <c r="B280" t="s">
        <v>776</v>
      </c>
      <c r="C280" t="s">
        <v>745</v>
      </c>
      <c r="D280">
        <v>2</v>
      </c>
    </row>
    <row r="281" spans="1:4" x14ac:dyDescent="0.25">
      <c r="A281" s="89">
        <v>46024</v>
      </c>
      <c r="B281" t="s">
        <v>822</v>
      </c>
      <c r="C281" t="s">
        <v>745</v>
      </c>
      <c r="D281">
        <v>2</v>
      </c>
    </row>
    <row r="282" spans="1:4" x14ac:dyDescent="0.25">
      <c r="A282" s="89">
        <v>46024</v>
      </c>
      <c r="B282" t="s">
        <v>785</v>
      </c>
      <c r="C282" t="s">
        <v>745</v>
      </c>
      <c r="D282">
        <v>2</v>
      </c>
    </row>
    <row r="283" spans="1:4" x14ac:dyDescent="0.25">
      <c r="A283" s="89">
        <v>46024</v>
      </c>
      <c r="B283" t="s">
        <v>829</v>
      </c>
      <c r="C283" t="s">
        <v>745</v>
      </c>
      <c r="D283">
        <v>2</v>
      </c>
    </row>
    <row r="284" spans="1:4" x14ac:dyDescent="0.25">
      <c r="A284" s="89">
        <v>46024</v>
      </c>
      <c r="B284" t="s">
        <v>850</v>
      </c>
      <c r="C284" t="s">
        <v>745</v>
      </c>
      <c r="D284">
        <v>1</v>
      </c>
    </row>
    <row r="285" spans="1:4" x14ac:dyDescent="0.25">
      <c r="A285" s="89">
        <v>46024</v>
      </c>
      <c r="B285" t="s">
        <v>752</v>
      </c>
      <c r="C285" t="s">
        <v>745</v>
      </c>
      <c r="D285">
        <v>1</v>
      </c>
    </row>
    <row r="286" spans="1:4" x14ac:dyDescent="0.25">
      <c r="A286" s="89">
        <v>46024</v>
      </c>
      <c r="B286" t="s">
        <v>744</v>
      </c>
      <c r="C286" t="s">
        <v>745</v>
      </c>
      <c r="D286">
        <v>1</v>
      </c>
    </row>
    <row r="287" spans="1:4" x14ac:dyDescent="0.25">
      <c r="A287" s="89">
        <v>46024</v>
      </c>
      <c r="B287" t="s">
        <v>748</v>
      </c>
      <c r="C287" t="s">
        <v>745</v>
      </c>
      <c r="D287">
        <v>1</v>
      </c>
    </row>
    <row r="288" spans="1:4" x14ac:dyDescent="0.25">
      <c r="A288" s="89">
        <v>46024</v>
      </c>
      <c r="B288" t="s">
        <v>814</v>
      </c>
      <c r="C288" t="s">
        <v>745</v>
      </c>
      <c r="D288">
        <v>1</v>
      </c>
    </row>
    <row r="289" spans="1:4" x14ac:dyDescent="0.25">
      <c r="A289" s="89">
        <v>46024</v>
      </c>
      <c r="B289" t="s">
        <v>809</v>
      </c>
      <c r="C289" t="s">
        <v>745</v>
      </c>
      <c r="D289">
        <v>1</v>
      </c>
    </row>
    <row r="290" spans="1:4" x14ac:dyDescent="0.25">
      <c r="A290" s="89">
        <v>46024</v>
      </c>
      <c r="B290" t="s">
        <v>751</v>
      </c>
      <c r="C290" t="s">
        <v>745</v>
      </c>
      <c r="D290">
        <v>1</v>
      </c>
    </row>
    <row r="291" spans="1:4" x14ac:dyDescent="0.25">
      <c r="A291" s="89">
        <v>46025</v>
      </c>
      <c r="B291" t="s">
        <v>851</v>
      </c>
      <c r="C291" t="s">
        <v>745</v>
      </c>
      <c r="D291">
        <v>3</v>
      </c>
    </row>
    <row r="292" spans="1:4" x14ac:dyDescent="0.25">
      <c r="A292" s="89">
        <v>46025</v>
      </c>
      <c r="B292" t="s">
        <v>815</v>
      </c>
      <c r="C292" t="s">
        <v>745</v>
      </c>
      <c r="D292">
        <v>1</v>
      </c>
    </row>
    <row r="293" spans="1:4" x14ac:dyDescent="0.25">
      <c r="A293" s="89">
        <v>46025</v>
      </c>
      <c r="B293" t="s">
        <v>744</v>
      </c>
      <c r="C293" t="s">
        <v>745</v>
      </c>
      <c r="D293">
        <v>2</v>
      </c>
    </row>
    <row r="294" spans="1:4" x14ac:dyDescent="0.25">
      <c r="A294" s="89">
        <v>46025</v>
      </c>
      <c r="B294" t="s">
        <v>821</v>
      </c>
      <c r="C294" t="s">
        <v>745</v>
      </c>
      <c r="D294">
        <v>1</v>
      </c>
    </row>
    <row r="295" spans="1:4" x14ac:dyDescent="0.25">
      <c r="A295" s="89">
        <v>46025</v>
      </c>
      <c r="B295" t="s">
        <v>809</v>
      </c>
      <c r="C295" t="s">
        <v>745</v>
      </c>
      <c r="D295">
        <v>1</v>
      </c>
    </row>
    <row r="296" spans="1:4" x14ac:dyDescent="0.25">
      <c r="A296" s="89">
        <v>46025</v>
      </c>
      <c r="B296" t="s">
        <v>751</v>
      </c>
      <c r="C296" t="s">
        <v>745</v>
      </c>
      <c r="D296">
        <v>2</v>
      </c>
    </row>
    <row r="297" spans="1:4" x14ac:dyDescent="0.25">
      <c r="A297" s="89">
        <v>46025</v>
      </c>
      <c r="B297" t="s">
        <v>776</v>
      </c>
      <c r="C297" t="s">
        <v>745</v>
      </c>
      <c r="D297">
        <v>2</v>
      </c>
    </row>
    <row r="298" spans="1:4" x14ac:dyDescent="0.25">
      <c r="A298" s="89">
        <v>46025</v>
      </c>
      <c r="B298" t="s">
        <v>785</v>
      </c>
      <c r="C298" t="s">
        <v>745</v>
      </c>
      <c r="D298">
        <v>2</v>
      </c>
    </row>
    <row r="299" spans="1:4" x14ac:dyDescent="0.25">
      <c r="A299" s="89">
        <v>46025</v>
      </c>
      <c r="B299" t="s">
        <v>748</v>
      </c>
      <c r="C299" t="s">
        <v>745</v>
      </c>
      <c r="D299">
        <v>1</v>
      </c>
    </row>
    <row r="300" spans="1:4" x14ac:dyDescent="0.25">
      <c r="A300" s="89">
        <v>46025</v>
      </c>
      <c r="B300" t="s">
        <v>754</v>
      </c>
      <c r="C300" t="s">
        <v>745</v>
      </c>
      <c r="D300">
        <v>1</v>
      </c>
    </row>
    <row r="301" spans="1:4" x14ac:dyDescent="0.25">
      <c r="A301" s="89">
        <v>46025</v>
      </c>
      <c r="B301" t="s">
        <v>762</v>
      </c>
      <c r="C301" t="s">
        <v>745</v>
      </c>
      <c r="D301">
        <v>2</v>
      </c>
    </row>
    <row r="302" spans="1:4" x14ac:dyDescent="0.25">
      <c r="A302" s="89">
        <v>46025</v>
      </c>
      <c r="B302" t="s">
        <v>752</v>
      </c>
      <c r="C302" t="s">
        <v>745</v>
      </c>
      <c r="D302">
        <v>1</v>
      </c>
    </row>
    <row r="303" spans="1:4" x14ac:dyDescent="0.25">
      <c r="A303" s="89">
        <v>46025</v>
      </c>
      <c r="B303" t="s">
        <v>850</v>
      </c>
      <c r="C303" t="s">
        <v>745</v>
      </c>
      <c r="D303">
        <v>1</v>
      </c>
    </row>
    <row r="304" spans="1:4" x14ac:dyDescent="0.25">
      <c r="A304" s="89">
        <v>46025</v>
      </c>
      <c r="B304" t="s">
        <v>829</v>
      </c>
      <c r="C304" t="s">
        <v>745</v>
      </c>
      <c r="D304">
        <v>1</v>
      </c>
    </row>
    <row r="305" spans="1:4" x14ac:dyDescent="0.25">
      <c r="A305" s="89">
        <v>46026</v>
      </c>
      <c r="B305" t="s">
        <v>816</v>
      </c>
      <c r="C305" t="s">
        <v>745</v>
      </c>
      <c r="D305">
        <v>1</v>
      </c>
    </row>
    <row r="306" spans="1:4" x14ac:dyDescent="0.25">
      <c r="A306" s="89">
        <v>46026</v>
      </c>
      <c r="B306" t="s">
        <v>838</v>
      </c>
      <c r="C306" t="s">
        <v>745</v>
      </c>
      <c r="D306">
        <v>2</v>
      </c>
    </row>
    <row r="307" spans="1:4" x14ac:dyDescent="0.25">
      <c r="A307" s="89">
        <v>46026</v>
      </c>
      <c r="B307" t="s">
        <v>852</v>
      </c>
      <c r="C307" t="s">
        <v>745</v>
      </c>
      <c r="D307">
        <v>2</v>
      </c>
    </row>
    <row r="308" spans="1:4" x14ac:dyDescent="0.25">
      <c r="A308" s="89">
        <v>46026</v>
      </c>
      <c r="B308" t="s">
        <v>821</v>
      </c>
      <c r="C308" t="s">
        <v>745</v>
      </c>
      <c r="D308">
        <v>1</v>
      </c>
    </row>
    <row r="309" spans="1:4" x14ac:dyDescent="0.25">
      <c r="A309" s="89">
        <v>46026</v>
      </c>
      <c r="B309" t="s">
        <v>849</v>
      </c>
      <c r="C309" t="s">
        <v>745</v>
      </c>
      <c r="D309">
        <v>2</v>
      </c>
    </row>
    <row r="310" spans="1:4" x14ac:dyDescent="0.25">
      <c r="A310" s="89">
        <v>46026</v>
      </c>
      <c r="B310" t="s">
        <v>809</v>
      </c>
      <c r="C310" t="s">
        <v>745</v>
      </c>
      <c r="D310">
        <v>2</v>
      </c>
    </row>
    <row r="311" spans="1:4" x14ac:dyDescent="0.25">
      <c r="A311" s="89">
        <v>46026</v>
      </c>
      <c r="B311" t="s">
        <v>776</v>
      </c>
      <c r="C311" t="s">
        <v>745</v>
      </c>
      <c r="D311">
        <v>2</v>
      </c>
    </row>
    <row r="312" spans="1:4" x14ac:dyDescent="0.25">
      <c r="A312" s="89">
        <v>46026</v>
      </c>
      <c r="B312" t="s">
        <v>785</v>
      </c>
      <c r="C312" t="s">
        <v>745</v>
      </c>
      <c r="D312">
        <v>2</v>
      </c>
    </row>
    <row r="313" spans="1:4" x14ac:dyDescent="0.25">
      <c r="A313" s="89">
        <v>46026</v>
      </c>
      <c r="B313" t="s">
        <v>829</v>
      </c>
      <c r="C313" t="s">
        <v>745</v>
      </c>
      <c r="D313">
        <v>1</v>
      </c>
    </row>
    <row r="314" spans="1:4" x14ac:dyDescent="0.25">
      <c r="A314" s="89">
        <v>46026</v>
      </c>
      <c r="B314" t="s">
        <v>850</v>
      </c>
      <c r="C314" t="s">
        <v>745</v>
      </c>
      <c r="D314">
        <v>1</v>
      </c>
    </row>
    <row r="315" spans="1:4" x14ac:dyDescent="0.25">
      <c r="A315" s="89">
        <v>46027</v>
      </c>
      <c r="B315" t="s">
        <v>749</v>
      </c>
      <c r="C315" t="s">
        <v>765</v>
      </c>
      <c r="D315">
        <v>1</v>
      </c>
    </row>
    <row r="316" spans="1:4" x14ac:dyDescent="0.25">
      <c r="A316" s="89">
        <v>46027</v>
      </c>
      <c r="B316" t="s">
        <v>785</v>
      </c>
      <c r="C316" t="s">
        <v>765</v>
      </c>
      <c r="D316">
        <v>1</v>
      </c>
    </row>
    <row r="317" spans="1:4" x14ac:dyDescent="0.25">
      <c r="A317" s="89">
        <v>46028</v>
      </c>
      <c r="B317" t="s">
        <v>744</v>
      </c>
      <c r="C317" t="s">
        <v>767</v>
      </c>
      <c r="D317">
        <v>1</v>
      </c>
    </row>
    <row r="318" spans="1:4" x14ac:dyDescent="0.25">
      <c r="A318" s="89">
        <v>46028</v>
      </c>
      <c r="B318" t="s">
        <v>815</v>
      </c>
      <c r="C318" t="s">
        <v>767</v>
      </c>
      <c r="D318">
        <v>1</v>
      </c>
    </row>
    <row r="319" spans="1:4" x14ac:dyDescent="0.25">
      <c r="A319" s="89">
        <v>46028</v>
      </c>
      <c r="B319" t="s">
        <v>748</v>
      </c>
      <c r="C319" t="s">
        <v>767</v>
      </c>
      <c r="D319">
        <v>1</v>
      </c>
    </row>
    <row r="320" spans="1:4" x14ac:dyDescent="0.25">
      <c r="A320" s="89">
        <v>46028</v>
      </c>
      <c r="B320" t="s">
        <v>809</v>
      </c>
      <c r="C320" t="s">
        <v>767</v>
      </c>
      <c r="D320">
        <v>1</v>
      </c>
    </row>
    <row r="321" spans="1:4" x14ac:dyDescent="0.25">
      <c r="A321" s="89">
        <v>46028</v>
      </c>
      <c r="B321" t="s">
        <v>776</v>
      </c>
      <c r="C321" t="s">
        <v>767</v>
      </c>
      <c r="D321">
        <v>1</v>
      </c>
    </row>
    <row r="322" spans="1:4" x14ac:dyDescent="0.25">
      <c r="A322" s="89">
        <v>46028</v>
      </c>
      <c r="B322" t="s">
        <v>785</v>
      </c>
      <c r="C322" t="s">
        <v>767</v>
      </c>
      <c r="D322">
        <v>1</v>
      </c>
    </row>
    <row r="323" spans="1:4" x14ac:dyDescent="0.25">
      <c r="A323" s="89">
        <v>46030</v>
      </c>
      <c r="B323" t="s">
        <v>853</v>
      </c>
      <c r="C323" t="s">
        <v>745</v>
      </c>
      <c r="D323">
        <v>1</v>
      </c>
    </row>
    <row r="324" spans="1:4" x14ac:dyDescent="0.25">
      <c r="A324" s="89">
        <v>46030</v>
      </c>
      <c r="B324" t="s">
        <v>829</v>
      </c>
      <c r="C324" t="s">
        <v>745</v>
      </c>
      <c r="D324">
        <v>1</v>
      </c>
    </row>
    <row r="325" spans="1:4" x14ac:dyDescent="0.25">
      <c r="A325" s="89">
        <v>46030</v>
      </c>
      <c r="B325" t="s">
        <v>854</v>
      </c>
      <c r="C325" t="s">
        <v>745</v>
      </c>
      <c r="D325">
        <v>1</v>
      </c>
    </row>
    <row r="326" spans="1:4" x14ac:dyDescent="0.25">
      <c r="A326" s="89">
        <v>46030</v>
      </c>
      <c r="B326" t="s">
        <v>855</v>
      </c>
      <c r="C326" t="s">
        <v>745</v>
      </c>
      <c r="D326">
        <v>1</v>
      </c>
    </row>
    <row r="327" spans="1:4" x14ac:dyDescent="0.25">
      <c r="A327" s="89">
        <v>46030</v>
      </c>
      <c r="B327" t="s">
        <v>815</v>
      </c>
      <c r="C327" t="s">
        <v>745</v>
      </c>
      <c r="D327">
        <v>1</v>
      </c>
    </row>
    <row r="328" spans="1:4" x14ac:dyDescent="0.25">
      <c r="A328" s="89">
        <v>46030</v>
      </c>
      <c r="B328" t="s">
        <v>744</v>
      </c>
      <c r="C328" t="s">
        <v>745</v>
      </c>
      <c r="D328">
        <v>1</v>
      </c>
    </row>
    <row r="329" spans="1:4" x14ac:dyDescent="0.25">
      <c r="A329" s="89">
        <v>46030</v>
      </c>
      <c r="B329" t="s">
        <v>856</v>
      </c>
      <c r="C329" t="s">
        <v>745</v>
      </c>
      <c r="D329">
        <v>2</v>
      </c>
    </row>
    <row r="330" spans="1:4" x14ac:dyDescent="0.25">
      <c r="A330" s="89">
        <v>46030</v>
      </c>
      <c r="B330" t="s">
        <v>857</v>
      </c>
      <c r="C330" t="s">
        <v>745</v>
      </c>
      <c r="D330">
        <v>1</v>
      </c>
    </row>
    <row r="331" spans="1:4" x14ac:dyDescent="0.25">
      <c r="A331" s="89">
        <v>46030</v>
      </c>
      <c r="B331" t="s">
        <v>754</v>
      </c>
      <c r="C331" t="s">
        <v>745</v>
      </c>
      <c r="D331">
        <v>1</v>
      </c>
    </row>
    <row r="332" spans="1:4" x14ac:dyDescent="0.25">
      <c r="A332" s="89">
        <v>46030</v>
      </c>
      <c r="B332" t="s">
        <v>858</v>
      </c>
      <c r="C332" t="s">
        <v>745</v>
      </c>
      <c r="D332">
        <v>1</v>
      </c>
    </row>
    <row r="333" spans="1:4" x14ac:dyDescent="0.25">
      <c r="A333" s="89">
        <v>46030</v>
      </c>
      <c r="B333" t="s">
        <v>776</v>
      </c>
      <c r="C333" t="s">
        <v>745</v>
      </c>
      <c r="D333">
        <v>1</v>
      </c>
    </row>
    <row r="334" spans="1:4" x14ac:dyDescent="0.25">
      <c r="A334" s="89">
        <v>46030</v>
      </c>
      <c r="B334" t="s">
        <v>785</v>
      </c>
      <c r="C334" t="s">
        <v>745</v>
      </c>
      <c r="D334">
        <v>1</v>
      </c>
    </row>
    <row r="335" spans="1:4" x14ac:dyDescent="0.25">
      <c r="A335" s="89">
        <v>46030</v>
      </c>
      <c r="B335" t="s">
        <v>748</v>
      </c>
      <c r="C335" t="s">
        <v>745</v>
      </c>
      <c r="D335">
        <v>1</v>
      </c>
    </row>
    <row r="336" spans="1:4" x14ac:dyDescent="0.25">
      <c r="A336" s="89">
        <v>46030</v>
      </c>
      <c r="B336" t="s">
        <v>751</v>
      </c>
      <c r="C336" t="s">
        <v>745</v>
      </c>
      <c r="D336">
        <v>1</v>
      </c>
    </row>
    <row r="337" spans="1:4" x14ac:dyDescent="0.25">
      <c r="A337" s="89">
        <v>46031</v>
      </c>
      <c r="B337" t="s">
        <v>809</v>
      </c>
      <c r="C337" t="s">
        <v>745</v>
      </c>
      <c r="D337">
        <v>1</v>
      </c>
    </row>
    <row r="338" spans="1:4" x14ac:dyDescent="0.25">
      <c r="A338" s="89">
        <v>46031</v>
      </c>
      <c r="B338" t="s">
        <v>751</v>
      </c>
      <c r="C338" t="s">
        <v>745</v>
      </c>
      <c r="D338">
        <v>1</v>
      </c>
    </row>
    <row r="339" spans="1:4" x14ac:dyDescent="0.25">
      <c r="A339" s="89">
        <v>46031</v>
      </c>
      <c r="B339" t="s">
        <v>776</v>
      </c>
      <c r="C339" t="s">
        <v>745</v>
      </c>
      <c r="D339">
        <v>1</v>
      </c>
    </row>
    <row r="340" spans="1:4" x14ac:dyDescent="0.25">
      <c r="A340" s="89">
        <v>46031</v>
      </c>
      <c r="B340" t="s">
        <v>785</v>
      </c>
      <c r="C340" t="s">
        <v>745</v>
      </c>
      <c r="D340">
        <v>1</v>
      </c>
    </row>
    <row r="341" spans="1:4" x14ac:dyDescent="0.25">
      <c r="A341" s="89">
        <v>46031</v>
      </c>
      <c r="B341" t="s">
        <v>744</v>
      </c>
      <c r="C341" t="s">
        <v>745</v>
      </c>
      <c r="D341">
        <v>1</v>
      </c>
    </row>
    <row r="342" spans="1:4" x14ac:dyDescent="0.25">
      <c r="A342" s="89">
        <v>46031</v>
      </c>
      <c r="B342" t="s">
        <v>855</v>
      </c>
      <c r="C342" t="s">
        <v>745</v>
      </c>
      <c r="D342">
        <v>1</v>
      </c>
    </row>
    <row r="343" spans="1:4" x14ac:dyDescent="0.25">
      <c r="A343" s="89">
        <v>46031</v>
      </c>
      <c r="B343" t="s">
        <v>857</v>
      </c>
      <c r="C343" t="s">
        <v>745</v>
      </c>
      <c r="D343">
        <v>1</v>
      </c>
    </row>
    <row r="344" spans="1:4" x14ac:dyDescent="0.25">
      <c r="A344" s="89">
        <v>46031</v>
      </c>
      <c r="B344" t="s">
        <v>829</v>
      </c>
      <c r="C344" t="s">
        <v>745</v>
      </c>
      <c r="D344">
        <v>1</v>
      </c>
    </row>
    <row r="345" spans="1:4" x14ac:dyDescent="0.25">
      <c r="A345" s="89">
        <v>46031</v>
      </c>
      <c r="B345" t="s">
        <v>853</v>
      </c>
      <c r="C345" t="s">
        <v>745</v>
      </c>
      <c r="D345">
        <v>1</v>
      </c>
    </row>
    <row r="346" spans="1:4" x14ac:dyDescent="0.25">
      <c r="A346" s="89">
        <v>46031</v>
      </c>
      <c r="B346" t="s">
        <v>762</v>
      </c>
      <c r="C346" t="s">
        <v>745</v>
      </c>
      <c r="D346">
        <v>1</v>
      </c>
    </row>
    <row r="347" spans="1:4" x14ac:dyDescent="0.25">
      <c r="A347" s="89">
        <v>46031</v>
      </c>
      <c r="B347" t="s">
        <v>859</v>
      </c>
      <c r="C347" t="s">
        <v>745</v>
      </c>
      <c r="D347">
        <v>1</v>
      </c>
    </row>
    <row r="348" spans="1:4" x14ac:dyDescent="0.25">
      <c r="A348" s="89">
        <v>46031</v>
      </c>
      <c r="B348" t="s">
        <v>748</v>
      </c>
      <c r="C348" t="s">
        <v>765</v>
      </c>
      <c r="D348">
        <v>1</v>
      </c>
    </row>
    <row r="349" spans="1:4" x14ac:dyDescent="0.25">
      <c r="A349" s="89">
        <v>46032</v>
      </c>
      <c r="B349" t="s">
        <v>815</v>
      </c>
      <c r="C349" t="s">
        <v>745</v>
      </c>
      <c r="D349">
        <v>2</v>
      </c>
    </row>
    <row r="350" spans="1:4" x14ac:dyDescent="0.25">
      <c r="A350" s="89">
        <v>46032</v>
      </c>
      <c r="B350" t="s">
        <v>744</v>
      </c>
      <c r="C350" t="s">
        <v>745</v>
      </c>
      <c r="D350">
        <v>2</v>
      </c>
    </row>
    <row r="351" spans="1:4" x14ac:dyDescent="0.25">
      <c r="A351" s="89">
        <v>46032</v>
      </c>
      <c r="B351" t="s">
        <v>748</v>
      </c>
      <c r="C351" t="s">
        <v>745</v>
      </c>
      <c r="D351">
        <v>1</v>
      </c>
    </row>
    <row r="352" spans="1:4" x14ac:dyDescent="0.25">
      <c r="A352" s="89">
        <v>46032</v>
      </c>
      <c r="B352" t="s">
        <v>859</v>
      </c>
      <c r="C352" t="s">
        <v>745</v>
      </c>
      <c r="D352">
        <v>2</v>
      </c>
    </row>
    <row r="353" spans="1:4" x14ac:dyDescent="0.25">
      <c r="A353" s="89">
        <v>46032</v>
      </c>
      <c r="B353" t="s">
        <v>809</v>
      </c>
      <c r="C353" t="s">
        <v>745</v>
      </c>
      <c r="D353">
        <v>1</v>
      </c>
    </row>
    <row r="354" spans="1:4" x14ac:dyDescent="0.25">
      <c r="A354" s="89">
        <v>46032</v>
      </c>
      <c r="B354" t="s">
        <v>776</v>
      </c>
      <c r="C354" t="s">
        <v>745</v>
      </c>
      <c r="D354">
        <v>1</v>
      </c>
    </row>
    <row r="355" spans="1:4" x14ac:dyDescent="0.25">
      <c r="A355" s="89">
        <v>46032</v>
      </c>
      <c r="B355" t="s">
        <v>857</v>
      </c>
      <c r="C355" t="s">
        <v>745</v>
      </c>
      <c r="D355">
        <v>1</v>
      </c>
    </row>
    <row r="356" spans="1:4" x14ac:dyDescent="0.25">
      <c r="A356" s="89">
        <v>46032</v>
      </c>
      <c r="B356" t="s">
        <v>785</v>
      </c>
      <c r="C356" t="s">
        <v>745</v>
      </c>
      <c r="D356">
        <v>1</v>
      </c>
    </row>
    <row r="357" spans="1:4" x14ac:dyDescent="0.25">
      <c r="A357" s="89">
        <v>46032</v>
      </c>
      <c r="B357" t="s">
        <v>829</v>
      </c>
      <c r="C357" t="s">
        <v>745</v>
      </c>
      <c r="D357">
        <v>1</v>
      </c>
    </row>
    <row r="358" spans="1:4" x14ac:dyDescent="0.25">
      <c r="A358" s="89">
        <v>46032</v>
      </c>
      <c r="B358" t="s">
        <v>853</v>
      </c>
      <c r="C358" t="s">
        <v>745</v>
      </c>
      <c r="D358">
        <v>1</v>
      </c>
    </row>
    <row r="359" spans="1:4" x14ac:dyDescent="0.25">
      <c r="A359" s="89">
        <v>46033</v>
      </c>
      <c r="B359" t="s">
        <v>815</v>
      </c>
      <c r="C359" t="s">
        <v>745</v>
      </c>
      <c r="D359">
        <v>2</v>
      </c>
    </row>
    <row r="360" spans="1:4" x14ac:dyDescent="0.25">
      <c r="A360" s="89">
        <v>46033</v>
      </c>
      <c r="B360" t="s">
        <v>821</v>
      </c>
      <c r="C360" t="s">
        <v>745</v>
      </c>
      <c r="D360">
        <v>1</v>
      </c>
    </row>
    <row r="361" spans="1:4" x14ac:dyDescent="0.25">
      <c r="A361" s="89">
        <v>46033</v>
      </c>
      <c r="B361" t="s">
        <v>748</v>
      </c>
      <c r="C361" t="s">
        <v>745</v>
      </c>
      <c r="D361">
        <v>1</v>
      </c>
    </row>
    <row r="362" spans="1:4" x14ac:dyDescent="0.25">
      <c r="A362" s="89">
        <v>46033</v>
      </c>
      <c r="B362" t="s">
        <v>859</v>
      </c>
      <c r="C362" t="s">
        <v>745</v>
      </c>
      <c r="D362">
        <v>2</v>
      </c>
    </row>
    <row r="363" spans="1:4" x14ac:dyDescent="0.25">
      <c r="A363" s="89">
        <v>46033</v>
      </c>
      <c r="B363" t="s">
        <v>809</v>
      </c>
      <c r="C363" t="s">
        <v>745</v>
      </c>
      <c r="D363">
        <v>1</v>
      </c>
    </row>
    <row r="364" spans="1:4" x14ac:dyDescent="0.25">
      <c r="A364" s="89">
        <v>46033</v>
      </c>
      <c r="B364" t="s">
        <v>776</v>
      </c>
      <c r="C364" t="s">
        <v>745</v>
      </c>
      <c r="D364">
        <v>2</v>
      </c>
    </row>
    <row r="365" spans="1:4" x14ac:dyDescent="0.25">
      <c r="A365" s="89">
        <v>46033</v>
      </c>
      <c r="B365" t="s">
        <v>857</v>
      </c>
      <c r="C365" t="s">
        <v>745</v>
      </c>
      <c r="D365">
        <v>1</v>
      </c>
    </row>
    <row r="366" spans="1:4" x14ac:dyDescent="0.25">
      <c r="A366" s="89">
        <v>46033</v>
      </c>
      <c r="B366" t="s">
        <v>785</v>
      </c>
      <c r="C366" t="s">
        <v>745</v>
      </c>
      <c r="D366">
        <v>2</v>
      </c>
    </row>
    <row r="367" spans="1:4" x14ac:dyDescent="0.25">
      <c r="A367" s="89">
        <v>46033</v>
      </c>
      <c r="B367" t="s">
        <v>762</v>
      </c>
      <c r="C367" t="s">
        <v>745</v>
      </c>
      <c r="D367">
        <v>1</v>
      </c>
    </row>
    <row r="368" spans="1:4" x14ac:dyDescent="0.25">
      <c r="A368" s="89">
        <v>46033</v>
      </c>
      <c r="B368" t="s">
        <v>854</v>
      </c>
      <c r="C368" t="s">
        <v>745</v>
      </c>
      <c r="D368">
        <v>1</v>
      </c>
    </row>
    <row r="369" spans="1:4" x14ac:dyDescent="0.25">
      <c r="A369" s="89">
        <v>46033</v>
      </c>
      <c r="B369" t="s">
        <v>829</v>
      </c>
      <c r="C369" t="s">
        <v>745</v>
      </c>
      <c r="D369">
        <v>1</v>
      </c>
    </row>
    <row r="370" spans="1:4" x14ac:dyDescent="0.25">
      <c r="A370" s="89">
        <v>46033</v>
      </c>
      <c r="B370" t="s">
        <v>853</v>
      </c>
      <c r="C370" t="s">
        <v>745</v>
      </c>
      <c r="D370">
        <v>1</v>
      </c>
    </row>
    <row r="371" spans="1:4" x14ac:dyDescent="0.25">
      <c r="A371" s="89">
        <v>46034</v>
      </c>
      <c r="B371" t="s">
        <v>744</v>
      </c>
      <c r="C371" t="s">
        <v>765</v>
      </c>
      <c r="D371">
        <v>1</v>
      </c>
    </row>
    <row r="372" spans="1:4" x14ac:dyDescent="0.25">
      <c r="A372" s="89">
        <v>46034</v>
      </c>
      <c r="B372" t="s">
        <v>749</v>
      </c>
      <c r="C372" t="s">
        <v>765</v>
      </c>
      <c r="D372">
        <v>1</v>
      </c>
    </row>
    <row r="373" spans="1:4" x14ac:dyDescent="0.25">
      <c r="A373" s="89">
        <v>46034</v>
      </c>
      <c r="B373" t="s">
        <v>785</v>
      </c>
      <c r="C373" t="s">
        <v>765</v>
      </c>
      <c r="D373">
        <v>1</v>
      </c>
    </row>
    <row r="374" spans="1:4" x14ac:dyDescent="0.25">
      <c r="A374" s="89">
        <v>46035</v>
      </c>
      <c r="B374" t="s">
        <v>785</v>
      </c>
      <c r="C374" t="s">
        <v>745</v>
      </c>
      <c r="D374">
        <v>1</v>
      </c>
    </row>
    <row r="375" spans="1:4" x14ac:dyDescent="0.25">
      <c r="A375" s="89">
        <v>46035</v>
      </c>
      <c r="B375" t="s">
        <v>860</v>
      </c>
      <c r="C375" t="s">
        <v>745</v>
      </c>
      <c r="D375">
        <v>1</v>
      </c>
    </row>
    <row r="376" spans="1:4" x14ac:dyDescent="0.25">
      <c r="A376" s="89">
        <v>46035</v>
      </c>
      <c r="B376" t="s">
        <v>853</v>
      </c>
      <c r="C376" t="s">
        <v>745</v>
      </c>
      <c r="D376">
        <v>1</v>
      </c>
    </row>
    <row r="377" spans="1:4" x14ac:dyDescent="0.25">
      <c r="A377" s="89">
        <v>46035</v>
      </c>
      <c r="B377" t="s">
        <v>762</v>
      </c>
      <c r="C377" t="s">
        <v>745</v>
      </c>
      <c r="D377">
        <v>1</v>
      </c>
    </row>
    <row r="378" spans="1:4" x14ac:dyDescent="0.25">
      <c r="A378" s="89">
        <v>46036</v>
      </c>
      <c r="B378" t="s">
        <v>776</v>
      </c>
      <c r="C378" t="s">
        <v>767</v>
      </c>
      <c r="D378">
        <v>1</v>
      </c>
    </row>
    <row r="379" spans="1:4" x14ac:dyDescent="0.25">
      <c r="A379" s="89">
        <v>46036</v>
      </c>
      <c r="B379" t="s">
        <v>785</v>
      </c>
      <c r="C379" t="s">
        <v>767</v>
      </c>
      <c r="D379">
        <v>1</v>
      </c>
    </row>
    <row r="380" spans="1:4" x14ac:dyDescent="0.25">
      <c r="A380" s="89">
        <v>46037</v>
      </c>
      <c r="B380" t="s">
        <v>744</v>
      </c>
      <c r="C380" t="s">
        <v>745</v>
      </c>
      <c r="D380">
        <v>1</v>
      </c>
    </row>
    <row r="381" spans="1:4" x14ac:dyDescent="0.25">
      <c r="A381" s="89">
        <v>46037</v>
      </c>
      <c r="B381" t="s">
        <v>815</v>
      </c>
      <c r="C381" t="s">
        <v>745</v>
      </c>
      <c r="D381">
        <v>2</v>
      </c>
    </row>
    <row r="382" spans="1:4" x14ac:dyDescent="0.25">
      <c r="A382" s="89">
        <v>46037</v>
      </c>
      <c r="B382" t="s">
        <v>821</v>
      </c>
      <c r="C382" t="s">
        <v>745</v>
      </c>
      <c r="D382">
        <v>1</v>
      </c>
    </row>
    <row r="383" spans="1:4" x14ac:dyDescent="0.25">
      <c r="A383" s="89">
        <v>46037</v>
      </c>
      <c r="B383" t="s">
        <v>748</v>
      </c>
      <c r="C383" t="s">
        <v>745</v>
      </c>
      <c r="D383">
        <v>1</v>
      </c>
    </row>
    <row r="384" spans="1:4" x14ac:dyDescent="0.25">
      <c r="A384" s="89">
        <v>46037</v>
      </c>
      <c r="B384" t="s">
        <v>776</v>
      </c>
      <c r="C384" t="s">
        <v>745</v>
      </c>
      <c r="D384">
        <v>1</v>
      </c>
    </row>
    <row r="385" spans="1:4" x14ac:dyDescent="0.25">
      <c r="A385" s="89">
        <v>46037</v>
      </c>
      <c r="B385" t="s">
        <v>785</v>
      </c>
      <c r="C385" t="s">
        <v>745</v>
      </c>
      <c r="D385">
        <v>1</v>
      </c>
    </row>
    <row r="386" spans="1:4" x14ac:dyDescent="0.25">
      <c r="A386" s="89">
        <v>46037</v>
      </c>
      <c r="B386" t="s">
        <v>861</v>
      </c>
      <c r="C386" t="s">
        <v>745</v>
      </c>
      <c r="D386">
        <v>1</v>
      </c>
    </row>
    <row r="387" spans="1:4" x14ac:dyDescent="0.25">
      <c r="A387" s="89">
        <v>46037</v>
      </c>
      <c r="B387" t="s">
        <v>854</v>
      </c>
      <c r="C387" t="s">
        <v>745</v>
      </c>
      <c r="D387">
        <v>1</v>
      </c>
    </row>
    <row r="388" spans="1:4" x14ac:dyDescent="0.25">
      <c r="A388" s="89">
        <v>46037</v>
      </c>
      <c r="B388" t="s">
        <v>829</v>
      </c>
      <c r="C388" t="s">
        <v>745</v>
      </c>
      <c r="D388">
        <v>1</v>
      </c>
    </row>
    <row r="389" spans="1:4" x14ac:dyDescent="0.25">
      <c r="A389" s="89">
        <v>46037</v>
      </c>
      <c r="B389" t="s">
        <v>816</v>
      </c>
      <c r="C389" t="s">
        <v>745</v>
      </c>
      <c r="D389">
        <v>1</v>
      </c>
    </row>
    <row r="390" spans="1:4" x14ac:dyDescent="0.25">
      <c r="A390" s="89">
        <v>46037</v>
      </c>
      <c r="B390" t="s">
        <v>862</v>
      </c>
      <c r="C390" t="s">
        <v>745</v>
      </c>
      <c r="D390">
        <v>1</v>
      </c>
    </row>
    <row r="391" spans="1:4" x14ac:dyDescent="0.25">
      <c r="A391" s="89">
        <v>46037</v>
      </c>
      <c r="B391" t="s">
        <v>863</v>
      </c>
      <c r="C391" t="s">
        <v>745</v>
      </c>
      <c r="D391">
        <v>1</v>
      </c>
    </row>
    <row r="392" spans="1:4" x14ac:dyDescent="0.25">
      <c r="A392" s="89">
        <v>46038</v>
      </c>
      <c r="B392" t="s">
        <v>821</v>
      </c>
      <c r="C392" t="s">
        <v>745</v>
      </c>
      <c r="D392">
        <v>1</v>
      </c>
    </row>
    <row r="393" spans="1:4" x14ac:dyDescent="0.25">
      <c r="A393" s="89">
        <v>46038</v>
      </c>
      <c r="B393" t="s">
        <v>748</v>
      </c>
      <c r="C393" t="s">
        <v>745</v>
      </c>
      <c r="D393">
        <v>1</v>
      </c>
    </row>
    <row r="394" spans="1:4" x14ac:dyDescent="0.25">
      <c r="A394" s="89">
        <v>46038</v>
      </c>
      <c r="B394" t="s">
        <v>809</v>
      </c>
      <c r="C394" t="s">
        <v>745</v>
      </c>
      <c r="D394">
        <v>1</v>
      </c>
    </row>
    <row r="395" spans="1:4" x14ac:dyDescent="0.25">
      <c r="A395" s="89">
        <v>46038</v>
      </c>
      <c r="B395" t="s">
        <v>751</v>
      </c>
      <c r="C395" t="s">
        <v>745</v>
      </c>
      <c r="D395">
        <v>1</v>
      </c>
    </row>
    <row r="396" spans="1:4" x14ac:dyDescent="0.25">
      <c r="A396" s="89">
        <v>46038</v>
      </c>
      <c r="B396" t="s">
        <v>776</v>
      </c>
      <c r="C396" t="s">
        <v>745</v>
      </c>
      <c r="D396">
        <v>1</v>
      </c>
    </row>
    <row r="397" spans="1:4" x14ac:dyDescent="0.25">
      <c r="A397" s="89">
        <v>46038</v>
      </c>
      <c r="B397" t="s">
        <v>785</v>
      </c>
      <c r="C397" t="s">
        <v>745</v>
      </c>
      <c r="D397">
        <v>1</v>
      </c>
    </row>
    <row r="398" spans="1:4" x14ac:dyDescent="0.25">
      <c r="A398" s="89">
        <v>46039</v>
      </c>
      <c r="B398" t="s">
        <v>864</v>
      </c>
      <c r="C398" t="s">
        <v>745</v>
      </c>
      <c r="D398">
        <v>2</v>
      </c>
    </row>
    <row r="399" spans="1:4" x14ac:dyDescent="0.25">
      <c r="A399" s="89">
        <v>46039</v>
      </c>
      <c r="B399" t="s">
        <v>821</v>
      </c>
      <c r="C399" t="s">
        <v>745</v>
      </c>
      <c r="D399">
        <v>1</v>
      </c>
    </row>
    <row r="400" spans="1:4" x14ac:dyDescent="0.25">
      <c r="A400" s="89">
        <v>46039</v>
      </c>
      <c r="B400" t="s">
        <v>865</v>
      </c>
      <c r="C400" t="s">
        <v>745</v>
      </c>
      <c r="D400">
        <v>1</v>
      </c>
    </row>
    <row r="401" spans="1:4" x14ac:dyDescent="0.25">
      <c r="A401" s="89">
        <v>46039</v>
      </c>
      <c r="B401" t="s">
        <v>862</v>
      </c>
      <c r="C401" t="s">
        <v>745</v>
      </c>
      <c r="D401">
        <v>1</v>
      </c>
    </row>
    <row r="402" spans="1:4" x14ac:dyDescent="0.25">
      <c r="A402" s="89">
        <v>46039</v>
      </c>
      <c r="B402" t="s">
        <v>829</v>
      </c>
      <c r="C402" t="s">
        <v>745</v>
      </c>
      <c r="D402">
        <v>1</v>
      </c>
    </row>
    <row r="403" spans="1:4" x14ac:dyDescent="0.25">
      <c r="A403" s="89">
        <v>46039</v>
      </c>
      <c r="B403" t="s">
        <v>861</v>
      </c>
      <c r="C403" t="s">
        <v>745</v>
      </c>
      <c r="D403">
        <v>1</v>
      </c>
    </row>
    <row r="404" spans="1:4" x14ac:dyDescent="0.25">
      <c r="A404" s="89">
        <v>46040</v>
      </c>
      <c r="B404" t="s">
        <v>744</v>
      </c>
      <c r="C404" t="s">
        <v>767</v>
      </c>
      <c r="D404">
        <v>1</v>
      </c>
    </row>
    <row r="405" spans="1:4" x14ac:dyDescent="0.25">
      <c r="A405" s="89">
        <v>46040</v>
      </c>
      <c r="B405" t="s">
        <v>776</v>
      </c>
      <c r="C405" t="s">
        <v>767</v>
      </c>
      <c r="D405">
        <v>1</v>
      </c>
    </row>
    <row r="406" spans="1:4" x14ac:dyDescent="0.25">
      <c r="A406" s="89">
        <v>46040</v>
      </c>
      <c r="B406" t="s">
        <v>785</v>
      </c>
      <c r="C406" t="s">
        <v>767</v>
      </c>
      <c r="D406">
        <v>1</v>
      </c>
    </row>
    <row r="407" spans="1:4" x14ac:dyDescent="0.25">
      <c r="A407" s="89">
        <v>46040</v>
      </c>
      <c r="B407" t="s">
        <v>865</v>
      </c>
      <c r="C407" t="s">
        <v>767</v>
      </c>
      <c r="D407">
        <v>1</v>
      </c>
    </row>
    <row r="408" spans="1:4" x14ac:dyDescent="0.25">
      <c r="A408" s="89">
        <v>46040</v>
      </c>
      <c r="B408" t="s">
        <v>748</v>
      </c>
      <c r="C408" t="s">
        <v>767</v>
      </c>
      <c r="D408">
        <v>1</v>
      </c>
    </row>
    <row r="409" spans="1:4" x14ac:dyDescent="0.25">
      <c r="A409" s="89">
        <v>46040</v>
      </c>
      <c r="B409" t="s">
        <v>809</v>
      </c>
      <c r="C409" t="s">
        <v>767</v>
      </c>
      <c r="D409">
        <v>1</v>
      </c>
    </row>
    <row r="410" spans="1:4" x14ac:dyDescent="0.25">
      <c r="A410" s="89">
        <v>46040</v>
      </c>
      <c r="B410" t="s">
        <v>863</v>
      </c>
      <c r="C410" t="s">
        <v>767</v>
      </c>
      <c r="D410">
        <v>1</v>
      </c>
    </row>
    <row r="411" spans="1:4" x14ac:dyDescent="0.25">
      <c r="A411" s="89">
        <v>46040</v>
      </c>
      <c r="B411" t="s">
        <v>751</v>
      </c>
      <c r="C411" t="s">
        <v>767</v>
      </c>
      <c r="D411">
        <v>1</v>
      </c>
    </row>
    <row r="412" spans="1:4" x14ac:dyDescent="0.25">
      <c r="A412" s="89">
        <v>46041</v>
      </c>
      <c r="B412" t="s">
        <v>866</v>
      </c>
      <c r="C412" t="s">
        <v>765</v>
      </c>
      <c r="D412">
        <v>1</v>
      </c>
    </row>
    <row r="413" spans="1:4" x14ac:dyDescent="0.25">
      <c r="A413" s="89">
        <v>46041</v>
      </c>
      <c r="B413" t="s">
        <v>867</v>
      </c>
      <c r="C413" t="s">
        <v>765</v>
      </c>
      <c r="D413">
        <v>1</v>
      </c>
    </row>
    <row r="414" spans="1:4" x14ac:dyDescent="0.25">
      <c r="A414" s="89">
        <v>46042</v>
      </c>
      <c r="B414" t="s">
        <v>821</v>
      </c>
      <c r="C414" t="s">
        <v>745</v>
      </c>
      <c r="D414">
        <v>1</v>
      </c>
    </row>
    <row r="415" spans="1:4" x14ac:dyDescent="0.25">
      <c r="A415" s="89">
        <v>46042</v>
      </c>
      <c r="B415" t="s">
        <v>785</v>
      </c>
      <c r="C415" t="s">
        <v>745</v>
      </c>
      <c r="D415">
        <v>1</v>
      </c>
    </row>
    <row r="416" spans="1:4" x14ac:dyDescent="0.25">
      <c r="A416" s="89">
        <v>46043</v>
      </c>
      <c r="B416" t="s">
        <v>744</v>
      </c>
      <c r="C416" t="s">
        <v>767</v>
      </c>
      <c r="D416">
        <v>1</v>
      </c>
    </row>
    <row r="417" spans="1:4" x14ac:dyDescent="0.25">
      <c r="A417" s="89">
        <v>46043</v>
      </c>
      <c r="B417" t="s">
        <v>748</v>
      </c>
      <c r="C417" t="s">
        <v>767</v>
      </c>
      <c r="D417">
        <v>1</v>
      </c>
    </row>
    <row r="418" spans="1:4" x14ac:dyDescent="0.25">
      <c r="A418" s="89">
        <v>46043</v>
      </c>
      <c r="B418" t="s">
        <v>809</v>
      </c>
      <c r="C418" t="s">
        <v>767</v>
      </c>
      <c r="D418">
        <v>1</v>
      </c>
    </row>
    <row r="419" spans="1:4" x14ac:dyDescent="0.25">
      <c r="A419" s="89">
        <v>46043</v>
      </c>
      <c r="B419" t="s">
        <v>792</v>
      </c>
      <c r="C419" t="s">
        <v>767</v>
      </c>
      <c r="D419">
        <v>1</v>
      </c>
    </row>
    <row r="420" spans="1:4" x14ac:dyDescent="0.25">
      <c r="A420" s="89">
        <v>46044</v>
      </c>
      <c r="B420" t="s">
        <v>829</v>
      </c>
      <c r="C420" t="s">
        <v>745</v>
      </c>
      <c r="D420">
        <v>1</v>
      </c>
    </row>
    <row r="421" spans="1:4" x14ac:dyDescent="0.25">
      <c r="A421" s="89">
        <v>46044</v>
      </c>
      <c r="B421" t="s">
        <v>854</v>
      </c>
      <c r="C421" t="s">
        <v>745</v>
      </c>
      <c r="D421">
        <v>1</v>
      </c>
    </row>
    <row r="422" spans="1:4" x14ac:dyDescent="0.25">
      <c r="A422" s="89">
        <v>46044</v>
      </c>
      <c r="B422" t="s">
        <v>819</v>
      </c>
      <c r="C422" t="s">
        <v>745</v>
      </c>
      <c r="D422">
        <v>1</v>
      </c>
    </row>
    <row r="423" spans="1:4" x14ac:dyDescent="0.25">
      <c r="A423" s="89">
        <v>46044</v>
      </c>
      <c r="B423" t="s">
        <v>832</v>
      </c>
      <c r="C423" t="s">
        <v>745</v>
      </c>
      <c r="D423">
        <v>2</v>
      </c>
    </row>
    <row r="424" spans="1:4" x14ac:dyDescent="0.25">
      <c r="A424" s="89">
        <v>46044</v>
      </c>
      <c r="B424" t="s">
        <v>778</v>
      </c>
      <c r="C424" t="s">
        <v>745</v>
      </c>
      <c r="D424">
        <v>2</v>
      </c>
    </row>
    <row r="425" spans="1:4" x14ac:dyDescent="0.25">
      <c r="A425" s="89">
        <v>46044</v>
      </c>
      <c r="B425" t="s">
        <v>868</v>
      </c>
      <c r="C425" t="s">
        <v>745</v>
      </c>
      <c r="D425">
        <v>1</v>
      </c>
    </row>
    <row r="426" spans="1:4" x14ac:dyDescent="0.25">
      <c r="A426" s="89">
        <v>46045</v>
      </c>
      <c r="B426" t="s">
        <v>821</v>
      </c>
      <c r="C426" t="s">
        <v>745</v>
      </c>
      <c r="D426">
        <v>1</v>
      </c>
    </row>
    <row r="427" spans="1:4" x14ac:dyDescent="0.25">
      <c r="A427" s="89">
        <v>46045</v>
      </c>
      <c r="B427" t="s">
        <v>748</v>
      </c>
      <c r="C427" t="s">
        <v>745</v>
      </c>
      <c r="D427">
        <v>1</v>
      </c>
    </row>
    <row r="428" spans="1:4" x14ac:dyDescent="0.25">
      <c r="A428" s="89">
        <v>46045</v>
      </c>
      <c r="B428" t="s">
        <v>809</v>
      </c>
      <c r="C428" t="s">
        <v>745</v>
      </c>
      <c r="D428">
        <v>1</v>
      </c>
    </row>
    <row r="429" spans="1:4" x14ac:dyDescent="0.25">
      <c r="A429" s="89">
        <v>46045</v>
      </c>
      <c r="B429" t="s">
        <v>751</v>
      </c>
      <c r="C429" t="s">
        <v>745</v>
      </c>
      <c r="D429">
        <v>1</v>
      </c>
    </row>
    <row r="430" spans="1:4" x14ac:dyDescent="0.25">
      <c r="A430" s="89">
        <v>46045</v>
      </c>
      <c r="B430" t="s">
        <v>776</v>
      </c>
      <c r="C430" t="s">
        <v>745</v>
      </c>
      <c r="D430">
        <v>1</v>
      </c>
    </row>
    <row r="431" spans="1:4" x14ac:dyDescent="0.25">
      <c r="A431" s="89">
        <v>46045</v>
      </c>
      <c r="B431" t="s">
        <v>785</v>
      </c>
      <c r="C431" t="s">
        <v>745</v>
      </c>
      <c r="D431">
        <v>1</v>
      </c>
    </row>
    <row r="432" spans="1:4" x14ac:dyDescent="0.25">
      <c r="A432" s="89">
        <v>46045</v>
      </c>
      <c r="B432" t="s">
        <v>828</v>
      </c>
      <c r="C432" t="s">
        <v>745</v>
      </c>
      <c r="D432">
        <v>1</v>
      </c>
    </row>
    <row r="433" spans="1:4" x14ac:dyDescent="0.25">
      <c r="A433" s="89">
        <v>46046</v>
      </c>
      <c r="B433" t="s">
        <v>744</v>
      </c>
      <c r="C433" t="s">
        <v>745</v>
      </c>
      <c r="D433">
        <v>1</v>
      </c>
    </row>
    <row r="434" spans="1:4" x14ac:dyDescent="0.25">
      <c r="A434" s="89">
        <v>46046</v>
      </c>
      <c r="B434" t="s">
        <v>832</v>
      </c>
      <c r="C434" t="s">
        <v>745</v>
      </c>
      <c r="D434">
        <v>2</v>
      </c>
    </row>
    <row r="435" spans="1:4" x14ac:dyDescent="0.25">
      <c r="A435" s="89">
        <v>46046</v>
      </c>
      <c r="B435" t="s">
        <v>778</v>
      </c>
      <c r="C435" t="s">
        <v>745</v>
      </c>
      <c r="D435">
        <v>2</v>
      </c>
    </row>
    <row r="436" spans="1:4" x14ac:dyDescent="0.25">
      <c r="A436" s="89">
        <v>46047</v>
      </c>
      <c r="B436" t="s">
        <v>740</v>
      </c>
      <c r="C436" t="s">
        <v>765</v>
      </c>
      <c r="D436">
        <v>1</v>
      </c>
    </row>
    <row r="437" spans="1:4" x14ac:dyDescent="0.25">
      <c r="A437" s="89">
        <v>46047</v>
      </c>
      <c r="B437" t="s">
        <v>869</v>
      </c>
      <c r="C437" t="s">
        <v>765</v>
      </c>
      <c r="D437">
        <v>1</v>
      </c>
    </row>
    <row r="438" spans="1:4" x14ac:dyDescent="0.25">
      <c r="A438" s="89">
        <v>46047</v>
      </c>
      <c r="B438" t="s">
        <v>870</v>
      </c>
      <c r="C438" t="s">
        <v>765</v>
      </c>
      <c r="D438">
        <v>2</v>
      </c>
    </row>
    <row r="439" spans="1:4" x14ac:dyDescent="0.25">
      <c r="A439" s="89">
        <v>46047</v>
      </c>
      <c r="B439" t="s">
        <v>829</v>
      </c>
      <c r="C439" t="s">
        <v>765</v>
      </c>
      <c r="D439">
        <v>1</v>
      </c>
    </row>
    <row r="440" spans="1:4" x14ac:dyDescent="0.25">
      <c r="A440" s="89">
        <v>46047</v>
      </c>
      <c r="B440" t="s">
        <v>683</v>
      </c>
      <c r="C440" t="s">
        <v>765</v>
      </c>
      <c r="D440">
        <v>2</v>
      </c>
    </row>
    <row r="441" spans="1:4" x14ac:dyDescent="0.25">
      <c r="A441" s="89">
        <v>46047</v>
      </c>
      <c r="B441" t="s">
        <v>807</v>
      </c>
      <c r="C441" t="s">
        <v>765</v>
      </c>
      <c r="D441">
        <v>1</v>
      </c>
    </row>
    <row r="442" spans="1:4" x14ac:dyDescent="0.25">
      <c r="A442" s="89">
        <v>46049</v>
      </c>
      <c r="B442" t="s">
        <v>871</v>
      </c>
      <c r="C442" t="s">
        <v>767</v>
      </c>
      <c r="D442">
        <v>1</v>
      </c>
    </row>
    <row r="443" spans="1:4" x14ac:dyDescent="0.25">
      <c r="A443" s="89">
        <v>46049</v>
      </c>
      <c r="B443" t="s">
        <v>817</v>
      </c>
      <c r="C443" t="s">
        <v>767</v>
      </c>
      <c r="D443">
        <v>1</v>
      </c>
    </row>
    <row r="444" spans="1:4" x14ac:dyDescent="0.25">
      <c r="A444" s="89">
        <v>46049</v>
      </c>
      <c r="B444" t="s">
        <v>809</v>
      </c>
      <c r="C444" t="s">
        <v>767</v>
      </c>
      <c r="D444">
        <v>1</v>
      </c>
    </row>
    <row r="445" spans="1:4" x14ac:dyDescent="0.25">
      <c r="A445" s="89">
        <v>46050</v>
      </c>
      <c r="B445" t="s">
        <v>821</v>
      </c>
      <c r="C445" t="s">
        <v>767</v>
      </c>
      <c r="D445">
        <v>1</v>
      </c>
    </row>
    <row r="446" spans="1:4" x14ac:dyDescent="0.25">
      <c r="A446" s="89">
        <v>46050</v>
      </c>
      <c r="B446" t="s">
        <v>817</v>
      </c>
      <c r="C446" t="s">
        <v>767</v>
      </c>
      <c r="D446">
        <v>1</v>
      </c>
    </row>
    <row r="447" spans="1:4" x14ac:dyDescent="0.25">
      <c r="A447" s="89">
        <v>46050</v>
      </c>
      <c r="B447" t="s">
        <v>776</v>
      </c>
      <c r="C447" t="s">
        <v>767</v>
      </c>
      <c r="D447">
        <v>1</v>
      </c>
    </row>
    <row r="448" spans="1:4" x14ac:dyDescent="0.25">
      <c r="A448" s="89">
        <v>46050</v>
      </c>
      <c r="B448" t="s">
        <v>753</v>
      </c>
      <c r="C448" t="s">
        <v>767</v>
      </c>
      <c r="D448">
        <v>1</v>
      </c>
    </row>
    <row r="449" spans="1:4" x14ac:dyDescent="0.25">
      <c r="A449" s="89">
        <v>46051</v>
      </c>
      <c r="B449" t="s">
        <v>872</v>
      </c>
      <c r="C449" t="s">
        <v>745</v>
      </c>
      <c r="D449">
        <v>2</v>
      </c>
    </row>
    <row r="450" spans="1:4" x14ac:dyDescent="0.25">
      <c r="A450" s="89">
        <v>46051</v>
      </c>
      <c r="B450" t="s">
        <v>829</v>
      </c>
      <c r="C450" t="s">
        <v>745</v>
      </c>
      <c r="D450">
        <v>1</v>
      </c>
    </row>
    <row r="451" spans="1:4" x14ac:dyDescent="0.25">
      <c r="A451" s="89">
        <v>46051</v>
      </c>
      <c r="B451" t="s">
        <v>762</v>
      </c>
      <c r="C451" t="s">
        <v>745</v>
      </c>
      <c r="D451">
        <v>1</v>
      </c>
    </row>
    <row r="452" spans="1:4" x14ac:dyDescent="0.25">
      <c r="A452" s="89">
        <v>46051</v>
      </c>
      <c r="B452" t="s">
        <v>873</v>
      </c>
      <c r="C452" t="s">
        <v>745</v>
      </c>
      <c r="D452">
        <v>1</v>
      </c>
    </row>
    <row r="453" spans="1:4" x14ac:dyDescent="0.25">
      <c r="A453" s="89">
        <v>46051</v>
      </c>
      <c r="B453" t="s">
        <v>874</v>
      </c>
      <c r="C453" t="s">
        <v>745</v>
      </c>
      <c r="D453">
        <v>1</v>
      </c>
    </row>
    <row r="454" spans="1:4" x14ac:dyDescent="0.25">
      <c r="A454" s="89">
        <v>46051</v>
      </c>
      <c r="B454" t="s">
        <v>760</v>
      </c>
      <c r="C454" t="s">
        <v>745</v>
      </c>
      <c r="D454">
        <v>1</v>
      </c>
    </row>
    <row r="455" spans="1:4" x14ac:dyDescent="0.25">
      <c r="A455" s="89">
        <v>46051</v>
      </c>
      <c r="B455" t="s">
        <v>875</v>
      </c>
      <c r="C455" t="s">
        <v>745</v>
      </c>
      <c r="D455">
        <v>1</v>
      </c>
    </row>
    <row r="456" spans="1:4" x14ac:dyDescent="0.25">
      <c r="A456" s="89">
        <v>46052</v>
      </c>
      <c r="B456" t="s">
        <v>821</v>
      </c>
      <c r="C456" t="s">
        <v>745</v>
      </c>
      <c r="D456">
        <v>1</v>
      </c>
    </row>
    <row r="457" spans="1:4" x14ac:dyDescent="0.25">
      <c r="A457" s="89">
        <v>46052</v>
      </c>
      <c r="B457" t="s">
        <v>809</v>
      </c>
      <c r="C457" t="s">
        <v>745</v>
      </c>
      <c r="D457">
        <v>1</v>
      </c>
    </row>
    <row r="458" spans="1:4" x14ac:dyDescent="0.25">
      <c r="A458" s="89">
        <v>46052</v>
      </c>
      <c r="B458" t="s">
        <v>751</v>
      </c>
      <c r="C458" t="s">
        <v>745</v>
      </c>
      <c r="D458">
        <v>1</v>
      </c>
    </row>
    <row r="459" spans="1:4" x14ac:dyDescent="0.25">
      <c r="A459" s="89">
        <v>46052</v>
      </c>
      <c r="B459" t="s">
        <v>776</v>
      </c>
      <c r="C459" t="s">
        <v>745</v>
      </c>
      <c r="D459">
        <v>1</v>
      </c>
    </row>
    <row r="460" spans="1:4" x14ac:dyDescent="0.25">
      <c r="A460" s="89">
        <v>46052</v>
      </c>
      <c r="B460" t="s">
        <v>785</v>
      </c>
      <c r="C460" t="s">
        <v>745</v>
      </c>
      <c r="D460">
        <v>1</v>
      </c>
    </row>
    <row r="461" spans="1:4" x14ac:dyDescent="0.25">
      <c r="A461" s="89">
        <v>46052</v>
      </c>
      <c r="B461" t="s">
        <v>873</v>
      </c>
      <c r="C461" t="s">
        <v>745</v>
      </c>
      <c r="D461">
        <v>1</v>
      </c>
    </row>
    <row r="462" spans="1:4" x14ac:dyDescent="0.25">
      <c r="A462" s="89">
        <v>46052</v>
      </c>
      <c r="B462" t="s">
        <v>875</v>
      </c>
      <c r="C462" t="s">
        <v>745</v>
      </c>
      <c r="D462">
        <v>1</v>
      </c>
    </row>
    <row r="463" spans="1:4" x14ac:dyDescent="0.25">
      <c r="A463" s="89">
        <v>46052</v>
      </c>
      <c r="B463" t="s">
        <v>874</v>
      </c>
      <c r="C463" t="s">
        <v>745</v>
      </c>
      <c r="D463">
        <v>1</v>
      </c>
    </row>
    <row r="464" spans="1:4" x14ac:dyDescent="0.25">
      <c r="A464" s="89">
        <v>46052</v>
      </c>
      <c r="B464" t="s">
        <v>760</v>
      </c>
      <c r="C464" t="s">
        <v>745</v>
      </c>
      <c r="D464">
        <v>1</v>
      </c>
    </row>
    <row r="465" spans="1:4" x14ac:dyDescent="0.25">
      <c r="A465" s="89">
        <v>46053</v>
      </c>
      <c r="B465" t="s">
        <v>744</v>
      </c>
      <c r="C465" t="s">
        <v>745</v>
      </c>
      <c r="D465">
        <v>1</v>
      </c>
    </row>
    <row r="466" spans="1:4" x14ac:dyDescent="0.25">
      <c r="A466" s="89">
        <v>46053</v>
      </c>
      <c r="B466" t="s">
        <v>821</v>
      </c>
      <c r="C466" t="s">
        <v>745</v>
      </c>
      <c r="D466">
        <v>1</v>
      </c>
    </row>
    <row r="467" spans="1:4" x14ac:dyDescent="0.25">
      <c r="A467" s="89">
        <v>46053</v>
      </c>
      <c r="B467" t="s">
        <v>873</v>
      </c>
      <c r="C467" t="s">
        <v>745</v>
      </c>
      <c r="D467">
        <v>1</v>
      </c>
    </row>
    <row r="468" spans="1:4" x14ac:dyDescent="0.25">
      <c r="A468" s="89">
        <v>46053</v>
      </c>
      <c r="B468" t="s">
        <v>776</v>
      </c>
      <c r="C468" t="s">
        <v>745</v>
      </c>
      <c r="D468">
        <v>1</v>
      </c>
    </row>
    <row r="469" spans="1:4" x14ac:dyDescent="0.25">
      <c r="A469" s="89">
        <v>46053</v>
      </c>
      <c r="B469" t="s">
        <v>837</v>
      </c>
      <c r="C469" t="s">
        <v>745</v>
      </c>
      <c r="D469">
        <v>1</v>
      </c>
    </row>
    <row r="470" spans="1:4" x14ac:dyDescent="0.25">
      <c r="A470" s="89">
        <v>46053</v>
      </c>
      <c r="B470" t="s">
        <v>785</v>
      </c>
      <c r="C470" t="s">
        <v>745</v>
      </c>
      <c r="D470">
        <v>1</v>
      </c>
    </row>
    <row r="471" spans="1:4" x14ac:dyDescent="0.25">
      <c r="A471" s="89">
        <v>46054</v>
      </c>
      <c r="B471" t="s">
        <v>821</v>
      </c>
      <c r="C471" t="s">
        <v>767</v>
      </c>
      <c r="D471">
        <v>1</v>
      </c>
    </row>
    <row r="472" spans="1:4" x14ac:dyDescent="0.25">
      <c r="A472" s="89">
        <v>46054</v>
      </c>
      <c r="B472" t="s">
        <v>748</v>
      </c>
      <c r="C472" t="s">
        <v>767</v>
      </c>
      <c r="D472">
        <v>1</v>
      </c>
    </row>
    <row r="473" spans="1:4" x14ac:dyDescent="0.25">
      <c r="A473" s="89">
        <v>46054</v>
      </c>
      <c r="B473" t="s">
        <v>876</v>
      </c>
      <c r="C473" t="s">
        <v>767</v>
      </c>
      <c r="D473">
        <v>2</v>
      </c>
    </row>
    <row r="474" spans="1:4" x14ac:dyDescent="0.25">
      <c r="A474" s="89">
        <v>46054</v>
      </c>
      <c r="B474" t="s">
        <v>809</v>
      </c>
      <c r="C474" t="s">
        <v>767</v>
      </c>
      <c r="D474">
        <v>1</v>
      </c>
    </row>
    <row r="475" spans="1:4" x14ac:dyDescent="0.25">
      <c r="A475" s="89">
        <v>46054</v>
      </c>
      <c r="B475" t="s">
        <v>751</v>
      </c>
      <c r="C475" t="s">
        <v>767</v>
      </c>
      <c r="D475">
        <v>1</v>
      </c>
    </row>
    <row r="476" spans="1:4" x14ac:dyDescent="0.25">
      <c r="A476" s="89">
        <v>46054</v>
      </c>
      <c r="B476" t="s">
        <v>762</v>
      </c>
      <c r="C476" t="s">
        <v>767</v>
      </c>
      <c r="D476">
        <v>1</v>
      </c>
    </row>
    <row r="477" spans="1:4" x14ac:dyDescent="0.25">
      <c r="A477" s="89">
        <v>46054</v>
      </c>
      <c r="B477" t="s">
        <v>874</v>
      </c>
      <c r="C477" t="s">
        <v>767</v>
      </c>
      <c r="D477">
        <v>1</v>
      </c>
    </row>
    <row r="478" spans="1:4" x14ac:dyDescent="0.25">
      <c r="A478" s="89">
        <v>46054</v>
      </c>
      <c r="B478" t="s">
        <v>760</v>
      </c>
      <c r="C478" t="s">
        <v>767</v>
      </c>
      <c r="D478">
        <v>1</v>
      </c>
    </row>
    <row r="479" spans="1:4" x14ac:dyDescent="0.25">
      <c r="A479" s="89">
        <v>46054</v>
      </c>
      <c r="B479" t="s">
        <v>877</v>
      </c>
      <c r="C479" t="s">
        <v>767</v>
      </c>
      <c r="D479">
        <v>1</v>
      </c>
    </row>
    <row r="480" spans="1:4" x14ac:dyDescent="0.25">
      <c r="A480" s="89">
        <v>46054</v>
      </c>
      <c r="B480" t="s">
        <v>878</v>
      </c>
      <c r="C480" t="s">
        <v>767</v>
      </c>
      <c r="D480">
        <v>1</v>
      </c>
    </row>
    <row r="481" spans="1:4" x14ac:dyDescent="0.25">
      <c r="A481" s="89">
        <v>46054</v>
      </c>
      <c r="B481" t="s">
        <v>776</v>
      </c>
      <c r="C481" t="s">
        <v>767</v>
      </c>
      <c r="D481">
        <v>1</v>
      </c>
    </row>
    <row r="482" spans="1:4" x14ac:dyDescent="0.25">
      <c r="A482" s="89">
        <v>46054</v>
      </c>
      <c r="B482" t="s">
        <v>785</v>
      </c>
      <c r="C482" t="s">
        <v>767</v>
      </c>
      <c r="D482">
        <v>1</v>
      </c>
    </row>
    <row r="483" spans="1:4" x14ac:dyDescent="0.25">
      <c r="A483" s="89">
        <v>46055</v>
      </c>
      <c r="B483" t="s">
        <v>740</v>
      </c>
      <c r="C483" t="s">
        <v>765</v>
      </c>
      <c r="D483">
        <v>1</v>
      </c>
    </row>
    <row r="484" spans="1:4" x14ac:dyDescent="0.25">
      <c r="A484" s="89">
        <v>46055</v>
      </c>
      <c r="B484" t="s">
        <v>879</v>
      </c>
      <c r="C484" t="s">
        <v>765</v>
      </c>
      <c r="D484">
        <v>1</v>
      </c>
    </row>
    <row r="485" spans="1:4" x14ac:dyDescent="0.25">
      <c r="A485" s="89">
        <v>46056</v>
      </c>
      <c r="B485" t="s">
        <v>876</v>
      </c>
      <c r="C485" t="s">
        <v>767</v>
      </c>
      <c r="D485">
        <v>1</v>
      </c>
    </row>
    <row r="486" spans="1:4" x14ac:dyDescent="0.25">
      <c r="A486" s="89">
        <v>46058</v>
      </c>
      <c r="B486" t="s">
        <v>749</v>
      </c>
      <c r="C486" t="s">
        <v>745</v>
      </c>
      <c r="D486">
        <v>1</v>
      </c>
    </row>
    <row r="487" spans="1:4" x14ac:dyDescent="0.25">
      <c r="A487" s="89">
        <v>46058</v>
      </c>
      <c r="B487" t="s">
        <v>880</v>
      </c>
      <c r="C487" t="s">
        <v>745</v>
      </c>
      <c r="D487">
        <v>1</v>
      </c>
    </row>
    <row r="488" spans="1:4" x14ac:dyDescent="0.25">
      <c r="A488" s="89">
        <v>46058</v>
      </c>
      <c r="B488" t="s">
        <v>881</v>
      </c>
      <c r="C488" t="s">
        <v>745</v>
      </c>
      <c r="D488">
        <v>1</v>
      </c>
    </row>
    <row r="489" spans="1:4" x14ac:dyDescent="0.25">
      <c r="A489" s="89">
        <v>46058</v>
      </c>
      <c r="B489" t="s">
        <v>882</v>
      </c>
      <c r="C489" t="s">
        <v>745</v>
      </c>
      <c r="D489">
        <v>1</v>
      </c>
    </row>
    <row r="490" spans="1:4" x14ac:dyDescent="0.25">
      <c r="A490" s="89">
        <v>46058</v>
      </c>
      <c r="B490" t="s">
        <v>776</v>
      </c>
      <c r="C490" t="s">
        <v>745</v>
      </c>
      <c r="D490">
        <v>1</v>
      </c>
    </row>
    <row r="491" spans="1:4" x14ac:dyDescent="0.25">
      <c r="A491" s="89">
        <v>46059</v>
      </c>
      <c r="B491" t="s">
        <v>749</v>
      </c>
      <c r="C491" t="s">
        <v>745</v>
      </c>
      <c r="D491">
        <v>1</v>
      </c>
    </row>
    <row r="492" spans="1:4" x14ac:dyDescent="0.25">
      <c r="A492" s="89">
        <v>46059</v>
      </c>
      <c r="B492" t="s">
        <v>744</v>
      </c>
      <c r="C492" t="s">
        <v>745</v>
      </c>
      <c r="D492">
        <v>1</v>
      </c>
    </row>
    <row r="493" spans="1:4" x14ac:dyDescent="0.25">
      <c r="A493" s="89">
        <v>46059</v>
      </c>
      <c r="B493" t="s">
        <v>881</v>
      </c>
      <c r="C493" t="s">
        <v>745</v>
      </c>
      <c r="D493">
        <v>1</v>
      </c>
    </row>
    <row r="494" spans="1:4" x14ac:dyDescent="0.25">
      <c r="A494" s="89">
        <v>46059</v>
      </c>
      <c r="B494" t="s">
        <v>776</v>
      </c>
      <c r="C494" t="s">
        <v>745</v>
      </c>
      <c r="D494">
        <v>1</v>
      </c>
    </row>
    <row r="495" spans="1:4" x14ac:dyDescent="0.25">
      <c r="A495" s="89">
        <v>46059</v>
      </c>
      <c r="B495" t="s">
        <v>785</v>
      </c>
      <c r="C495" t="s">
        <v>745</v>
      </c>
      <c r="D495">
        <v>1</v>
      </c>
    </row>
    <row r="496" spans="1:4" x14ac:dyDescent="0.25">
      <c r="A496" s="89">
        <v>46059</v>
      </c>
      <c r="B496" t="s">
        <v>880</v>
      </c>
      <c r="C496" t="s">
        <v>745</v>
      </c>
      <c r="D496">
        <v>1</v>
      </c>
    </row>
    <row r="497" spans="1:4" x14ac:dyDescent="0.25">
      <c r="A497" s="89">
        <v>46060</v>
      </c>
      <c r="B497" t="s">
        <v>776</v>
      </c>
      <c r="C497" t="s">
        <v>745</v>
      </c>
      <c r="D497">
        <v>1</v>
      </c>
    </row>
    <row r="498" spans="1:4" x14ac:dyDescent="0.25">
      <c r="A498" s="89">
        <v>46060</v>
      </c>
      <c r="B498" t="s">
        <v>785</v>
      </c>
      <c r="C498" t="s">
        <v>745</v>
      </c>
      <c r="D498">
        <v>1</v>
      </c>
    </row>
    <row r="499" spans="1:4" x14ac:dyDescent="0.25">
      <c r="A499" s="89">
        <v>46060</v>
      </c>
      <c r="B499" t="s">
        <v>784</v>
      </c>
      <c r="C499" t="s">
        <v>745</v>
      </c>
      <c r="D499">
        <v>1</v>
      </c>
    </row>
    <row r="500" spans="1:4" x14ac:dyDescent="0.25">
      <c r="A500" s="89">
        <v>46060</v>
      </c>
      <c r="B500" t="s">
        <v>820</v>
      </c>
      <c r="C500" t="s">
        <v>745</v>
      </c>
      <c r="D500">
        <v>1</v>
      </c>
    </row>
    <row r="501" spans="1:4" x14ac:dyDescent="0.25">
      <c r="A501" s="89">
        <v>46060</v>
      </c>
      <c r="B501" t="s">
        <v>883</v>
      </c>
      <c r="C501" t="s">
        <v>745</v>
      </c>
      <c r="D501">
        <v>1</v>
      </c>
    </row>
    <row r="502" spans="1:4" x14ac:dyDescent="0.25">
      <c r="A502" s="89">
        <v>46060</v>
      </c>
      <c r="B502" t="s">
        <v>884</v>
      </c>
      <c r="C502" t="s">
        <v>745</v>
      </c>
      <c r="D502">
        <v>1</v>
      </c>
    </row>
    <row r="503" spans="1:4" x14ac:dyDescent="0.25">
      <c r="A503" s="89">
        <v>46061</v>
      </c>
      <c r="B503" t="s">
        <v>885</v>
      </c>
      <c r="C503" t="s">
        <v>765</v>
      </c>
      <c r="D503">
        <v>1</v>
      </c>
    </row>
    <row r="504" spans="1:4" x14ac:dyDescent="0.25">
      <c r="A504" s="89">
        <v>46061</v>
      </c>
      <c r="B504" t="s">
        <v>749</v>
      </c>
      <c r="C504" t="s">
        <v>745</v>
      </c>
      <c r="D504">
        <v>1</v>
      </c>
    </row>
    <row r="505" spans="1:4" x14ac:dyDescent="0.25">
      <c r="A505" s="89">
        <v>46061</v>
      </c>
      <c r="B505" t="s">
        <v>881</v>
      </c>
      <c r="C505" t="s">
        <v>745</v>
      </c>
      <c r="D505">
        <v>1</v>
      </c>
    </row>
    <row r="506" spans="1:4" x14ac:dyDescent="0.25">
      <c r="A506" s="89">
        <v>46061</v>
      </c>
      <c r="B506" t="s">
        <v>785</v>
      </c>
      <c r="C506" t="s">
        <v>745</v>
      </c>
      <c r="D506">
        <v>1</v>
      </c>
    </row>
    <row r="507" spans="1:4" x14ac:dyDescent="0.25">
      <c r="A507" s="89">
        <v>46061</v>
      </c>
      <c r="B507" t="s">
        <v>883</v>
      </c>
      <c r="C507" t="s">
        <v>745</v>
      </c>
      <c r="D507">
        <v>1</v>
      </c>
    </row>
    <row r="508" spans="1:4" x14ac:dyDescent="0.25">
      <c r="A508" s="89">
        <v>46061</v>
      </c>
      <c r="B508" t="s">
        <v>880</v>
      </c>
      <c r="C508" t="s">
        <v>745</v>
      </c>
      <c r="D508">
        <v>1</v>
      </c>
    </row>
    <row r="509" spans="1:4" x14ac:dyDescent="0.25">
      <c r="A509" s="89">
        <v>46062</v>
      </c>
      <c r="B509" t="s">
        <v>713</v>
      </c>
      <c r="C509" t="s">
        <v>765</v>
      </c>
      <c r="D509">
        <v>1</v>
      </c>
    </row>
    <row r="510" spans="1:4" x14ac:dyDescent="0.25">
      <c r="A510" s="89">
        <v>46062</v>
      </c>
      <c r="B510" t="s">
        <v>744</v>
      </c>
      <c r="C510" t="s">
        <v>765</v>
      </c>
      <c r="D510">
        <v>1</v>
      </c>
    </row>
    <row r="511" spans="1:4" x14ac:dyDescent="0.25">
      <c r="A511" s="89">
        <v>46064</v>
      </c>
      <c r="B511" t="s">
        <v>886</v>
      </c>
      <c r="C511" t="s">
        <v>767</v>
      </c>
      <c r="D511">
        <v>1</v>
      </c>
    </row>
    <row r="512" spans="1:4" x14ac:dyDescent="0.25">
      <c r="A512" s="89">
        <v>46065</v>
      </c>
      <c r="B512" t="s">
        <v>713</v>
      </c>
      <c r="C512" t="s">
        <v>745</v>
      </c>
      <c r="D512">
        <v>1</v>
      </c>
    </row>
    <row r="513" spans="1:4" x14ac:dyDescent="0.25">
      <c r="A513" s="89">
        <v>46065</v>
      </c>
      <c r="B513" t="s">
        <v>776</v>
      </c>
      <c r="C513" t="s">
        <v>745</v>
      </c>
      <c r="D513">
        <v>1</v>
      </c>
    </row>
    <row r="514" spans="1:4" x14ac:dyDescent="0.25">
      <c r="A514" s="89">
        <v>46065</v>
      </c>
      <c r="B514" t="s">
        <v>785</v>
      </c>
      <c r="C514" t="s">
        <v>745</v>
      </c>
      <c r="D514">
        <v>1</v>
      </c>
    </row>
    <row r="515" spans="1:4" x14ac:dyDescent="0.25">
      <c r="A515" s="89">
        <v>46066</v>
      </c>
      <c r="B515" t="s">
        <v>887</v>
      </c>
      <c r="C515" t="s">
        <v>745</v>
      </c>
      <c r="D515">
        <v>2</v>
      </c>
    </row>
    <row r="516" spans="1:4" x14ac:dyDescent="0.25">
      <c r="A516" s="89">
        <v>46066</v>
      </c>
      <c r="B516" t="s">
        <v>888</v>
      </c>
      <c r="C516" t="s">
        <v>745</v>
      </c>
      <c r="D516">
        <v>4</v>
      </c>
    </row>
    <row r="517" spans="1:4" x14ac:dyDescent="0.25">
      <c r="A517" s="89">
        <v>46066</v>
      </c>
      <c r="B517" t="s">
        <v>777</v>
      </c>
      <c r="C517" t="s">
        <v>745</v>
      </c>
      <c r="D517">
        <v>4</v>
      </c>
    </row>
    <row r="518" spans="1:4" x14ac:dyDescent="0.25">
      <c r="A518" s="89">
        <v>46066</v>
      </c>
      <c r="B518" t="s">
        <v>889</v>
      </c>
      <c r="C518" t="s">
        <v>745</v>
      </c>
      <c r="D518">
        <v>2</v>
      </c>
    </row>
    <row r="519" spans="1:4" x14ac:dyDescent="0.25">
      <c r="A519" s="89">
        <v>46066</v>
      </c>
      <c r="B519" t="s">
        <v>784</v>
      </c>
      <c r="C519" t="s">
        <v>745</v>
      </c>
      <c r="D519">
        <v>2</v>
      </c>
    </row>
    <row r="520" spans="1:4" x14ac:dyDescent="0.25">
      <c r="A520" s="89">
        <v>46066</v>
      </c>
      <c r="B520" t="s">
        <v>762</v>
      </c>
      <c r="C520" t="s">
        <v>745</v>
      </c>
      <c r="D520">
        <v>2</v>
      </c>
    </row>
    <row r="521" spans="1:4" x14ac:dyDescent="0.25">
      <c r="A521" s="89">
        <v>46066</v>
      </c>
      <c r="B521" t="s">
        <v>749</v>
      </c>
      <c r="C521" t="s">
        <v>745</v>
      </c>
      <c r="D521">
        <v>2</v>
      </c>
    </row>
    <row r="522" spans="1:4" x14ac:dyDescent="0.25">
      <c r="A522" s="89">
        <v>46066</v>
      </c>
      <c r="B522" t="s">
        <v>751</v>
      </c>
      <c r="C522" t="s">
        <v>745</v>
      </c>
      <c r="D522">
        <v>2</v>
      </c>
    </row>
    <row r="523" spans="1:4" x14ac:dyDescent="0.25">
      <c r="A523" s="89">
        <v>46066</v>
      </c>
      <c r="B523" t="s">
        <v>776</v>
      </c>
      <c r="C523" t="s">
        <v>745</v>
      </c>
      <c r="D523">
        <v>2</v>
      </c>
    </row>
    <row r="524" spans="1:4" x14ac:dyDescent="0.25">
      <c r="A524" s="89">
        <v>46066</v>
      </c>
      <c r="B524" t="s">
        <v>887</v>
      </c>
      <c r="C524" t="s">
        <v>745</v>
      </c>
      <c r="D524">
        <v>2</v>
      </c>
    </row>
    <row r="525" spans="1:4" x14ac:dyDescent="0.25">
      <c r="A525" s="89">
        <v>46066</v>
      </c>
      <c r="B525" t="s">
        <v>744</v>
      </c>
      <c r="C525" t="s">
        <v>745</v>
      </c>
      <c r="D525">
        <v>2</v>
      </c>
    </row>
    <row r="526" spans="1:4" x14ac:dyDescent="0.25">
      <c r="A526" s="89">
        <v>46066</v>
      </c>
      <c r="B526" t="s">
        <v>777</v>
      </c>
      <c r="C526" t="s">
        <v>745</v>
      </c>
      <c r="D526">
        <v>2</v>
      </c>
    </row>
    <row r="527" spans="1:4" x14ac:dyDescent="0.25">
      <c r="A527" s="89">
        <v>46067</v>
      </c>
      <c r="B527" t="s">
        <v>744</v>
      </c>
      <c r="C527" t="s">
        <v>745</v>
      </c>
      <c r="D527">
        <v>2</v>
      </c>
    </row>
    <row r="528" spans="1:4" x14ac:dyDescent="0.25">
      <c r="A528" s="89">
        <v>46067</v>
      </c>
      <c r="B528" t="s">
        <v>749</v>
      </c>
      <c r="C528" t="s">
        <v>745</v>
      </c>
      <c r="D528">
        <v>2</v>
      </c>
    </row>
    <row r="529" spans="1:4" x14ac:dyDescent="0.25">
      <c r="A529" s="89">
        <v>46067</v>
      </c>
      <c r="B529" t="s">
        <v>751</v>
      </c>
      <c r="C529" t="s">
        <v>745</v>
      </c>
      <c r="D529">
        <v>2</v>
      </c>
    </row>
    <row r="530" spans="1:4" x14ac:dyDescent="0.25">
      <c r="A530" s="89">
        <v>46067</v>
      </c>
      <c r="B530" t="s">
        <v>776</v>
      </c>
      <c r="C530" t="s">
        <v>745</v>
      </c>
      <c r="D530">
        <v>2</v>
      </c>
    </row>
    <row r="531" spans="1:4" x14ac:dyDescent="0.25">
      <c r="A531" s="89">
        <v>46067</v>
      </c>
      <c r="B531" t="s">
        <v>785</v>
      </c>
      <c r="C531" t="s">
        <v>745</v>
      </c>
      <c r="D531">
        <v>2</v>
      </c>
    </row>
    <row r="532" spans="1:4" x14ac:dyDescent="0.25">
      <c r="A532" s="89">
        <v>46067</v>
      </c>
      <c r="B532" t="s">
        <v>829</v>
      </c>
      <c r="C532" t="s">
        <v>745</v>
      </c>
      <c r="D532">
        <v>2</v>
      </c>
    </row>
    <row r="533" spans="1:4" x14ac:dyDescent="0.25">
      <c r="A533" s="89">
        <v>46067</v>
      </c>
      <c r="B533" t="s">
        <v>763</v>
      </c>
      <c r="C533" t="s">
        <v>745</v>
      </c>
      <c r="D533">
        <v>2</v>
      </c>
    </row>
    <row r="534" spans="1:4" x14ac:dyDescent="0.25">
      <c r="A534" s="89">
        <v>46067</v>
      </c>
      <c r="B534" t="s">
        <v>748</v>
      </c>
      <c r="C534" t="s">
        <v>745</v>
      </c>
      <c r="D534">
        <v>2</v>
      </c>
    </row>
    <row r="535" spans="1:4" x14ac:dyDescent="0.25">
      <c r="A535" s="89">
        <v>46067</v>
      </c>
      <c r="B535" t="s">
        <v>777</v>
      </c>
      <c r="C535" t="s">
        <v>745</v>
      </c>
      <c r="D535">
        <v>2</v>
      </c>
    </row>
    <row r="536" spans="1:4" x14ac:dyDescent="0.25">
      <c r="A536" s="89">
        <v>46067</v>
      </c>
      <c r="B536" t="s">
        <v>889</v>
      </c>
      <c r="C536" t="s">
        <v>745</v>
      </c>
      <c r="D536">
        <v>2</v>
      </c>
    </row>
    <row r="537" spans="1:4" x14ac:dyDescent="0.25">
      <c r="A537" s="89">
        <v>46067</v>
      </c>
      <c r="B537" t="s">
        <v>751</v>
      </c>
      <c r="C537" t="s">
        <v>745</v>
      </c>
      <c r="D537">
        <v>2</v>
      </c>
    </row>
    <row r="538" spans="1:4" x14ac:dyDescent="0.25">
      <c r="A538" s="89">
        <v>46067</v>
      </c>
      <c r="B538" t="s">
        <v>777</v>
      </c>
      <c r="C538" t="s">
        <v>745</v>
      </c>
      <c r="D538">
        <v>2</v>
      </c>
    </row>
    <row r="539" spans="1:4" x14ac:dyDescent="0.25">
      <c r="A539" s="89">
        <v>46067</v>
      </c>
      <c r="B539" t="s">
        <v>762</v>
      </c>
      <c r="C539" t="s">
        <v>745</v>
      </c>
      <c r="D539">
        <v>2</v>
      </c>
    </row>
    <row r="540" spans="1:4" x14ac:dyDescent="0.25">
      <c r="A540" s="89">
        <v>46067</v>
      </c>
      <c r="B540" t="s">
        <v>829</v>
      </c>
      <c r="C540" t="s">
        <v>745</v>
      </c>
      <c r="D540">
        <v>2</v>
      </c>
    </row>
    <row r="541" spans="1:4" x14ac:dyDescent="0.25">
      <c r="A541" s="89">
        <v>46067</v>
      </c>
      <c r="B541" t="s">
        <v>889</v>
      </c>
      <c r="C541" t="s">
        <v>745</v>
      </c>
      <c r="D541">
        <v>2</v>
      </c>
    </row>
    <row r="542" spans="1:4" x14ac:dyDescent="0.25">
      <c r="A542" s="89">
        <v>46067</v>
      </c>
      <c r="B542" t="s">
        <v>753</v>
      </c>
      <c r="C542" t="s">
        <v>745</v>
      </c>
      <c r="D542">
        <v>2</v>
      </c>
    </row>
    <row r="543" spans="1:4" x14ac:dyDescent="0.25">
      <c r="A543" s="89">
        <v>46067</v>
      </c>
      <c r="B543" t="s">
        <v>776</v>
      </c>
      <c r="C543" t="s">
        <v>745</v>
      </c>
      <c r="D543">
        <v>2</v>
      </c>
    </row>
    <row r="544" spans="1:4" x14ac:dyDescent="0.25">
      <c r="A544" s="89">
        <v>46067</v>
      </c>
      <c r="B544" t="s">
        <v>785</v>
      </c>
      <c r="C544" t="s">
        <v>745</v>
      </c>
      <c r="D544">
        <v>2</v>
      </c>
    </row>
    <row r="545" spans="1:4" x14ac:dyDescent="0.25">
      <c r="A545" s="89">
        <v>46068</v>
      </c>
      <c r="B545" t="s">
        <v>890</v>
      </c>
      <c r="C545" t="s">
        <v>765</v>
      </c>
      <c r="D545">
        <v>2</v>
      </c>
    </row>
    <row r="546" spans="1:4" x14ac:dyDescent="0.25">
      <c r="A546" s="89">
        <v>46068</v>
      </c>
      <c r="B546" t="s">
        <v>891</v>
      </c>
      <c r="C546" t="s">
        <v>765</v>
      </c>
      <c r="D546">
        <v>4</v>
      </c>
    </row>
    <row r="547" spans="1:4" x14ac:dyDescent="0.25">
      <c r="A547" s="89">
        <v>46068</v>
      </c>
      <c r="B547" t="s">
        <v>892</v>
      </c>
      <c r="C547" t="s">
        <v>765</v>
      </c>
      <c r="D547">
        <v>2</v>
      </c>
    </row>
    <row r="548" spans="1:4" x14ac:dyDescent="0.25">
      <c r="A548" s="89">
        <v>46068</v>
      </c>
      <c r="B548" t="s">
        <v>893</v>
      </c>
      <c r="C548" t="s">
        <v>765</v>
      </c>
      <c r="D548">
        <v>2</v>
      </c>
    </row>
    <row r="549" spans="1:4" x14ac:dyDescent="0.25">
      <c r="A549" s="89">
        <v>46068</v>
      </c>
      <c r="B549" t="s">
        <v>888</v>
      </c>
      <c r="C549" t="s">
        <v>745</v>
      </c>
      <c r="D549">
        <v>2</v>
      </c>
    </row>
    <row r="550" spans="1:4" x14ac:dyDescent="0.25">
      <c r="A550" s="89">
        <v>46068</v>
      </c>
      <c r="B550" t="s">
        <v>889</v>
      </c>
      <c r="C550" t="s">
        <v>745</v>
      </c>
      <c r="D550">
        <v>2</v>
      </c>
    </row>
    <row r="551" spans="1:4" x14ac:dyDescent="0.25">
      <c r="A551" s="89">
        <v>46068</v>
      </c>
      <c r="B551" t="s">
        <v>713</v>
      </c>
      <c r="C551" t="s">
        <v>745</v>
      </c>
      <c r="D551">
        <v>2</v>
      </c>
    </row>
    <row r="552" spans="1:4" x14ac:dyDescent="0.25">
      <c r="A552" s="89">
        <v>46068</v>
      </c>
      <c r="B552" t="s">
        <v>713</v>
      </c>
      <c r="C552" t="s">
        <v>745</v>
      </c>
      <c r="D552">
        <v>4</v>
      </c>
    </row>
    <row r="553" spans="1:4" x14ac:dyDescent="0.25">
      <c r="A553" s="89">
        <v>46068</v>
      </c>
      <c r="B553" t="s">
        <v>751</v>
      </c>
      <c r="C553" t="s">
        <v>745</v>
      </c>
      <c r="D553">
        <v>2</v>
      </c>
    </row>
    <row r="554" spans="1:4" x14ac:dyDescent="0.25">
      <c r="A554" s="89">
        <v>46068</v>
      </c>
      <c r="B554" t="s">
        <v>776</v>
      </c>
      <c r="C554" t="s">
        <v>745</v>
      </c>
      <c r="D554">
        <v>2</v>
      </c>
    </row>
    <row r="555" spans="1:4" x14ac:dyDescent="0.25">
      <c r="A555" s="89">
        <v>46068</v>
      </c>
      <c r="B555" t="s">
        <v>785</v>
      </c>
      <c r="C555" t="s">
        <v>745</v>
      </c>
      <c r="D555">
        <v>4</v>
      </c>
    </row>
    <row r="556" spans="1:4" x14ac:dyDescent="0.25">
      <c r="A556" s="89">
        <v>46068</v>
      </c>
      <c r="B556" t="s">
        <v>850</v>
      </c>
      <c r="C556" t="s">
        <v>745</v>
      </c>
      <c r="D556">
        <v>2</v>
      </c>
    </row>
    <row r="557" spans="1:4" x14ac:dyDescent="0.25">
      <c r="A557" s="89">
        <v>46068</v>
      </c>
      <c r="B557" t="s">
        <v>753</v>
      </c>
      <c r="C557" t="s">
        <v>745</v>
      </c>
      <c r="D557">
        <v>2</v>
      </c>
    </row>
    <row r="558" spans="1:4" x14ac:dyDescent="0.25">
      <c r="A558" s="89">
        <v>46068</v>
      </c>
      <c r="B558" t="s">
        <v>762</v>
      </c>
      <c r="C558" t="s">
        <v>745</v>
      </c>
      <c r="D558">
        <v>2</v>
      </c>
    </row>
    <row r="559" spans="1:4" x14ac:dyDescent="0.25">
      <c r="A559" s="89">
        <v>46068</v>
      </c>
      <c r="B559" t="s">
        <v>829</v>
      </c>
      <c r="C559" t="s">
        <v>745</v>
      </c>
      <c r="D559">
        <v>2</v>
      </c>
    </row>
    <row r="560" spans="1:4" x14ac:dyDescent="0.25">
      <c r="A560" s="89">
        <v>46068</v>
      </c>
      <c r="B560" t="s">
        <v>887</v>
      </c>
      <c r="C560" t="s">
        <v>745</v>
      </c>
      <c r="D560">
        <v>2</v>
      </c>
    </row>
    <row r="561" spans="1:4" x14ac:dyDescent="0.25">
      <c r="A561" s="89">
        <v>46068</v>
      </c>
      <c r="B561" t="s">
        <v>777</v>
      </c>
      <c r="C561" t="s">
        <v>745</v>
      </c>
      <c r="D561">
        <v>4</v>
      </c>
    </row>
    <row r="562" spans="1:4" x14ac:dyDescent="0.25">
      <c r="A562" s="89">
        <v>46068</v>
      </c>
      <c r="B562" t="s">
        <v>776</v>
      </c>
      <c r="C562" t="s">
        <v>745</v>
      </c>
      <c r="D562">
        <v>2</v>
      </c>
    </row>
    <row r="563" spans="1:4" x14ac:dyDescent="0.25">
      <c r="A563" s="89">
        <v>46068</v>
      </c>
      <c r="B563" t="s">
        <v>785</v>
      </c>
      <c r="C563" t="s">
        <v>745</v>
      </c>
      <c r="D563">
        <v>2</v>
      </c>
    </row>
    <row r="564" spans="1:4" x14ac:dyDescent="0.25">
      <c r="A564" s="89">
        <v>46069</v>
      </c>
      <c r="B564" t="s">
        <v>777</v>
      </c>
      <c r="C564" t="s">
        <v>765</v>
      </c>
      <c r="D564">
        <v>6</v>
      </c>
    </row>
    <row r="565" spans="1:4" x14ac:dyDescent="0.25">
      <c r="A565" s="89">
        <v>46069</v>
      </c>
      <c r="B565" t="s">
        <v>888</v>
      </c>
      <c r="C565" t="s">
        <v>765</v>
      </c>
      <c r="D565">
        <v>4</v>
      </c>
    </row>
    <row r="566" spans="1:4" x14ac:dyDescent="0.25">
      <c r="A566" s="89">
        <v>46069</v>
      </c>
      <c r="B566" t="s">
        <v>843</v>
      </c>
      <c r="C566" t="s">
        <v>765</v>
      </c>
      <c r="D566">
        <v>4</v>
      </c>
    </row>
    <row r="567" spans="1:4" x14ac:dyDescent="0.25">
      <c r="A567" s="89">
        <v>46069</v>
      </c>
      <c r="B567" t="s">
        <v>749</v>
      </c>
      <c r="C567" t="s">
        <v>765</v>
      </c>
      <c r="D567">
        <v>2</v>
      </c>
    </row>
    <row r="568" spans="1:4" x14ac:dyDescent="0.25">
      <c r="A568" s="89">
        <v>46069</v>
      </c>
      <c r="B568" t="s">
        <v>744</v>
      </c>
      <c r="C568" t="s">
        <v>765</v>
      </c>
      <c r="D568">
        <v>4</v>
      </c>
    </row>
    <row r="569" spans="1:4" x14ac:dyDescent="0.25">
      <c r="A569" s="89">
        <v>46069</v>
      </c>
      <c r="B569" t="s">
        <v>748</v>
      </c>
      <c r="C569" t="s">
        <v>765</v>
      </c>
      <c r="D569">
        <v>2</v>
      </c>
    </row>
    <row r="570" spans="1:4" x14ac:dyDescent="0.25">
      <c r="A570" s="89">
        <v>46069</v>
      </c>
      <c r="B570" t="s">
        <v>713</v>
      </c>
      <c r="C570" t="s">
        <v>765</v>
      </c>
      <c r="D570">
        <v>4</v>
      </c>
    </row>
    <row r="571" spans="1:4" x14ac:dyDescent="0.25">
      <c r="A571" s="89">
        <v>46069</v>
      </c>
      <c r="B571" t="s">
        <v>751</v>
      </c>
      <c r="C571" t="s">
        <v>765</v>
      </c>
      <c r="D571">
        <v>2</v>
      </c>
    </row>
    <row r="572" spans="1:4" x14ac:dyDescent="0.25">
      <c r="A572" s="89">
        <v>46069</v>
      </c>
      <c r="B572" t="s">
        <v>776</v>
      </c>
      <c r="C572" t="s">
        <v>765</v>
      </c>
      <c r="D572">
        <v>6</v>
      </c>
    </row>
    <row r="573" spans="1:4" x14ac:dyDescent="0.25">
      <c r="A573" s="89">
        <v>46069</v>
      </c>
      <c r="B573" t="s">
        <v>785</v>
      </c>
      <c r="C573" t="s">
        <v>765</v>
      </c>
      <c r="D573">
        <v>6</v>
      </c>
    </row>
    <row r="574" spans="1:4" x14ac:dyDescent="0.25">
      <c r="A574" s="89">
        <v>46069</v>
      </c>
      <c r="B574" t="s">
        <v>829</v>
      </c>
      <c r="C574" t="s">
        <v>765</v>
      </c>
      <c r="D574">
        <v>2</v>
      </c>
    </row>
    <row r="575" spans="1:4" x14ac:dyDescent="0.25">
      <c r="A575" s="89">
        <v>46069</v>
      </c>
      <c r="B575" t="s">
        <v>753</v>
      </c>
      <c r="C575" t="s">
        <v>765</v>
      </c>
      <c r="D575">
        <v>2</v>
      </c>
    </row>
    <row r="576" spans="1:4" x14ac:dyDescent="0.25">
      <c r="A576" s="89">
        <v>46069</v>
      </c>
      <c r="B576" t="s">
        <v>850</v>
      </c>
      <c r="C576" t="s">
        <v>765</v>
      </c>
      <c r="D576">
        <v>2</v>
      </c>
    </row>
    <row r="577" spans="1:4" x14ac:dyDescent="0.25">
      <c r="A577" s="89">
        <v>46069</v>
      </c>
      <c r="B577" t="s">
        <v>894</v>
      </c>
      <c r="C577" t="s">
        <v>765</v>
      </c>
      <c r="D577">
        <v>2</v>
      </c>
    </row>
    <row r="578" spans="1:4" x14ac:dyDescent="0.25">
      <c r="A578" s="89">
        <v>46069</v>
      </c>
      <c r="B578" t="s">
        <v>753</v>
      </c>
      <c r="C578" t="s">
        <v>765</v>
      </c>
      <c r="D578">
        <v>2</v>
      </c>
    </row>
    <row r="579" spans="1:4" x14ac:dyDescent="0.25">
      <c r="A579" s="89">
        <v>46069</v>
      </c>
      <c r="B579" t="s">
        <v>762</v>
      </c>
      <c r="C579" t="s">
        <v>765</v>
      </c>
      <c r="D579">
        <v>2</v>
      </c>
    </row>
    <row r="580" spans="1:4" x14ac:dyDescent="0.25">
      <c r="A580" s="89">
        <v>46069</v>
      </c>
      <c r="B580" t="s">
        <v>829</v>
      </c>
      <c r="C580" t="s">
        <v>765</v>
      </c>
      <c r="D580">
        <v>2</v>
      </c>
    </row>
    <row r="581" spans="1:4" x14ac:dyDescent="0.25">
      <c r="A581" s="89">
        <v>46069</v>
      </c>
      <c r="B581" t="s">
        <v>889</v>
      </c>
      <c r="C581" t="s">
        <v>765</v>
      </c>
      <c r="D581">
        <v>4</v>
      </c>
    </row>
    <row r="582" spans="1:4" x14ac:dyDescent="0.25">
      <c r="A582" s="89">
        <v>46069</v>
      </c>
      <c r="B582" t="s">
        <v>843</v>
      </c>
      <c r="C582" t="s">
        <v>765</v>
      </c>
      <c r="D582">
        <v>2</v>
      </c>
    </row>
    <row r="583" spans="1:4" x14ac:dyDescent="0.25">
      <c r="A583" s="89">
        <v>46070</v>
      </c>
      <c r="B583" t="s">
        <v>741</v>
      </c>
      <c r="C583" t="s">
        <v>765</v>
      </c>
      <c r="D583">
        <v>2</v>
      </c>
    </row>
    <row r="584" spans="1:4" x14ac:dyDescent="0.25">
      <c r="A584" s="89">
        <v>46070</v>
      </c>
      <c r="B584" t="s">
        <v>749</v>
      </c>
      <c r="C584" t="s">
        <v>765</v>
      </c>
      <c r="D584">
        <v>2</v>
      </c>
    </row>
    <row r="585" spans="1:4" x14ac:dyDescent="0.25">
      <c r="A585" s="89">
        <v>46070</v>
      </c>
      <c r="B585" t="s">
        <v>713</v>
      </c>
      <c r="C585" t="s">
        <v>765</v>
      </c>
      <c r="D585">
        <v>2</v>
      </c>
    </row>
    <row r="586" spans="1:4" x14ac:dyDescent="0.25">
      <c r="A586" s="89">
        <v>46070</v>
      </c>
      <c r="B586" t="s">
        <v>751</v>
      </c>
      <c r="C586" t="s">
        <v>765</v>
      </c>
      <c r="D586">
        <v>2</v>
      </c>
    </row>
    <row r="587" spans="1:4" x14ac:dyDescent="0.25">
      <c r="A587" s="89">
        <v>46070</v>
      </c>
      <c r="B587" t="s">
        <v>776</v>
      </c>
      <c r="C587" t="s">
        <v>765</v>
      </c>
      <c r="D587">
        <v>2</v>
      </c>
    </row>
    <row r="588" spans="1:4" x14ac:dyDescent="0.25">
      <c r="A588" s="89">
        <v>46070</v>
      </c>
      <c r="B588" t="s">
        <v>744</v>
      </c>
      <c r="C588" t="s">
        <v>765</v>
      </c>
      <c r="D588">
        <v>4</v>
      </c>
    </row>
    <row r="589" spans="1:4" x14ac:dyDescent="0.25">
      <c r="A589" s="89">
        <v>46070</v>
      </c>
      <c r="B589" t="s">
        <v>762</v>
      </c>
      <c r="C589" t="s">
        <v>765</v>
      </c>
      <c r="D589">
        <v>2</v>
      </c>
    </row>
    <row r="590" spans="1:4" x14ac:dyDescent="0.25">
      <c r="A590" s="89">
        <v>46070</v>
      </c>
      <c r="B590" t="s">
        <v>753</v>
      </c>
      <c r="C590" t="s">
        <v>765</v>
      </c>
      <c r="D590">
        <v>2</v>
      </c>
    </row>
    <row r="591" spans="1:4" x14ac:dyDescent="0.25">
      <c r="A591" s="89">
        <v>46070</v>
      </c>
      <c r="B591" t="s">
        <v>829</v>
      </c>
      <c r="C591" t="s">
        <v>765</v>
      </c>
      <c r="D591">
        <v>2</v>
      </c>
    </row>
    <row r="592" spans="1:4" x14ac:dyDescent="0.25">
      <c r="A592" s="89">
        <v>46070</v>
      </c>
      <c r="B592" t="s">
        <v>777</v>
      </c>
      <c r="C592" t="s">
        <v>765</v>
      </c>
      <c r="D592">
        <v>4</v>
      </c>
    </row>
    <row r="593" spans="1:4" x14ac:dyDescent="0.25">
      <c r="A593" s="89">
        <v>46070</v>
      </c>
      <c r="B593" t="s">
        <v>888</v>
      </c>
      <c r="C593" t="s">
        <v>765</v>
      </c>
      <c r="D593">
        <v>2</v>
      </c>
    </row>
    <row r="594" spans="1:4" x14ac:dyDescent="0.25">
      <c r="A594" s="89">
        <v>46070</v>
      </c>
      <c r="B594" t="s">
        <v>889</v>
      </c>
      <c r="C594" t="s">
        <v>765</v>
      </c>
      <c r="D594">
        <v>2</v>
      </c>
    </row>
    <row r="595" spans="1:4" x14ac:dyDescent="0.25">
      <c r="A595" s="89">
        <v>46070</v>
      </c>
      <c r="B595" t="s">
        <v>785</v>
      </c>
      <c r="C595" t="s">
        <v>765</v>
      </c>
      <c r="D595">
        <v>4</v>
      </c>
    </row>
    <row r="596" spans="1:4" x14ac:dyDescent="0.25">
      <c r="A596" s="89">
        <v>46070</v>
      </c>
      <c r="B596" t="s">
        <v>776</v>
      </c>
      <c r="C596" t="s">
        <v>765</v>
      </c>
      <c r="D596">
        <v>4</v>
      </c>
    </row>
    <row r="597" spans="1:4" x14ac:dyDescent="0.25">
      <c r="A597" s="89">
        <v>46071</v>
      </c>
      <c r="B597" t="s">
        <v>815</v>
      </c>
      <c r="C597" t="s">
        <v>767</v>
      </c>
      <c r="D597">
        <v>1</v>
      </c>
    </row>
    <row r="598" spans="1:4" x14ac:dyDescent="0.25">
      <c r="A598" s="89">
        <v>46071</v>
      </c>
      <c r="B598" t="s">
        <v>821</v>
      </c>
      <c r="C598" t="s">
        <v>767</v>
      </c>
      <c r="D598">
        <v>1</v>
      </c>
    </row>
    <row r="599" spans="1:4" x14ac:dyDescent="0.25">
      <c r="A599" s="89">
        <v>46072</v>
      </c>
      <c r="B599" t="s">
        <v>815</v>
      </c>
      <c r="C599" t="s">
        <v>767</v>
      </c>
      <c r="D599">
        <v>1</v>
      </c>
    </row>
    <row r="600" spans="1:4" x14ac:dyDescent="0.25">
      <c r="A600" s="89">
        <v>46072</v>
      </c>
      <c r="B600" t="s">
        <v>895</v>
      </c>
      <c r="C600" t="s">
        <v>767</v>
      </c>
      <c r="D600">
        <v>1</v>
      </c>
    </row>
    <row r="601" spans="1:4" x14ac:dyDescent="0.25">
      <c r="A601" s="89">
        <v>46072</v>
      </c>
      <c r="B601" t="s">
        <v>896</v>
      </c>
      <c r="C601" t="s">
        <v>767</v>
      </c>
      <c r="D601">
        <v>1</v>
      </c>
    </row>
    <row r="602" spans="1:4" x14ac:dyDescent="0.25">
      <c r="A602" s="89">
        <v>46073</v>
      </c>
      <c r="B602" t="s">
        <v>748</v>
      </c>
      <c r="C602" t="s">
        <v>745</v>
      </c>
      <c r="D602">
        <v>1</v>
      </c>
    </row>
    <row r="603" spans="1:4" x14ac:dyDescent="0.25">
      <c r="A603" s="89">
        <v>46073</v>
      </c>
      <c r="B603" t="s">
        <v>897</v>
      </c>
      <c r="C603" t="s">
        <v>745</v>
      </c>
      <c r="D603">
        <v>1</v>
      </c>
    </row>
    <row r="604" spans="1:4" x14ac:dyDescent="0.25">
      <c r="A604" s="89">
        <v>46073</v>
      </c>
      <c r="B604" t="s">
        <v>751</v>
      </c>
      <c r="C604" t="s">
        <v>745</v>
      </c>
      <c r="D604">
        <v>1</v>
      </c>
    </row>
    <row r="605" spans="1:4" x14ac:dyDescent="0.25">
      <c r="A605" s="89">
        <v>46073</v>
      </c>
      <c r="B605" t="s">
        <v>776</v>
      </c>
      <c r="C605" t="s">
        <v>745</v>
      </c>
      <c r="D605">
        <v>1</v>
      </c>
    </row>
    <row r="606" spans="1:4" x14ac:dyDescent="0.25">
      <c r="A606" s="89">
        <v>46073</v>
      </c>
      <c r="B606" t="s">
        <v>785</v>
      </c>
      <c r="C606" t="s">
        <v>745</v>
      </c>
      <c r="D606">
        <v>1</v>
      </c>
    </row>
    <row r="607" spans="1:4" x14ac:dyDescent="0.25">
      <c r="A607" s="89">
        <v>46073</v>
      </c>
      <c r="B607" t="s">
        <v>827</v>
      </c>
      <c r="C607" t="s">
        <v>745</v>
      </c>
      <c r="D607">
        <v>1</v>
      </c>
    </row>
    <row r="608" spans="1:4" x14ac:dyDescent="0.25">
      <c r="A608" s="89">
        <v>46073</v>
      </c>
      <c r="B608" t="s">
        <v>898</v>
      </c>
      <c r="C608" t="s">
        <v>745</v>
      </c>
      <c r="D608">
        <v>1</v>
      </c>
    </row>
    <row r="609" spans="1:4" x14ac:dyDescent="0.25">
      <c r="A609" s="89">
        <v>46073</v>
      </c>
      <c r="B609" t="s">
        <v>744</v>
      </c>
      <c r="C609" t="s">
        <v>745</v>
      </c>
      <c r="D609">
        <v>1</v>
      </c>
    </row>
    <row r="610" spans="1:4" x14ac:dyDescent="0.25">
      <c r="A610" s="89">
        <v>46074</v>
      </c>
      <c r="B610" t="s">
        <v>843</v>
      </c>
      <c r="C610" t="s">
        <v>745</v>
      </c>
      <c r="D610">
        <v>1</v>
      </c>
    </row>
    <row r="611" spans="1:4" x14ac:dyDescent="0.25">
      <c r="A611" s="89">
        <v>46074</v>
      </c>
      <c r="B611" t="s">
        <v>797</v>
      </c>
      <c r="C611" t="s">
        <v>745</v>
      </c>
      <c r="D611">
        <v>1</v>
      </c>
    </row>
    <row r="612" spans="1:4" x14ac:dyDescent="0.25">
      <c r="A612" s="89">
        <v>46074</v>
      </c>
      <c r="B612" t="s">
        <v>899</v>
      </c>
      <c r="C612" t="s">
        <v>745</v>
      </c>
      <c r="D612">
        <v>1</v>
      </c>
    </row>
    <row r="613" spans="1:4" x14ac:dyDescent="0.25">
      <c r="A613" s="89">
        <v>46074</v>
      </c>
      <c r="B613" t="s">
        <v>713</v>
      </c>
      <c r="C613" t="s">
        <v>745</v>
      </c>
      <c r="D613">
        <v>1</v>
      </c>
    </row>
    <row r="614" spans="1:4" x14ac:dyDescent="0.25">
      <c r="A614" s="89">
        <v>46074</v>
      </c>
      <c r="B614" t="s">
        <v>776</v>
      </c>
      <c r="C614" t="s">
        <v>745</v>
      </c>
      <c r="D614">
        <v>1</v>
      </c>
    </row>
    <row r="615" spans="1:4" x14ac:dyDescent="0.25">
      <c r="A615" s="89">
        <v>46074</v>
      </c>
      <c r="B615" t="s">
        <v>785</v>
      </c>
      <c r="C615" t="s">
        <v>745</v>
      </c>
      <c r="D615">
        <v>1</v>
      </c>
    </row>
    <row r="616" spans="1:4" x14ac:dyDescent="0.25">
      <c r="A616" s="89">
        <v>46074</v>
      </c>
      <c r="B616" t="s">
        <v>756</v>
      </c>
      <c r="C616" t="s">
        <v>745</v>
      </c>
      <c r="D616">
        <v>1</v>
      </c>
    </row>
    <row r="617" spans="1:4" x14ac:dyDescent="0.25">
      <c r="A617" s="89">
        <v>46075</v>
      </c>
      <c r="B617" t="s">
        <v>748</v>
      </c>
      <c r="C617" t="s">
        <v>765</v>
      </c>
      <c r="D617">
        <v>1</v>
      </c>
    </row>
    <row r="618" spans="1:4" x14ac:dyDescent="0.25">
      <c r="A618" s="89">
        <v>46075</v>
      </c>
      <c r="B618" t="s">
        <v>713</v>
      </c>
      <c r="C618" t="s">
        <v>765</v>
      </c>
      <c r="D618">
        <v>1</v>
      </c>
    </row>
    <row r="619" spans="1:4" x14ac:dyDescent="0.25">
      <c r="A619" s="89">
        <v>46075</v>
      </c>
      <c r="B619" t="s">
        <v>751</v>
      </c>
      <c r="C619" t="s">
        <v>765</v>
      </c>
      <c r="D619">
        <v>1</v>
      </c>
    </row>
    <row r="620" spans="1:4" x14ac:dyDescent="0.25">
      <c r="A620" s="89">
        <v>46075</v>
      </c>
      <c r="B620" t="s">
        <v>776</v>
      </c>
      <c r="C620" t="s">
        <v>765</v>
      </c>
      <c r="D620">
        <v>1</v>
      </c>
    </row>
    <row r="621" spans="1:4" x14ac:dyDescent="0.25">
      <c r="A621" s="89">
        <v>46075</v>
      </c>
      <c r="B621" t="s">
        <v>785</v>
      </c>
      <c r="C621" t="s">
        <v>765</v>
      </c>
      <c r="D621">
        <v>1</v>
      </c>
    </row>
    <row r="622" spans="1:4" x14ac:dyDescent="0.25">
      <c r="A622" s="89">
        <v>46075</v>
      </c>
      <c r="B622" t="s">
        <v>896</v>
      </c>
      <c r="C622" t="s">
        <v>765</v>
      </c>
      <c r="D622">
        <v>1</v>
      </c>
    </row>
    <row r="623" spans="1:4" x14ac:dyDescent="0.25">
      <c r="A623" s="89">
        <v>46079</v>
      </c>
      <c r="B623" t="s">
        <v>797</v>
      </c>
      <c r="C623" t="s">
        <v>745</v>
      </c>
      <c r="D623">
        <v>1</v>
      </c>
    </row>
    <row r="624" spans="1:4" x14ac:dyDescent="0.25">
      <c r="A624" s="89">
        <v>46079</v>
      </c>
      <c r="B624" t="s">
        <v>900</v>
      </c>
      <c r="C624" t="s">
        <v>745</v>
      </c>
      <c r="D624">
        <v>1</v>
      </c>
    </row>
    <row r="625" spans="1:4" x14ac:dyDescent="0.25">
      <c r="A625" s="89">
        <v>46079</v>
      </c>
      <c r="B625" t="s">
        <v>901</v>
      </c>
      <c r="C625" t="s">
        <v>745</v>
      </c>
      <c r="D625">
        <v>1</v>
      </c>
    </row>
    <row r="626" spans="1:4" x14ac:dyDescent="0.25">
      <c r="A626" s="89">
        <v>46079</v>
      </c>
      <c r="B626" t="s">
        <v>902</v>
      </c>
      <c r="C626" t="s">
        <v>745</v>
      </c>
      <c r="D626">
        <v>1</v>
      </c>
    </row>
    <row r="627" spans="1:4" x14ac:dyDescent="0.25">
      <c r="A627" s="89">
        <v>46079</v>
      </c>
      <c r="B627" t="s">
        <v>903</v>
      </c>
      <c r="C627" t="s">
        <v>745</v>
      </c>
      <c r="D627">
        <v>1</v>
      </c>
    </row>
    <row r="628" spans="1:4" x14ac:dyDescent="0.25">
      <c r="A628" s="89">
        <v>46079</v>
      </c>
      <c r="B628" t="s">
        <v>819</v>
      </c>
      <c r="C628" t="s">
        <v>745</v>
      </c>
      <c r="D628">
        <v>1</v>
      </c>
    </row>
    <row r="629" spans="1:4" x14ac:dyDescent="0.25">
      <c r="A629" s="89">
        <v>46079</v>
      </c>
      <c r="B629" t="s">
        <v>829</v>
      </c>
      <c r="C629" t="s">
        <v>745</v>
      </c>
      <c r="D629">
        <v>1</v>
      </c>
    </row>
    <row r="630" spans="1:4" x14ac:dyDescent="0.25">
      <c r="A630" s="89">
        <v>46080</v>
      </c>
      <c r="B630" t="s">
        <v>900</v>
      </c>
      <c r="C630" t="s">
        <v>745</v>
      </c>
      <c r="D630">
        <v>1</v>
      </c>
    </row>
    <row r="631" spans="1:4" x14ac:dyDescent="0.25">
      <c r="A631" s="89">
        <v>46080</v>
      </c>
      <c r="B631" t="s">
        <v>878</v>
      </c>
      <c r="C631" t="s">
        <v>745</v>
      </c>
      <c r="D631">
        <v>1</v>
      </c>
    </row>
    <row r="632" spans="1:4" x14ac:dyDescent="0.25">
      <c r="A632" s="89">
        <v>46081</v>
      </c>
      <c r="B632" t="s">
        <v>749</v>
      </c>
      <c r="C632" t="s">
        <v>745</v>
      </c>
      <c r="D632">
        <v>1</v>
      </c>
    </row>
    <row r="633" spans="1:4" x14ac:dyDescent="0.25">
      <c r="A633" s="89">
        <v>46081</v>
      </c>
      <c r="B633" t="s">
        <v>901</v>
      </c>
      <c r="C633" t="s">
        <v>745</v>
      </c>
      <c r="D633">
        <v>2</v>
      </c>
    </row>
    <row r="634" spans="1:4" x14ac:dyDescent="0.25">
      <c r="A634" s="89">
        <v>46081</v>
      </c>
      <c r="B634" t="s">
        <v>713</v>
      </c>
      <c r="C634" t="s">
        <v>745</v>
      </c>
      <c r="D634">
        <v>1</v>
      </c>
    </row>
    <row r="635" spans="1:4" x14ac:dyDescent="0.25">
      <c r="A635" s="89">
        <v>46081</v>
      </c>
      <c r="B635" t="s">
        <v>751</v>
      </c>
      <c r="C635" t="s">
        <v>745</v>
      </c>
      <c r="D635">
        <v>1</v>
      </c>
    </row>
    <row r="636" spans="1:4" x14ac:dyDescent="0.25">
      <c r="A636" s="89">
        <v>46081</v>
      </c>
      <c r="B636" t="s">
        <v>776</v>
      </c>
      <c r="C636" t="s">
        <v>745</v>
      </c>
      <c r="D636">
        <v>1</v>
      </c>
    </row>
    <row r="637" spans="1:4" x14ac:dyDescent="0.25">
      <c r="A637" s="89">
        <v>46081</v>
      </c>
      <c r="B637" t="s">
        <v>785</v>
      </c>
      <c r="C637" t="s">
        <v>745</v>
      </c>
      <c r="D637">
        <v>1</v>
      </c>
    </row>
    <row r="638" spans="1:4" x14ac:dyDescent="0.25">
      <c r="A638" s="89">
        <v>46081</v>
      </c>
      <c r="B638" t="s">
        <v>829</v>
      </c>
      <c r="C638" t="s">
        <v>745</v>
      </c>
      <c r="D638">
        <v>1</v>
      </c>
    </row>
    <row r="639" spans="1:4" x14ac:dyDescent="0.25">
      <c r="A639" s="89">
        <v>46081</v>
      </c>
      <c r="B639" t="s">
        <v>900</v>
      </c>
      <c r="C639" t="s">
        <v>745</v>
      </c>
      <c r="D639">
        <v>1</v>
      </c>
    </row>
    <row r="640" spans="1:4" x14ac:dyDescent="0.25">
      <c r="A640" s="89">
        <v>46113</v>
      </c>
      <c r="B640" t="s">
        <v>744</v>
      </c>
      <c r="C640" t="s">
        <v>745</v>
      </c>
      <c r="D640">
        <v>2</v>
      </c>
    </row>
    <row r="641" spans="1:4" x14ac:dyDescent="0.25">
      <c r="A641" s="89">
        <v>46113</v>
      </c>
      <c r="B641" t="s">
        <v>797</v>
      </c>
      <c r="C641" t="s">
        <v>745</v>
      </c>
      <c r="D641">
        <v>1</v>
      </c>
    </row>
    <row r="642" spans="1:4" x14ac:dyDescent="0.25">
      <c r="A642" s="89">
        <v>46113</v>
      </c>
      <c r="B642" t="s">
        <v>904</v>
      </c>
      <c r="C642" t="s">
        <v>745</v>
      </c>
      <c r="D642">
        <v>1</v>
      </c>
    </row>
    <row r="643" spans="1:4" x14ac:dyDescent="0.25">
      <c r="A643" s="89">
        <v>46113</v>
      </c>
      <c r="B643" t="s">
        <v>843</v>
      </c>
      <c r="C643" t="s">
        <v>745</v>
      </c>
      <c r="D643">
        <v>1</v>
      </c>
    </row>
    <row r="644" spans="1:4" x14ac:dyDescent="0.25">
      <c r="A644" s="89">
        <v>46113</v>
      </c>
      <c r="B644" t="s">
        <v>748</v>
      </c>
      <c r="C644" t="s">
        <v>745</v>
      </c>
      <c r="D644">
        <v>1</v>
      </c>
    </row>
    <row r="645" spans="1:4" x14ac:dyDescent="0.25">
      <c r="A645" s="89">
        <v>46113</v>
      </c>
      <c r="B645" t="s">
        <v>713</v>
      </c>
      <c r="C645" t="s">
        <v>745</v>
      </c>
      <c r="D645">
        <v>1</v>
      </c>
    </row>
    <row r="646" spans="1:4" x14ac:dyDescent="0.25">
      <c r="A646" s="89">
        <v>46113</v>
      </c>
      <c r="B646" t="s">
        <v>776</v>
      </c>
      <c r="C646" t="s">
        <v>745</v>
      </c>
      <c r="D646">
        <v>1</v>
      </c>
    </row>
    <row r="647" spans="1:4" x14ac:dyDescent="0.25">
      <c r="A647" s="89">
        <v>46113</v>
      </c>
      <c r="B647" t="s">
        <v>785</v>
      </c>
      <c r="C647" t="s">
        <v>745</v>
      </c>
      <c r="D647">
        <v>1</v>
      </c>
    </row>
    <row r="648" spans="1:4" x14ac:dyDescent="0.25">
      <c r="A648" s="89">
        <v>46113</v>
      </c>
      <c r="B648" t="s">
        <v>829</v>
      </c>
      <c r="C648" t="s">
        <v>745</v>
      </c>
      <c r="D648">
        <v>1</v>
      </c>
    </row>
    <row r="649" spans="1:4" x14ac:dyDescent="0.25">
      <c r="A649" s="89">
        <v>46113</v>
      </c>
      <c r="B649" t="s">
        <v>762</v>
      </c>
      <c r="C649" t="s">
        <v>745</v>
      </c>
      <c r="D649">
        <v>1</v>
      </c>
    </row>
    <row r="650" spans="1:4" x14ac:dyDescent="0.25">
      <c r="A650" s="89">
        <v>46113</v>
      </c>
      <c r="B650" t="s">
        <v>837</v>
      </c>
      <c r="C650" t="s">
        <v>745</v>
      </c>
      <c r="D650">
        <v>1</v>
      </c>
    </row>
    <row r="651" spans="1:4" x14ac:dyDescent="0.25">
      <c r="A651" s="89">
        <v>46113</v>
      </c>
      <c r="B651" t="s">
        <v>905</v>
      </c>
      <c r="C651" t="s">
        <v>745</v>
      </c>
      <c r="D651">
        <v>1</v>
      </c>
    </row>
    <row r="652" spans="1:4" x14ac:dyDescent="0.25">
      <c r="A652" s="89">
        <v>46113</v>
      </c>
      <c r="B652" t="s">
        <v>713</v>
      </c>
      <c r="C652" t="s">
        <v>745</v>
      </c>
      <c r="D652">
        <v>1</v>
      </c>
    </row>
    <row r="653" spans="1:4" x14ac:dyDescent="0.25">
      <c r="A653" s="89">
        <v>46113</v>
      </c>
      <c r="B653" t="s">
        <v>868</v>
      </c>
      <c r="C653" t="s">
        <v>745</v>
      </c>
      <c r="D653">
        <v>1</v>
      </c>
    </row>
    <row r="654" spans="1:4" x14ac:dyDescent="0.25">
      <c r="A654" s="89">
        <v>46114</v>
      </c>
      <c r="B654" t="s">
        <v>906</v>
      </c>
      <c r="C654" t="s">
        <v>745</v>
      </c>
      <c r="D654">
        <v>1</v>
      </c>
    </row>
    <row r="655" spans="1:4" x14ac:dyDescent="0.25">
      <c r="A655" s="89">
        <v>46114</v>
      </c>
      <c r="B655" t="s">
        <v>777</v>
      </c>
      <c r="C655" t="s">
        <v>745</v>
      </c>
      <c r="D655">
        <v>1</v>
      </c>
    </row>
    <row r="656" spans="1:4" x14ac:dyDescent="0.25">
      <c r="A656" s="89">
        <v>46114</v>
      </c>
      <c r="B656" t="s">
        <v>840</v>
      </c>
      <c r="C656" t="s">
        <v>745</v>
      </c>
      <c r="D656">
        <v>1</v>
      </c>
    </row>
    <row r="657" spans="1:4" x14ac:dyDescent="0.25">
      <c r="A657" s="89">
        <v>46114</v>
      </c>
      <c r="B657" t="s">
        <v>754</v>
      </c>
      <c r="C657" t="s">
        <v>745</v>
      </c>
      <c r="D657">
        <v>1</v>
      </c>
    </row>
    <row r="658" spans="1:4" x14ac:dyDescent="0.25">
      <c r="A658" s="89">
        <v>46114</v>
      </c>
      <c r="B658" t="s">
        <v>775</v>
      </c>
      <c r="C658" t="s">
        <v>745</v>
      </c>
      <c r="D658">
        <v>1</v>
      </c>
    </row>
    <row r="659" spans="1:4" x14ac:dyDescent="0.25">
      <c r="A659" s="89">
        <v>46115</v>
      </c>
      <c r="B659" t="s">
        <v>744</v>
      </c>
      <c r="C659" t="s">
        <v>745</v>
      </c>
      <c r="D659">
        <v>2</v>
      </c>
    </row>
    <row r="660" spans="1:4" x14ac:dyDescent="0.25">
      <c r="A660" s="89">
        <v>46115</v>
      </c>
      <c r="B660" t="s">
        <v>749</v>
      </c>
      <c r="C660" t="s">
        <v>745</v>
      </c>
      <c r="D660">
        <v>1</v>
      </c>
    </row>
    <row r="661" spans="1:4" x14ac:dyDescent="0.25">
      <c r="A661" s="89">
        <v>46115</v>
      </c>
      <c r="B661" t="s">
        <v>843</v>
      </c>
      <c r="C661" t="s">
        <v>745</v>
      </c>
      <c r="D661">
        <v>1</v>
      </c>
    </row>
    <row r="662" spans="1:4" x14ac:dyDescent="0.25">
      <c r="A662" s="89">
        <v>46115</v>
      </c>
      <c r="B662" t="s">
        <v>748</v>
      </c>
      <c r="C662" t="s">
        <v>745</v>
      </c>
      <c r="D662">
        <v>1</v>
      </c>
    </row>
    <row r="663" spans="1:4" x14ac:dyDescent="0.25">
      <c r="A663" s="89">
        <v>46115</v>
      </c>
      <c r="B663" t="s">
        <v>809</v>
      </c>
      <c r="C663" t="s">
        <v>745</v>
      </c>
      <c r="D663">
        <v>1</v>
      </c>
    </row>
    <row r="664" spans="1:4" x14ac:dyDescent="0.25">
      <c r="A664" s="89">
        <v>46115</v>
      </c>
      <c r="B664" t="s">
        <v>751</v>
      </c>
      <c r="C664" t="s">
        <v>745</v>
      </c>
      <c r="D664">
        <v>1</v>
      </c>
    </row>
    <row r="665" spans="1:4" x14ac:dyDescent="0.25">
      <c r="A665" s="89">
        <v>46115</v>
      </c>
      <c r="B665" t="s">
        <v>776</v>
      </c>
      <c r="C665" t="s">
        <v>745</v>
      </c>
      <c r="D665">
        <v>1</v>
      </c>
    </row>
    <row r="666" spans="1:4" x14ac:dyDescent="0.25">
      <c r="A666" s="89">
        <v>46115</v>
      </c>
      <c r="B666" t="s">
        <v>785</v>
      </c>
      <c r="C666" t="s">
        <v>745</v>
      </c>
      <c r="D666">
        <v>1</v>
      </c>
    </row>
    <row r="667" spans="1:4" x14ac:dyDescent="0.25">
      <c r="A667" s="89">
        <v>46115</v>
      </c>
      <c r="B667" t="s">
        <v>762</v>
      </c>
      <c r="C667" t="s">
        <v>745</v>
      </c>
      <c r="D667">
        <v>1</v>
      </c>
    </row>
    <row r="668" spans="1:4" x14ac:dyDescent="0.25">
      <c r="A668" s="89">
        <v>46115</v>
      </c>
      <c r="B668" t="s">
        <v>763</v>
      </c>
      <c r="C668" t="s">
        <v>745</v>
      </c>
      <c r="D668">
        <v>1</v>
      </c>
    </row>
    <row r="669" spans="1:4" x14ac:dyDescent="0.25">
      <c r="A669" s="89">
        <v>46115</v>
      </c>
      <c r="B669" t="s">
        <v>829</v>
      </c>
      <c r="C669" t="s">
        <v>745</v>
      </c>
      <c r="D669">
        <v>1</v>
      </c>
    </row>
    <row r="670" spans="1:4" x14ac:dyDescent="0.25">
      <c r="A670" s="89">
        <v>46115</v>
      </c>
      <c r="B670" t="s">
        <v>837</v>
      </c>
      <c r="C670" t="s">
        <v>745</v>
      </c>
      <c r="D670">
        <v>1</v>
      </c>
    </row>
    <row r="671" spans="1:4" x14ac:dyDescent="0.25">
      <c r="A671" s="89">
        <v>46115</v>
      </c>
      <c r="B671" t="s">
        <v>907</v>
      </c>
      <c r="C671" t="s">
        <v>745</v>
      </c>
      <c r="D671">
        <v>1</v>
      </c>
    </row>
    <row r="672" spans="1:4" x14ac:dyDescent="0.25">
      <c r="A672" s="89">
        <v>46115</v>
      </c>
      <c r="B672" t="s">
        <v>777</v>
      </c>
      <c r="C672" t="s">
        <v>745</v>
      </c>
      <c r="D672">
        <v>1</v>
      </c>
    </row>
    <row r="673" spans="1:4" x14ac:dyDescent="0.25">
      <c r="A673" s="89">
        <v>46115</v>
      </c>
      <c r="B673" t="s">
        <v>713</v>
      </c>
      <c r="C673" t="s">
        <v>745</v>
      </c>
      <c r="D673">
        <v>1</v>
      </c>
    </row>
    <row r="674" spans="1:4" x14ac:dyDescent="0.25">
      <c r="A674" s="89">
        <v>46115</v>
      </c>
      <c r="B674" t="s">
        <v>754</v>
      </c>
      <c r="C674" t="s">
        <v>745</v>
      </c>
      <c r="D674">
        <v>1</v>
      </c>
    </row>
    <row r="675" spans="1:4" x14ac:dyDescent="0.25">
      <c r="A675" s="89">
        <v>46115</v>
      </c>
      <c r="B675" t="s">
        <v>775</v>
      </c>
      <c r="C675" t="s">
        <v>745</v>
      </c>
      <c r="D675">
        <v>1</v>
      </c>
    </row>
    <row r="676" spans="1:4" x14ac:dyDescent="0.25">
      <c r="A676" s="89">
        <v>46115</v>
      </c>
      <c r="B676" t="s">
        <v>776</v>
      </c>
      <c r="C676" t="s">
        <v>745</v>
      </c>
      <c r="D676">
        <v>1</v>
      </c>
    </row>
    <row r="677" spans="1:4" x14ac:dyDescent="0.25">
      <c r="A677" s="89">
        <v>46115</v>
      </c>
      <c r="B677" t="s">
        <v>785</v>
      </c>
      <c r="C677" t="s">
        <v>745</v>
      </c>
      <c r="D677">
        <v>1</v>
      </c>
    </row>
    <row r="678" spans="1:4" x14ac:dyDescent="0.25">
      <c r="A678" s="89">
        <v>46116</v>
      </c>
      <c r="B678" t="s">
        <v>907</v>
      </c>
      <c r="C678" t="s">
        <v>745</v>
      </c>
      <c r="D678">
        <v>1</v>
      </c>
    </row>
    <row r="679" spans="1:4" x14ac:dyDescent="0.25">
      <c r="A679" s="89">
        <v>46116</v>
      </c>
      <c r="B679" t="s">
        <v>744</v>
      </c>
      <c r="C679" t="s">
        <v>745</v>
      </c>
      <c r="D679">
        <v>2</v>
      </c>
    </row>
    <row r="680" spans="1:4" x14ac:dyDescent="0.25">
      <c r="A680" s="89">
        <v>46116</v>
      </c>
      <c r="B680" t="s">
        <v>843</v>
      </c>
      <c r="C680" t="s">
        <v>745</v>
      </c>
      <c r="D680">
        <v>1</v>
      </c>
    </row>
    <row r="681" spans="1:4" x14ac:dyDescent="0.25">
      <c r="A681" s="89">
        <v>46116</v>
      </c>
      <c r="B681" t="s">
        <v>777</v>
      </c>
      <c r="C681" t="s">
        <v>745</v>
      </c>
      <c r="D681">
        <v>2</v>
      </c>
    </row>
    <row r="682" spans="1:4" x14ac:dyDescent="0.25">
      <c r="A682" s="89">
        <v>46116</v>
      </c>
      <c r="B682" t="s">
        <v>748</v>
      </c>
      <c r="C682" t="s">
        <v>745</v>
      </c>
      <c r="D682">
        <v>1</v>
      </c>
    </row>
    <row r="683" spans="1:4" x14ac:dyDescent="0.25">
      <c r="A683" s="89">
        <v>46116</v>
      </c>
      <c r="B683" t="s">
        <v>713</v>
      </c>
      <c r="C683" t="s">
        <v>745</v>
      </c>
      <c r="D683">
        <v>1</v>
      </c>
    </row>
    <row r="684" spans="1:4" x14ac:dyDescent="0.25">
      <c r="A684" s="89">
        <v>46116</v>
      </c>
      <c r="B684" t="s">
        <v>754</v>
      </c>
      <c r="C684" t="s">
        <v>745</v>
      </c>
      <c r="D684">
        <v>1</v>
      </c>
    </row>
    <row r="685" spans="1:4" x14ac:dyDescent="0.25">
      <c r="A685" s="89">
        <v>46116</v>
      </c>
      <c r="B685" t="s">
        <v>751</v>
      </c>
      <c r="C685" t="s">
        <v>745</v>
      </c>
      <c r="D685">
        <v>2</v>
      </c>
    </row>
    <row r="686" spans="1:4" x14ac:dyDescent="0.25">
      <c r="A686" s="89">
        <v>46116</v>
      </c>
      <c r="B686" t="s">
        <v>776</v>
      </c>
      <c r="C686" t="s">
        <v>745</v>
      </c>
      <c r="D686">
        <v>1</v>
      </c>
    </row>
    <row r="687" spans="1:4" x14ac:dyDescent="0.25">
      <c r="A687" s="89">
        <v>46116</v>
      </c>
      <c r="B687" t="s">
        <v>785</v>
      </c>
      <c r="C687" t="s">
        <v>745</v>
      </c>
      <c r="D687">
        <v>1</v>
      </c>
    </row>
    <row r="688" spans="1:4" x14ac:dyDescent="0.25">
      <c r="A688" s="89">
        <v>46116</v>
      </c>
      <c r="B688" t="s">
        <v>762</v>
      </c>
      <c r="C688" t="s">
        <v>745</v>
      </c>
      <c r="D688">
        <v>1</v>
      </c>
    </row>
    <row r="689" spans="1:4" x14ac:dyDescent="0.25">
      <c r="A689" s="89">
        <v>46116</v>
      </c>
      <c r="B689" t="s">
        <v>763</v>
      </c>
      <c r="C689" t="s">
        <v>745</v>
      </c>
      <c r="D689">
        <v>1</v>
      </c>
    </row>
    <row r="690" spans="1:4" x14ac:dyDescent="0.25">
      <c r="A690" s="89">
        <v>46116</v>
      </c>
      <c r="B690" t="s">
        <v>829</v>
      </c>
      <c r="C690" t="s">
        <v>745</v>
      </c>
      <c r="D690">
        <v>1</v>
      </c>
    </row>
    <row r="691" spans="1:4" x14ac:dyDescent="0.25">
      <c r="A691" s="89">
        <v>46116</v>
      </c>
      <c r="B691" t="s">
        <v>837</v>
      </c>
      <c r="C691" t="s">
        <v>745</v>
      </c>
      <c r="D691">
        <v>1</v>
      </c>
    </row>
    <row r="692" spans="1:4" x14ac:dyDescent="0.25">
      <c r="A692" s="89">
        <v>46116</v>
      </c>
      <c r="B692" t="s">
        <v>830</v>
      </c>
      <c r="C692" t="s">
        <v>745</v>
      </c>
      <c r="D692">
        <v>1</v>
      </c>
    </row>
    <row r="693" spans="1:4" x14ac:dyDescent="0.25">
      <c r="A693" s="89">
        <v>46116</v>
      </c>
      <c r="B693" t="s">
        <v>776</v>
      </c>
      <c r="C693" t="s">
        <v>745</v>
      </c>
      <c r="D693">
        <v>1</v>
      </c>
    </row>
    <row r="694" spans="1:4" x14ac:dyDescent="0.25">
      <c r="A694" s="89">
        <v>46116</v>
      </c>
      <c r="B694" t="s">
        <v>762</v>
      </c>
      <c r="C694" t="s">
        <v>745</v>
      </c>
      <c r="D694">
        <v>1</v>
      </c>
    </row>
    <row r="695" spans="1:4" x14ac:dyDescent="0.25">
      <c r="A695" s="89">
        <v>46117</v>
      </c>
      <c r="B695" t="s">
        <v>744</v>
      </c>
      <c r="C695" t="s">
        <v>745</v>
      </c>
      <c r="D695">
        <v>2</v>
      </c>
    </row>
    <row r="696" spans="1:4" x14ac:dyDescent="0.25">
      <c r="A696" s="89">
        <v>46117</v>
      </c>
      <c r="B696" t="s">
        <v>797</v>
      </c>
      <c r="C696" t="s">
        <v>745</v>
      </c>
      <c r="D696">
        <v>1</v>
      </c>
    </row>
    <row r="697" spans="1:4" x14ac:dyDescent="0.25">
      <c r="A697" s="89">
        <v>46117</v>
      </c>
      <c r="B697" t="s">
        <v>907</v>
      </c>
      <c r="C697" t="s">
        <v>745</v>
      </c>
      <c r="D697">
        <v>1</v>
      </c>
    </row>
    <row r="698" spans="1:4" x14ac:dyDescent="0.25">
      <c r="A698" s="89">
        <v>46117</v>
      </c>
      <c r="B698" t="s">
        <v>825</v>
      </c>
      <c r="C698" t="s">
        <v>745</v>
      </c>
      <c r="D698">
        <v>1</v>
      </c>
    </row>
    <row r="699" spans="1:4" x14ac:dyDescent="0.25">
      <c r="A699" s="89">
        <v>46117</v>
      </c>
      <c r="B699" t="s">
        <v>777</v>
      </c>
      <c r="C699" t="s">
        <v>745</v>
      </c>
      <c r="D699">
        <v>3</v>
      </c>
    </row>
    <row r="700" spans="1:4" x14ac:dyDescent="0.25">
      <c r="A700" s="89">
        <v>46117</v>
      </c>
      <c r="B700" t="s">
        <v>713</v>
      </c>
      <c r="C700" t="s">
        <v>745</v>
      </c>
      <c r="D700">
        <v>2</v>
      </c>
    </row>
    <row r="701" spans="1:4" x14ac:dyDescent="0.25">
      <c r="A701" s="89">
        <v>46117</v>
      </c>
      <c r="B701" t="s">
        <v>754</v>
      </c>
      <c r="C701" t="s">
        <v>745</v>
      </c>
      <c r="D701">
        <v>2</v>
      </c>
    </row>
    <row r="702" spans="1:4" x14ac:dyDescent="0.25">
      <c r="A702" s="89">
        <v>46117</v>
      </c>
      <c r="B702" t="s">
        <v>751</v>
      </c>
      <c r="C702" t="s">
        <v>745</v>
      </c>
      <c r="D702">
        <v>1</v>
      </c>
    </row>
    <row r="703" spans="1:4" x14ac:dyDescent="0.25">
      <c r="A703" s="89">
        <v>46117</v>
      </c>
      <c r="B703" t="s">
        <v>776</v>
      </c>
      <c r="C703" t="s">
        <v>745</v>
      </c>
      <c r="D703">
        <v>1</v>
      </c>
    </row>
    <row r="704" spans="1:4" x14ac:dyDescent="0.25">
      <c r="A704" s="89">
        <v>46117</v>
      </c>
      <c r="B704" t="s">
        <v>785</v>
      </c>
      <c r="C704" t="s">
        <v>745</v>
      </c>
      <c r="D704">
        <v>1</v>
      </c>
    </row>
    <row r="705" spans="1:4" x14ac:dyDescent="0.25">
      <c r="A705" s="89">
        <v>46117</v>
      </c>
      <c r="B705" t="s">
        <v>762</v>
      </c>
      <c r="C705" t="s">
        <v>745</v>
      </c>
      <c r="D705">
        <v>2</v>
      </c>
    </row>
    <row r="706" spans="1:4" x14ac:dyDescent="0.25">
      <c r="A706" s="89">
        <v>46117</v>
      </c>
      <c r="B706" t="s">
        <v>763</v>
      </c>
      <c r="C706" t="s">
        <v>745</v>
      </c>
      <c r="D706">
        <v>1</v>
      </c>
    </row>
    <row r="707" spans="1:4" x14ac:dyDescent="0.25">
      <c r="A707" s="89">
        <v>46117</v>
      </c>
      <c r="B707" t="s">
        <v>829</v>
      </c>
      <c r="C707" t="s">
        <v>745</v>
      </c>
      <c r="D707">
        <v>1</v>
      </c>
    </row>
    <row r="708" spans="1:4" x14ac:dyDescent="0.25">
      <c r="A708" s="89">
        <v>46117</v>
      </c>
      <c r="B708" t="s">
        <v>837</v>
      </c>
      <c r="C708" t="s">
        <v>745</v>
      </c>
      <c r="D708">
        <v>1</v>
      </c>
    </row>
    <row r="709" spans="1:4" x14ac:dyDescent="0.25">
      <c r="A709" s="89">
        <v>46117</v>
      </c>
      <c r="B709" t="s">
        <v>776</v>
      </c>
      <c r="C709" t="s">
        <v>745</v>
      </c>
      <c r="D709">
        <v>1</v>
      </c>
    </row>
    <row r="710" spans="1:4" x14ac:dyDescent="0.25">
      <c r="A710" s="89">
        <v>46117</v>
      </c>
      <c r="B710" t="s">
        <v>785</v>
      </c>
      <c r="C710" t="s">
        <v>745</v>
      </c>
      <c r="D710">
        <v>1</v>
      </c>
    </row>
    <row r="711" spans="1:4" x14ac:dyDescent="0.25">
      <c r="A711" s="89">
        <v>46121</v>
      </c>
      <c r="B711" t="s">
        <v>843</v>
      </c>
      <c r="C711" t="s">
        <v>745</v>
      </c>
      <c r="D711">
        <v>1</v>
      </c>
    </row>
    <row r="712" spans="1:4" x14ac:dyDescent="0.25">
      <c r="A712" s="89">
        <v>46121</v>
      </c>
      <c r="B712" t="s">
        <v>908</v>
      </c>
      <c r="C712" t="s">
        <v>745</v>
      </c>
      <c r="D712">
        <v>1</v>
      </c>
    </row>
    <row r="713" spans="1:4" x14ac:dyDescent="0.25">
      <c r="A713" s="89">
        <v>46121</v>
      </c>
      <c r="B713" t="s">
        <v>909</v>
      </c>
      <c r="C713" t="s">
        <v>745</v>
      </c>
      <c r="D713">
        <v>1</v>
      </c>
    </row>
    <row r="714" spans="1:4" x14ac:dyDescent="0.25">
      <c r="A714" s="89">
        <v>46121</v>
      </c>
      <c r="B714" t="s">
        <v>910</v>
      </c>
      <c r="C714" t="s">
        <v>745</v>
      </c>
      <c r="D714">
        <v>1</v>
      </c>
    </row>
    <row r="715" spans="1:4" x14ac:dyDescent="0.25">
      <c r="A715" s="89">
        <v>46121</v>
      </c>
      <c r="B715" t="s">
        <v>911</v>
      </c>
      <c r="C715" t="s">
        <v>745</v>
      </c>
      <c r="D715">
        <v>1</v>
      </c>
    </row>
    <row r="716" spans="1:4" x14ac:dyDescent="0.25">
      <c r="A716" s="89">
        <v>46121</v>
      </c>
      <c r="B716" t="s">
        <v>829</v>
      </c>
      <c r="C716" t="s">
        <v>745</v>
      </c>
      <c r="D716">
        <v>1</v>
      </c>
    </row>
    <row r="717" spans="1:4" x14ac:dyDescent="0.25">
      <c r="A717" s="89">
        <v>46122</v>
      </c>
      <c r="B717" t="s">
        <v>744</v>
      </c>
      <c r="C717" t="s">
        <v>745</v>
      </c>
      <c r="D717">
        <v>1</v>
      </c>
    </row>
    <row r="718" spans="1:4" x14ac:dyDescent="0.25">
      <c r="A718" s="89">
        <v>46122</v>
      </c>
      <c r="B718" t="s">
        <v>912</v>
      </c>
      <c r="C718" t="s">
        <v>745</v>
      </c>
      <c r="D718">
        <v>1</v>
      </c>
    </row>
    <row r="719" spans="1:4" x14ac:dyDescent="0.25">
      <c r="A719" s="89">
        <v>46122</v>
      </c>
      <c r="B719" t="s">
        <v>749</v>
      </c>
      <c r="C719" t="s">
        <v>745</v>
      </c>
      <c r="D719">
        <v>1</v>
      </c>
    </row>
    <row r="720" spans="1:4" x14ac:dyDescent="0.25">
      <c r="A720" s="89">
        <v>46122</v>
      </c>
      <c r="B720" t="s">
        <v>751</v>
      </c>
      <c r="C720" t="s">
        <v>745</v>
      </c>
      <c r="D720">
        <v>1</v>
      </c>
    </row>
    <row r="721" spans="1:4" x14ac:dyDescent="0.25">
      <c r="A721" s="89">
        <v>46122</v>
      </c>
      <c r="B721" t="s">
        <v>776</v>
      </c>
      <c r="C721" t="s">
        <v>745</v>
      </c>
      <c r="D721">
        <v>1</v>
      </c>
    </row>
    <row r="722" spans="1:4" x14ac:dyDescent="0.25">
      <c r="A722" s="89">
        <v>46122</v>
      </c>
      <c r="B722" t="s">
        <v>785</v>
      </c>
      <c r="C722" t="s">
        <v>745</v>
      </c>
      <c r="D722">
        <v>1</v>
      </c>
    </row>
    <row r="723" spans="1:4" x14ac:dyDescent="0.25">
      <c r="A723" s="89">
        <v>46122</v>
      </c>
      <c r="B723" t="s">
        <v>763</v>
      </c>
      <c r="C723" t="s">
        <v>745</v>
      </c>
      <c r="D723">
        <v>1</v>
      </c>
    </row>
    <row r="724" spans="1:4" x14ac:dyDescent="0.25">
      <c r="A724" s="89">
        <v>46122</v>
      </c>
      <c r="B724" t="s">
        <v>829</v>
      </c>
      <c r="C724" t="s">
        <v>745</v>
      </c>
      <c r="D724">
        <v>1</v>
      </c>
    </row>
    <row r="725" spans="1:4" x14ac:dyDescent="0.25">
      <c r="A725" s="89">
        <v>46122</v>
      </c>
      <c r="B725" t="s">
        <v>913</v>
      </c>
      <c r="C725" t="s">
        <v>745</v>
      </c>
      <c r="D725">
        <v>1</v>
      </c>
    </row>
    <row r="726" spans="1:4" x14ac:dyDescent="0.25">
      <c r="A726" s="89">
        <v>46122</v>
      </c>
      <c r="B726" t="s">
        <v>909</v>
      </c>
      <c r="C726" t="s">
        <v>745</v>
      </c>
      <c r="D726">
        <v>1</v>
      </c>
    </row>
    <row r="727" spans="1:4" x14ac:dyDescent="0.25">
      <c r="A727" s="89">
        <v>46122</v>
      </c>
      <c r="B727" t="s">
        <v>910</v>
      </c>
      <c r="C727" t="s">
        <v>745</v>
      </c>
      <c r="D727">
        <v>1</v>
      </c>
    </row>
    <row r="728" spans="1:4" x14ac:dyDescent="0.25">
      <c r="A728" s="89">
        <v>46123</v>
      </c>
      <c r="B728" t="s">
        <v>744</v>
      </c>
      <c r="C728" t="s">
        <v>745</v>
      </c>
      <c r="D728">
        <v>2</v>
      </c>
    </row>
    <row r="729" spans="1:4" x14ac:dyDescent="0.25">
      <c r="A729" s="89">
        <v>46123</v>
      </c>
      <c r="B729" t="s">
        <v>713</v>
      </c>
      <c r="C729" t="s">
        <v>745</v>
      </c>
      <c r="D729">
        <v>1</v>
      </c>
    </row>
    <row r="730" spans="1:4" x14ac:dyDescent="0.25">
      <c r="A730" s="89">
        <v>46123</v>
      </c>
      <c r="B730" t="s">
        <v>776</v>
      </c>
      <c r="C730" t="s">
        <v>745</v>
      </c>
      <c r="D730">
        <v>1</v>
      </c>
    </row>
    <row r="731" spans="1:4" x14ac:dyDescent="0.25">
      <c r="A731" s="89">
        <v>46123</v>
      </c>
      <c r="B731" t="s">
        <v>785</v>
      </c>
      <c r="C731" t="s">
        <v>745</v>
      </c>
      <c r="D731">
        <v>1</v>
      </c>
    </row>
    <row r="732" spans="1:4" x14ac:dyDescent="0.25">
      <c r="A732" s="89">
        <v>46123</v>
      </c>
      <c r="B732" t="s">
        <v>850</v>
      </c>
      <c r="C732" t="s">
        <v>745</v>
      </c>
      <c r="D732">
        <v>1</v>
      </c>
    </row>
    <row r="733" spans="1:4" x14ac:dyDescent="0.25">
      <c r="A733" s="89">
        <v>46123</v>
      </c>
      <c r="B733" t="s">
        <v>913</v>
      </c>
      <c r="C733" t="s">
        <v>745</v>
      </c>
      <c r="D733">
        <v>1</v>
      </c>
    </row>
    <row r="734" spans="1:4" x14ac:dyDescent="0.25">
      <c r="A734" s="89">
        <v>46123</v>
      </c>
      <c r="B734" t="s">
        <v>909</v>
      </c>
      <c r="C734" t="s">
        <v>745</v>
      </c>
      <c r="D734">
        <v>1</v>
      </c>
    </row>
    <row r="735" spans="1:4" x14ac:dyDescent="0.25">
      <c r="A735" s="89">
        <v>46124</v>
      </c>
      <c r="B735" t="s">
        <v>815</v>
      </c>
      <c r="C735" t="s">
        <v>767</v>
      </c>
      <c r="D735">
        <v>1</v>
      </c>
    </row>
    <row r="736" spans="1:4" x14ac:dyDescent="0.25">
      <c r="A736" s="89">
        <v>46124</v>
      </c>
      <c r="B736" t="s">
        <v>748</v>
      </c>
      <c r="C736" t="s">
        <v>767</v>
      </c>
      <c r="D736">
        <v>1</v>
      </c>
    </row>
    <row r="737" spans="1:4" x14ac:dyDescent="0.25">
      <c r="A737" s="89">
        <v>46124</v>
      </c>
      <c r="B737" t="s">
        <v>809</v>
      </c>
      <c r="C737" t="s">
        <v>767</v>
      </c>
      <c r="D737">
        <v>1</v>
      </c>
    </row>
    <row r="738" spans="1:4" x14ac:dyDescent="0.25">
      <c r="A738" s="89">
        <v>46124</v>
      </c>
      <c r="B738" t="s">
        <v>751</v>
      </c>
      <c r="C738" t="s">
        <v>767</v>
      </c>
      <c r="D738">
        <v>1</v>
      </c>
    </row>
    <row r="739" spans="1:4" x14ac:dyDescent="0.25">
      <c r="A739" s="89">
        <v>46124</v>
      </c>
      <c r="B739" t="s">
        <v>776</v>
      </c>
      <c r="C739" t="s">
        <v>767</v>
      </c>
      <c r="D739">
        <v>1</v>
      </c>
    </row>
    <row r="740" spans="1:4" x14ac:dyDescent="0.25">
      <c r="A740" s="89">
        <v>46124</v>
      </c>
      <c r="B740" t="s">
        <v>785</v>
      </c>
      <c r="C740" t="s">
        <v>767</v>
      </c>
      <c r="D740">
        <v>1</v>
      </c>
    </row>
    <row r="741" spans="1:4" x14ac:dyDescent="0.25">
      <c r="A741" s="89">
        <v>46124</v>
      </c>
      <c r="B741" t="s">
        <v>829</v>
      </c>
      <c r="C741" t="s">
        <v>767</v>
      </c>
      <c r="D741">
        <v>1</v>
      </c>
    </row>
    <row r="742" spans="1:4" x14ac:dyDescent="0.25">
      <c r="A742" s="89">
        <v>46124</v>
      </c>
      <c r="B742" t="s">
        <v>763</v>
      </c>
      <c r="C742" t="s">
        <v>767</v>
      </c>
      <c r="D742">
        <v>1</v>
      </c>
    </row>
    <row r="743" spans="1:4" x14ac:dyDescent="0.25">
      <c r="A743" s="89">
        <v>46124</v>
      </c>
      <c r="B743" t="s">
        <v>762</v>
      </c>
      <c r="C743" t="s">
        <v>767</v>
      </c>
      <c r="D743">
        <v>1</v>
      </c>
    </row>
    <row r="744" spans="1:4" x14ac:dyDescent="0.25">
      <c r="A744" s="89">
        <v>46124</v>
      </c>
      <c r="B744" t="s">
        <v>895</v>
      </c>
      <c r="C744" t="s">
        <v>767</v>
      </c>
      <c r="D744">
        <v>2</v>
      </c>
    </row>
    <row r="745" spans="1:4" x14ac:dyDescent="0.25">
      <c r="A745" s="89">
        <v>46124</v>
      </c>
      <c r="B745" t="s">
        <v>913</v>
      </c>
      <c r="C745" t="s">
        <v>767</v>
      </c>
      <c r="D745">
        <v>2</v>
      </c>
    </row>
    <row r="746" spans="1:4" x14ac:dyDescent="0.25">
      <c r="A746" s="89">
        <v>46124</v>
      </c>
      <c r="B746" t="s">
        <v>909</v>
      </c>
      <c r="C746" t="s">
        <v>767</v>
      </c>
      <c r="D746">
        <v>1</v>
      </c>
    </row>
    <row r="747" spans="1:4" x14ac:dyDescent="0.25">
      <c r="A747" s="89">
        <v>46124</v>
      </c>
      <c r="B747" t="s">
        <v>914</v>
      </c>
      <c r="C747" t="s">
        <v>767</v>
      </c>
      <c r="D747">
        <v>1</v>
      </c>
    </row>
    <row r="748" spans="1:4" x14ac:dyDescent="0.25">
      <c r="A748" s="89">
        <v>46125</v>
      </c>
      <c r="B748" t="s">
        <v>748</v>
      </c>
      <c r="C748" t="s">
        <v>765</v>
      </c>
      <c r="D748">
        <v>1</v>
      </c>
    </row>
    <row r="749" spans="1:4" x14ac:dyDescent="0.25">
      <c r="A749" s="89">
        <v>46125</v>
      </c>
      <c r="B749" t="s">
        <v>843</v>
      </c>
      <c r="C749" t="s">
        <v>765</v>
      </c>
      <c r="D749">
        <v>1</v>
      </c>
    </row>
    <row r="750" spans="1:4" x14ac:dyDescent="0.25">
      <c r="A750" s="89">
        <v>46125</v>
      </c>
      <c r="B750" t="s">
        <v>744</v>
      </c>
      <c r="C750" t="s">
        <v>765</v>
      </c>
      <c r="D750">
        <v>1</v>
      </c>
    </row>
    <row r="751" spans="1:4" x14ac:dyDescent="0.25">
      <c r="A751" s="89">
        <v>46126</v>
      </c>
      <c r="B751" t="s">
        <v>915</v>
      </c>
      <c r="C751" t="s">
        <v>745</v>
      </c>
      <c r="D751">
        <v>1</v>
      </c>
    </row>
    <row r="752" spans="1:4" x14ac:dyDescent="0.25">
      <c r="A752" s="89">
        <v>46126</v>
      </c>
      <c r="B752" t="s">
        <v>829</v>
      </c>
      <c r="C752" t="s">
        <v>765</v>
      </c>
      <c r="D752">
        <v>1</v>
      </c>
    </row>
    <row r="753" spans="1:4" x14ac:dyDescent="0.25">
      <c r="A753" s="89">
        <v>46127</v>
      </c>
      <c r="B753" t="s">
        <v>744</v>
      </c>
      <c r="C753" t="s">
        <v>767</v>
      </c>
      <c r="D753">
        <v>1</v>
      </c>
    </row>
    <row r="754" spans="1:4" x14ac:dyDescent="0.25">
      <c r="A754" s="89">
        <v>46127</v>
      </c>
      <c r="B754" t="s">
        <v>821</v>
      </c>
      <c r="C754" t="s">
        <v>767</v>
      </c>
      <c r="D754">
        <v>1</v>
      </c>
    </row>
    <row r="755" spans="1:4" x14ac:dyDescent="0.25">
      <c r="A755" s="89">
        <v>46127</v>
      </c>
      <c r="B755" t="s">
        <v>751</v>
      </c>
      <c r="C755" t="s">
        <v>767</v>
      </c>
      <c r="D755">
        <v>1</v>
      </c>
    </row>
    <row r="756" spans="1:4" x14ac:dyDescent="0.25">
      <c r="A756" s="89">
        <v>46127</v>
      </c>
      <c r="B756" t="s">
        <v>762</v>
      </c>
      <c r="C756" t="s">
        <v>767</v>
      </c>
      <c r="D756">
        <v>1</v>
      </c>
    </row>
    <row r="757" spans="1:4" x14ac:dyDescent="0.25">
      <c r="A757" s="89">
        <v>46127</v>
      </c>
      <c r="B757" t="s">
        <v>785</v>
      </c>
      <c r="C757" t="s">
        <v>767</v>
      </c>
      <c r="D757">
        <v>1</v>
      </c>
    </row>
    <row r="758" spans="1:4" x14ac:dyDescent="0.25">
      <c r="A758" s="89">
        <v>46127</v>
      </c>
      <c r="B758" t="s">
        <v>763</v>
      </c>
      <c r="C758" t="s">
        <v>767</v>
      </c>
      <c r="D758">
        <v>1</v>
      </c>
    </row>
    <row r="759" spans="1:4" x14ac:dyDescent="0.25">
      <c r="A759" s="89">
        <v>46127</v>
      </c>
      <c r="B759" t="s">
        <v>744</v>
      </c>
      <c r="C759" t="s">
        <v>767</v>
      </c>
      <c r="D759">
        <v>2</v>
      </c>
    </row>
    <row r="760" spans="1:4" x14ac:dyDescent="0.25">
      <c r="A760" s="89">
        <v>46128</v>
      </c>
      <c r="B760" t="s">
        <v>776</v>
      </c>
      <c r="C760" t="s">
        <v>745</v>
      </c>
      <c r="D760">
        <v>1</v>
      </c>
    </row>
    <row r="761" spans="1:4" x14ac:dyDescent="0.25">
      <c r="A761" s="89">
        <v>46128</v>
      </c>
      <c r="B761" t="s">
        <v>785</v>
      </c>
      <c r="C761" t="s">
        <v>745</v>
      </c>
      <c r="D761">
        <v>1</v>
      </c>
    </row>
    <row r="762" spans="1:4" x14ac:dyDescent="0.25">
      <c r="A762" s="89">
        <v>46128</v>
      </c>
      <c r="B762" t="s">
        <v>819</v>
      </c>
      <c r="C762" t="s">
        <v>745</v>
      </c>
      <c r="D762">
        <v>1</v>
      </c>
    </row>
    <row r="763" spans="1:4" x14ac:dyDescent="0.25">
      <c r="A763" s="89">
        <v>46128</v>
      </c>
      <c r="B763" t="s">
        <v>806</v>
      </c>
      <c r="C763" t="s">
        <v>745</v>
      </c>
      <c r="D763">
        <v>2</v>
      </c>
    </row>
    <row r="764" spans="1:4" x14ac:dyDescent="0.25">
      <c r="A764" s="89">
        <v>46128</v>
      </c>
      <c r="B764" t="s">
        <v>916</v>
      </c>
      <c r="C764" t="s">
        <v>745</v>
      </c>
      <c r="D764">
        <v>1</v>
      </c>
    </row>
    <row r="765" spans="1:4" x14ac:dyDescent="0.25">
      <c r="A765" s="89">
        <v>46128</v>
      </c>
      <c r="B765" t="s">
        <v>915</v>
      </c>
      <c r="C765" t="s">
        <v>745</v>
      </c>
      <c r="D765">
        <v>1</v>
      </c>
    </row>
    <row r="766" spans="1:4" x14ac:dyDescent="0.25">
      <c r="A766" s="89">
        <v>46128</v>
      </c>
      <c r="B766" t="s">
        <v>917</v>
      </c>
      <c r="C766" t="s">
        <v>745</v>
      </c>
      <c r="D766">
        <v>1</v>
      </c>
    </row>
    <row r="767" spans="1:4" x14ac:dyDescent="0.25">
      <c r="A767" s="89">
        <v>46129</v>
      </c>
      <c r="B767" t="s">
        <v>748</v>
      </c>
      <c r="C767" t="s">
        <v>745</v>
      </c>
      <c r="D767">
        <v>1</v>
      </c>
    </row>
    <row r="768" spans="1:4" x14ac:dyDescent="0.25">
      <c r="A768" s="89">
        <v>46129</v>
      </c>
      <c r="B768" t="s">
        <v>797</v>
      </c>
      <c r="C768" t="s">
        <v>745</v>
      </c>
      <c r="D768">
        <v>1</v>
      </c>
    </row>
    <row r="769" spans="1:4" x14ac:dyDescent="0.25">
      <c r="A769" s="89">
        <v>46129</v>
      </c>
      <c r="B769" t="s">
        <v>918</v>
      </c>
      <c r="C769" t="s">
        <v>745</v>
      </c>
      <c r="D769">
        <v>2</v>
      </c>
    </row>
    <row r="770" spans="1:4" x14ac:dyDescent="0.25">
      <c r="A770" s="89">
        <v>46129</v>
      </c>
      <c r="B770" t="s">
        <v>713</v>
      </c>
      <c r="C770" t="s">
        <v>745</v>
      </c>
      <c r="D770">
        <v>1</v>
      </c>
    </row>
    <row r="771" spans="1:4" x14ac:dyDescent="0.25">
      <c r="A771" s="89">
        <v>46129</v>
      </c>
      <c r="B771" t="s">
        <v>751</v>
      </c>
      <c r="C771" t="s">
        <v>745</v>
      </c>
      <c r="D771">
        <v>1</v>
      </c>
    </row>
    <row r="772" spans="1:4" x14ac:dyDescent="0.25">
      <c r="A772" s="89">
        <v>46129</v>
      </c>
      <c r="B772" t="s">
        <v>776</v>
      </c>
      <c r="C772" t="s">
        <v>745</v>
      </c>
      <c r="D772">
        <v>1</v>
      </c>
    </row>
    <row r="773" spans="1:4" x14ac:dyDescent="0.25">
      <c r="A773" s="89">
        <v>46129</v>
      </c>
      <c r="B773" t="s">
        <v>785</v>
      </c>
      <c r="C773" t="s">
        <v>745</v>
      </c>
      <c r="D773">
        <v>1</v>
      </c>
    </row>
    <row r="774" spans="1:4" x14ac:dyDescent="0.25">
      <c r="A774" s="89">
        <v>46129</v>
      </c>
      <c r="B774" t="s">
        <v>753</v>
      </c>
      <c r="C774" t="s">
        <v>745</v>
      </c>
      <c r="D774">
        <v>1</v>
      </c>
    </row>
    <row r="775" spans="1:4" x14ac:dyDescent="0.25">
      <c r="A775" s="89">
        <v>46129</v>
      </c>
      <c r="B775" t="s">
        <v>744</v>
      </c>
      <c r="C775" t="s">
        <v>745</v>
      </c>
      <c r="D775">
        <v>1</v>
      </c>
    </row>
    <row r="776" spans="1:4" x14ac:dyDescent="0.25">
      <c r="A776" s="89">
        <v>46130</v>
      </c>
      <c r="B776" t="s">
        <v>744</v>
      </c>
      <c r="C776" t="s">
        <v>745</v>
      </c>
      <c r="D776">
        <v>1</v>
      </c>
    </row>
    <row r="777" spans="1:4" x14ac:dyDescent="0.25">
      <c r="A777" s="89">
        <v>46130</v>
      </c>
      <c r="B777" t="s">
        <v>919</v>
      </c>
      <c r="C777" t="s">
        <v>745</v>
      </c>
      <c r="D777">
        <v>1</v>
      </c>
    </row>
    <row r="778" spans="1:4" x14ac:dyDescent="0.25">
      <c r="A778" s="89">
        <v>46130</v>
      </c>
      <c r="B778" t="s">
        <v>809</v>
      </c>
      <c r="C778" t="s">
        <v>745</v>
      </c>
      <c r="D778">
        <v>2</v>
      </c>
    </row>
    <row r="779" spans="1:4" x14ac:dyDescent="0.25">
      <c r="A779" s="89">
        <v>46130</v>
      </c>
      <c r="B779" t="s">
        <v>776</v>
      </c>
      <c r="C779" t="s">
        <v>745</v>
      </c>
      <c r="D779">
        <v>1</v>
      </c>
    </row>
    <row r="780" spans="1:4" x14ac:dyDescent="0.25">
      <c r="A780" s="89">
        <v>46130</v>
      </c>
      <c r="B780" t="s">
        <v>785</v>
      </c>
      <c r="C780" t="s">
        <v>745</v>
      </c>
      <c r="D780">
        <v>1</v>
      </c>
    </row>
    <row r="781" spans="1:4" x14ac:dyDescent="0.25">
      <c r="A781" s="89">
        <v>46130</v>
      </c>
      <c r="B781" t="s">
        <v>819</v>
      </c>
      <c r="C781" t="s">
        <v>745</v>
      </c>
      <c r="D781">
        <v>1</v>
      </c>
    </row>
    <row r="782" spans="1:4" x14ac:dyDescent="0.25">
      <c r="A782" s="89">
        <v>46130</v>
      </c>
      <c r="B782" t="s">
        <v>920</v>
      </c>
      <c r="C782" t="s">
        <v>745</v>
      </c>
      <c r="D782">
        <v>1</v>
      </c>
    </row>
    <row r="783" spans="1:4" x14ac:dyDescent="0.25">
      <c r="A783" s="89">
        <v>46130</v>
      </c>
      <c r="B783" t="s">
        <v>792</v>
      </c>
      <c r="C783" t="s">
        <v>745</v>
      </c>
      <c r="D783">
        <v>2</v>
      </c>
    </row>
    <row r="784" spans="1:4" x14ac:dyDescent="0.25">
      <c r="A784" s="89">
        <v>46130</v>
      </c>
      <c r="B784" t="s">
        <v>921</v>
      </c>
      <c r="C784" t="s">
        <v>745</v>
      </c>
      <c r="D784">
        <v>1</v>
      </c>
    </row>
    <row r="785" spans="1:4" x14ac:dyDescent="0.25">
      <c r="A785" s="89">
        <v>46130</v>
      </c>
      <c r="B785" t="s">
        <v>762</v>
      </c>
      <c r="C785" t="s">
        <v>745</v>
      </c>
      <c r="D785">
        <v>1</v>
      </c>
    </row>
    <row r="786" spans="1:4" x14ac:dyDescent="0.25">
      <c r="A786" s="89">
        <v>46131</v>
      </c>
      <c r="B786" t="s">
        <v>815</v>
      </c>
      <c r="C786" t="s">
        <v>745</v>
      </c>
      <c r="D786">
        <v>1</v>
      </c>
    </row>
    <row r="787" spans="1:4" x14ac:dyDescent="0.25">
      <c r="A787" s="89">
        <v>46131</v>
      </c>
      <c r="B787" t="s">
        <v>919</v>
      </c>
      <c r="C787" t="s">
        <v>745</v>
      </c>
      <c r="D787">
        <v>1</v>
      </c>
    </row>
    <row r="788" spans="1:4" x14ac:dyDescent="0.25">
      <c r="A788" s="89">
        <v>46131</v>
      </c>
      <c r="B788" t="s">
        <v>828</v>
      </c>
      <c r="C788" t="s">
        <v>745</v>
      </c>
      <c r="D788">
        <v>2</v>
      </c>
    </row>
    <row r="789" spans="1:4" x14ac:dyDescent="0.25">
      <c r="A789" s="89">
        <v>46131</v>
      </c>
      <c r="B789" t="s">
        <v>748</v>
      </c>
      <c r="C789" t="s">
        <v>745</v>
      </c>
      <c r="D789">
        <v>1</v>
      </c>
    </row>
    <row r="790" spans="1:4" x14ac:dyDescent="0.25">
      <c r="A790" s="89">
        <v>46131</v>
      </c>
      <c r="B790" t="s">
        <v>821</v>
      </c>
      <c r="C790" t="s">
        <v>745</v>
      </c>
      <c r="D790">
        <v>1</v>
      </c>
    </row>
    <row r="791" spans="1:4" x14ac:dyDescent="0.25">
      <c r="A791" s="89">
        <v>46131</v>
      </c>
      <c r="B791" t="s">
        <v>920</v>
      </c>
      <c r="C791" t="s">
        <v>745</v>
      </c>
      <c r="D791">
        <v>1</v>
      </c>
    </row>
    <row r="792" spans="1:4" x14ac:dyDescent="0.25">
      <c r="A792" s="89">
        <v>46131</v>
      </c>
      <c r="B792" t="s">
        <v>809</v>
      </c>
      <c r="C792" t="s">
        <v>745</v>
      </c>
      <c r="D792">
        <v>1</v>
      </c>
    </row>
    <row r="793" spans="1:4" x14ac:dyDescent="0.25">
      <c r="A793" s="89">
        <v>46131</v>
      </c>
      <c r="B793" t="s">
        <v>751</v>
      </c>
      <c r="C793" t="s">
        <v>745</v>
      </c>
      <c r="D793">
        <v>1</v>
      </c>
    </row>
    <row r="794" spans="1:4" x14ac:dyDescent="0.25">
      <c r="A794" s="89">
        <v>46131</v>
      </c>
      <c r="B794" t="s">
        <v>776</v>
      </c>
      <c r="C794" t="s">
        <v>745</v>
      </c>
      <c r="D794">
        <v>1</v>
      </c>
    </row>
    <row r="795" spans="1:4" x14ac:dyDescent="0.25">
      <c r="A795" s="89">
        <v>46131</v>
      </c>
      <c r="B795" t="s">
        <v>785</v>
      </c>
      <c r="C795" t="s">
        <v>745</v>
      </c>
      <c r="D795">
        <v>1</v>
      </c>
    </row>
    <row r="796" spans="1:4" x14ac:dyDescent="0.25">
      <c r="A796" s="89">
        <v>46131</v>
      </c>
      <c r="B796" t="s">
        <v>819</v>
      </c>
      <c r="C796" t="s">
        <v>745</v>
      </c>
      <c r="D796">
        <v>1</v>
      </c>
    </row>
    <row r="797" spans="1:4" x14ac:dyDescent="0.25">
      <c r="A797" s="89">
        <v>46131</v>
      </c>
      <c r="B797" t="s">
        <v>854</v>
      </c>
      <c r="C797" t="s">
        <v>745</v>
      </c>
      <c r="D797">
        <v>1</v>
      </c>
    </row>
    <row r="798" spans="1:4" x14ac:dyDescent="0.25">
      <c r="A798" s="89">
        <v>46131</v>
      </c>
      <c r="B798" t="s">
        <v>829</v>
      </c>
      <c r="C798" t="s">
        <v>745</v>
      </c>
      <c r="D798">
        <v>1</v>
      </c>
    </row>
    <row r="799" spans="1:4" x14ac:dyDescent="0.25">
      <c r="A799" s="89">
        <v>46131</v>
      </c>
      <c r="B799" t="s">
        <v>792</v>
      </c>
      <c r="C799" t="s">
        <v>745</v>
      </c>
      <c r="D799">
        <v>2</v>
      </c>
    </row>
    <row r="800" spans="1:4" x14ac:dyDescent="0.25">
      <c r="A800" s="89">
        <v>46131</v>
      </c>
      <c r="B800" t="s">
        <v>744</v>
      </c>
      <c r="C800" t="s">
        <v>745</v>
      </c>
      <c r="D800">
        <v>1</v>
      </c>
    </row>
    <row r="801" spans="1:4" x14ac:dyDescent="0.25">
      <c r="A801" s="89">
        <v>46131</v>
      </c>
      <c r="B801" t="s">
        <v>809</v>
      </c>
      <c r="C801" t="s">
        <v>745</v>
      </c>
      <c r="D801">
        <v>1</v>
      </c>
    </row>
    <row r="802" spans="1:4" x14ac:dyDescent="0.25">
      <c r="A802" s="89">
        <v>46132</v>
      </c>
      <c r="B802" t="s">
        <v>762</v>
      </c>
      <c r="C802" t="s">
        <v>765</v>
      </c>
      <c r="D802">
        <v>1</v>
      </c>
    </row>
    <row r="803" spans="1:4" x14ac:dyDescent="0.25">
      <c r="A803" s="89">
        <v>46132</v>
      </c>
      <c r="B803" t="s">
        <v>753</v>
      </c>
      <c r="C803" t="s">
        <v>765</v>
      </c>
      <c r="D803">
        <v>1</v>
      </c>
    </row>
    <row r="804" spans="1:4" x14ac:dyDescent="0.25">
      <c r="A804" s="89">
        <v>46132</v>
      </c>
      <c r="B804" t="s">
        <v>819</v>
      </c>
      <c r="C804" t="s">
        <v>765</v>
      </c>
      <c r="D804">
        <v>1</v>
      </c>
    </row>
    <row r="805" spans="1:4" x14ac:dyDescent="0.25">
      <c r="A805" s="89">
        <v>46132</v>
      </c>
      <c r="B805" t="s">
        <v>829</v>
      </c>
      <c r="C805" t="s">
        <v>765</v>
      </c>
      <c r="D805">
        <v>1</v>
      </c>
    </row>
    <row r="806" spans="1:4" x14ac:dyDescent="0.25">
      <c r="A806" s="89">
        <v>46132</v>
      </c>
      <c r="B806" t="s">
        <v>806</v>
      </c>
      <c r="C806" t="s">
        <v>765</v>
      </c>
      <c r="D806">
        <v>4</v>
      </c>
    </row>
    <row r="807" spans="1:4" x14ac:dyDescent="0.25">
      <c r="A807" s="89">
        <v>46132</v>
      </c>
      <c r="B807" t="s">
        <v>918</v>
      </c>
      <c r="C807" t="s">
        <v>765</v>
      </c>
      <c r="D807">
        <v>2</v>
      </c>
    </row>
    <row r="808" spans="1:4" x14ac:dyDescent="0.25">
      <c r="A808" s="89">
        <v>46132</v>
      </c>
      <c r="B808" t="s">
        <v>916</v>
      </c>
      <c r="C808" t="s">
        <v>765</v>
      </c>
      <c r="D808">
        <v>1</v>
      </c>
    </row>
    <row r="809" spans="1:4" x14ac:dyDescent="0.25">
      <c r="A809" s="89">
        <v>46132</v>
      </c>
      <c r="B809" t="s">
        <v>868</v>
      </c>
      <c r="C809" t="s">
        <v>765</v>
      </c>
      <c r="D809">
        <v>1</v>
      </c>
    </row>
    <row r="810" spans="1:4" x14ac:dyDescent="0.25">
      <c r="A810" s="89">
        <v>46132</v>
      </c>
      <c r="B810" t="s">
        <v>744</v>
      </c>
      <c r="C810" t="s">
        <v>765</v>
      </c>
      <c r="D810">
        <v>1</v>
      </c>
    </row>
    <row r="811" spans="1:4" x14ac:dyDescent="0.25">
      <c r="A811" s="89">
        <v>46132</v>
      </c>
      <c r="B811" t="s">
        <v>843</v>
      </c>
      <c r="C811" t="s">
        <v>765</v>
      </c>
      <c r="D811">
        <v>1</v>
      </c>
    </row>
    <row r="812" spans="1:4" x14ac:dyDescent="0.25">
      <c r="A812" s="89">
        <v>46132</v>
      </c>
      <c r="B812" t="s">
        <v>749</v>
      </c>
      <c r="C812" t="s">
        <v>765</v>
      </c>
      <c r="D812">
        <v>1</v>
      </c>
    </row>
    <row r="813" spans="1:4" x14ac:dyDescent="0.25">
      <c r="A813" s="89">
        <v>46132</v>
      </c>
      <c r="B813" t="s">
        <v>748</v>
      </c>
      <c r="C813" t="s">
        <v>765</v>
      </c>
      <c r="D813">
        <v>1</v>
      </c>
    </row>
    <row r="814" spans="1:4" x14ac:dyDescent="0.25">
      <c r="A814" s="89">
        <v>46132</v>
      </c>
      <c r="B814" t="s">
        <v>713</v>
      </c>
      <c r="C814" t="s">
        <v>765</v>
      </c>
      <c r="D814">
        <v>1</v>
      </c>
    </row>
    <row r="815" spans="1:4" x14ac:dyDescent="0.25">
      <c r="A815" s="89">
        <v>46132</v>
      </c>
      <c r="B815" t="s">
        <v>751</v>
      </c>
      <c r="C815" t="s">
        <v>765</v>
      </c>
      <c r="D815">
        <v>1</v>
      </c>
    </row>
    <row r="816" spans="1:4" x14ac:dyDescent="0.25">
      <c r="A816" s="89">
        <v>46132</v>
      </c>
      <c r="B816" t="s">
        <v>776</v>
      </c>
      <c r="C816" t="s">
        <v>765</v>
      </c>
      <c r="D816">
        <v>1</v>
      </c>
    </row>
    <row r="817" spans="1:4" x14ac:dyDescent="0.25">
      <c r="A817" s="89">
        <v>46132</v>
      </c>
      <c r="B817" t="s">
        <v>785</v>
      </c>
      <c r="C817" t="s">
        <v>765</v>
      </c>
      <c r="D817">
        <v>1</v>
      </c>
    </row>
    <row r="818" spans="1:4" x14ac:dyDescent="0.25">
      <c r="A818" s="89">
        <v>46133</v>
      </c>
      <c r="B818" t="s">
        <v>744</v>
      </c>
      <c r="C818" t="s">
        <v>745</v>
      </c>
      <c r="D818">
        <v>2</v>
      </c>
    </row>
    <row r="819" spans="1:4" x14ac:dyDescent="0.25">
      <c r="A819" s="89">
        <v>46133</v>
      </c>
      <c r="B819" t="s">
        <v>815</v>
      </c>
      <c r="C819" t="s">
        <v>745</v>
      </c>
      <c r="D819">
        <v>1</v>
      </c>
    </row>
    <row r="820" spans="1:4" x14ac:dyDescent="0.25">
      <c r="A820" s="89">
        <v>46133</v>
      </c>
      <c r="B820" t="s">
        <v>919</v>
      </c>
      <c r="C820" t="s">
        <v>745</v>
      </c>
      <c r="D820">
        <v>1</v>
      </c>
    </row>
    <row r="821" spans="1:4" x14ac:dyDescent="0.25">
      <c r="A821" s="89">
        <v>46133</v>
      </c>
      <c r="B821" t="s">
        <v>922</v>
      </c>
      <c r="C821" t="s">
        <v>745</v>
      </c>
      <c r="D821">
        <v>1</v>
      </c>
    </row>
    <row r="822" spans="1:4" x14ac:dyDescent="0.25">
      <c r="A822" s="89">
        <v>46133</v>
      </c>
      <c r="B822" t="s">
        <v>792</v>
      </c>
      <c r="C822" t="s">
        <v>745</v>
      </c>
      <c r="D822">
        <v>2</v>
      </c>
    </row>
    <row r="823" spans="1:4" x14ac:dyDescent="0.25">
      <c r="A823" s="89">
        <v>46133</v>
      </c>
      <c r="B823" t="s">
        <v>821</v>
      </c>
      <c r="C823" t="s">
        <v>745</v>
      </c>
      <c r="D823">
        <v>1</v>
      </c>
    </row>
    <row r="824" spans="1:4" x14ac:dyDescent="0.25">
      <c r="A824" s="89">
        <v>46133</v>
      </c>
      <c r="B824" t="s">
        <v>748</v>
      </c>
      <c r="C824" t="s">
        <v>745</v>
      </c>
      <c r="D824">
        <v>1</v>
      </c>
    </row>
    <row r="825" spans="1:4" x14ac:dyDescent="0.25">
      <c r="A825" s="89">
        <v>46133</v>
      </c>
      <c r="B825" t="s">
        <v>809</v>
      </c>
      <c r="C825" t="s">
        <v>745</v>
      </c>
      <c r="D825">
        <v>1</v>
      </c>
    </row>
    <row r="826" spans="1:4" x14ac:dyDescent="0.25">
      <c r="A826" s="89">
        <v>46133</v>
      </c>
      <c r="B826" t="s">
        <v>751</v>
      </c>
      <c r="C826" t="s">
        <v>745</v>
      </c>
      <c r="D826">
        <v>1</v>
      </c>
    </row>
    <row r="827" spans="1:4" x14ac:dyDescent="0.25">
      <c r="A827" s="89">
        <v>46133</v>
      </c>
      <c r="B827" t="s">
        <v>776</v>
      </c>
      <c r="C827" t="s">
        <v>745</v>
      </c>
      <c r="D827">
        <v>1</v>
      </c>
    </row>
    <row r="828" spans="1:4" x14ac:dyDescent="0.25">
      <c r="A828" s="89">
        <v>46133</v>
      </c>
      <c r="B828" t="s">
        <v>785</v>
      </c>
      <c r="C828" t="s">
        <v>745</v>
      </c>
      <c r="D828">
        <v>1</v>
      </c>
    </row>
    <row r="829" spans="1:4" x14ac:dyDescent="0.25">
      <c r="A829" s="89">
        <v>46133</v>
      </c>
      <c r="B829" t="s">
        <v>914</v>
      </c>
      <c r="C829" t="s">
        <v>745</v>
      </c>
      <c r="D829">
        <v>1</v>
      </c>
    </row>
    <row r="830" spans="1:4" x14ac:dyDescent="0.25">
      <c r="A830" s="89">
        <v>46133</v>
      </c>
      <c r="B830" t="s">
        <v>922</v>
      </c>
      <c r="C830" t="s">
        <v>745</v>
      </c>
      <c r="D830">
        <v>1</v>
      </c>
    </row>
    <row r="831" spans="1:4" x14ac:dyDescent="0.25">
      <c r="A831" s="89">
        <v>46133</v>
      </c>
      <c r="B831" t="s">
        <v>809</v>
      </c>
      <c r="C831" t="s">
        <v>745</v>
      </c>
      <c r="D831">
        <v>1</v>
      </c>
    </row>
    <row r="832" spans="1:4" x14ac:dyDescent="0.25">
      <c r="A832" s="89">
        <v>46133</v>
      </c>
      <c r="B832" t="s">
        <v>776</v>
      </c>
      <c r="C832" t="s">
        <v>745</v>
      </c>
      <c r="D832">
        <v>1</v>
      </c>
    </row>
    <row r="833" spans="1:4" x14ac:dyDescent="0.25">
      <c r="A833" s="89">
        <v>46133</v>
      </c>
      <c r="B833" t="s">
        <v>785</v>
      </c>
      <c r="C833" t="s">
        <v>745</v>
      </c>
      <c r="D833">
        <v>1</v>
      </c>
    </row>
    <row r="834" spans="1:4" x14ac:dyDescent="0.25">
      <c r="A834" s="89">
        <v>46133</v>
      </c>
      <c r="B834" t="s">
        <v>762</v>
      </c>
      <c r="C834" t="s">
        <v>745</v>
      </c>
      <c r="D834">
        <v>1</v>
      </c>
    </row>
    <row r="835" spans="1:4" x14ac:dyDescent="0.25">
      <c r="A835" s="89">
        <v>46134</v>
      </c>
      <c r="B835" t="s">
        <v>819</v>
      </c>
      <c r="C835" t="s">
        <v>767</v>
      </c>
      <c r="D835">
        <v>1</v>
      </c>
    </row>
    <row r="836" spans="1:4" x14ac:dyDescent="0.25">
      <c r="A836" s="89">
        <v>46134</v>
      </c>
      <c r="B836" t="s">
        <v>744</v>
      </c>
      <c r="C836" t="s">
        <v>767</v>
      </c>
      <c r="D836">
        <v>1</v>
      </c>
    </row>
    <row r="837" spans="1:4" x14ac:dyDescent="0.25">
      <c r="A837" s="89">
        <v>46134</v>
      </c>
      <c r="B837" t="s">
        <v>923</v>
      </c>
      <c r="C837" t="s">
        <v>767</v>
      </c>
      <c r="D837">
        <v>1</v>
      </c>
    </row>
    <row r="838" spans="1:4" x14ac:dyDescent="0.25">
      <c r="A838" s="89">
        <v>46134</v>
      </c>
      <c r="B838" t="s">
        <v>748</v>
      </c>
      <c r="C838" t="s">
        <v>767</v>
      </c>
      <c r="D838">
        <v>1</v>
      </c>
    </row>
    <row r="839" spans="1:4" x14ac:dyDescent="0.25">
      <c r="A839" s="89">
        <v>46134</v>
      </c>
      <c r="B839" t="s">
        <v>792</v>
      </c>
      <c r="C839" t="s">
        <v>767</v>
      </c>
      <c r="D839">
        <v>1</v>
      </c>
    </row>
    <row r="840" spans="1:4" x14ac:dyDescent="0.25">
      <c r="A840" s="89">
        <v>46134</v>
      </c>
      <c r="B840" t="s">
        <v>809</v>
      </c>
      <c r="C840" t="s">
        <v>767</v>
      </c>
      <c r="D840">
        <v>1</v>
      </c>
    </row>
    <row r="841" spans="1:4" x14ac:dyDescent="0.25">
      <c r="A841" s="89">
        <v>46134</v>
      </c>
      <c r="B841" t="s">
        <v>751</v>
      </c>
      <c r="C841" t="s">
        <v>767</v>
      </c>
      <c r="D841">
        <v>1</v>
      </c>
    </row>
    <row r="842" spans="1:4" x14ac:dyDescent="0.25">
      <c r="A842" s="89">
        <v>46134</v>
      </c>
      <c r="B842" t="s">
        <v>776</v>
      </c>
      <c r="C842" t="s">
        <v>767</v>
      </c>
      <c r="D842">
        <v>1</v>
      </c>
    </row>
    <row r="843" spans="1:4" x14ac:dyDescent="0.25">
      <c r="A843" s="89">
        <v>46134</v>
      </c>
      <c r="B843" t="s">
        <v>785</v>
      </c>
      <c r="C843" t="s">
        <v>767</v>
      </c>
      <c r="D843">
        <v>1</v>
      </c>
    </row>
    <row r="844" spans="1:4" x14ac:dyDescent="0.25">
      <c r="A844" s="89">
        <v>46134</v>
      </c>
      <c r="B844" t="s">
        <v>924</v>
      </c>
      <c r="C844" t="s">
        <v>767</v>
      </c>
      <c r="D844">
        <v>1</v>
      </c>
    </row>
    <row r="845" spans="1:4" x14ac:dyDescent="0.25">
      <c r="A845" s="89">
        <v>46134</v>
      </c>
      <c r="B845" t="s">
        <v>753</v>
      </c>
      <c r="C845" t="s">
        <v>767</v>
      </c>
      <c r="D845">
        <v>1</v>
      </c>
    </row>
    <row r="846" spans="1:4" x14ac:dyDescent="0.25">
      <c r="A846" s="89">
        <v>46136</v>
      </c>
      <c r="B846" t="s">
        <v>751</v>
      </c>
      <c r="C846" t="s">
        <v>745</v>
      </c>
      <c r="D846">
        <v>1</v>
      </c>
    </row>
    <row r="847" spans="1:4" x14ac:dyDescent="0.25">
      <c r="A847" s="89">
        <v>46136</v>
      </c>
      <c r="B847" t="s">
        <v>809</v>
      </c>
      <c r="C847" t="s">
        <v>745</v>
      </c>
      <c r="D847">
        <v>1</v>
      </c>
    </row>
    <row r="848" spans="1:4" x14ac:dyDescent="0.25">
      <c r="A848" s="89">
        <v>46136</v>
      </c>
      <c r="B848" t="s">
        <v>821</v>
      </c>
      <c r="C848" t="s">
        <v>745</v>
      </c>
      <c r="D848">
        <v>1</v>
      </c>
    </row>
    <row r="849" spans="1:4" x14ac:dyDescent="0.25">
      <c r="A849" s="89">
        <v>46136</v>
      </c>
      <c r="B849" t="s">
        <v>815</v>
      </c>
      <c r="C849" t="s">
        <v>745</v>
      </c>
      <c r="D849">
        <v>1</v>
      </c>
    </row>
    <row r="850" spans="1:4" x14ac:dyDescent="0.25">
      <c r="A850" s="89">
        <v>46136</v>
      </c>
      <c r="B850" t="s">
        <v>744</v>
      </c>
      <c r="C850" t="s">
        <v>745</v>
      </c>
      <c r="D850">
        <v>1</v>
      </c>
    </row>
    <row r="851" spans="1:4" x14ac:dyDescent="0.25">
      <c r="A851" s="89">
        <v>46136</v>
      </c>
      <c r="B851" t="s">
        <v>829</v>
      </c>
      <c r="C851" t="s">
        <v>745</v>
      </c>
      <c r="D851">
        <v>1</v>
      </c>
    </row>
    <row r="852" spans="1:4" x14ac:dyDescent="0.25">
      <c r="A852" s="89">
        <v>46137</v>
      </c>
      <c r="B852" t="s">
        <v>829</v>
      </c>
      <c r="C852" t="s">
        <v>745</v>
      </c>
      <c r="D852">
        <v>1</v>
      </c>
    </row>
    <row r="853" spans="1:4" x14ac:dyDescent="0.25">
      <c r="A853" s="89">
        <v>46137</v>
      </c>
      <c r="B853" t="s">
        <v>744</v>
      </c>
      <c r="C853" t="s">
        <v>745</v>
      </c>
      <c r="D853">
        <v>2</v>
      </c>
    </row>
    <row r="854" spans="1:4" x14ac:dyDescent="0.25">
      <c r="A854" s="89">
        <v>46137</v>
      </c>
      <c r="B854" t="s">
        <v>740</v>
      </c>
      <c r="C854" t="s">
        <v>745</v>
      </c>
      <c r="D854">
        <v>1</v>
      </c>
    </row>
    <row r="855" spans="1:4" x14ac:dyDescent="0.25">
      <c r="A855" s="89">
        <v>46137</v>
      </c>
      <c r="B855" t="s">
        <v>925</v>
      </c>
      <c r="C855" t="s">
        <v>745</v>
      </c>
      <c r="D855">
        <v>1</v>
      </c>
    </row>
    <row r="856" spans="1:4" x14ac:dyDescent="0.25">
      <c r="A856" s="89">
        <v>46137</v>
      </c>
      <c r="B856" t="s">
        <v>926</v>
      </c>
      <c r="C856" t="s">
        <v>745</v>
      </c>
      <c r="D856">
        <v>2</v>
      </c>
    </row>
    <row r="857" spans="1:4" x14ac:dyDescent="0.25">
      <c r="A857" s="89">
        <v>46137</v>
      </c>
      <c r="B857" t="s">
        <v>713</v>
      </c>
      <c r="C857" t="s">
        <v>745</v>
      </c>
      <c r="D857">
        <v>1</v>
      </c>
    </row>
    <row r="858" spans="1:4" x14ac:dyDescent="0.25">
      <c r="A858" s="89">
        <v>46137</v>
      </c>
      <c r="B858" t="s">
        <v>751</v>
      </c>
      <c r="C858" t="s">
        <v>745</v>
      </c>
      <c r="D858">
        <v>1</v>
      </c>
    </row>
    <row r="859" spans="1:4" x14ac:dyDescent="0.25">
      <c r="A859" s="89">
        <v>46137</v>
      </c>
      <c r="B859" t="s">
        <v>776</v>
      </c>
      <c r="C859" t="s">
        <v>745</v>
      </c>
      <c r="D859">
        <v>1</v>
      </c>
    </row>
    <row r="860" spans="1:4" x14ac:dyDescent="0.25">
      <c r="A860" s="89">
        <v>46137</v>
      </c>
      <c r="B860" t="s">
        <v>785</v>
      </c>
      <c r="C860" t="s">
        <v>745</v>
      </c>
      <c r="D860">
        <v>1</v>
      </c>
    </row>
    <row r="861" spans="1:4" x14ac:dyDescent="0.25">
      <c r="A861" s="89">
        <v>46137</v>
      </c>
      <c r="B861" t="s">
        <v>924</v>
      </c>
      <c r="C861" t="s">
        <v>745</v>
      </c>
      <c r="D861">
        <v>1</v>
      </c>
    </row>
    <row r="862" spans="1:4" x14ac:dyDescent="0.25">
      <c r="A862" s="89">
        <v>46137</v>
      </c>
      <c r="B862" t="s">
        <v>762</v>
      </c>
      <c r="C862" t="s">
        <v>745</v>
      </c>
      <c r="D862">
        <v>1</v>
      </c>
    </row>
    <row r="863" spans="1:4" x14ac:dyDescent="0.25">
      <c r="A863" s="89">
        <v>46137</v>
      </c>
      <c r="B863" t="s">
        <v>926</v>
      </c>
      <c r="C863" t="s">
        <v>745</v>
      </c>
      <c r="D863">
        <v>2</v>
      </c>
    </row>
    <row r="864" spans="1:4" x14ac:dyDescent="0.25">
      <c r="A864" s="89">
        <v>46137</v>
      </c>
      <c r="B864" t="s">
        <v>927</v>
      </c>
      <c r="C864" t="s">
        <v>745</v>
      </c>
      <c r="D864">
        <v>1</v>
      </c>
    </row>
    <row r="865" spans="1:4" x14ac:dyDescent="0.25">
      <c r="A865" s="89">
        <v>46137</v>
      </c>
      <c r="B865" t="s">
        <v>713</v>
      </c>
      <c r="C865" t="s">
        <v>745</v>
      </c>
      <c r="D865">
        <v>1</v>
      </c>
    </row>
    <row r="866" spans="1:4" x14ac:dyDescent="0.25">
      <c r="A866" s="89">
        <v>46137</v>
      </c>
      <c r="B866" t="s">
        <v>842</v>
      </c>
      <c r="C866" t="s">
        <v>745</v>
      </c>
      <c r="D866">
        <v>1</v>
      </c>
    </row>
    <row r="867" spans="1:4" x14ac:dyDescent="0.25">
      <c r="A867" s="89">
        <v>46138</v>
      </c>
      <c r="B867" t="s">
        <v>922</v>
      </c>
      <c r="C867" t="s">
        <v>765</v>
      </c>
      <c r="D867">
        <v>1</v>
      </c>
    </row>
    <row r="868" spans="1:4" x14ac:dyDescent="0.25">
      <c r="A868" s="89">
        <v>46138</v>
      </c>
      <c r="B868" t="s">
        <v>924</v>
      </c>
      <c r="C868" t="s">
        <v>765</v>
      </c>
      <c r="D868">
        <v>1</v>
      </c>
    </row>
    <row r="869" spans="1:4" x14ac:dyDescent="0.25">
      <c r="A869" s="89">
        <v>46138</v>
      </c>
      <c r="B869" t="s">
        <v>744</v>
      </c>
      <c r="C869" t="s">
        <v>765</v>
      </c>
      <c r="D869">
        <v>2</v>
      </c>
    </row>
    <row r="870" spans="1:4" x14ac:dyDescent="0.25">
      <c r="A870" s="89">
        <v>46138</v>
      </c>
      <c r="B870" t="s">
        <v>748</v>
      </c>
      <c r="C870" t="s">
        <v>765</v>
      </c>
      <c r="D870">
        <v>1</v>
      </c>
    </row>
    <row r="871" spans="1:4" x14ac:dyDescent="0.25">
      <c r="A871" s="89">
        <v>46138</v>
      </c>
      <c r="B871" t="s">
        <v>713</v>
      </c>
      <c r="C871" t="s">
        <v>765</v>
      </c>
      <c r="D871">
        <v>1</v>
      </c>
    </row>
    <row r="872" spans="1:4" x14ac:dyDescent="0.25">
      <c r="A872" s="89">
        <v>46138</v>
      </c>
      <c r="B872" t="s">
        <v>751</v>
      </c>
      <c r="C872" t="s">
        <v>765</v>
      </c>
      <c r="D872">
        <v>1</v>
      </c>
    </row>
    <row r="873" spans="1:4" x14ac:dyDescent="0.25">
      <c r="A873" s="89">
        <v>46138</v>
      </c>
      <c r="B873" t="s">
        <v>776</v>
      </c>
      <c r="C873" t="s">
        <v>765</v>
      </c>
      <c r="D873">
        <v>1</v>
      </c>
    </row>
    <row r="874" spans="1:4" x14ac:dyDescent="0.25">
      <c r="A874" s="89">
        <v>46138</v>
      </c>
      <c r="B874" t="s">
        <v>785</v>
      </c>
      <c r="C874" t="s">
        <v>765</v>
      </c>
      <c r="D874">
        <v>1</v>
      </c>
    </row>
    <row r="875" spans="1:4" x14ac:dyDescent="0.25">
      <c r="A875" s="89">
        <v>46138</v>
      </c>
      <c r="B875" t="s">
        <v>829</v>
      </c>
      <c r="C875" t="s">
        <v>765</v>
      </c>
      <c r="D875">
        <v>1</v>
      </c>
    </row>
    <row r="876" spans="1:4" x14ac:dyDescent="0.25">
      <c r="A876" s="89">
        <v>46138</v>
      </c>
      <c r="B876" t="s">
        <v>926</v>
      </c>
      <c r="C876" t="s">
        <v>765</v>
      </c>
      <c r="D876">
        <v>1</v>
      </c>
    </row>
    <row r="877" spans="1:4" x14ac:dyDescent="0.25">
      <c r="A877" s="89">
        <v>46140</v>
      </c>
      <c r="B877" t="s">
        <v>928</v>
      </c>
      <c r="C877" t="s">
        <v>767</v>
      </c>
      <c r="D877">
        <v>1</v>
      </c>
    </row>
    <row r="878" spans="1:4" x14ac:dyDescent="0.25">
      <c r="A878" s="89">
        <v>46140</v>
      </c>
      <c r="B878" t="s">
        <v>815</v>
      </c>
      <c r="C878" t="s">
        <v>767</v>
      </c>
      <c r="D878">
        <v>1</v>
      </c>
    </row>
    <row r="879" spans="1:4" x14ac:dyDescent="0.25">
      <c r="A879" s="89">
        <v>46140</v>
      </c>
      <c r="B879" t="s">
        <v>748</v>
      </c>
      <c r="C879" t="s">
        <v>767</v>
      </c>
      <c r="D879">
        <v>1</v>
      </c>
    </row>
    <row r="880" spans="1:4" x14ac:dyDescent="0.25">
      <c r="A880" s="89">
        <v>46140</v>
      </c>
      <c r="B880" t="s">
        <v>785</v>
      </c>
      <c r="C880" t="s">
        <v>767</v>
      </c>
      <c r="D880">
        <v>1</v>
      </c>
    </row>
    <row r="881" spans="1:4" x14ac:dyDescent="0.25">
      <c r="A881" s="89">
        <v>46140</v>
      </c>
      <c r="B881" t="s">
        <v>809</v>
      </c>
      <c r="C881" t="s">
        <v>767</v>
      </c>
      <c r="D881">
        <v>1</v>
      </c>
    </row>
    <row r="882" spans="1:4" x14ac:dyDescent="0.25">
      <c r="A882" s="89">
        <v>46142</v>
      </c>
      <c r="B882" t="s">
        <v>924</v>
      </c>
      <c r="C882" t="s">
        <v>745</v>
      </c>
      <c r="D882">
        <v>1</v>
      </c>
    </row>
    <row r="883" spans="1:4" x14ac:dyDescent="0.25">
      <c r="A883" s="89">
        <v>46142</v>
      </c>
      <c r="B883" t="s">
        <v>744</v>
      </c>
      <c r="C883" t="s">
        <v>745</v>
      </c>
      <c r="D883">
        <v>1</v>
      </c>
    </row>
    <row r="884" spans="1:4" x14ac:dyDescent="0.25">
      <c r="A884" s="89">
        <v>46142</v>
      </c>
      <c r="B884" t="s">
        <v>929</v>
      </c>
      <c r="C884" t="s">
        <v>745</v>
      </c>
      <c r="D884">
        <v>1</v>
      </c>
    </row>
    <row r="885" spans="1:4" x14ac:dyDescent="0.25">
      <c r="A885" s="89">
        <v>46142</v>
      </c>
      <c r="B885" t="s">
        <v>819</v>
      </c>
      <c r="C885" t="s">
        <v>745</v>
      </c>
      <c r="D885">
        <v>1</v>
      </c>
    </row>
    <row r="886" spans="1:4" x14ac:dyDescent="0.25">
      <c r="A886" s="89">
        <v>46142</v>
      </c>
      <c r="B886" t="s">
        <v>930</v>
      </c>
      <c r="C886" t="s">
        <v>745</v>
      </c>
      <c r="D886">
        <v>1</v>
      </c>
    </row>
    <row r="887" spans="1:4" x14ac:dyDescent="0.25">
      <c r="A887" s="89">
        <v>46142</v>
      </c>
      <c r="B887" t="s">
        <v>931</v>
      </c>
      <c r="C887" t="s">
        <v>745</v>
      </c>
      <c r="D887">
        <v>1</v>
      </c>
    </row>
    <row r="888" spans="1:4" x14ac:dyDescent="0.25">
      <c r="A888" s="89">
        <v>46143</v>
      </c>
      <c r="B888" t="s">
        <v>829</v>
      </c>
      <c r="C888" t="s">
        <v>745</v>
      </c>
      <c r="D888">
        <v>1</v>
      </c>
    </row>
    <row r="889" spans="1:4" x14ac:dyDescent="0.25">
      <c r="A889" s="89">
        <v>46143</v>
      </c>
      <c r="B889" t="s">
        <v>932</v>
      </c>
      <c r="C889" t="s">
        <v>745</v>
      </c>
      <c r="D889">
        <v>1</v>
      </c>
    </row>
    <row r="890" spans="1:4" x14ac:dyDescent="0.25">
      <c r="A890" s="89">
        <v>46143</v>
      </c>
      <c r="B890" t="s">
        <v>744</v>
      </c>
      <c r="C890" t="s">
        <v>745</v>
      </c>
      <c r="D890">
        <v>2</v>
      </c>
    </row>
    <row r="891" spans="1:4" x14ac:dyDescent="0.25">
      <c r="A891" s="89">
        <v>46143</v>
      </c>
      <c r="B891" t="s">
        <v>843</v>
      </c>
      <c r="C891" t="s">
        <v>745</v>
      </c>
      <c r="D891">
        <v>1</v>
      </c>
    </row>
    <row r="892" spans="1:4" x14ac:dyDescent="0.25">
      <c r="A892" s="89">
        <v>46143</v>
      </c>
      <c r="B892" t="s">
        <v>749</v>
      </c>
      <c r="C892" t="s">
        <v>745</v>
      </c>
      <c r="D892">
        <v>1</v>
      </c>
    </row>
    <row r="893" spans="1:4" x14ac:dyDescent="0.25">
      <c r="A893" s="89">
        <v>46143</v>
      </c>
      <c r="B893" t="s">
        <v>713</v>
      </c>
      <c r="C893" t="s">
        <v>745</v>
      </c>
      <c r="D893">
        <v>1</v>
      </c>
    </row>
    <row r="894" spans="1:4" x14ac:dyDescent="0.25">
      <c r="A894" s="89">
        <v>46143</v>
      </c>
      <c r="B894" t="s">
        <v>751</v>
      </c>
      <c r="C894" t="s">
        <v>745</v>
      </c>
      <c r="D894">
        <v>1</v>
      </c>
    </row>
    <row r="895" spans="1:4" x14ac:dyDescent="0.25">
      <c r="A895" s="89">
        <v>46143</v>
      </c>
      <c r="B895" t="s">
        <v>776</v>
      </c>
      <c r="C895" t="s">
        <v>745</v>
      </c>
      <c r="D895">
        <v>1</v>
      </c>
    </row>
    <row r="896" spans="1:4" x14ac:dyDescent="0.25">
      <c r="A896" s="89">
        <v>46143</v>
      </c>
      <c r="B896" t="s">
        <v>785</v>
      </c>
      <c r="C896" t="s">
        <v>745</v>
      </c>
      <c r="D896">
        <v>1</v>
      </c>
    </row>
    <row r="897" spans="1:4" x14ac:dyDescent="0.25">
      <c r="A897" s="89">
        <v>46143</v>
      </c>
      <c r="B897" t="s">
        <v>931</v>
      </c>
      <c r="C897" t="s">
        <v>745</v>
      </c>
      <c r="D897">
        <v>1</v>
      </c>
    </row>
    <row r="898" spans="1:4" x14ac:dyDescent="0.25">
      <c r="A898" s="89">
        <v>46143</v>
      </c>
      <c r="B898" t="s">
        <v>762</v>
      </c>
      <c r="C898" t="s">
        <v>745</v>
      </c>
      <c r="D898">
        <v>1</v>
      </c>
    </row>
    <row r="899" spans="1:4" x14ac:dyDescent="0.25">
      <c r="A899" s="89">
        <v>46143</v>
      </c>
      <c r="B899" t="s">
        <v>753</v>
      </c>
      <c r="C899" t="s">
        <v>745</v>
      </c>
      <c r="D899">
        <v>1</v>
      </c>
    </row>
    <row r="900" spans="1:4" x14ac:dyDescent="0.25">
      <c r="A900" s="89">
        <v>46143</v>
      </c>
      <c r="B900" t="s">
        <v>929</v>
      </c>
      <c r="C900" t="s">
        <v>745</v>
      </c>
      <c r="D900">
        <v>1</v>
      </c>
    </row>
    <row r="901" spans="1:4" x14ac:dyDescent="0.25">
      <c r="A901" s="89">
        <v>46143</v>
      </c>
      <c r="B901" t="s">
        <v>884</v>
      </c>
      <c r="C901" t="s">
        <v>745</v>
      </c>
      <c r="D901">
        <v>1</v>
      </c>
    </row>
    <row r="902" spans="1:4" x14ac:dyDescent="0.25">
      <c r="A902" s="89">
        <v>46143</v>
      </c>
      <c r="B902" t="s">
        <v>930</v>
      </c>
      <c r="C902" t="s">
        <v>745</v>
      </c>
      <c r="D902">
        <v>1</v>
      </c>
    </row>
    <row r="903" spans="1:4" x14ac:dyDescent="0.25">
      <c r="A903" s="89">
        <v>46144</v>
      </c>
      <c r="B903" t="s">
        <v>744</v>
      </c>
      <c r="C903" t="s">
        <v>745</v>
      </c>
      <c r="D903">
        <v>2</v>
      </c>
    </row>
    <row r="904" spans="1:4" x14ac:dyDescent="0.25">
      <c r="A904" s="89">
        <v>46144</v>
      </c>
      <c r="B904" t="s">
        <v>912</v>
      </c>
      <c r="C904" t="s">
        <v>745</v>
      </c>
      <c r="D904">
        <v>1</v>
      </c>
    </row>
    <row r="905" spans="1:4" x14ac:dyDescent="0.25">
      <c r="A905" s="89">
        <v>46144</v>
      </c>
      <c r="B905" t="s">
        <v>749</v>
      </c>
      <c r="C905" t="s">
        <v>745</v>
      </c>
      <c r="D905">
        <v>1</v>
      </c>
    </row>
    <row r="906" spans="1:4" x14ac:dyDescent="0.25">
      <c r="A906" s="89">
        <v>46144</v>
      </c>
      <c r="B906" t="s">
        <v>748</v>
      </c>
      <c r="C906" t="s">
        <v>745</v>
      </c>
      <c r="D906">
        <v>1</v>
      </c>
    </row>
    <row r="907" spans="1:4" x14ac:dyDescent="0.25">
      <c r="A907" s="89">
        <v>46144</v>
      </c>
      <c r="B907" t="s">
        <v>929</v>
      </c>
      <c r="C907" t="s">
        <v>745</v>
      </c>
      <c r="D907">
        <v>1</v>
      </c>
    </row>
    <row r="908" spans="1:4" x14ac:dyDescent="0.25">
      <c r="A908" s="89">
        <v>46144</v>
      </c>
      <c r="B908" t="s">
        <v>884</v>
      </c>
      <c r="C908" t="s">
        <v>745</v>
      </c>
      <c r="D908">
        <v>1</v>
      </c>
    </row>
    <row r="909" spans="1:4" x14ac:dyDescent="0.25">
      <c r="A909" s="89">
        <v>46144</v>
      </c>
      <c r="B909" t="s">
        <v>933</v>
      </c>
      <c r="C909" t="s">
        <v>745</v>
      </c>
      <c r="D909">
        <v>1</v>
      </c>
    </row>
    <row r="910" spans="1:4" x14ac:dyDescent="0.25">
      <c r="A910" s="89">
        <v>46144</v>
      </c>
      <c r="B910" t="s">
        <v>751</v>
      </c>
      <c r="C910" t="s">
        <v>745</v>
      </c>
      <c r="D910">
        <v>1</v>
      </c>
    </row>
    <row r="911" spans="1:4" x14ac:dyDescent="0.25">
      <c r="A911" s="89">
        <v>46144</v>
      </c>
      <c r="B911" t="s">
        <v>776</v>
      </c>
      <c r="C911" t="s">
        <v>745</v>
      </c>
      <c r="D911">
        <v>2</v>
      </c>
    </row>
    <row r="912" spans="1:4" x14ac:dyDescent="0.25">
      <c r="A912" s="89">
        <v>46144</v>
      </c>
      <c r="B912" t="s">
        <v>785</v>
      </c>
      <c r="C912" t="s">
        <v>745</v>
      </c>
      <c r="D912">
        <v>2</v>
      </c>
    </row>
    <row r="913" spans="1:4" x14ac:dyDescent="0.25">
      <c r="A913" s="89">
        <v>46144</v>
      </c>
      <c r="B913" t="s">
        <v>931</v>
      </c>
      <c r="C913" t="s">
        <v>745</v>
      </c>
      <c r="D913">
        <v>2</v>
      </c>
    </row>
    <row r="914" spans="1:4" x14ac:dyDescent="0.25">
      <c r="A914" s="89">
        <v>46144</v>
      </c>
      <c r="B914" t="s">
        <v>932</v>
      </c>
      <c r="C914" t="s">
        <v>745</v>
      </c>
      <c r="D914">
        <v>1</v>
      </c>
    </row>
    <row r="915" spans="1:4" x14ac:dyDescent="0.25">
      <c r="A915" s="89">
        <v>46144</v>
      </c>
      <c r="B915" t="s">
        <v>753</v>
      </c>
      <c r="C915" t="s">
        <v>745</v>
      </c>
      <c r="D915">
        <v>1</v>
      </c>
    </row>
    <row r="916" spans="1:4" x14ac:dyDescent="0.25">
      <c r="A916" s="89">
        <v>46144</v>
      </c>
      <c r="B916" t="s">
        <v>829</v>
      </c>
      <c r="C916" t="s">
        <v>745</v>
      </c>
      <c r="D916">
        <v>2</v>
      </c>
    </row>
    <row r="917" spans="1:4" x14ac:dyDescent="0.25">
      <c r="A917" s="89">
        <v>46144</v>
      </c>
      <c r="B917" t="s">
        <v>930</v>
      </c>
      <c r="C917" t="s">
        <v>745</v>
      </c>
      <c r="D917">
        <v>1</v>
      </c>
    </row>
    <row r="918" spans="1:4" x14ac:dyDescent="0.25">
      <c r="A918" s="89">
        <v>46144</v>
      </c>
      <c r="B918" t="s">
        <v>762</v>
      </c>
      <c r="C918" t="s">
        <v>745</v>
      </c>
      <c r="D918">
        <v>3</v>
      </c>
    </row>
    <row r="919" spans="1:4" x14ac:dyDescent="0.25">
      <c r="A919" s="89">
        <v>46145</v>
      </c>
      <c r="B919" t="s">
        <v>843</v>
      </c>
      <c r="C919" t="s">
        <v>745</v>
      </c>
      <c r="D919">
        <v>4</v>
      </c>
    </row>
    <row r="920" spans="1:4" x14ac:dyDescent="0.25">
      <c r="A920" s="89">
        <v>46145</v>
      </c>
      <c r="B920" t="s">
        <v>749</v>
      </c>
      <c r="C920" t="s">
        <v>745</v>
      </c>
      <c r="D920">
        <v>4</v>
      </c>
    </row>
    <row r="921" spans="1:4" x14ac:dyDescent="0.25">
      <c r="A921" s="89">
        <v>46145</v>
      </c>
      <c r="B921" t="s">
        <v>748</v>
      </c>
      <c r="C921" t="s">
        <v>745</v>
      </c>
      <c r="D921">
        <v>5</v>
      </c>
    </row>
    <row r="922" spans="1:4" x14ac:dyDescent="0.25">
      <c r="A922" s="89">
        <v>46145</v>
      </c>
      <c r="B922" t="s">
        <v>884</v>
      </c>
      <c r="C922" t="s">
        <v>745</v>
      </c>
      <c r="D922">
        <v>1</v>
      </c>
    </row>
    <row r="923" spans="1:4" x14ac:dyDescent="0.25">
      <c r="A923" s="89">
        <v>46145</v>
      </c>
      <c r="B923" t="s">
        <v>713</v>
      </c>
      <c r="C923" t="s">
        <v>745</v>
      </c>
      <c r="D923">
        <v>3</v>
      </c>
    </row>
    <row r="924" spans="1:4" x14ac:dyDescent="0.25">
      <c r="A924" s="89">
        <v>46145</v>
      </c>
      <c r="B924" t="s">
        <v>751</v>
      </c>
      <c r="C924" t="s">
        <v>745</v>
      </c>
      <c r="D924">
        <v>3</v>
      </c>
    </row>
    <row r="925" spans="1:4" x14ac:dyDescent="0.25">
      <c r="A925" s="89">
        <v>46145</v>
      </c>
      <c r="B925" t="s">
        <v>776</v>
      </c>
      <c r="C925" t="s">
        <v>745</v>
      </c>
      <c r="D925">
        <v>5</v>
      </c>
    </row>
    <row r="926" spans="1:4" x14ac:dyDescent="0.25">
      <c r="A926" s="89">
        <v>46145</v>
      </c>
      <c r="B926" t="s">
        <v>785</v>
      </c>
      <c r="C926" t="s">
        <v>745</v>
      </c>
      <c r="D926">
        <v>6</v>
      </c>
    </row>
    <row r="927" spans="1:4" x14ac:dyDescent="0.25">
      <c r="A927" s="89">
        <v>46145</v>
      </c>
      <c r="B927" t="s">
        <v>931</v>
      </c>
      <c r="C927" t="s">
        <v>745</v>
      </c>
      <c r="D927">
        <v>2</v>
      </c>
    </row>
    <row r="928" spans="1:4" x14ac:dyDescent="0.25">
      <c r="A928" s="89">
        <v>46145</v>
      </c>
      <c r="B928" t="s">
        <v>753</v>
      </c>
      <c r="C928" t="s">
        <v>745</v>
      </c>
      <c r="D928">
        <v>1</v>
      </c>
    </row>
    <row r="929" spans="1:4" x14ac:dyDescent="0.25">
      <c r="A929" s="89">
        <v>46145</v>
      </c>
      <c r="B929" t="s">
        <v>930</v>
      </c>
      <c r="C929" t="s">
        <v>745</v>
      </c>
      <c r="D929">
        <v>1</v>
      </c>
    </row>
    <row r="930" spans="1:4" x14ac:dyDescent="0.25">
      <c r="A930" s="89">
        <v>46145</v>
      </c>
      <c r="B930" t="s">
        <v>829</v>
      </c>
      <c r="C930" t="s">
        <v>765</v>
      </c>
      <c r="D930">
        <v>1</v>
      </c>
    </row>
    <row r="931" spans="1:4" x14ac:dyDescent="0.25">
      <c r="A931" s="89">
        <v>46145</v>
      </c>
      <c r="B931" t="s">
        <v>932</v>
      </c>
      <c r="C931" t="s">
        <v>765</v>
      </c>
      <c r="D931">
        <v>1</v>
      </c>
    </row>
    <row r="932" spans="1:4" x14ac:dyDescent="0.25">
      <c r="A932" s="89">
        <v>46145</v>
      </c>
      <c r="B932" t="s">
        <v>744</v>
      </c>
      <c r="C932" t="s">
        <v>765</v>
      </c>
      <c r="D932">
        <v>2</v>
      </c>
    </row>
    <row r="933" spans="1:4" x14ac:dyDescent="0.25">
      <c r="A933" s="89">
        <v>46149</v>
      </c>
      <c r="B933" t="s">
        <v>744</v>
      </c>
      <c r="C933" t="s">
        <v>745</v>
      </c>
      <c r="D933">
        <v>8</v>
      </c>
    </row>
    <row r="934" spans="1:4" x14ac:dyDescent="0.25">
      <c r="A934" s="89">
        <v>46149</v>
      </c>
      <c r="B934" t="s">
        <v>751</v>
      </c>
      <c r="C934" t="s">
        <v>745</v>
      </c>
      <c r="D934">
        <v>3</v>
      </c>
    </row>
    <row r="935" spans="1:4" x14ac:dyDescent="0.25">
      <c r="A935" s="89">
        <v>46149</v>
      </c>
      <c r="B935" t="s">
        <v>713</v>
      </c>
      <c r="C935" t="s">
        <v>745</v>
      </c>
      <c r="D935">
        <v>6</v>
      </c>
    </row>
    <row r="936" spans="1:4" x14ac:dyDescent="0.25">
      <c r="A936" s="89">
        <v>46149</v>
      </c>
      <c r="B936" t="s">
        <v>776</v>
      </c>
      <c r="C936" t="s">
        <v>745</v>
      </c>
      <c r="D936">
        <v>3</v>
      </c>
    </row>
    <row r="937" spans="1:4" x14ac:dyDescent="0.25">
      <c r="A937" s="89">
        <v>46149</v>
      </c>
      <c r="B937" t="s">
        <v>785</v>
      </c>
      <c r="C937" t="s">
        <v>745</v>
      </c>
      <c r="D937">
        <v>3</v>
      </c>
    </row>
    <row r="938" spans="1:4" x14ac:dyDescent="0.25">
      <c r="A938" s="89">
        <v>46149</v>
      </c>
      <c r="B938" t="s">
        <v>934</v>
      </c>
      <c r="C938" t="s">
        <v>745</v>
      </c>
      <c r="D938">
        <v>1</v>
      </c>
    </row>
    <row r="939" spans="1:4" x14ac:dyDescent="0.25">
      <c r="A939" s="89">
        <v>46149</v>
      </c>
      <c r="B939" t="s">
        <v>837</v>
      </c>
      <c r="C939" t="s">
        <v>745</v>
      </c>
      <c r="D939">
        <v>3</v>
      </c>
    </row>
    <row r="940" spans="1:4" x14ac:dyDescent="0.25">
      <c r="A940" s="89">
        <v>46149</v>
      </c>
      <c r="B940" t="s">
        <v>935</v>
      </c>
      <c r="C940" t="s">
        <v>745</v>
      </c>
      <c r="D940">
        <v>2</v>
      </c>
    </row>
    <row r="941" spans="1:4" x14ac:dyDescent="0.25">
      <c r="A941" s="89">
        <v>46149</v>
      </c>
      <c r="B941" t="s">
        <v>936</v>
      </c>
      <c r="C941" t="s">
        <v>745</v>
      </c>
      <c r="D941">
        <v>4</v>
      </c>
    </row>
    <row r="942" spans="1:4" x14ac:dyDescent="0.25">
      <c r="A942" s="89">
        <v>46149</v>
      </c>
      <c r="B942" t="s">
        <v>937</v>
      </c>
      <c r="C942" t="s">
        <v>745</v>
      </c>
      <c r="D942">
        <v>5</v>
      </c>
    </row>
    <row r="943" spans="1:4" x14ac:dyDescent="0.25">
      <c r="A943" s="89">
        <v>46149</v>
      </c>
      <c r="B943" t="s">
        <v>818</v>
      </c>
      <c r="C943" t="s">
        <v>745</v>
      </c>
      <c r="D943">
        <v>2</v>
      </c>
    </row>
    <row r="944" spans="1:4" x14ac:dyDescent="0.25">
      <c r="A944" s="89">
        <v>46150</v>
      </c>
      <c r="B944" t="s">
        <v>938</v>
      </c>
      <c r="C944" t="s">
        <v>745</v>
      </c>
      <c r="D944">
        <v>3</v>
      </c>
    </row>
    <row r="945" spans="1:4" x14ac:dyDescent="0.25">
      <c r="A945" s="89">
        <v>46152</v>
      </c>
      <c r="B945" t="s">
        <v>937</v>
      </c>
      <c r="C945" t="s">
        <v>765</v>
      </c>
      <c r="D945">
        <v>2</v>
      </c>
    </row>
    <row r="946" spans="1:4" x14ac:dyDescent="0.25">
      <c r="A946" s="89">
        <v>46152</v>
      </c>
      <c r="B946" t="s">
        <v>939</v>
      </c>
      <c r="C946" t="s">
        <v>765</v>
      </c>
      <c r="D946">
        <v>1</v>
      </c>
    </row>
    <row r="947" spans="1:4" x14ac:dyDescent="0.25">
      <c r="A947" s="89">
        <v>46153</v>
      </c>
      <c r="B947" t="s">
        <v>940</v>
      </c>
      <c r="C947" t="s">
        <v>765</v>
      </c>
      <c r="D947">
        <v>1</v>
      </c>
    </row>
    <row r="948" spans="1:4" x14ac:dyDescent="0.25">
      <c r="A948" s="89">
        <v>46153</v>
      </c>
      <c r="B948" t="s">
        <v>939</v>
      </c>
      <c r="C948" t="s">
        <v>765</v>
      </c>
      <c r="D948">
        <v>1</v>
      </c>
    </row>
    <row r="949" spans="1:4" x14ac:dyDescent="0.25">
      <c r="A949" s="89">
        <v>46153</v>
      </c>
      <c r="B949" t="s">
        <v>937</v>
      </c>
      <c r="C949" t="s">
        <v>765</v>
      </c>
      <c r="D949">
        <v>1</v>
      </c>
    </row>
    <row r="950" spans="1:4" x14ac:dyDescent="0.25">
      <c r="A950" s="89">
        <v>46153</v>
      </c>
      <c r="B950" t="s">
        <v>935</v>
      </c>
      <c r="C950" t="s">
        <v>765</v>
      </c>
      <c r="D950">
        <v>1</v>
      </c>
    </row>
    <row r="951" spans="1:4" x14ac:dyDescent="0.25">
      <c r="A951" s="89">
        <v>46153</v>
      </c>
      <c r="B951" t="s">
        <v>843</v>
      </c>
      <c r="C951" t="s">
        <v>765</v>
      </c>
      <c r="D951">
        <v>1</v>
      </c>
    </row>
    <row r="952" spans="1:4" x14ac:dyDescent="0.25">
      <c r="A952" s="89">
        <v>46153</v>
      </c>
      <c r="B952" t="s">
        <v>744</v>
      </c>
      <c r="C952" t="s">
        <v>765</v>
      </c>
      <c r="D952">
        <v>1</v>
      </c>
    </row>
    <row r="953" spans="1:4" x14ac:dyDescent="0.25">
      <c r="A953" s="89">
        <v>46153</v>
      </c>
      <c r="B953" t="s">
        <v>749</v>
      </c>
      <c r="C953" t="s">
        <v>765</v>
      </c>
      <c r="D953">
        <v>1</v>
      </c>
    </row>
    <row r="954" spans="1:4" x14ac:dyDescent="0.25">
      <c r="A954" s="89">
        <v>46153</v>
      </c>
      <c r="B954" t="s">
        <v>748</v>
      </c>
      <c r="C954" t="s">
        <v>765</v>
      </c>
      <c r="D954">
        <v>1</v>
      </c>
    </row>
    <row r="955" spans="1:4" x14ac:dyDescent="0.25">
      <c r="A955" s="89">
        <v>46153</v>
      </c>
      <c r="B955" t="s">
        <v>933</v>
      </c>
      <c r="C955" t="s">
        <v>765</v>
      </c>
      <c r="D955">
        <v>1</v>
      </c>
    </row>
    <row r="956" spans="1:4" x14ac:dyDescent="0.25">
      <c r="A956" s="89">
        <v>46153</v>
      </c>
      <c r="B956" t="s">
        <v>776</v>
      </c>
      <c r="C956" t="s">
        <v>765</v>
      </c>
      <c r="D956">
        <v>1</v>
      </c>
    </row>
    <row r="957" spans="1:4" x14ac:dyDescent="0.25">
      <c r="A957" s="89">
        <v>46153</v>
      </c>
      <c r="B957" t="s">
        <v>785</v>
      </c>
      <c r="C957" t="s">
        <v>765</v>
      </c>
      <c r="D957">
        <v>1</v>
      </c>
    </row>
    <row r="958" spans="1:4" x14ac:dyDescent="0.25">
      <c r="A958" s="89">
        <v>46156</v>
      </c>
      <c r="B958" t="s">
        <v>941</v>
      </c>
      <c r="C958" t="s">
        <v>745</v>
      </c>
      <c r="D958">
        <v>1</v>
      </c>
    </row>
    <row r="959" spans="1:4" x14ac:dyDescent="0.25">
      <c r="A959" s="89">
        <v>46156</v>
      </c>
      <c r="B959" t="s">
        <v>942</v>
      </c>
      <c r="C959" t="s">
        <v>745</v>
      </c>
      <c r="D959">
        <v>3</v>
      </c>
    </row>
    <row r="960" spans="1:4" x14ac:dyDescent="0.25">
      <c r="A960" s="89">
        <v>46156</v>
      </c>
      <c r="B960" t="s">
        <v>943</v>
      </c>
      <c r="C960" t="s">
        <v>745</v>
      </c>
      <c r="D960">
        <v>1</v>
      </c>
    </row>
    <row r="961" spans="1:4" x14ac:dyDescent="0.25">
      <c r="A961" s="89">
        <v>46156</v>
      </c>
      <c r="B961" t="s">
        <v>754</v>
      </c>
      <c r="C961" t="s">
        <v>745</v>
      </c>
      <c r="D961">
        <v>3</v>
      </c>
    </row>
    <row r="962" spans="1:4" x14ac:dyDescent="0.25">
      <c r="A962" s="89">
        <v>46157</v>
      </c>
      <c r="B962" t="s">
        <v>829</v>
      </c>
      <c r="C962" t="s">
        <v>765</v>
      </c>
      <c r="D962">
        <v>1</v>
      </c>
    </row>
    <row r="963" spans="1:4" x14ac:dyDescent="0.25">
      <c r="A963" s="89">
        <v>46157</v>
      </c>
      <c r="B963" t="s">
        <v>753</v>
      </c>
      <c r="C963" t="s">
        <v>765</v>
      </c>
      <c r="D963">
        <v>1</v>
      </c>
    </row>
    <row r="964" spans="1:4" x14ac:dyDescent="0.25">
      <c r="A964" s="89">
        <v>46157</v>
      </c>
      <c r="B964" t="s">
        <v>740</v>
      </c>
      <c r="C964" t="s">
        <v>765</v>
      </c>
      <c r="D964">
        <v>1</v>
      </c>
    </row>
    <row r="965" spans="1:4" x14ac:dyDescent="0.25">
      <c r="A965" s="89">
        <v>46157</v>
      </c>
      <c r="B965" t="s">
        <v>744</v>
      </c>
      <c r="C965" t="s">
        <v>765</v>
      </c>
      <c r="D965">
        <v>1</v>
      </c>
    </row>
    <row r="966" spans="1:4" x14ac:dyDescent="0.25">
      <c r="A966" s="89">
        <v>46157</v>
      </c>
      <c r="B966" t="s">
        <v>748</v>
      </c>
      <c r="C966" t="s">
        <v>765</v>
      </c>
      <c r="D966">
        <v>2</v>
      </c>
    </row>
    <row r="967" spans="1:4" x14ac:dyDescent="0.25">
      <c r="A967" s="89">
        <v>46157</v>
      </c>
      <c r="B967" t="s">
        <v>713</v>
      </c>
      <c r="C967" t="s">
        <v>765</v>
      </c>
      <c r="D967">
        <v>1</v>
      </c>
    </row>
    <row r="968" spans="1:4" x14ac:dyDescent="0.25">
      <c r="A968" s="89">
        <v>46157</v>
      </c>
      <c r="B968" t="s">
        <v>751</v>
      </c>
      <c r="C968" t="s">
        <v>765</v>
      </c>
      <c r="D968">
        <v>2</v>
      </c>
    </row>
    <row r="969" spans="1:4" x14ac:dyDescent="0.25">
      <c r="A969" s="89">
        <v>46157</v>
      </c>
      <c r="B969" t="s">
        <v>776</v>
      </c>
      <c r="C969" t="s">
        <v>765</v>
      </c>
      <c r="D969">
        <v>1</v>
      </c>
    </row>
    <row r="970" spans="1:4" x14ac:dyDescent="0.25">
      <c r="A970" s="89">
        <v>46157</v>
      </c>
      <c r="B970" t="s">
        <v>785</v>
      </c>
      <c r="C970" t="s">
        <v>765</v>
      </c>
      <c r="D970">
        <v>1</v>
      </c>
    </row>
    <row r="971" spans="1:4" x14ac:dyDescent="0.25">
      <c r="A971" s="89">
        <v>46157</v>
      </c>
      <c r="B971" t="s">
        <v>944</v>
      </c>
      <c r="C971" t="s">
        <v>765</v>
      </c>
      <c r="D971">
        <v>1</v>
      </c>
    </row>
    <row r="972" spans="1:4" x14ac:dyDescent="0.25">
      <c r="A972" s="89">
        <v>46157</v>
      </c>
      <c r="B972" t="s">
        <v>942</v>
      </c>
      <c r="C972" t="s">
        <v>765</v>
      </c>
      <c r="D972">
        <v>1</v>
      </c>
    </row>
    <row r="973" spans="1:4" x14ac:dyDescent="0.25">
      <c r="A973" s="89">
        <v>46157</v>
      </c>
      <c r="B973" t="s">
        <v>943</v>
      </c>
      <c r="C973" t="s">
        <v>765</v>
      </c>
      <c r="D973">
        <v>2</v>
      </c>
    </row>
    <row r="974" spans="1:4" x14ac:dyDescent="0.25">
      <c r="A974" s="89">
        <v>46157</v>
      </c>
      <c r="B974" t="s">
        <v>754</v>
      </c>
      <c r="C974" t="s">
        <v>765</v>
      </c>
      <c r="D974">
        <v>1</v>
      </c>
    </row>
    <row r="975" spans="1:4" x14ac:dyDescent="0.25">
      <c r="A975" s="89">
        <v>46161</v>
      </c>
      <c r="B975" t="s">
        <v>945</v>
      </c>
      <c r="C975" t="s">
        <v>745</v>
      </c>
      <c r="D975">
        <v>1</v>
      </c>
    </row>
    <row r="976" spans="1:4" x14ac:dyDescent="0.25">
      <c r="A976" s="89">
        <v>46162</v>
      </c>
      <c r="B976" t="s">
        <v>776</v>
      </c>
      <c r="C976" t="s">
        <v>767</v>
      </c>
      <c r="D976">
        <v>1</v>
      </c>
    </row>
    <row r="977" spans="1:4" x14ac:dyDescent="0.25">
      <c r="A977" s="89">
        <v>46162</v>
      </c>
      <c r="B977" t="s">
        <v>785</v>
      </c>
      <c r="C977" t="s">
        <v>767</v>
      </c>
      <c r="D977">
        <v>1</v>
      </c>
    </row>
    <row r="978" spans="1:4" x14ac:dyDescent="0.25">
      <c r="A978" s="89">
        <v>46162</v>
      </c>
      <c r="B978" t="s">
        <v>829</v>
      </c>
      <c r="C978" t="s">
        <v>767</v>
      </c>
      <c r="D978">
        <v>1</v>
      </c>
    </row>
    <row r="979" spans="1:4" x14ac:dyDescent="0.25">
      <c r="A979" s="89">
        <v>46162</v>
      </c>
      <c r="B979" t="s">
        <v>762</v>
      </c>
      <c r="C979" t="s">
        <v>767</v>
      </c>
      <c r="D979">
        <v>1</v>
      </c>
    </row>
    <row r="980" spans="1:4" x14ac:dyDescent="0.25">
      <c r="A980" s="89">
        <v>46163</v>
      </c>
      <c r="B980" t="s">
        <v>744</v>
      </c>
      <c r="C980" t="s">
        <v>745</v>
      </c>
      <c r="D980">
        <v>1</v>
      </c>
    </row>
    <row r="981" spans="1:4" x14ac:dyDescent="0.25">
      <c r="A981" s="89">
        <v>46163</v>
      </c>
      <c r="B981" t="s">
        <v>901</v>
      </c>
      <c r="C981" t="s">
        <v>745</v>
      </c>
      <c r="D981">
        <v>1</v>
      </c>
    </row>
    <row r="982" spans="1:4" x14ac:dyDescent="0.25">
      <c r="A982" s="89">
        <v>46163</v>
      </c>
      <c r="B982" t="s">
        <v>946</v>
      </c>
      <c r="C982" t="s">
        <v>745</v>
      </c>
      <c r="D982">
        <v>1</v>
      </c>
    </row>
    <row r="983" spans="1:4" x14ac:dyDescent="0.25">
      <c r="A983" s="89">
        <v>46163</v>
      </c>
      <c r="B983" t="s">
        <v>947</v>
      </c>
      <c r="C983" t="s">
        <v>745</v>
      </c>
      <c r="D983">
        <v>1</v>
      </c>
    </row>
    <row r="984" spans="1:4" x14ac:dyDescent="0.25">
      <c r="A984" s="89">
        <v>46163</v>
      </c>
      <c r="B984" t="s">
        <v>948</v>
      </c>
      <c r="C984" t="s">
        <v>745</v>
      </c>
      <c r="D984">
        <v>1</v>
      </c>
    </row>
    <row r="985" spans="1:4" x14ac:dyDescent="0.25">
      <c r="A985" s="89">
        <v>46163</v>
      </c>
      <c r="B985" t="s">
        <v>829</v>
      </c>
      <c r="C985" t="s">
        <v>745</v>
      </c>
      <c r="D985">
        <v>1</v>
      </c>
    </row>
    <row r="986" spans="1:4" x14ac:dyDescent="0.25">
      <c r="A986" s="89">
        <v>46163</v>
      </c>
      <c r="B986" t="s">
        <v>837</v>
      </c>
      <c r="C986" t="s">
        <v>745</v>
      </c>
      <c r="D986">
        <v>1</v>
      </c>
    </row>
    <row r="987" spans="1:4" x14ac:dyDescent="0.25">
      <c r="A987" s="89">
        <v>46164</v>
      </c>
      <c r="B987" t="s">
        <v>740</v>
      </c>
      <c r="C987" t="s">
        <v>745</v>
      </c>
      <c r="D987">
        <v>1</v>
      </c>
    </row>
    <row r="988" spans="1:4" x14ac:dyDescent="0.25">
      <c r="A988" s="89">
        <v>46164</v>
      </c>
      <c r="B988" t="s">
        <v>744</v>
      </c>
      <c r="C988" t="s">
        <v>745</v>
      </c>
      <c r="D988">
        <v>1</v>
      </c>
    </row>
    <row r="989" spans="1:4" x14ac:dyDescent="0.25">
      <c r="A989" s="89">
        <v>46164</v>
      </c>
      <c r="B989" t="s">
        <v>749</v>
      </c>
      <c r="C989" t="s">
        <v>745</v>
      </c>
      <c r="D989">
        <v>1</v>
      </c>
    </row>
    <row r="990" spans="1:4" x14ac:dyDescent="0.25">
      <c r="A990" s="89">
        <v>46164</v>
      </c>
      <c r="B990" t="s">
        <v>748</v>
      </c>
      <c r="C990" t="s">
        <v>745</v>
      </c>
      <c r="D990">
        <v>1</v>
      </c>
    </row>
    <row r="991" spans="1:4" x14ac:dyDescent="0.25">
      <c r="A991" s="89">
        <v>46164</v>
      </c>
      <c r="B991" t="s">
        <v>713</v>
      </c>
      <c r="C991" t="s">
        <v>745</v>
      </c>
      <c r="D991">
        <v>1</v>
      </c>
    </row>
    <row r="992" spans="1:4" x14ac:dyDescent="0.25">
      <c r="A992" s="89">
        <v>46164</v>
      </c>
      <c r="B992" t="s">
        <v>751</v>
      </c>
      <c r="C992" t="s">
        <v>745</v>
      </c>
      <c r="D992">
        <v>1</v>
      </c>
    </row>
    <row r="993" spans="1:4" x14ac:dyDescent="0.25">
      <c r="A993" s="89">
        <v>46164</v>
      </c>
      <c r="B993" t="s">
        <v>776</v>
      </c>
      <c r="C993" t="s">
        <v>745</v>
      </c>
      <c r="D993">
        <v>1</v>
      </c>
    </row>
    <row r="994" spans="1:4" x14ac:dyDescent="0.25">
      <c r="A994" s="89">
        <v>46164</v>
      </c>
      <c r="B994" t="s">
        <v>785</v>
      </c>
      <c r="C994" t="s">
        <v>745</v>
      </c>
      <c r="D994">
        <v>1</v>
      </c>
    </row>
    <row r="995" spans="1:4" x14ac:dyDescent="0.25">
      <c r="A995" s="89">
        <v>46164</v>
      </c>
      <c r="B995" t="s">
        <v>949</v>
      </c>
      <c r="C995" t="s">
        <v>745</v>
      </c>
      <c r="D995">
        <v>2</v>
      </c>
    </row>
    <row r="996" spans="1:4" x14ac:dyDescent="0.25">
      <c r="A996" s="89">
        <v>46164</v>
      </c>
      <c r="B996" t="s">
        <v>901</v>
      </c>
      <c r="C996" t="s">
        <v>745</v>
      </c>
      <c r="D996">
        <v>1</v>
      </c>
    </row>
    <row r="997" spans="1:4" x14ac:dyDescent="0.25">
      <c r="A997" s="89">
        <v>46164</v>
      </c>
      <c r="B997" t="s">
        <v>946</v>
      </c>
      <c r="C997" t="s">
        <v>745</v>
      </c>
      <c r="D997">
        <v>1</v>
      </c>
    </row>
    <row r="998" spans="1:4" x14ac:dyDescent="0.25">
      <c r="A998" s="89">
        <v>46164</v>
      </c>
      <c r="B998" t="s">
        <v>950</v>
      </c>
      <c r="C998" t="s">
        <v>745</v>
      </c>
      <c r="D998">
        <v>1</v>
      </c>
    </row>
    <row r="999" spans="1:4" x14ac:dyDescent="0.25">
      <c r="A999" s="89">
        <v>46165</v>
      </c>
      <c r="B999" t="s">
        <v>901</v>
      </c>
      <c r="C999" t="s">
        <v>745</v>
      </c>
      <c r="D999">
        <v>1</v>
      </c>
    </row>
    <row r="1000" spans="1:4" x14ac:dyDescent="0.25">
      <c r="A1000" s="89">
        <v>46165</v>
      </c>
      <c r="B1000" t="s">
        <v>713</v>
      </c>
      <c r="C1000" t="s">
        <v>745</v>
      </c>
      <c r="D1000">
        <v>1</v>
      </c>
    </row>
    <row r="1001" spans="1:4" x14ac:dyDescent="0.25">
      <c r="A1001" s="89">
        <v>46165</v>
      </c>
      <c r="B1001" t="s">
        <v>776</v>
      </c>
      <c r="C1001" t="s">
        <v>745</v>
      </c>
      <c r="D1001">
        <v>1</v>
      </c>
    </row>
    <row r="1002" spans="1:4" x14ac:dyDescent="0.25">
      <c r="A1002" s="89">
        <v>46165</v>
      </c>
      <c r="B1002" t="s">
        <v>785</v>
      </c>
      <c r="C1002" t="s">
        <v>745</v>
      </c>
      <c r="D1002">
        <v>1</v>
      </c>
    </row>
    <row r="1003" spans="1:4" x14ac:dyDescent="0.25">
      <c r="A1003" s="89">
        <v>46165</v>
      </c>
      <c r="B1003" t="s">
        <v>774</v>
      </c>
      <c r="C1003" t="s">
        <v>745</v>
      </c>
      <c r="D1003">
        <v>1</v>
      </c>
    </row>
    <row r="1004" spans="1:4" x14ac:dyDescent="0.25">
      <c r="A1004" s="89">
        <v>46165</v>
      </c>
      <c r="B1004" t="s">
        <v>744</v>
      </c>
      <c r="C1004" t="s">
        <v>745</v>
      </c>
      <c r="D1004">
        <v>1</v>
      </c>
    </row>
    <row r="1005" spans="1:4" x14ac:dyDescent="0.25">
      <c r="A1005" s="89">
        <v>46165</v>
      </c>
      <c r="B1005" t="s">
        <v>946</v>
      </c>
      <c r="C1005" t="s">
        <v>745</v>
      </c>
      <c r="D1005">
        <v>1</v>
      </c>
    </row>
    <row r="1006" spans="1:4" x14ac:dyDescent="0.25">
      <c r="A1006" s="89">
        <v>46165</v>
      </c>
      <c r="B1006" t="s">
        <v>947</v>
      </c>
      <c r="C1006" t="s">
        <v>745</v>
      </c>
      <c r="D1006">
        <v>1</v>
      </c>
    </row>
    <row r="1007" spans="1:4" x14ac:dyDescent="0.25">
      <c r="A1007" s="89">
        <v>46165</v>
      </c>
      <c r="B1007" t="s">
        <v>949</v>
      </c>
      <c r="C1007" t="s">
        <v>745</v>
      </c>
      <c r="D1007">
        <v>1</v>
      </c>
    </row>
    <row r="1008" spans="1:4" x14ac:dyDescent="0.25">
      <c r="A1008" s="89">
        <v>46166</v>
      </c>
      <c r="B1008" t="s">
        <v>748</v>
      </c>
      <c r="C1008" t="s">
        <v>767</v>
      </c>
      <c r="D1008">
        <v>1</v>
      </c>
    </row>
    <row r="1009" spans="1:4" x14ac:dyDescent="0.25">
      <c r="A1009" s="89">
        <v>46166</v>
      </c>
      <c r="B1009" t="s">
        <v>809</v>
      </c>
      <c r="C1009" t="s">
        <v>767</v>
      </c>
      <c r="D1009">
        <v>1</v>
      </c>
    </row>
    <row r="1010" spans="1:4" x14ac:dyDescent="0.25">
      <c r="A1010" s="89">
        <v>46166</v>
      </c>
      <c r="B1010" t="s">
        <v>776</v>
      </c>
      <c r="C1010" t="s">
        <v>767</v>
      </c>
      <c r="D1010">
        <v>1</v>
      </c>
    </row>
    <row r="1011" spans="1:4" x14ac:dyDescent="0.25">
      <c r="A1011" s="89">
        <v>46166</v>
      </c>
      <c r="B1011" t="s">
        <v>785</v>
      </c>
      <c r="C1011" t="s">
        <v>767</v>
      </c>
      <c r="D1011">
        <v>1</v>
      </c>
    </row>
    <row r="1012" spans="1:4" x14ac:dyDescent="0.25">
      <c r="A1012" s="89">
        <v>46166</v>
      </c>
      <c r="B1012" t="s">
        <v>751</v>
      </c>
      <c r="C1012" t="s">
        <v>767</v>
      </c>
      <c r="D1012">
        <v>1</v>
      </c>
    </row>
    <row r="1013" spans="1:4" x14ac:dyDescent="0.25">
      <c r="A1013" s="89">
        <v>46166</v>
      </c>
      <c r="B1013" t="s">
        <v>829</v>
      </c>
      <c r="C1013" t="s">
        <v>767</v>
      </c>
      <c r="D1013">
        <v>1</v>
      </c>
    </row>
    <row r="1014" spans="1:4" x14ac:dyDescent="0.25">
      <c r="A1014" s="89">
        <v>46166</v>
      </c>
      <c r="B1014" t="s">
        <v>828</v>
      </c>
      <c r="C1014" t="s">
        <v>767</v>
      </c>
      <c r="D1014">
        <v>1</v>
      </c>
    </row>
    <row r="1015" spans="1:4" x14ac:dyDescent="0.25">
      <c r="A1015" s="89">
        <v>46167</v>
      </c>
      <c r="B1015" t="s">
        <v>951</v>
      </c>
      <c r="C1015" t="s">
        <v>765</v>
      </c>
      <c r="D1015">
        <v>1</v>
      </c>
    </row>
    <row r="1016" spans="1:4" x14ac:dyDescent="0.25">
      <c r="A1016" s="89">
        <v>46167</v>
      </c>
      <c r="B1016" t="s">
        <v>751</v>
      </c>
      <c r="C1016" t="s">
        <v>765</v>
      </c>
      <c r="D1016">
        <v>1</v>
      </c>
    </row>
    <row r="1017" spans="1:4" x14ac:dyDescent="0.25">
      <c r="A1017" s="89">
        <v>46168</v>
      </c>
      <c r="B1017" t="s">
        <v>774</v>
      </c>
      <c r="C1017" t="s">
        <v>745</v>
      </c>
      <c r="D1017">
        <v>1</v>
      </c>
    </row>
    <row r="1018" spans="1:4" x14ac:dyDescent="0.25">
      <c r="A1018" s="89">
        <v>46170</v>
      </c>
      <c r="B1018" t="s">
        <v>748</v>
      </c>
      <c r="C1018" t="s">
        <v>767</v>
      </c>
      <c r="D1018">
        <v>1</v>
      </c>
    </row>
    <row r="1019" spans="1:4" x14ac:dyDescent="0.25">
      <c r="A1019" s="89">
        <v>46170</v>
      </c>
      <c r="B1019" t="s">
        <v>809</v>
      </c>
      <c r="C1019" t="s">
        <v>767</v>
      </c>
      <c r="D1019">
        <v>1</v>
      </c>
    </row>
    <row r="1020" spans="1:4" x14ac:dyDescent="0.25">
      <c r="A1020" s="89">
        <v>46170</v>
      </c>
      <c r="B1020" t="s">
        <v>776</v>
      </c>
      <c r="C1020" t="s">
        <v>767</v>
      </c>
      <c r="D1020">
        <v>1</v>
      </c>
    </row>
    <row r="1021" spans="1:4" x14ac:dyDescent="0.25">
      <c r="A1021" s="89">
        <v>46170</v>
      </c>
      <c r="B1021" t="s">
        <v>785</v>
      </c>
      <c r="C1021" t="s">
        <v>767</v>
      </c>
      <c r="D1021">
        <v>1</v>
      </c>
    </row>
    <row r="1022" spans="1:4" x14ac:dyDescent="0.25">
      <c r="A1022" s="89">
        <v>46170</v>
      </c>
      <c r="B1022" t="s">
        <v>762</v>
      </c>
      <c r="C1022" t="s">
        <v>767</v>
      </c>
      <c r="D1022">
        <v>1</v>
      </c>
    </row>
    <row r="1023" spans="1:4" x14ac:dyDescent="0.25">
      <c r="A1023" s="89">
        <v>46170</v>
      </c>
      <c r="B1023" t="s">
        <v>850</v>
      </c>
      <c r="C1023" t="s">
        <v>767</v>
      </c>
      <c r="D1023">
        <v>1</v>
      </c>
    </row>
    <row r="1024" spans="1:4" x14ac:dyDescent="0.25">
      <c r="A1024" s="89">
        <v>46170</v>
      </c>
      <c r="B1024" t="s">
        <v>829</v>
      </c>
      <c r="C1024" t="s">
        <v>767</v>
      </c>
      <c r="D1024">
        <v>1</v>
      </c>
    </row>
    <row r="1025" spans="1:4" x14ac:dyDescent="0.25">
      <c r="A1025" s="89">
        <v>46170</v>
      </c>
      <c r="B1025" t="s">
        <v>751</v>
      </c>
      <c r="C1025" t="s">
        <v>767</v>
      </c>
      <c r="D1025">
        <v>1</v>
      </c>
    </row>
    <row r="1026" spans="1:4" x14ac:dyDescent="0.25">
      <c r="A1026" s="89">
        <v>46171</v>
      </c>
      <c r="B1026" t="s">
        <v>777</v>
      </c>
      <c r="C1026" t="s">
        <v>745</v>
      </c>
      <c r="D1026">
        <v>2</v>
      </c>
    </row>
    <row r="1027" spans="1:4" x14ac:dyDescent="0.25">
      <c r="A1027" s="89">
        <v>46171</v>
      </c>
      <c r="B1027" t="s">
        <v>889</v>
      </c>
      <c r="C1027" t="s">
        <v>745</v>
      </c>
      <c r="D1027">
        <v>1</v>
      </c>
    </row>
    <row r="1028" spans="1:4" x14ac:dyDescent="0.25">
      <c r="A1028" s="89">
        <v>46171</v>
      </c>
      <c r="B1028" t="s">
        <v>713</v>
      </c>
      <c r="C1028" t="s">
        <v>745</v>
      </c>
      <c r="D1028">
        <v>1</v>
      </c>
    </row>
    <row r="1029" spans="1:4" x14ac:dyDescent="0.25">
      <c r="A1029" s="89">
        <v>46171</v>
      </c>
      <c r="B1029" t="s">
        <v>776</v>
      </c>
      <c r="C1029" t="s">
        <v>745</v>
      </c>
      <c r="D1029">
        <v>1</v>
      </c>
    </row>
    <row r="1030" spans="1:4" x14ac:dyDescent="0.25">
      <c r="A1030" s="89">
        <v>46171</v>
      </c>
      <c r="B1030" t="s">
        <v>785</v>
      </c>
      <c r="C1030" t="s">
        <v>745</v>
      </c>
      <c r="D1030">
        <v>1</v>
      </c>
    </row>
    <row r="1031" spans="1:4" x14ac:dyDescent="0.25">
      <c r="A1031" s="89">
        <v>46172</v>
      </c>
      <c r="B1031" t="s">
        <v>744</v>
      </c>
      <c r="C1031" t="s">
        <v>745</v>
      </c>
      <c r="D1031">
        <v>1</v>
      </c>
    </row>
    <row r="1032" spans="1:4" x14ac:dyDescent="0.25">
      <c r="A1032" s="89">
        <v>46172</v>
      </c>
      <c r="B1032" t="s">
        <v>777</v>
      </c>
      <c r="C1032" t="s">
        <v>745</v>
      </c>
      <c r="D1032">
        <v>2</v>
      </c>
    </row>
    <row r="1033" spans="1:4" x14ac:dyDescent="0.25">
      <c r="A1033" s="89">
        <v>46172</v>
      </c>
      <c r="B1033" t="s">
        <v>889</v>
      </c>
      <c r="C1033" t="s">
        <v>745</v>
      </c>
      <c r="D1033">
        <v>1</v>
      </c>
    </row>
    <row r="1034" spans="1:4" x14ac:dyDescent="0.25">
      <c r="A1034" s="89">
        <v>46172</v>
      </c>
      <c r="B1034" t="s">
        <v>713</v>
      </c>
      <c r="C1034" t="s">
        <v>745</v>
      </c>
      <c r="D1034">
        <v>1</v>
      </c>
    </row>
    <row r="1035" spans="1:4" x14ac:dyDescent="0.25">
      <c r="A1035" s="89">
        <v>46172</v>
      </c>
      <c r="B1035" t="s">
        <v>829</v>
      </c>
      <c r="C1035" t="s">
        <v>745</v>
      </c>
      <c r="D1035">
        <v>1</v>
      </c>
    </row>
    <row r="1036" spans="1:4" x14ac:dyDescent="0.25">
      <c r="A1036" s="89">
        <v>46172</v>
      </c>
      <c r="B1036" t="s">
        <v>744</v>
      </c>
      <c r="C1036" t="s">
        <v>745</v>
      </c>
      <c r="D1036">
        <v>1</v>
      </c>
    </row>
    <row r="1037" spans="1:4" x14ac:dyDescent="0.25">
      <c r="A1037" s="89">
        <v>46173</v>
      </c>
      <c r="B1037" t="s">
        <v>777</v>
      </c>
      <c r="C1037" t="s">
        <v>765</v>
      </c>
      <c r="D1037">
        <v>2</v>
      </c>
    </row>
    <row r="1038" spans="1:4" x14ac:dyDescent="0.25">
      <c r="A1038" s="89">
        <v>46173</v>
      </c>
      <c r="B1038" t="s">
        <v>952</v>
      </c>
      <c r="C1038" t="s">
        <v>765</v>
      </c>
      <c r="D1038">
        <v>1</v>
      </c>
    </row>
    <row r="1039" spans="1:4" x14ac:dyDescent="0.25">
      <c r="A1039" s="89">
        <v>46173</v>
      </c>
      <c r="B1039" t="s">
        <v>889</v>
      </c>
      <c r="C1039" t="s">
        <v>765</v>
      </c>
      <c r="D1039">
        <v>1</v>
      </c>
    </row>
    <row r="1040" spans="1:4" x14ac:dyDescent="0.25">
      <c r="A1040" s="89">
        <v>46173</v>
      </c>
      <c r="B1040" t="s">
        <v>744</v>
      </c>
      <c r="C1040" t="s">
        <v>765</v>
      </c>
      <c r="D1040">
        <v>1</v>
      </c>
    </row>
    <row r="1041" spans="1:4" x14ac:dyDescent="0.25">
      <c r="A1041" s="89">
        <v>46173</v>
      </c>
      <c r="B1041" t="s">
        <v>748</v>
      </c>
      <c r="C1041" t="s">
        <v>765</v>
      </c>
      <c r="D1041">
        <v>1</v>
      </c>
    </row>
    <row r="1042" spans="1:4" x14ac:dyDescent="0.25">
      <c r="A1042" s="89">
        <v>46173</v>
      </c>
      <c r="B1042" t="s">
        <v>713</v>
      </c>
      <c r="C1042" t="s">
        <v>765</v>
      </c>
      <c r="D1042">
        <v>1</v>
      </c>
    </row>
    <row r="1043" spans="1:4" x14ac:dyDescent="0.25">
      <c r="A1043" s="89">
        <v>46173</v>
      </c>
      <c r="B1043" t="s">
        <v>751</v>
      </c>
      <c r="C1043" t="s">
        <v>765</v>
      </c>
      <c r="D1043">
        <v>1</v>
      </c>
    </row>
    <row r="1044" spans="1:4" x14ac:dyDescent="0.25">
      <c r="A1044" s="89">
        <v>46173</v>
      </c>
      <c r="B1044" t="s">
        <v>785</v>
      </c>
      <c r="C1044" t="s">
        <v>765</v>
      </c>
      <c r="D1044">
        <v>1</v>
      </c>
    </row>
    <row r="1045" spans="1:4" x14ac:dyDescent="0.25">
      <c r="A1045" s="89">
        <v>46177</v>
      </c>
      <c r="B1045" t="s">
        <v>740</v>
      </c>
      <c r="C1045" t="s">
        <v>745</v>
      </c>
      <c r="D1045">
        <v>3</v>
      </c>
    </row>
    <row r="1046" spans="1:4" x14ac:dyDescent="0.25">
      <c r="A1046" s="89">
        <v>46177</v>
      </c>
      <c r="B1046" t="s">
        <v>953</v>
      </c>
      <c r="C1046" t="s">
        <v>745</v>
      </c>
      <c r="D1046">
        <v>2</v>
      </c>
    </row>
    <row r="1047" spans="1:4" x14ac:dyDescent="0.25">
      <c r="A1047" s="89">
        <v>46177</v>
      </c>
      <c r="B1047" t="s">
        <v>744</v>
      </c>
      <c r="C1047" t="s">
        <v>745</v>
      </c>
      <c r="D1047">
        <v>4</v>
      </c>
    </row>
    <row r="1048" spans="1:4" x14ac:dyDescent="0.25">
      <c r="A1048" s="89">
        <v>46177</v>
      </c>
      <c r="B1048" t="s">
        <v>797</v>
      </c>
      <c r="C1048" t="s">
        <v>745</v>
      </c>
      <c r="D1048">
        <v>2</v>
      </c>
    </row>
    <row r="1049" spans="1:4" x14ac:dyDescent="0.25">
      <c r="A1049" s="89">
        <v>46177</v>
      </c>
      <c r="B1049" t="s">
        <v>748</v>
      </c>
      <c r="C1049" t="s">
        <v>745</v>
      </c>
      <c r="D1049">
        <v>3</v>
      </c>
    </row>
    <row r="1050" spans="1:4" x14ac:dyDescent="0.25">
      <c r="A1050" s="89">
        <v>46177</v>
      </c>
      <c r="B1050" t="s">
        <v>883</v>
      </c>
      <c r="C1050" t="s">
        <v>745</v>
      </c>
      <c r="D1050">
        <v>4</v>
      </c>
    </row>
    <row r="1051" spans="1:4" x14ac:dyDescent="0.25">
      <c r="A1051" s="89">
        <v>46177</v>
      </c>
      <c r="B1051" t="s">
        <v>751</v>
      </c>
      <c r="C1051" t="s">
        <v>745</v>
      </c>
      <c r="D1051">
        <v>4</v>
      </c>
    </row>
    <row r="1052" spans="1:4" x14ac:dyDescent="0.25">
      <c r="A1052" s="89">
        <v>46177</v>
      </c>
      <c r="B1052" t="s">
        <v>776</v>
      </c>
      <c r="C1052" t="s">
        <v>745</v>
      </c>
      <c r="D1052">
        <v>3</v>
      </c>
    </row>
    <row r="1053" spans="1:4" x14ac:dyDescent="0.25">
      <c r="A1053" s="89">
        <v>46177</v>
      </c>
      <c r="B1053" t="s">
        <v>775</v>
      </c>
      <c r="C1053" t="s">
        <v>745</v>
      </c>
      <c r="D1053">
        <v>4</v>
      </c>
    </row>
    <row r="1054" spans="1:4" x14ac:dyDescent="0.25">
      <c r="A1054" s="89">
        <v>46177</v>
      </c>
      <c r="B1054" t="s">
        <v>785</v>
      </c>
      <c r="C1054" t="s">
        <v>745</v>
      </c>
      <c r="D1054">
        <v>5</v>
      </c>
    </row>
    <row r="1055" spans="1:4" x14ac:dyDescent="0.25">
      <c r="A1055" s="89">
        <v>46177</v>
      </c>
      <c r="B1055" t="s">
        <v>850</v>
      </c>
      <c r="C1055" t="s">
        <v>745</v>
      </c>
      <c r="D1055">
        <v>1</v>
      </c>
    </row>
    <row r="1056" spans="1:4" x14ac:dyDescent="0.25">
      <c r="A1056" s="89">
        <v>46178</v>
      </c>
      <c r="B1056" t="s">
        <v>793</v>
      </c>
      <c r="C1056" t="s">
        <v>745</v>
      </c>
      <c r="D1056">
        <v>3</v>
      </c>
    </row>
    <row r="1057" spans="1:4" x14ac:dyDescent="0.25">
      <c r="A1057" s="89">
        <v>46178</v>
      </c>
      <c r="B1057" t="s">
        <v>933</v>
      </c>
      <c r="C1057" t="s">
        <v>745</v>
      </c>
      <c r="D1057">
        <v>3</v>
      </c>
    </row>
    <row r="1058" spans="1:4" x14ac:dyDescent="0.25">
      <c r="A1058" s="89">
        <v>46178</v>
      </c>
      <c r="B1058" t="s">
        <v>762</v>
      </c>
      <c r="C1058" t="s">
        <v>745</v>
      </c>
      <c r="D1058">
        <v>2</v>
      </c>
    </row>
    <row r="1059" spans="1:4" x14ac:dyDescent="0.25">
      <c r="A1059" s="89">
        <v>46178</v>
      </c>
      <c r="B1059" t="s">
        <v>829</v>
      </c>
      <c r="C1059" t="s">
        <v>745</v>
      </c>
      <c r="D1059">
        <v>1</v>
      </c>
    </row>
    <row r="1060" spans="1:4" x14ac:dyDescent="0.25">
      <c r="A1060" s="89">
        <v>46178</v>
      </c>
      <c r="B1060" t="s">
        <v>850</v>
      </c>
      <c r="C1060" t="s">
        <v>745</v>
      </c>
      <c r="D1060">
        <v>1</v>
      </c>
    </row>
    <row r="1061" spans="1:4" x14ac:dyDescent="0.25">
      <c r="A1061" s="89">
        <v>46181</v>
      </c>
      <c r="B1061" t="s">
        <v>829</v>
      </c>
      <c r="C1061" t="s">
        <v>765</v>
      </c>
      <c r="D1061">
        <v>1</v>
      </c>
    </row>
    <row r="1062" spans="1:4" x14ac:dyDescent="0.25">
      <c r="A1062" s="89">
        <v>46181</v>
      </c>
      <c r="B1062" t="s">
        <v>954</v>
      </c>
      <c r="C1062" t="s">
        <v>765</v>
      </c>
      <c r="D1062">
        <v>1</v>
      </c>
    </row>
    <row r="1063" spans="1:4" x14ac:dyDescent="0.25">
      <c r="A1063" s="89">
        <v>46183</v>
      </c>
      <c r="B1063" t="s">
        <v>955</v>
      </c>
      <c r="C1063" t="s">
        <v>745</v>
      </c>
      <c r="D1063">
        <v>1</v>
      </c>
    </row>
    <row r="1064" spans="1:4" x14ac:dyDescent="0.25">
      <c r="A1064" s="89">
        <v>46183</v>
      </c>
      <c r="B1064" t="s">
        <v>926</v>
      </c>
      <c r="C1064" t="s">
        <v>745</v>
      </c>
      <c r="D1064">
        <v>1</v>
      </c>
    </row>
    <row r="1065" spans="1:4" x14ac:dyDescent="0.25">
      <c r="A1065" s="89">
        <v>46185</v>
      </c>
      <c r="B1065" t="s">
        <v>776</v>
      </c>
      <c r="C1065" t="s">
        <v>745</v>
      </c>
      <c r="D1065">
        <v>1</v>
      </c>
    </row>
    <row r="1066" spans="1:4" x14ac:dyDescent="0.25">
      <c r="A1066" s="89">
        <v>46185</v>
      </c>
      <c r="B1066" t="s">
        <v>896</v>
      </c>
      <c r="C1066" t="s">
        <v>745</v>
      </c>
      <c r="D1066">
        <v>1</v>
      </c>
    </row>
    <row r="1067" spans="1:4" x14ac:dyDescent="0.25">
      <c r="A1067" s="89">
        <v>46186</v>
      </c>
      <c r="B1067" t="s">
        <v>956</v>
      </c>
      <c r="C1067" t="s">
        <v>745</v>
      </c>
      <c r="D1067">
        <v>1</v>
      </c>
    </row>
    <row r="1068" spans="1:4" x14ac:dyDescent="0.25">
      <c r="A1068" s="89">
        <v>46186</v>
      </c>
      <c r="B1068" t="s">
        <v>744</v>
      </c>
      <c r="C1068" t="s">
        <v>745</v>
      </c>
      <c r="D1068">
        <v>1</v>
      </c>
    </row>
    <row r="1069" spans="1:4" x14ac:dyDescent="0.25">
      <c r="A1069" s="89">
        <v>46186</v>
      </c>
      <c r="B1069" t="s">
        <v>748</v>
      </c>
      <c r="C1069" t="s">
        <v>745</v>
      </c>
      <c r="D1069">
        <v>1</v>
      </c>
    </row>
    <row r="1070" spans="1:4" x14ac:dyDescent="0.25">
      <c r="A1070" s="89">
        <v>46186</v>
      </c>
      <c r="B1070" t="s">
        <v>713</v>
      </c>
      <c r="C1070" t="s">
        <v>745</v>
      </c>
      <c r="D1070">
        <v>1</v>
      </c>
    </row>
    <row r="1071" spans="1:4" x14ac:dyDescent="0.25">
      <c r="A1071" s="89">
        <v>46186</v>
      </c>
      <c r="B1071" t="s">
        <v>751</v>
      </c>
      <c r="C1071" t="s">
        <v>745</v>
      </c>
      <c r="D1071">
        <v>1</v>
      </c>
    </row>
    <row r="1072" spans="1:4" x14ac:dyDescent="0.25">
      <c r="A1072" s="89">
        <v>46186</v>
      </c>
      <c r="B1072" t="s">
        <v>957</v>
      </c>
      <c r="C1072" t="s">
        <v>745</v>
      </c>
      <c r="D1072">
        <v>1</v>
      </c>
    </row>
    <row r="1073" spans="1:4" x14ac:dyDescent="0.25">
      <c r="A1073" s="89">
        <v>46187</v>
      </c>
      <c r="B1073" t="s">
        <v>861</v>
      </c>
      <c r="C1073" t="s">
        <v>765</v>
      </c>
      <c r="D1073">
        <v>1</v>
      </c>
    </row>
    <row r="1074" spans="1:4" x14ac:dyDescent="0.25">
      <c r="A1074" s="89">
        <v>46187</v>
      </c>
      <c r="B1074" t="s">
        <v>753</v>
      </c>
      <c r="C1074" t="s">
        <v>765</v>
      </c>
      <c r="D1074">
        <v>1</v>
      </c>
    </row>
    <row r="1075" spans="1:4" x14ac:dyDescent="0.25">
      <c r="A1075" s="89">
        <v>46187</v>
      </c>
      <c r="B1075" t="s">
        <v>740</v>
      </c>
      <c r="C1075" t="s">
        <v>765</v>
      </c>
      <c r="D1075">
        <v>1</v>
      </c>
    </row>
    <row r="1076" spans="1:4" x14ac:dyDescent="0.25">
      <c r="A1076" s="89">
        <v>46187</v>
      </c>
      <c r="B1076" t="s">
        <v>797</v>
      </c>
      <c r="C1076" t="s">
        <v>765</v>
      </c>
      <c r="D1076">
        <v>1</v>
      </c>
    </row>
    <row r="1077" spans="1:4" x14ac:dyDescent="0.25">
      <c r="A1077" s="89">
        <v>46187</v>
      </c>
      <c r="B1077" t="s">
        <v>896</v>
      </c>
      <c r="C1077" t="s">
        <v>765</v>
      </c>
      <c r="D1077">
        <v>1</v>
      </c>
    </row>
    <row r="1078" spans="1:4" x14ac:dyDescent="0.25">
      <c r="A1078" s="89">
        <v>46188</v>
      </c>
      <c r="B1078" t="s">
        <v>958</v>
      </c>
      <c r="C1078" t="s">
        <v>745</v>
      </c>
      <c r="D1078">
        <v>1</v>
      </c>
    </row>
    <row r="1079" spans="1:4" x14ac:dyDescent="0.25">
      <c r="A1079" s="89">
        <v>46190</v>
      </c>
      <c r="B1079" t="s">
        <v>878</v>
      </c>
      <c r="C1079" t="s">
        <v>767</v>
      </c>
      <c r="D1079">
        <v>1</v>
      </c>
    </row>
    <row r="1080" spans="1:4" x14ac:dyDescent="0.25">
      <c r="A1080" s="89">
        <v>46190</v>
      </c>
      <c r="B1080" t="s">
        <v>785</v>
      </c>
      <c r="C1080" t="s">
        <v>767</v>
      </c>
      <c r="D1080">
        <v>1</v>
      </c>
    </row>
    <row r="1081" spans="1:4" x14ac:dyDescent="0.25">
      <c r="A1081" s="89">
        <v>46191</v>
      </c>
      <c r="B1081" t="s">
        <v>776</v>
      </c>
      <c r="C1081" t="s">
        <v>767</v>
      </c>
      <c r="D1081">
        <v>1</v>
      </c>
    </row>
    <row r="1082" spans="1:4" x14ac:dyDescent="0.25">
      <c r="A1082" s="89">
        <v>46191</v>
      </c>
      <c r="B1082" t="s">
        <v>959</v>
      </c>
      <c r="C1082" t="s">
        <v>767</v>
      </c>
      <c r="D1082">
        <v>1</v>
      </c>
    </row>
    <row r="1083" spans="1:4" x14ac:dyDescent="0.25">
      <c r="A1083" s="89">
        <v>46191</v>
      </c>
      <c r="B1083" t="s">
        <v>960</v>
      </c>
      <c r="C1083" t="s">
        <v>767</v>
      </c>
      <c r="D1083">
        <v>1</v>
      </c>
    </row>
    <row r="1084" spans="1:4" x14ac:dyDescent="0.25">
      <c r="A1084" s="89">
        <v>46191</v>
      </c>
      <c r="B1084" t="s">
        <v>961</v>
      </c>
      <c r="C1084" t="s">
        <v>767</v>
      </c>
      <c r="D1084">
        <v>1</v>
      </c>
    </row>
    <row r="1085" spans="1:4" x14ac:dyDescent="0.25">
      <c r="A1085" s="89">
        <v>46191</v>
      </c>
      <c r="B1085" t="s">
        <v>878</v>
      </c>
      <c r="C1085" t="s">
        <v>767</v>
      </c>
      <c r="D1085">
        <v>1</v>
      </c>
    </row>
    <row r="1086" spans="1:4" x14ac:dyDescent="0.25">
      <c r="A1086" s="89">
        <v>46192</v>
      </c>
      <c r="B1086" t="s">
        <v>785</v>
      </c>
      <c r="C1086" t="s">
        <v>767</v>
      </c>
      <c r="D1086">
        <v>1</v>
      </c>
    </row>
    <row r="1087" spans="1:4" x14ac:dyDescent="0.25">
      <c r="A1087" s="89">
        <v>46192</v>
      </c>
      <c r="B1087" t="s">
        <v>829</v>
      </c>
      <c r="C1087" t="s">
        <v>767</v>
      </c>
      <c r="D1087">
        <v>1</v>
      </c>
    </row>
    <row r="1088" spans="1:4" x14ac:dyDescent="0.25">
      <c r="A1088" s="89">
        <v>46192</v>
      </c>
      <c r="B1088" t="s">
        <v>837</v>
      </c>
      <c r="C1088" t="s">
        <v>767</v>
      </c>
      <c r="D1088">
        <v>1</v>
      </c>
    </row>
    <row r="1089" spans="1:4" x14ac:dyDescent="0.25">
      <c r="A1089" s="89">
        <v>46192</v>
      </c>
      <c r="B1089" t="s">
        <v>959</v>
      </c>
      <c r="C1089" t="s">
        <v>767</v>
      </c>
      <c r="D1089">
        <v>1</v>
      </c>
    </row>
    <row r="1090" spans="1:4" x14ac:dyDescent="0.25">
      <c r="A1090" s="89">
        <v>46192</v>
      </c>
      <c r="B1090" t="s">
        <v>960</v>
      </c>
      <c r="C1090" t="s">
        <v>767</v>
      </c>
      <c r="D1090">
        <v>1</v>
      </c>
    </row>
    <row r="1091" spans="1:4" x14ac:dyDescent="0.25">
      <c r="A1091" s="89">
        <v>46192</v>
      </c>
      <c r="B1091" t="s">
        <v>961</v>
      </c>
      <c r="C1091" t="s">
        <v>767</v>
      </c>
      <c r="D1091">
        <v>1</v>
      </c>
    </row>
    <row r="1092" spans="1:4" x14ac:dyDescent="0.25">
      <c r="A1092" s="89">
        <v>46193</v>
      </c>
      <c r="B1092" t="s">
        <v>748</v>
      </c>
      <c r="C1092" t="s">
        <v>767</v>
      </c>
      <c r="D1092">
        <v>1</v>
      </c>
    </row>
    <row r="1093" spans="1:4" x14ac:dyDescent="0.25">
      <c r="A1093" s="89">
        <v>46193</v>
      </c>
      <c r="B1093" t="s">
        <v>809</v>
      </c>
      <c r="C1093" t="s">
        <v>767</v>
      </c>
      <c r="D1093">
        <v>1</v>
      </c>
    </row>
    <row r="1094" spans="1:4" x14ac:dyDescent="0.25">
      <c r="A1094" s="89">
        <v>46193</v>
      </c>
      <c r="B1094" t="s">
        <v>751</v>
      </c>
      <c r="C1094" t="s">
        <v>767</v>
      </c>
      <c r="D1094">
        <v>1</v>
      </c>
    </row>
    <row r="1095" spans="1:4" x14ac:dyDescent="0.25">
      <c r="A1095" s="89">
        <v>46193</v>
      </c>
      <c r="B1095" t="s">
        <v>776</v>
      </c>
      <c r="C1095" t="s">
        <v>767</v>
      </c>
      <c r="D1095">
        <v>1</v>
      </c>
    </row>
    <row r="1096" spans="1:4" x14ac:dyDescent="0.25">
      <c r="A1096" s="89">
        <v>46193</v>
      </c>
      <c r="B1096" t="s">
        <v>785</v>
      </c>
      <c r="C1096" t="s">
        <v>767</v>
      </c>
      <c r="D1096">
        <v>1</v>
      </c>
    </row>
    <row r="1097" spans="1:4" x14ac:dyDescent="0.25">
      <c r="A1097" s="89">
        <v>46194</v>
      </c>
      <c r="B1097" t="s">
        <v>815</v>
      </c>
      <c r="C1097" t="s">
        <v>767</v>
      </c>
      <c r="D1097">
        <v>1</v>
      </c>
    </row>
    <row r="1098" spans="1:4" x14ac:dyDescent="0.25">
      <c r="A1098" s="89">
        <v>46194</v>
      </c>
      <c r="B1098" t="s">
        <v>959</v>
      </c>
      <c r="C1098" t="s">
        <v>767</v>
      </c>
      <c r="D1098">
        <v>1</v>
      </c>
    </row>
    <row r="1099" spans="1:4" x14ac:dyDescent="0.25">
      <c r="A1099" s="89">
        <v>46194</v>
      </c>
      <c r="B1099" t="s">
        <v>960</v>
      </c>
      <c r="C1099" t="s">
        <v>767</v>
      </c>
      <c r="D1099">
        <v>1</v>
      </c>
    </row>
    <row r="1100" spans="1:4" x14ac:dyDescent="0.25">
      <c r="A1100" s="89">
        <v>46194</v>
      </c>
      <c r="B1100" t="s">
        <v>809</v>
      </c>
      <c r="C1100" t="s">
        <v>767</v>
      </c>
      <c r="D1100">
        <v>1</v>
      </c>
    </row>
    <row r="1101" spans="1:4" x14ac:dyDescent="0.25">
      <c r="A1101" s="89">
        <v>46194</v>
      </c>
      <c r="B1101" t="s">
        <v>785</v>
      </c>
      <c r="C1101" t="s">
        <v>767</v>
      </c>
      <c r="D1101">
        <v>1</v>
      </c>
    </row>
    <row r="1102" spans="1:4" x14ac:dyDescent="0.25">
      <c r="A1102" s="89">
        <v>46194</v>
      </c>
      <c r="B1102" t="s">
        <v>762</v>
      </c>
      <c r="C1102" t="s">
        <v>767</v>
      </c>
      <c r="D1102">
        <v>1</v>
      </c>
    </row>
    <row r="1103" spans="1:4" x14ac:dyDescent="0.25">
      <c r="A1103" s="89">
        <v>46195</v>
      </c>
      <c r="B1103" t="s">
        <v>874</v>
      </c>
      <c r="C1103" t="s">
        <v>767</v>
      </c>
      <c r="D1103">
        <v>1</v>
      </c>
    </row>
    <row r="1104" spans="1:4" x14ac:dyDescent="0.25">
      <c r="A1104" s="89">
        <v>46195</v>
      </c>
      <c r="B1104" t="s">
        <v>962</v>
      </c>
      <c r="C1104" t="s">
        <v>767</v>
      </c>
      <c r="D1104">
        <v>1</v>
      </c>
    </row>
    <row r="1105" spans="1:4" x14ac:dyDescent="0.25">
      <c r="A1105" s="89">
        <v>46195</v>
      </c>
      <c r="B1105" t="s">
        <v>963</v>
      </c>
      <c r="C1105" t="s">
        <v>767</v>
      </c>
      <c r="D1105">
        <v>1</v>
      </c>
    </row>
    <row r="1106" spans="1:4" x14ac:dyDescent="0.25">
      <c r="A1106" s="89">
        <v>46195</v>
      </c>
      <c r="B1106" t="s">
        <v>964</v>
      </c>
      <c r="C1106" t="s">
        <v>767</v>
      </c>
      <c r="D1106">
        <v>1</v>
      </c>
    </row>
    <row r="1107" spans="1:4" x14ac:dyDescent="0.25">
      <c r="A1107" s="89">
        <v>46196</v>
      </c>
      <c r="B1107" t="s">
        <v>744</v>
      </c>
      <c r="C1107" t="s">
        <v>767</v>
      </c>
      <c r="D1107">
        <v>1</v>
      </c>
    </row>
    <row r="1108" spans="1:4" x14ac:dyDescent="0.25">
      <c r="A1108" s="89">
        <v>46196</v>
      </c>
      <c r="B1108" t="s">
        <v>821</v>
      </c>
      <c r="C1108" t="s">
        <v>767</v>
      </c>
      <c r="D1108">
        <v>1</v>
      </c>
    </row>
    <row r="1109" spans="1:4" x14ac:dyDescent="0.25">
      <c r="A1109" s="89">
        <v>46196</v>
      </c>
      <c r="B1109" t="s">
        <v>751</v>
      </c>
      <c r="C1109" t="s">
        <v>767</v>
      </c>
      <c r="D1109">
        <v>1</v>
      </c>
    </row>
    <row r="1110" spans="1:4" x14ac:dyDescent="0.25">
      <c r="A1110" s="89">
        <v>46196</v>
      </c>
      <c r="B1110" t="s">
        <v>776</v>
      </c>
      <c r="C1110" t="s">
        <v>767</v>
      </c>
      <c r="D1110">
        <v>1</v>
      </c>
    </row>
    <row r="1111" spans="1:4" x14ac:dyDescent="0.25">
      <c r="A1111" s="89">
        <v>46196</v>
      </c>
      <c r="B1111" t="s">
        <v>829</v>
      </c>
      <c r="C1111" t="s">
        <v>767</v>
      </c>
      <c r="D1111">
        <v>1</v>
      </c>
    </row>
    <row r="1112" spans="1:4" x14ac:dyDescent="0.25">
      <c r="A1112" s="89">
        <v>46196</v>
      </c>
      <c r="B1112" t="s">
        <v>964</v>
      </c>
      <c r="C1112" t="s">
        <v>767</v>
      </c>
      <c r="D1112">
        <v>1</v>
      </c>
    </row>
    <row r="1113" spans="1:4" x14ac:dyDescent="0.25">
      <c r="A1113" s="89">
        <v>46200</v>
      </c>
      <c r="B1113" t="s">
        <v>815</v>
      </c>
      <c r="C1113" t="s">
        <v>745</v>
      </c>
      <c r="D1113">
        <v>1</v>
      </c>
    </row>
    <row r="1114" spans="1:4" x14ac:dyDescent="0.25">
      <c r="A1114" s="89">
        <v>46200</v>
      </c>
      <c r="B1114" t="s">
        <v>878</v>
      </c>
      <c r="C1114" t="s">
        <v>745</v>
      </c>
      <c r="D1114">
        <v>1</v>
      </c>
    </row>
    <row r="1115" spans="1:4" x14ac:dyDescent="0.25">
      <c r="A1115" s="89">
        <v>46200</v>
      </c>
      <c r="B1115" t="s">
        <v>748</v>
      </c>
      <c r="C1115" t="s">
        <v>745</v>
      </c>
      <c r="D1115">
        <v>1</v>
      </c>
    </row>
    <row r="1116" spans="1:4" x14ac:dyDescent="0.25">
      <c r="A1116" s="89">
        <v>46200</v>
      </c>
      <c r="B1116" t="s">
        <v>751</v>
      </c>
      <c r="C1116" t="s">
        <v>745</v>
      </c>
      <c r="D1116">
        <v>1</v>
      </c>
    </row>
    <row r="1117" spans="1:4" x14ac:dyDescent="0.25">
      <c r="A1117" s="89">
        <v>46200</v>
      </c>
      <c r="B1117" t="s">
        <v>776</v>
      </c>
      <c r="C1117" t="s">
        <v>745</v>
      </c>
      <c r="D1117">
        <v>1</v>
      </c>
    </row>
    <row r="1118" spans="1:4" x14ac:dyDescent="0.25">
      <c r="A1118" s="89">
        <v>46200</v>
      </c>
      <c r="B1118" t="s">
        <v>785</v>
      </c>
      <c r="C1118" t="s">
        <v>745</v>
      </c>
      <c r="D1118">
        <v>1</v>
      </c>
    </row>
    <row r="1119" spans="1:4" x14ac:dyDescent="0.25">
      <c r="A1119" s="89">
        <v>46200</v>
      </c>
      <c r="B1119" t="s">
        <v>964</v>
      </c>
      <c r="C1119" t="s">
        <v>745</v>
      </c>
      <c r="D1119">
        <v>1</v>
      </c>
    </row>
    <row r="1120" spans="1:4" x14ac:dyDescent="0.25">
      <c r="A1120" s="89">
        <v>46200</v>
      </c>
      <c r="B1120" t="s">
        <v>829</v>
      </c>
      <c r="C1120" t="s">
        <v>745</v>
      </c>
      <c r="D1120">
        <v>1</v>
      </c>
    </row>
    <row r="1121" spans="1:4" x14ac:dyDescent="0.25">
      <c r="A1121" s="89">
        <v>46200</v>
      </c>
      <c r="B1121" t="s">
        <v>829</v>
      </c>
      <c r="C1121" t="s">
        <v>767</v>
      </c>
      <c r="D1121">
        <v>1</v>
      </c>
    </row>
    <row r="1122" spans="1:4" x14ac:dyDescent="0.25">
      <c r="A1122" s="89">
        <v>46203</v>
      </c>
      <c r="B1122" t="s">
        <v>815</v>
      </c>
      <c r="C1122" t="s">
        <v>767</v>
      </c>
      <c r="D1122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677</v>
      </c>
      <c r="B1" t="s">
        <v>965</v>
      </c>
      <c r="C1" t="s">
        <v>966</v>
      </c>
      <c r="D1" t="s">
        <v>967</v>
      </c>
      <c r="E1" t="s">
        <v>968</v>
      </c>
      <c r="F1" t="s">
        <v>969</v>
      </c>
      <c r="G1" t="s">
        <v>970</v>
      </c>
      <c r="H1" t="s">
        <v>971</v>
      </c>
      <c r="I1" t="s">
        <v>972</v>
      </c>
      <c r="J1" t="s">
        <v>973</v>
      </c>
      <c r="K1" t="s">
        <v>974</v>
      </c>
      <c r="L1" t="s">
        <v>975</v>
      </c>
      <c r="M1" t="s">
        <v>976</v>
      </c>
      <c r="N1" t="s">
        <v>977</v>
      </c>
      <c r="O1" t="s">
        <v>978</v>
      </c>
      <c r="P1" t="s">
        <v>979</v>
      </c>
      <c r="Q1" t="s">
        <v>980</v>
      </c>
      <c r="R1" t="s">
        <v>981</v>
      </c>
      <c r="S1" t="s">
        <v>982</v>
      </c>
    </row>
    <row r="2" spans="1:19" x14ac:dyDescent="0.25">
      <c r="A2" t="s">
        <v>739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983</v>
      </c>
      <c r="S2" t="s">
        <v>983</v>
      </c>
    </row>
    <row r="3" spans="1:19" x14ac:dyDescent="0.25">
      <c r="A3" t="s">
        <v>741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983</v>
      </c>
      <c r="S3" t="s">
        <v>983</v>
      </c>
    </row>
    <row r="4" spans="1:19" x14ac:dyDescent="0.25">
      <c r="A4" t="s">
        <v>984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983</v>
      </c>
      <c r="S4" t="s">
        <v>983</v>
      </c>
    </row>
    <row r="5" spans="1:19" x14ac:dyDescent="0.25">
      <c r="A5" t="s">
        <v>740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983</v>
      </c>
      <c r="S5" t="s">
        <v>983</v>
      </c>
    </row>
    <row r="6" spans="1:19" x14ac:dyDescent="0.25">
      <c r="A6" t="s">
        <v>720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983</v>
      </c>
      <c r="S6" t="s">
        <v>983</v>
      </c>
    </row>
    <row r="7" spans="1:19" x14ac:dyDescent="0.25">
      <c r="A7" t="s">
        <v>713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983</v>
      </c>
      <c r="S7" t="s">
        <v>983</v>
      </c>
    </row>
    <row r="8" spans="1:19" x14ac:dyDescent="0.25">
      <c r="A8" t="s">
        <v>683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983</v>
      </c>
      <c r="S8" t="s">
        <v>983</v>
      </c>
    </row>
    <row r="9" spans="1:19" x14ac:dyDescent="0.25">
      <c r="A9" t="s">
        <v>738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983</v>
      </c>
      <c r="S9" t="s">
        <v>983</v>
      </c>
    </row>
    <row r="10" spans="1:19" x14ac:dyDescent="0.25">
      <c r="A10" t="s">
        <v>985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983</v>
      </c>
      <c r="S10" t="s">
        <v>983</v>
      </c>
    </row>
    <row r="11" spans="1:19" x14ac:dyDescent="0.25">
      <c r="A11" t="s">
        <v>297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986</v>
      </c>
      <c r="S11" t="s">
        <v>983</v>
      </c>
    </row>
    <row r="12" spans="1:19" x14ac:dyDescent="0.25">
      <c r="A12" t="s">
        <v>987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986</v>
      </c>
      <c r="S12" t="s">
        <v>983</v>
      </c>
    </row>
    <row r="13" spans="1:19" x14ac:dyDescent="0.25">
      <c r="A13" t="s">
        <v>149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983</v>
      </c>
      <c r="S13" t="s">
        <v>986</v>
      </c>
    </row>
    <row r="14" spans="1:19" x14ac:dyDescent="0.25">
      <c r="A14" t="s">
        <v>158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983</v>
      </c>
      <c r="S14" t="s">
        <v>986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/>
  </sheetViews>
  <sheetFormatPr defaultRowHeight="15" x14ac:dyDescent="0.25"/>
  <sheetData>
    <row r="1" spans="1:3" x14ac:dyDescent="0.25">
      <c r="A1" t="s">
        <v>988</v>
      </c>
      <c r="B1" t="s">
        <v>989</v>
      </c>
      <c r="C1" t="s">
        <v>8</v>
      </c>
    </row>
    <row r="2" spans="1:3" x14ac:dyDescent="0.25">
      <c r="A2" t="s">
        <v>990</v>
      </c>
      <c r="B2">
        <v>100000</v>
      </c>
      <c r="C2" t="s">
        <v>991</v>
      </c>
    </row>
    <row r="3" spans="1:3" x14ac:dyDescent="0.25">
      <c r="A3" t="s">
        <v>992</v>
      </c>
      <c r="B3">
        <v>32</v>
      </c>
      <c r="C3" t="s">
        <v>993</v>
      </c>
    </row>
    <row r="4" spans="1:3" x14ac:dyDescent="0.25">
      <c r="A4" t="s">
        <v>994</v>
      </c>
      <c r="B4">
        <v>28</v>
      </c>
      <c r="C4" t="s">
        <v>993</v>
      </c>
    </row>
    <row r="5" spans="1:3" x14ac:dyDescent="0.25">
      <c r="A5" t="s">
        <v>995</v>
      </c>
      <c r="B5">
        <v>5</v>
      </c>
      <c r="C5" t="s">
        <v>993</v>
      </c>
    </row>
    <row r="6" spans="1:3" x14ac:dyDescent="0.25">
      <c r="A6" t="s">
        <v>996</v>
      </c>
      <c r="B6">
        <v>15000</v>
      </c>
      <c r="C6" t="s">
        <v>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  <vt:lpstr>Sabores_Receitas</vt:lpstr>
      <vt:lpstr>Valor_Cuba</vt:lpstr>
      <vt:lpstr>Producao_Cubas</vt:lpstr>
      <vt:lpstr>Nutricional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2026-07-13T16:20:41Z</dcterms:modified>
</cp:coreProperties>
</file>